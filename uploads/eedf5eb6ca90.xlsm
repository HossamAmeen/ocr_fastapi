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worksheets/sheet1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externalLinks/externalLink120.xml" ContentType="application/vnd.openxmlformats-officedocument.spreadsheetml.externalLink+xml"/>
  <Override PartName="/xl/externalLinks/externalLink100.xml" ContentType="application/vnd.openxmlformats-officedocument.spreadsheetml.externalLink+xml"/>
  <Override PartName="/xl/externalLinks/externalLink99.xml" ContentType="application/vnd.openxmlformats-officedocument.spreadsheetml.externalLink+xml"/>
  <Override PartName="/xl/externalLinks/externalLink97.xml" ContentType="application/vnd.openxmlformats-officedocument.spreadsheetml.externalLink+xml"/>
  <Override PartName="/xl/externalLinks/externalLink29.xml" ContentType="application/vnd.openxmlformats-officedocument.spreadsheetml.externalLink+xml"/>
  <Override PartName="/xl/externalLinks/externalLink28.xml" ContentType="application/vnd.openxmlformats-officedocument.spreadsheetml.externalLink+xml"/>
  <Override PartName="/xl/externalLinks/externalLink27.xml" ContentType="application/vnd.openxmlformats-officedocument.spreadsheetml.externalLink+xml"/>
  <Override PartName="/xl/externalLinks/externalLink19.xml" ContentType="application/vnd.openxmlformats-officedocument.spreadsheetml.externalLink+xml"/>
  <Override PartName="/xl/externalLinks/externalLink86.xml" ContentType="application/vnd.openxmlformats-officedocument.spreadsheetml.externalLink+xml"/>
  <Override PartName="/xl/externalLinks/externalLink18.xml" ContentType="application/vnd.openxmlformats-officedocument.spreadsheetml.externalLink+xml"/>
  <Override PartName="/xl/externalLinks/externalLink85.xml" ContentType="application/vnd.openxmlformats-officedocument.spreadsheetml.externalLink+xml"/>
  <Override PartName="/xl/externalLinks/externalLink76.xml" ContentType="application/vnd.openxmlformats-officedocument.spreadsheetml.externalLink+xml"/>
  <Override PartName="/xl/externalLinks/externalLink75.xml" ContentType="application/vnd.openxmlformats-officedocument.spreadsheetml.externalLink+xml"/>
  <Override PartName="/xl/externalLinks/externalLink73.xml" ContentType="application/vnd.openxmlformats-officedocument.spreadsheetml.externalLink+xml"/>
  <Override PartName="/xl/externalLinks/externalLink72.xml" ContentType="application/vnd.openxmlformats-officedocument.spreadsheetml.externalLink+xml"/>
  <Override PartName="/xl/externalLinks/externalLink110.xml" ContentType="application/vnd.openxmlformats-officedocument.spreadsheetml.externalLink+xml"/>
  <Override PartName="/xl/externalLinks/externalLink71.xml" ContentType="application/vnd.openxmlformats-officedocument.spreadsheetml.externalLink+xml"/>
  <Override PartName="/xl/externalLinks/externalLink68.xml" ContentType="application/vnd.openxmlformats-officedocument.spreadsheetml.externalLink+xml"/>
  <Override PartName="/xl/externalLinks/externalLink66.xml" ContentType="application/vnd.openxmlformats-officedocument.spreadsheetml.externalLink+xml"/>
  <Override PartName="/xl/externalLinks/externalLink65.xml" ContentType="application/vnd.openxmlformats-officedocument.spreadsheetml.externalLink+xml"/>
  <Override PartName="/xl/externalLinks/externalLink98.xml" ContentType="application/vnd.openxmlformats-officedocument.spreadsheetml.externalLink+xml"/>
  <Override PartName="/xl/externalLinks/externalLink64.xml" ContentType="application/vnd.openxmlformats-officedocument.spreadsheetml.externalLink+xml"/>
  <Override PartName="/xl/externalLinks/externalLink62.xml" ContentType="application/vnd.openxmlformats-officedocument.spreadsheetml.externalLink+xml"/>
  <Override PartName="/xl/externalLinks/externalLink61.xml" ContentType="application/vnd.openxmlformats-officedocument.spreadsheetml.externalLink+xml"/>
  <Override PartName="/xl/externalLinks/externalLink181.xml" ContentType="application/vnd.openxmlformats-officedocument.spreadsheetml.externalLink+xml"/>
  <Override PartName="/xl/externalLinks/externalLink22.xml" ContentType="application/vnd.openxmlformats-officedocument.spreadsheetml.externalLink+xml"/>
  <Override PartName="/xl/externalLinks/externalLink90.xml" ContentType="application/vnd.openxmlformats-officedocument.spreadsheetml.externalLink+xml"/>
  <Override PartName="/xl/externalLinks/externalLink69.xml" ContentType="application/vnd.openxmlformats-officedocument.spreadsheetml.externalLink+xml"/>
  <Override PartName="/xl/externalLinks/externalLink112.xml" ContentType="application/vnd.openxmlformats-officedocument.spreadsheetml.externalLink+xml"/>
  <Override PartName="/xl/externalLinks/externalLink180.xml" ContentType="application/vnd.openxmlformats-officedocument.spreadsheetml.externalLink+xml"/>
  <Override PartName="/xl/externalLinks/externalLink58.xml" ContentType="application/vnd.openxmlformats-officedocument.spreadsheetml.externalLink+xml"/>
  <Override PartName="/xl/externalLinks/externalLink84.xml" ContentType="application/vnd.openxmlformats-officedocument.spreadsheetml.externalLink+xml"/>
  <Override PartName="/xl/externalLinks/externalLink16.xml" ContentType="application/vnd.openxmlformats-officedocument.spreadsheetml.externalLink+xml"/>
  <Override PartName="/xl/externalLinks/externalLink77.xml" ContentType="application/vnd.openxmlformats-officedocument.spreadsheetml.externalLink+xml"/>
  <Override PartName="/xl/externalLinks/externalLink1.xml" ContentType="application/vnd.openxmlformats-officedocument.spreadsheetml.externalLink+xml"/>
  <Override PartName="/xl/externalLinks/externalLink146.xml" ContentType="application/vnd.openxmlformats-officedocument.spreadsheetml.externalLink+xml"/>
  <Override PartName="/xl/externalLinks/externalLink111.xml" ContentType="application/vnd.openxmlformats-officedocument.spreadsheetml.externalLink+xml"/>
  <Override PartName="/xl/externalLinks/externalLink20.xml" ContentType="application/vnd.openxmlformats-officedocument.spreadsheetml.externalLink+xml"/>
  <Override PartName="/xl/externalLinks/externalLink177.xml" ContentType="application/vnd.openxmlformats-officedocument.spreadsheetml.externalLink+xml"/>
  <Override PartName="/xl/externalLinks/externalLink83.xml" ContentType="application/vnd.openxmlformats-officedocument.spreadsheetml.externalLink+xml"/>
  <Override PartName="/xl/externalLinks/externalLink15.xml" ContentType="application/vnd.openxmlformats-officedocument.spreadsheetml.externalLink+xml"/>
  <Override PartName="/xl/externalLinks/externalLink14.xml" ContentType="application/vnd.openxmlformats-officedocument.spreadsheetml.externalLink+xml"/>
  <Override PartName="/xl/externalLinks/externalLink175.xml" ContentType="application/vnd.openxmlformats-officedocument.spreadsheetml.externalLink+xml"/>
  <Override PartName="/xl/externalLinks/externalLink38.xml" ContentType="application/vnd.openxmlformats-officedocument.spreadsheetml.externalLink+xml"/>
  <Override PartName="/xl/externalLinks/externalLink123.xml" ContentType="application/vnd.openxmlformats-officedocument.spreadsheetml.externalLink+xml"/>
  <Override PartName="/xl/externalLinks/externalLink13.xml" ContentType="application/vnd.openxmlformats-officedocument.spreadsheetml.externalLink+xml"/>
  <Override PartName="/xl/externalLinks/externalLink43.xml" ContentType="application/vnd.openxmlformats-officedocument.spreadsheetml.externalLink+xml"/>
  <Override PartName="/xl/externalLinks/externalLink164.xml" ContentType="application/vnd.openxmlformats-officedocument.spreadsheetml.externalLink+xml"/>
  <Override PartName="/xl/externalLinks/externalLink60.xml" ContentType="application/vnd.openxmlformats-officedocument.spreadsheetml.externalLink+xml"/>
  <Override PartName="/xl/externalLinks/externalLink153.xml" ContentType="application/vnd.openxmlformats-officedocument.spreadsheetml.externalLink+xml"/>
  <Override PartName="/xl/externalLinks/externalLink151.xml" ContentType="application/vnd.openxmlformats-officedocument.spreadsheetml.externalLink+xml"/>
  <Override PartName="/xl/externalLinks/externalLink187.xml" ContentType="application/vnd.openxmlformats-officedocument.spreadsheetml.externalLink+xml"/>
  <Override PartName="/xl/externalLinks/externalLink44.xml" ContentType="application/vnd.openxmlformats-officedocument.spreadsheetml.externalLink+xml"/>
  <Override PartName="/xl/externalLinks/externalLink51.xml" ContentType="application/vnd.openxmlformats-officedocument.spreadsheetml.externalLink+xml"/>
  <Override PartName="/xl/externalLinks/externalLink10.xml" ContentType="application/vnd.openxmlformats-officedocument.spreadsheetml.externalLink+xml"/>
  <Override PartName="/xl/externalLinks/externalLink56.xml" ContentType="application/vnd.openxmlformats-officedocument.spreadsheetml.externalLink+xml"/>
  <Override PartName="/xl/externalLinks/externalLink89.xml" ContentType="application/vnd.openxmlformats-officedocument.spreadsheetml.externalLink+xml"/>
  <Override PartName="/xl/externalLinks/externalLink135.xml" ContentType="application/vnd.openxmlformats-officedocument.spreadsheetml.externalLink+xml"/>
  <Override PartName="/xl/externalLinks/externalLink117.xml" ContentType="application/vnd.openxmlformats-officedocument.spreadsheetml.externalLink+xml"/>
  <Override PartName="/xl/externalLinks/externalLink52.xml" ContentType="application/vnd.openxmlformats-officedocument.spreadsheetml.externalLink+xml"/>
  <Override PartName="/xl/externalLinks/externalLink184.xml" ContentType="application/vnd.openxmlformats-officedocument.spreadsheetml.externalLink+xml"/>
  <Override PartName="/xl/externalLinks/externalLink137.xml" ContentType="application/vnd.openxmlformats-officedocument.spreadsheetml.externalLink+xml"/>
  <Override PartName="/xl/externalLinks/externalLink67.xml" ContentType="application/vnd.openxmlformats-officedocument.spreadsheetml.externalLink+xml"/>
  <Override PartName="/xl/externalLinks/externalLink6.xml" ContentType="application/vnd.openxmlformats-officedocument.spreadsheetml.externalLink+xml"/>
  <Override PartName="/xl/externalLinks/externalLink96.xml" ContentType="application/vnd.openxmlformats-officedocument.spreadsheetml.externalLink+xml"/>
  <Override PartName="/xl/externalLinks/externalLink138.xml" ContentType="application/vnd.openxmlformats-officedocument.spreadsheetml.externalLink+xml"/>
  <Override PartName="/xl/externalLinks/externalLink37.xml" ContentType="application/vnd.openxmlformats-officedocument.spreadsheetml.externalLink+xml"/>
  <Override PartName="/xl/externalLinks/externalLink116.xml" ContentType="application/vnd.openxmlformats-officedocument.spreadsheetml.externalLink+xml"/>
  <Override PartName="/xl/externalLinks/externalLink107.xml" ContentType="application/vnd.openxmlformats-officedocument.spreadsheetml.externalLink+xml"/>
  <Override PartName="/xl/externalLinks/externalLink45.xml" ContentType="application/vnd.openxmlformats-officedocument.spreadsheetml.externalLink+xml"/>
  <Override PartName="/xl/externalLinks/externalLink139.xml" ContentType="application/vnd.openxmlformats-officedocument.spreadsheetml.externalLink+xml"/>
  <Override PartName="/xl/externalLinks/externalLink168.xml" ContentType="application/vnd.openxmlformats-officedocument.spreadsheetml.externalLink+xml"/>
  <Override PartName="/xl/externalLinks/externalLink140.xml" ContentType="application/vnd.openxmlformats-officedocument.spreadsheetml.externalLink+xml"/>
  <Override PartName="/xl/externalLinks/externalLink39.xml" ContentType="application/vnd.openxmlformats-officedocument.spreadsheetml.externalLink+xml"/>
  <Override PartName="/xl/externalLinks/externalLink145.xml" ContentType="application/vnd.openxmlformats-officedocument.spreadsheetml.externalLink+xml"/>
  <Override PartName="/xl/externalLinks/externalLink87.xml" ContentType="application/vnd.openxmlformats-officedocument.spreadsheetml.externalLink+xml"/>
  <Override PartName="/xl/externalLinks/externalLink162.xml" ContentType="application/vnd.openxmlformats-officedocument.spreadsheetml.externalLink+xml"/>
  <Override PartName="/xl/externalLinks/externalLink41.xml" ContentType="application/vnd.openxmlformats-officedocument.spreadsheetml.externalLink+xml"/>
  <Override PartName="/xl/externalLinks/externalLink161.xml" ContentType="application/vnd.openxmlformats-officedocument.spreadsheetml.externalLink+xml"/>
  <Override PartName="/xl/externalLinks/externalLink169.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191.xml" ContentType="application/vnd.openxmlformats-officedocument.spreadsheetml.externalLink+xml"/>
  <Override PartName="/xl/externalLinks/externalLink167.xml" ContentType="application/vnd.openxmlformats-officedocument.spreadsheetml.externalLink+xml"/>
  <Override PartName="/xl/externalLinks/externalLink156.xml" ContentType="application/vnd.openxmlformats-officedocument.spreadsheetml.externalLink+xml"/>
  <Override PartName="/xl/externalLinks/externalLink91.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65.xml" ContentType="application/vnd.openxmlformats-officedocument.spreadsheetml.externalLink+xml"/>
  <Override PartName="/xl/externalLinks/externalLink170.xml" ContentType="application/vnd.openxmlformats-officedocument.spreadsheetml.externalLink+xml"/>
  <Override PartName="/xl/externalLinks/externalLink189.xml" ContentType="application/vnd.openxmlformats-officedocument.spreadsheetml.externalLink+xml"/>
  <Override PartName="/xl/externalLinks/externalLink32.xml" ContentType="application/vnd.openxmlformats-officedocument.spreadsheetml.externalLink+xml"/>
  <Override PartName="/xl/externalLinks/externalLink155.xml" ContentType="application/vnd.openxmlformats-officedocument.spreadsheetml.externalLink+xml"/>
  <Override PartName="/xl/externalLinks/externalLink193.xml" ContentType="application/vnd.openxmlformats-officedocument.spreadsheetml.externalLink+xml"/>
  <Override PartName="/xl/externalLinks/externalLink154.xml" ContentType="application/vnd.openxmlformats-officedocument.spreadsheetml.externalLink+xml"/>
  <Override PartName="/xl/externalLinks/externalLink30.xml" ContentType="application/vnd.openxmlformats-officedocument.spreadsheetml.externalLink+xml"/>
  <Override PartName="/xl/externalLinks/externalLink3.xml" ContentType="application/vnd.openxmlformats-officedocument.spreadsheetml.externalLink+xml"/>
  <Override PartName="/xl/externalLinks/externalLink88.xml" ContentType="application/vnd.openxmlformats-officedocument.spreadsheetml.externalLink+xml"/>
  <Override PartName="/xl/externalLinks/externalLink160.xml" ContentType="application/vnd.openxmlformats-officedocument.spreadsheetml.externalLink+xml"/>
  <Override PartName="/xl/externalLinks/externalLink92.xml" ContentType="application/vnd.openxmlformats-officedocument.spreadsheetml.externalLink+xml"/>
  <Override PartName="/xl/externalLinks/externalLink46.xml" ContentType="application/vnd.openxmlformats-officedocument.spreadsheetml.externalLink+xml"/>
  <Override PartName="/xl/externalLinks/externalLink166.xml" ContentType="application/vnd.openxmlformats-officedocument.spreadsheetml.externalLink+xml"/>
  <Override PartName="/xl/externalLinks/externalLink159.xml" ContentType="application/vnd.openxmlformats-officedocument.spreadsheetml.externalLink+xml"/>
  <Override PartName="/xl/externalLinks/externalLink109.xml" ContentType="application/vnd.openxmlformats-officedocument.spreadsheetml.externalLink+xml"/>
  <Override PartName="/xl/externalLinks/externalLink158.xml" ContentType="application/vnd.openxmlformats-officedocument.spreadsheetml.externalLink+xml"/>
  <Override PartName="/xl/externalLinks/externalLink36.xml" ContentType="application/vnd.openxmlformats-officedocument.spreadsheetml.externalLink+xml"/>
  <Override PartName="/xl/externalLinks/externalLink131.xml" ContentType="application/vnd.openxmlformats-officedocument.spreadsheetml.externalLink+xml"/>
  <Override PartName="/xl/externalLinks/externalLink150.xml" ContentType="application/vnd.openxmlformats-officedocument.spreadsheetml.externalLink+xml"/>
  <Override PartName="/xl/externalLinks/externalLink121.xml" ContentType="application/vnd.openxmlformats-officedocument.spreadsheetml.externalLink+xml"/>
  <Override PartName="/xl/externalLinks/externalLink50.xml" ContentType="application/vnd.openxmlformats-officedocument.spreadsheetml.externalLink+xml"/>
  <Override PartName="/xl/externalLinks/externalLink133.xml" ContentType="application/vnd.openxmlformats-officedocument.spreadsheetml.externalLink+xml"/>
  <Override PartName="/xl/externalLinks/externalLink7.xml" ContentType="application/vnd.openxmlformats-officedocument.spreadsheetml.externalLink+xml"/>
  <Override PartName="/xl/externalLinks/externalLink136.xml" ContentType="application/vnd.openxmlformats-officedocument.spreadsheetml.externalLink+xml"/>
  <Override PartName="/xl/externalLinks/externalLink104.xml" ContentType="application/vnd.openxmlformats-officedocument.spreadsheetml.externalLink+xml"/>
  <Override PartName="/xl/externalLinks/externalLink183.xml" ContentType="application/vnd.openxmlformats-officedocument.spreadsheetml.externalLink+xml"/>
  <Override PartName="/xl/externalLinks/externalLink152.xml" ContentType="application/vnd.openxmlformats-officedocument.spreadsheetml.externalLink+xml"/>
  <Override PartName="/xl/externalLinks/externalLink126.xml" ContentType="application/vnd.openxmlformats-officedocument.spreadsheetml.externalLink+xml"/>
  <Override PartName="/xl/externalLinks/externalLink119.xml" ContentType="application/vnd.openxmlformats-officedocument.spreadsheetml.externalLink+xml"/>
  <Override PartName="/xl/externalLinks/externalLink63.xml" ContentType="application/vnd.openxmlformats-officedocument.spreadsheetml.externalLink+xml"/>
  <Override PartName="/xl/externalLinks/externalLink132.xml" ContentType="application/vnd.openxmlformats-officedocument.spreadsheetml.externalLink+xml"/>
  <Override PartName="/xl/externalLinks/externalLink144.xml" ContentType="application/vnd.openxmlformats-officedocument.spreadsheetml.externalLink+xml"/>
  <Override PartName="/xl/externalLinks/externalLink57.xml" ContentType="application/vnd.openxmlformats-officedocument.spreadsheetml.externalLink+xml"/>
  <Override PartName="/xl/externalLinks/externalLink188.xml" ContentType="application/vnd.openxmlformats-officedocument.spreadsheetml.externalLink+xml"/>
  <Override PartName="/xl/externalLinks/externalLink82.xml" ContentType="application/vnd.openxmlformats-officedocument.spreadsheetml.externalLink+xml"/>
  <Override PartName="/xl/externalLinks/externalLink31.xml" ContentType="application/vnd.openxmlformats-officedocument.spreadsheetml.externalLink+xml"/>
  <Override PartName="/xl/externalLinks/externalLink143.xml" ContentType="application/vnd.openxmlformats-officedocument.spreadsheetml.externalLink+xml"/>
  <Override PartName="/xl/externalLinks/externalLink142.xml" ContentType="application/vnd.openxmlformats-officedocument.spreadsheetml.externalLink+xml"/>
  <Override PartName="/xl/externalLinks/externalLink141.xml" ContentType="application/vnd.openxmlformats-officedocument.spreadsheetml.externalLink+xml"/>
  <Override PartName="/xl/externalLinks/externalLink127.xml" ContentType="application/vnd.openxmlformats-officedocument.spreadsheetml.externalLink+xml"/>
  <Override PartName="/xl/externalLinks/externalLink53.xml" ContentType="application/vnd.openxmlformats-officedocument.spreadsheetml.externalLink+xml"/>
  <Override PartName="/xl/externalLinks/externalLink5.xml" ContentType="application/vnd.openxmlformats-officedocument.spreadsheetml.externalLink+xml"/>
  <Override PartName="/xl/externalLinks/externalLink101.xml" ContentType="application/vnd.openxmlformats-officedocument.spreadsheetml.externalLink+xml"/>
  <Override PartName="/xl/externalLinks/externalLink113.xml" ContentType="application/vnd.openxmlformats-officedocument.spreadsheetml.externalLink+xml"/>
  <Override PartName="/xl/externalLinks/externalLink108.xml" ContentType="application/vnd.openxmlformats-officedocument.spreadsheetml.externalLink+xml"/>
  <Override PartName="/xl/externalLinks/externalLink185.xml" ContentType="application/vnd.openxmlformats-officedocument.spreadsheetml.externalLink+xml"/>
  <Override PartName="/xl/externalLinks/externalLink35.xml" ContentType="application/vnd.openxmlformats-officedocument.spreadsheetml.externalLink+xml"/>
  <Override PartName="/xl/externalLinks/externalLink59.xml" ContentType="application/vnd.openxmlformats-officedocument.spreadsheetml.externalLink+xml"/>
  <Override PartName="/xl/externalLinks/externalLink172.xml" ContentType="application/vnd.openxmlformats-officedocument.spreadsheetml.externalLink+xml"/>
  <Override PartName="/xl/externalLinks/externalLink48.xml" ContentType="application/vnd.openxmlformats-officedocument.spreadsheetml.externalLink+xml"/>
  <Override PartName="/xl/externalLinks/externalLink194.xml" ContentType="application/vnd.openxmlformats-officedocument.spreadsheetml.externalLink+xml"/>
  <Override PartName="/xl/externalLinks/externalLink34.xml" ContentType="application/vnd.openxmlformats-officedocument.spreadsheetml.externalLink+xml"/>
  <Override PartName="/xl/externalLinks/externalLink130.xml" ContentType="application/vnd.openxmlformats-officedocument.spreadsheetml.externalLink+xml"/>
  <Override PartName="/xl/externalLinks/externalLink125.xml" ContentType="application/vnd.openxmlformats-officedocument.spreadsheetml.externalLink+xml"/>
  <Override PartName="/xl/externalLinks/externalLink81.xml" ContentType="application/vnd.openxmlformats-officedocument.spreadsheetml.externalLink+xml"/>
  <Override PartName="/xl/externalLinks/externalLink129.xml" ContentType="application/vnd.openxmlformats-officedocument.spreadsheetml.externalLink+xml"/>
  <Override PartName="/xl/externalLinks/externalLink163.xml" ContentType="application/vnd.openxmlformats-officedocument.spreadsheetml.externalLink+xml"/>
  <Override PartName="/xl/externalLinks/externalLink192.xml" ContentType="application/vnd.openxmlformats-officedocument.spreadsheetml.externalLink+xml"/>
  <Override PartName="/xl/externalLinks/externalLink149.xml" ContentType="application/vnd.openxmlformats-officedocument.spreadsheetml.externalLink+xml"/>
  <Override PartName="/xl/externalLinks/externalLink124.xml" ContentType="application/vnd.openxmlformats-officedocument.spreadsheetml.externalLink+xml"/>
  <Override PartName="/xl/externalLinks/externalLink134.xml" ContentType="application/vnd.openxmlformats-officedocument.spreadsheetml.externalLink+xml"/>
  <Override PartName="/xl/externalLinks/externalLink102.xml" ContentType="application/vnd.openxmlformats-officedocument.spreadsheetml.externalLink+xml"/>
  <Override PartName="/xl/externalLinks/externalLink157.xml" ContentType="application/vnd.openxmlformats-officedocument.spreadsheetml.externalLink+xml"/>
  <Override PartName="/xl/externalLinks/externalLink147.xml" ContentType="application/vnd.openxmlformats-officedocument.spreadsheetml.externalLink+xml"/>
  <Override PartName="/xl/externalLinks/externalLink74.xml" ContentType="application/vnd.openxmlformats-officedocument.spreadsheetml.externalLink+xml"/>
  <Override PartName="/xl/externalLinks/externalLink190.xml" ContentType="application/vnd.openxmlformats-officedocument.spreadsheetml.externalLink+xml"/>
  <Override PartName="/xl/externalLinks/externalLink122.xml" ContentType="application/vnd.openxmlformats-officedocument.spreadsheetml.externalLink+xml"/>
  <Override PartName="/xl/externalLinks/externalLink40.xml" ContentType="application/vnd.openxmlformats-officedocument.spreadsheetml.externalLink+xml"/>
  <Override PartName="/xl/externalLinks/externalLink49.xml" ContentType="application/vnd.openxmlformats-officedocument.spreadsheetml.externalLink+xml"/>
  <Override PartName="/xl/externalLinks/externalLink103.xml" ContentType="application/vnd.openxmlformats-officedocument.spreadsheetml.externalLink+xml"/>
  <Override PartName="/xl/externalLinks/externalLink186.xml" ContentType="application/vnd.openxmlformats-officedocument.spreadsheetml.externalLink+xml"/>
  <Override PartName="/xl/externalLinks/externalLink173.xml" ContentType="application/vnd.openxmlformats-officedocument.spreadsheetml.externalLink+xml"/>
  <Override PartName="/xl/externalLinks/externalLink11.xml" ContentType="application/vnd.openxmlformats-officedocument.spreadsheetml.externalLink+xml"/>
  <Override PartName="/xl/externalLinks/externalLink118.xml" ContentType="application/vnd.openxmlformats-officedocument.spreadsheetml.externalLink+xml"/>
  <Override PartName="/xl/externalLinks/externalLink94.xml" ContentType="application/vnd.openxmlformats-officedocument.spreadsheetml.externalLink+xml"/>
  <Override PartName="/xl/externalLinks/externalLink47.xml" ContentType="application/vnd.openxmlformats-officedocument.spreadsheetml.externalLink+xml"/>
  <Override PartName="/xl/externalLinks/externalLink4.xml" ContentType="application/vnd.openxmlformats-officedocument.spreadsheetml.externalLink+xml"/>
  <Override PartName="/xl/externalLinks/externalLink26.xml" ContentType="application/vnd.openxmlformats-officedocument.spreadsheetml.externalLink+xml"/>
  <Override PartName="/xl/externalLinks/externalLink148.xml" ContentType="application/vnd.openxmlformats-officedocument.spreadsheetml.externalLink+xml"/>
  <Override PartName="/xl/externalLinks/externalLink128.xml" ContentType="application/vnd.openxmlformats-officedocument.spreadsheetml.externalLink+xml"/>
  <Override PartName="/xl/externalLinks/externalLink79.xml" ContentType="application/vnd.openxmlformats-officedocument.spreadsheetml.externalLink+xml"/>
  <Override PartName="/xl/externalLinks/externalLink42.xml" ContentType="application/vnd.openxmlformats-officedocument.spreadsheetml.externalLink+xml"/>
  <Override PartName="/xl/externalLinks/externalLink93.xml" ContentType="application/vnd.openxmlformats-officedocument.spreadsheetml.externalLink+xml"/>
  <Override PartName="/xl/externalLinks/externalLink33.xml" ContentType="application/vnd.openxmlformats-officedocument.spreadsheetml.externalLink+xml"/>
  <Override PartName="/xl/externalLinks/externalLink25.xml" ContentType="application/vnd.openxmlformats-officedocument.spreadsheetml.externalLink+xml"/>
  <Override PartName="/xl/externalLinks/externalLink2.xml" ContentType="application/vnd.openxmlformats-officedocument.spreadsheetml.externalLink+xml"/>
  <Override PartName="/xl/externalLinks/externalLink78.xml" ContentType="application/vnd.openxmlformats-officedocument.spreadsheetml.externalLink+xml"/>
  <Override PartName="/xl/externalLinks/externalLink24.xml" ContentType="application/vnd.openxmlformats-officedocument.spreadsheetml.externalLink+xml"/>
  <Override PartName="/xl/externalLinks/externalLink17.xml" ContentType="application/vnd.openxmlformats-officedocument.spreadsheetml.externalLink+xml"/>
  <Override PartName="/xl/externalLinks/externalLink21.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76.xml" ContentType="application/vnd.openxmlformats-officedocument.spreadsheetml.externalLink+xml"/>
  <Override PartName="/xl/externalLinks/externalLink106.xml" ContentType="application/vnd.openxmlformats-officedocument.spreadsheetml.externalLink+xml"/>
  <Override PartName="/xl/externalLinks/externalLink23.xml" ContentType="application/vnd.openxmlformats-officedocument.spreadsheetml.externalLink+xml"/>
  <Override PartName="/xl/externalLinks/externalLink171.xml" ContentType="application/vnd.openxmlformats-officedocument.spreadsheetml.externalLink+xml"/>
  <Override PartName="/xl/externalLinks/externalLink182.xml" ContentType="application/vnd.openxmlformats-officedocument.spreadsheetml.externalLink+xml"/>
  <Override PartName="/xl/externalLinks/externalLink105.xml" ContentType="application/vnd.openxmlformats-officedocument.spreadsheetml.externalLink+xml"/>
  <Override PartName="/xl/externalLinks/externalLink8.xml" ContentType="application/vnd.openxmlformats-officedocument.spreadsheetml.externalLink+xml"/>
  <Override PartName="/xl/externalLinks/externalLink95.xml" ContentType="application/vnd.openxmlformats-officedocument.spreadsheetml.externalLink+xml"/>
  <Override PartName="/xl/externalLinks/externalLink12.xml" ContentType="application/vnd.openxmlformats-officedocument.spreadsheetml.externalLink+xml"/>
  <Override PartName="/xl/externalLinks/externalLink70.xml" ContentType="application/vnd.openxmlformats-officedocument.spreadsheetml.externalLink+xml"/>
  <Override PartName="/xl/externalLinks/externalLink9.xml" ContentType="application/vnd.openxmlformats-officedocument.spreadsheetml.externalLink+xml"/>
  <Override PartName="/xl/externalLinks/externalLink80.xml" ContentType="application/vnd.openxmlformats-officedocument.spreadsheetml.externalLink+xml"/>
  <Override PartName="/xl/externalLinks/externalLink17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ctrlProps/ctrlProps3.xml" ContentType="application/vnd.ms-excel.controlproperties+xml"/>
  <Override PartName="/xl/ctrlProps/ctrlProps12.xml" ContentType="application/vnd.ms-excel.controlproperties+xml"/>
  <Override PartName="/xl/ctrlProps/ctrlProps4.xml" ContentType="application/vnd.ms-excel.controlproperties+xml"/>
  <Override PartName="/xl/ctrlProps/ctrlProps10.xml" ContentType="application/vnd.ms-excel.controlproperties+xml"/>
  <Override PartName="/xl/drawings/drawing14.xml" ContentType="application/vnd.openxmlformats-officedocument.drawing+xml"/>
  <Override PartName="/xl/drawings/drawing7.xml" ContentType="application/vnd.openxmlformats-officedocument.drawing+xml"/>
  <Override PartName="/xl/drawings/drawing13.xml" ContentType="application/vnd.openxmlformats-officedocument.drawing+xml"/>
  <Override PartName="/xl/drawings/drawing6.xml" ContentType="application/vnd.openxmlformats-officedocument.drawing+xml"/>
  <Override PartName="/xl/drawings/vmlDrawing2.vml" ContentType="application/vnd.openxmlformats-officedocument.vmlDrawing"/>
  <Override PartName="/xl/drawings/drawing8.xml" ContentType="application/vnd.openxmlformats-officedocument.drawing+xml"/>
  <Override PartName="/xl/drawings/drawing11.xml" ContentType="application/vnd.openxmlformats-officedocument.drawing+xml"/>
  <Override PartName="/xl/drawings/drawing9.xml" ContentType="application/vnd.openxmlformats-officedocument.drawing+xml"/>
  <Override PartName="/xl/drawings/drawing5.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drawing2.xml" ContentType="application/vnd.openxmlformats-officedocument.drawing+xml"/>
  <Override PartName="/xl/drawings/drawing1.xml" ContentType="application/vnd.openxmlformats-officedocument.drawing+xml"/>
  <Override PartName="/xl/media/image13.svg" ContentType="image/svg"/>
  <Override PartName="/xl/media/image8.svg" ContentType="image/svg"/>
  <Override PartName="/xl/media/image15.svg" ContentType="image/svg"/>
  <Override PartName="/xl/media/image17.svg" ContentType="image/sv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2"/>
  </bookViews>
  <sheets>
    <sheet name="MS2" sheetId="1" state="visible" r:id="rId4"/>
    <sheet name="Master Data" sheetId="2" state="visible" r:id="rId5"/>
    <sheet name="SOE" sheetId="3" state="visible" r:id="rId6"/>
    <sheet name="Proforma" sheetId="4" state="visible" r:id="rId7"/>
    <sheet name="ADNOC KPI" sheetId="5" state="visible" r:id="rId8"/>
    <sheet name="FSQS" sheetId="6" state="visible" r:id="rId9"/>
    <sheet name="Timesheet" sheetId="7" state="visible" r:id="rId10"/>
    <sheet name="Backload" sheetId="8" state="visible" r:id="rId11"/>
    <sheet name="COVER PAGE " sheetId="9" state="visible" r:id="rId12"/>
    <sheet name="JOB ORDER " sheetId="10" state="visible" r:id="rId13"/>
    <sheet name="FINAL TALLY" sheetId="11" state="visible" r:id="rId14"/>
    <sheet name="Tally" sheetId="12" state="visible" r:id="rId15"/>
    <sheet name="Drawing" sheetId="13" state="visible"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s>
  <definedNames>
    <definedName function="false" hidden="false" localSheetId="4" name="_xlnm.Print_Area" vbProcedure="false">'ADNOC KPI'!$A$1:$I$47</definedName>
    <definedName function="false" hidden="false" localSheetId="7" name="_xlnm.Print_Area" vbProcedure="false">Backload!$A$1:$K$28</definedName>
    <definedName function="false" hidden="false" localSheetId="7" name="_xlnm.Print_Titles" vbProcedure="false">Backload!$A:$K,Backload!$1:$7</definedName>
    <definedName function="false" hidden="false" localSheetId="8" name="_xlnm.Print_Area" vbProcedure="false">'COVER PAGE '!$A$2:$N$46</definedName>
    <definedName function="false" hidden="false" localSheetId="10" name="_xlnm.Print_Area" vbProcedure="false">'FINAL TALLY'!$A$1:$H$423</definedName>
    <definedName function="false" hidden="false" localSheetId="9" name="_xlnm.Print_Area" vbProcedure="false">'JOB ORDER '!$A$1:$L$109</definedName>
    <definedName function="false" hidden="false" localSheetId="0" name="_xlnm.Print_Area" vbProcedure="false">'MS2'!$A$1:$I$13</definedName>
    <definedName function="false" hidden="false" localSheetId="3" name="_xlnm.Print_Area" vbProcedure="false">Proforma!$A$1:$F$17</definedName>
    <definedName function="false" hidden="false" localSheetId="2" name="_xlnm.Print_Area" vbProcedure="false">SOE!$A$1:$S$68</definedName>
    <definedName function="false" hidden="false" localSheetId="2" name="_xlnm.Print_Titles" vbProcedure="false">SOE!$1:$4</definedName>
    <definedName function="false" hidden="false" localSheetId="6" name="_xlnm.Print_Area" vbProcedure="false">Timesheet!$A$1:$AO$39</definedName>
    <definedName function="false" hidden="false" name="a" vbProcedure="false">#ref!</definedName>
    <definedName function="false" hidden="false" name="aa" vbProcedure="false">!#ref!</definedName>
    <definedName function="false" hidden="false" name="aa.macro111" vbProcedure="false">[48]!Prev.Macro111</definedName>
    <definedName function="false" hidden="false" name="AAA" vbProcedure="false">#ref!</definedName>
    <definedName function="false" hidden="false" name="aaaa" vbProcedure="false">[49]!Macro59</definedName>
    <definedName function="false" hidden="false" name="Aandelen" vbProcedure="false">#ref!</definedName>
    <definedName function="false" hidden="false" name="ABC" vbProcedure="false">#ref!</definedName>
    <definedName function="false" hidden="false" name="Aboveballdb" vbProcedure="false">#ref!</definedName>
    <definedName function="false" hidden="false" name="Aboveballslb" vbProcedure="false">#ref!</definedName>
    <definedName function="false" hidden="false" name="Aboveballstring" vbProcedure="false">#ref!</definedName>
    <definedName function="false" hidden="false" name="Absexternalstring" vbProcedure="false">#ref!</definedName>
    <definedName function="false" hidden="false" name="Absinternalstring" vbProcedure="false">#ref!</definedName>
    <definedName function="false" hidden="false" name="Absoluteexternaldb" vbProcedure="false">#ref!</definedName>
    <definedName function="false" hidden="false" name="Absoluteexternalslb" vbProcedure="false">#ref!</definedName>
    <definedName function="false" hidden="false" name="Absoluteinternaldb" vbProcedure="false">#ref!</definedName>
    <definedName function="false" hidden="false" name="Absoluteinternalslb" vbProcedure="false">#ref!</definedName>
    <definedName function="false" hidden="true" name="ABSOLUTE_TIMES" vbProcedure="false">"TEST_ITEM"</definedName>
    <definedName function="false" hidden="true" name="ABX" vbProcedure="false">[1]Run!$B$18:$B$512</definedName>
    <definedName function="false" hidden="true" name="AccessDatabase" vbProcedure="false">"C:\WINNT35\Personal\PRESENCE.mdb"</definedName>
    <definedName function="false" hidden="false" name="acid" vbProcedure="false">#ref!</definedName>
    <definedName function="false" hidden="false" name="acidizejob" vbProcedure="false">#ref!</definedName>
    <definedName function="false" hidden="false" name="acidpump1" vbProcedure="false">'[2]8 Acid Pumping Schedule(s)'!$B$6:$S$52</definedName>
    <definedName function="false" hidden="false" name="actpitvol" vbProcedure="false">#ref!</definedName>
    <definedName function="false" hidden="false" name="Act_MD" vbProcedure="false">OFFSET(#ref!,1,0,#ref!)</definedName>
    <definedName function="false" hidden="false" name="Act_PU" vbProcedure="false">OFFSET(#ref!,1,0,#ref!)</definedName>
    <definedName function="false" hidden="false" name="Act_Rot" vbProcedure="false">OFFSET(#ref!,1,0,#ref!)</definedName>
    <definedName function="false" hidden="false" name="Act_RPM" vbProcedure="false">OFFSET(#ref!,1,0,#ref!)</definedName>
    <definedName function="false" hidden="false" name="Act_SO" vbProcedure="false">OFFSET(#ref!,1,0,#ref!)</definedName>
    <definedName function="false" hidden="false" name="Act_Toff" vbProcedure="false">OFFSET(#ref!,1,0,#ref!)</definedName>
    <definedName function="false" hidden="false" name="Act_Ton" vbProcedure="false">OFFSET(#ref!,1,0,#ref!)</definedName>
    <definedName function="false" hidden="false" name="Act_WOB" vbProcedure="false">OFFSET(#ref!,1,0,#ref!)</definedName>
    <definedName function="false" hidden="false" name="ad" vbProcedure="false">#ref!</definedName>
    <definedName function="false" hidden="false" name="Add.Comp" vbProcedure="false">'[3]DWS Wells'!$L$1:$L$1048576</definedName>
    <definedName function="false" hidden="false" name="Add.Req." vbProcedure="false">'[3]DWS Wells'!$K$1:$K$1048576</definedName>
    <definedName function="false" hidden="false" name="AddCtrl" vbProcedure="false">#ref!</definedName>
    <definedName function="false" hidden="false" name="Additionaltools" vbProcedure="false">#ref!</definedName>
    <definedName function="false" hidden="false" name="Address" vbProcedure="false">#ref!</definedName>
    <definedName function="false" hidden="false" name="addresstwo" vbProcedure="false">#ref!</definedName>
    <definedName function="false" hidden="false" name="ADDSTAB" vbProcedure="false">[55]!ADDSTAB</definedName>
    <definedName function="false" hidden="false" name="AddWeight" vbProcedure="false">#ref!</definedName>
    <definedName function="false" hidden="false" name="ade" vbProcedure="false">#ref!</definedName>
    <definedName function="false" hidden="false" name="adf" vbProcedure="false">[56]!Macro60</definedName>
    <definedName function="false" hidden="true" name="adfadf" vbProcedure="false">#ref!</definedName>
    <definedName function="false" hidden="false" name="ADHDHDJKK" vbProcedure="false">#ref!</definedName>
    <definedName function="false" hidden="false" name="ADNOC" vbProcedure="false">#ref!</definedName>
    <definedName function="false" hidden="false" name="Advies" vbProcedure="false">#ref!</definedName>
    <definedName function="false" hidden="false" name="ae" vbProcedure="false">#ref!</definedName>
    <definedName function="false" hidden="false" name="AFASTfotobj" vbProcedure="false">#ref!</definedName>
    <definedName function="false" hidden="false" name="AFASTobj" vbProcedure="false">#ref!</definedName>
    <definedName function="false" hidden="false" name="AFASTtieonobj" vbProcedure="false">#ref!</definedName>
    <definedName function="false" hidden="true"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ahmed" vbProcedure="false">#ref!</definedName>
    <definedName function="false" hidden="false" name="Ai" vbProcedure="false">#ref!</definedName>
    <definedName function="false" hidden="false" name="AirHW" vbProcedure="false">#ref!</definedName>
    <definedName function="false" hidden="false" name="AIR_WEIGHT" vbProcedure="false">#ref!</definedName>
    <definedName function="false" hidden="false" name="AJ" vbProcedure="false">#ref!</definedName>
    <definedName function="false" hidden="false" name="ALL" vbProcedure="false">#ref!,#ref!,#ref!,#ref!,#ref!,#ref!,#ref!,#ref!</definedName>
    <definedName function="false" hidden="false" name="All_formations" vbProcedure="false">[4]Data!$W$2:$W$65</definedName>
    <definedName function="false" hidden="false" name="ALT" vbProcedure="false">#ref!</definedName>
    <definedName function="false" hidden="false" name="Altered" vbProcedure="false">[60]auf_screen!#ref!</definedName>
    <definedName function="false" hidden="false" name="Altered_by" vbProcedure="false">[60]auf_screen!#ref!</definedName>
    <definedName function="false" hidden="false" name="alwyn1" vbProcedure="false">#ref!</definedName>
    <definedName function="false" hidden="false" name="AMACRO.n2foam" vbProcedure="false">#N/A</definedName>
    <definedName function="false" hidden="false" name="Ambient_temp" vbProcedure="false">#ref!</definedName>
    <definedName function="false" hidden="false" name="Ambient_temp_1" vbProcedure="false">'[6]#ref'!#ref!</definedName>
    <definedName function="false" hidden="false" name="Ambient_temp_10" vbProcedure="false">'[6]#ref'!#ref!</definedName>
    <definedName function="false" hidden="false" name="Ambient_temp_11" vbProcedure="false">'[6]#ref'!#ref!</definedName>
    <definedName function="false" hidden="false" name="Ambient_temp_2" vbProcedure="false">'[6]#ref'!#ref!</definedName>
    <definedName function="false" hidden="false" name="Ambient_temp_3" vbProcedure="false">'[6]#ref'!#ref!</definedName>
    <definedName function="false" hidden="false" name="Ambient_temp_4" vbProcedure="false">'[6]#ref'!#ref!</definedName>
    <definedName function="false" hidden="false" name="Ambient_temp_5" vbProcedure="false">'[6]#ref'!#ref!</definedName>
    <definedName function="false" hidden="false" name="Ambient_temp_6" vbProcedure="false">'[6]#ref'!#ref!</definedName>
    <definedName function="false" hidden="false" name="Ambient_temp_7" vbProcedure="false">'[6]#ref'!#ref!</definedName>
    <definedName function="false" hidden="false" name="Ambient_temp_8" vbProcedure="false">'[6]#ref'!#ref!</definedName>
    <definedName function="false" hidden="false" name="Ambient_temp_9" vbProcedure="false">'[6]#ref'!#ref!</definedName>
    <definedName function="false" hidden="false" name="amis" vbProcedure="false">#ref!</definedName>
    <definedName function="false" hidden="false" name="amountplaced" vbProcedure="false">[5]WTR!$G$114</definedName>
    <definedName function="false" hidden="false" name="ANA" vbProcedure="false">#ref!</definedName>
    <definedName function="false" hidden="false" name="ANALYSIS_LAB_OH" vbProcedure="false">#ref!</definedName>
    <definedName function="false" hidden="false" name="Anc" vbProcedure="false">[18]sheet1!#ref!</definedName>
    <definedName function="false" hidden="false" name="Anchor" vbProcedure="false">[6]Sheet1!$D$1:$D$7</definedName>
    <definedName function="false" hidden="false" name="Anchor_Cell" vbProcedure="false">[60]auf_screen!#ref!</definedName>
    <definedName function="false" hidden="false" name="Anchor_Type" vbProcedure="false">'[7]Drop-Down Items'!$C$4:$C$20</definedName>
    <definedName function="false" hidden="false" name="ANDERGAUGE" vbProcedure="false">[55]!ANDERGAUGE</definedName>
    <definedName function="false" hidden="false" name="ANGLEA" vbProcedure="false">#ref!</definedName>
    <definedName function="false" hidden="false" name="ANGLEB" vbProcedure="false">#ref!</definedName>
    <definedName function="false" hidden="false" name="ANGLEF" vbProcedure="false">#ref!</definedName>
    <definedName function="false" hidden="false" name="ANGLEG" vbProcedure="false">#ref!</definedName>
    <definedName function="false" hidden="false" name="ANN" vbProcedure="false">[8]Macro2!$A$1</definedName>
    <definedName function="false" hidden="false" name="AnnFBot1" vbProcedure="false">#ref!</definedName>
    <definedName function="false" hidden="false" name="AnnFBot2" vbProcedure="false">#ref!</definedName>
    <definedName function="false" hidden="false" name="AnnFBot3" vbProcedure="false">#ref!</definedName>
    <definedName function="false" hidden="false" name="AnnFBot4" vbProcedure="false">#ref!</definedName>
    <definedName function="false" hidden="false" name="AnnFTop1" vbProcedure="false">#ref!</definedName>
    <definedName function="false" hidden="false" name="AnnFTop2" vbProcedure="false">#ref!</definedName>
    <definedName function="false" hidden="false" name="AnnFTop3" vbProcedure="false">#ref!</definedName>
    <definedName function="false" hidden="false" name="AnnFTop4" vbProcedure="false">#ref!</definedName>
    <definedName function="false" hidden="false" name="AnnFW1" vbProcedure="false">#ref!</definedName>
    <definedName function="false" hidden="false" name="AnnFW2" vbProcedure="false">#ref!</definedName>
    <definedName function="false" hidden="false" name="AnnFW3" vbProcedure="false">#ref!</definedName>
    <definedName function="false" hidden="false" name="AnnFW4" vbProcedure="false">#ref!</definedName>
    <definedName function="false" hidden="false" name="AnnularVol" vbProcedure="false">#ref!</definedName>
    <definedName function="false" hidden="false" name="annvol1" vbProcedure="false">#ref!</definedName>
    <definedName function="false" hidden="false" name="annvol2" vbProcedure="false">#ref!</definedName>
    <definedName function="false" hidden="false" name="Ann_Above_Liner" vbProcedure="false">#ref!</definedName>
    <definedName function="false" hidden="false" name="AnsBalans" vbProcedure="false">#ref!</definedName>
    <definedName function="false" hidden="false" name="Ao" vbProcedure="false">#ref!</definedName>
    <definedName function="false" hidden="false" name="Ap" vbProcedure="false">#ref!</definedName>
    <definedName function="false" hidden="false" name="APC" vbProcedure="false">'[9]Bid Summary'!$K$6</definedName>
    <definedName function="false" hidden="false" name="API_Number" vbProcedure="false">#ref!</definedName>
    <definedName function="false" hidden="false" name="ApplEnvironment" vbProcedure="false">#ref!</definedName>
    <definedName function="false" hidden="false" name="Approval_Page" vbProcedure="false">'[2]Data Go-To-Sheet'!$B$5:$B$95</definedName>
    <definedName function="false" hidden="false" name="Approval_Signatures" vbProcedure="false">'[2]Data Go-To-Sheet'!$D$33:$D$51</definedName>
    <definedName function="false" hidden="false" name="approved_by" vbProcedure="false">'[10]data sheet'!$G$2:$G$6</definedName>
    <definedName function="false" hidden="false" name="Approver_Objectives" vbProcedure="false">#ref!</definedName>
    <definedName function="false" hidden="false" name="Approver_Well_Plan" vbProcedure="false">#ref!</definedName>
    <definedName function="false" hidden="false" name="apptable" vbProcedure="false">#ref!</definedName>
    <definedName function="false" hidden="false" name="APRILANALSCP" vbProcedure="false">#ref!</definedName>
    <definedName function="false" hidden="false" name="APRILANALSSWE" vbProcedure="false">#ref!</definedName>
    <definedName function="false" hidden="false" name="APRILSUMSCP" vbProcedure="false">#ref!</definedName>
    <definedName function="false" hidden="false" name="APRILSUMSSWE" vbProcedure="false">#ref!</definedName>
    <definedName function="false" hidden="false" name="Arab_Zones_A_B___C" vbProcedure="false">#ref!</definedName>
    <definedName function="false" hidden="false" name="Arab_Zone_D" vbProcedure="false">#ref!</definedName>
    <definedName function="false" hidden="false" name="Araej" vbProcedure="false">#ref!</definedName>
    <definedName function="false" hidden="false" name="area" vbProcedure="false">'[7]Drop-Down Items'!$W$7:$W$8</definedName>
    <definedName function="false" hidden="false" name="ARM" vbProcedure="false">#ref!</definedName>
    <definedName function="false" hidden="false" name="As" vbProcedure="false">#ref!</definedName>
    <definedName function="false" hidden="false" name="asasasa" vbProcedure="false">#ref!</definedName>
    <definedName function="false" hidden="true" name="asd" vbProcedure="false">#ref!</definedName>
    <definedName function="false" hidden="false" name="ASDA" vbProcedure="false">[71]!Calculate_Pipe</definedName>
    <definedName function="false" hidden="false" name="asdasda" vbProcedure="false">#ref!</definedName>
    <definedName function="false" hidden="false" name="ASDF" vbProcedure="false">#ref!</definedName>
    <definedName function="false" hidden="false" name="ASDFF" vbProcedure="false">#ref!</definedName>
    <definedName function="false" hidden="false" name="asdftyh" vbProcedure="false">#ref!</definedName>
    <definedName function="false" hidden="false" name="AsRunTotalPages" vbProcedure="false">1</definedName>
    <definedName function="false" hidden="false" name="ASS" vbProcedure="false">[72]!JointNumber</definedName>
    <definedName function="false" hidden="false" name="assadasdasdas" vbProcedure="false">#ref!</definedName>
    <definedName function="false" hidden="false" name="Assembly1" vbProcedure="false">[72]!Calculate_Pipe</definedName>
    <definedName function="false" hidden="false" name="Assy" vbProcedure="false">#ref!</definedName>
    <definedName function="false" hidden="false" name="assy.3" vbProcedure="false">[73]!Calculate_Pipe</definedName>
    <definedName function="false" hidden="false" name="assy.4" vbProcedure="false">#N/A</definedName>
    <definedName function="false" hidden="false" name="ASSY.6" vbProcedure="false">[72]!Calculate_Pipe</definedName>
    <definedName function="false" hidden="false" name="ASSY2312" vbProcedure="false">[16]!Macro1</definedName>
    <definedName function="false" hidden="false" name="ASSY7" vbProcedure="false">[40]!Calculate_Pipe</definedName>
    <definedName function="false" hidden="false" name="ASSYBY" vbProcedure="false">#ref!</definedName>
    <definedName function="false" hidden="false" name="ASSY_098" vbProcedure="false">[72]!JointNumber</definedName>
    <definedName function="false" hidden="false" name="ASSY_122" vbProcedure="false">[16]!Macro1</definedName>
    <definedName function="false" hidden="false" name="ASSY_123" vbProcedure="false">[72]!JointNumber</definedName>
    <definedName function="false" hidden="false" name="ASSY_2111" vbProcedure="false">[16]!Macro1</definedName>
    <definedName function="false" hidden="false" name="ASSY_231" vbProcedure="false">[16]!Macro1</definedName>
    <definedName function="false" hidden="false" name="ASSY_342" vbProcedure="false">[16]!Macro1</definedName>
    <definedName function="false" hidden="false" name="ASSY_36" vbProcedure="false">[16]!Macro1</definedName>
    <definedName function="false" hidden="false" name="ASSY_4" vbProcedure="false">[16]!Macro1</definedName>
    <definedName function="false" hidden="false" name="ASSY_432" vbProcedure="false">[16]!Macro1</definedName>
    <definedName function="false" hidden="false" name="assy_5" vbProcedure="false">[72]!JointNumber</definedName>
    <definedName function="false" hidden="false" name="assy_543" vbProcedure="false">[72]!JointNumber</definedName>
    <definedName function="false" hidden="false" name="Assy_765" vbProcedure="false">[72]!Calculate_Pipe</definedName>
    <definedName function="false" hidden="false" name="Assy_Batch" vbProcedure="false">#ref!</definedName>
    <definedName function="false" hidden="false" name="ASSy_blast" vbProcedure="false">[72]!Calculate_Pipe</definedName>
    <definedName function="false" hidden="false" name="ASSY_W2" vbProcedure="false">[72]!Calculate_Pipe</definedName>
    <definedName function="false" hidden="false" name="AS_PER_TABLE_I" vbProcedure="false">#ref!</definedName>
    <definedName function="false" hidden="false" name="AS_PER_TABLE_II" vbProcedure="false">#ref!</definedName>
    <definedName function="false" hidden="false" name="AS_PER_TABLE_III" vbProcedure="false">#ref!</definedName>
    <definedName function="false" hidden="false" name="AS_PER_TABLE_IV" vbProcedure="false">#ref!</definedName>
    <definedName function="false" hidden="false" name="ATAN2fotobj" vbProcedure="false">#ref!</definedName>
    <definedName function="false" hidden="false" name="ATAN2tieonobj" vbProcedure="false">#ref!</definedName>
    <definedName function="false" hidden="false" name="ATARGET" vbProcedure="false">#ref!</definedName>
    <definedName function="false" hidden="false" name="aug" vbProcedure="false">#ref!</definedName>
    <definedName function="false" hidden="false" name="AutoCAD" vbProcedure="false">#ref!</definedName>
    <definedName function="false" hidden="false" name="AutoCAD_1" vbProcedure="false">[74]!AutoCAD</definedName>
    <definedName function="false" hidden="false" name="AutoCAD_10" vbProcedure="false">[74]!AutoCAD</definedName>
    <definedName function="false" hidden="false" name="AutoCAD_11" vbProcedure="false">[74]!AutoCAD</definedName>
    <definedName function="false" hidden="false" name="AutoCAD_2" vbProcedure="false">[74]!AutoCAD</definedName>
    <definedName function="false" hidden="false" name="AutoCAD_3" vbProcedure="false">[74]!AutoCAD</definedName>
    <definedName function="false" hidden="false" name="AutoCAD_4" vbProcedure="false">[74]!AutoCAD</definedName>
    <definedName function="false" hidden="false" name="AutoCAD_5" vbProcedure="false">[74]!AutoCAD</definedName>
    <definedName function="false" hidden="false" name="AutoCAD_6" vbProcedure="false">[74]!AutoCAD</definedName>
    <definedName function="false" hidden="false" name="AutoCAD_7" vbProcedure="false">[74]!AutoCAD</definedName>
    <definedName function="false" hidden="false" name="AutoCAD_8" vbProcedure="false">[74]!AutoCAD</definedName>
    <definedName function="false" hidden="false" name="AutoCAD_9" vbProcedure="false">[74]!AutoCAD</definedName>
    <definedName function="false" hidden="false" name="Aux_BHA_ID" vbProcedure="false">#ref!</definedName>
    <definedName function="false" hidden="false" name="Aux_BHA_OD" vbProcedure="false">#ref!</definedName>
    <definedName function="false" hidden="false" name="AvgJoint" vbProcedure="false">[11]DATA!$BO$2:$BO$9</definedName>
    <definedName function="false" hidden="false" name="AvgLength" vbProcedure="false">#ref!</definedName>
    <definedName function="false" hidden="true" name="axj" vbProcedure="false">{#N/A,#N/A,FALSE,"Sheet1"}</definedName>
    <definedName function="false" hidden="false" name="AZCLDfoto" vbProcedure="false">#ref!</definedName>
    <definedName function="false" hidden="false" name="AZCLDproj" vbProcedure="false">#ref!</definedName>
    <definedName function="false" hidden="false" name="AZcldtieon" vbProcedure="false">#ref!</definedName>
    <definedName function="false" hidden="false" name="AZfoto" vbProcedure="false">#ref!</definedName>
    <definedName function="false" hidden="false" name="AZfotobj" vbProcedure="false">#ref!</definedName>
    <definedName function="false" hidden="false" name="AZfotoLD" vbProcedure="false">#ref!</definedName>
    <definedName function="false" hidden="false" name="AZfotoLE" vbProcedure="false">#ref!</definedName>
    <definedName function="false" hidden="false" name="AzimColumn" vbProcedure="false">!#ref!</definedName>
    <definedName function="false" hidden="false" name="AzimUnit" vbProcedure="false">#ref!</definedName>
    <definedName function="false" hidden="false" name="Azimuth" vbProcedure="false">#ref!</definedName>
    <definedName function="false" hidden="false" name="Azimuth_In" vbProcedure="false">#ref!</definedName>
    <definedName function="false" hidden="false" name="Azimuth_Out" vbProcedure="false">#ref!</definedName>
    <definedName function="false" hidden="false" name="AZM" vbProcedure="false">#ref!</definedName>
    <definedName function="false" hidden="false" name="AZMAHEAD" vbProcedure="false">#ref!</definedName>
    <definedName function="false" hidden="false" name="AZMBOH" vbProcedure="false">#ref!</definedName>
    <definedName function="false" hidden="false" name="AZnobj" vbProcedure="false">#ref!</definedName>
    <definedName function="false" hidden="false" name="AZobj" vbProcedure="false">#ref!</definedName>
    <definedName function="false" hidden="false" name="AZproj" vbProcedure="false">#ref!</definedName>
    <definedName function="false" hidden="false" name="AZtieon" vbProcedure="false">#ref!</definedName>
    <definedName function="false" hidden="false" name="a_1" vbProcedure="false">NA()</definedName>
    <definedName function="false" hidden="false" name="a_10" vbProcedure="false">NA()</definedName>
    <definedName function="false" hidden="false" name="a_11" vbProcedure="false">NA()</definedName>
    <definedName function="false" hidden="false" name="a_2" vbProcedure="false">NA()</definedName>
    <definedName function="false" hidden="false" name="a_3" vbProcedure="false">NA()</definedName>
    <definedName function="false" hidden="false" name="a_4" vbProcedure="false">NA()</definedName>
    <definedName function="false" hidden="false" name="a_5" vbProcedure="false">NA()</definedName>
    <definedName function="false" hidden="false" name="a_6" vbProcedure="false">NA()</definedName>
    <definedName function="false" hidden="false" name="a_7" vbProcedure="false">NA()</definedName>
    <definedName function="false" hidden="false" name="a_8" vbProcedure="false">NA()</definedName>
    <definedName function="false" hidden="false" name="a_9" vbProcedure="false">NA()</definedName>
    <definedName function="false" hidden="false" name="A_L" vbProcedure="false">#ref!</definedName>
    <definedName function="false" hidden="false" name="b" vbProcedure="false">#ref!</definedName>
    <definedName function="false" hidden="false" name="Bab_Member" vbProcedure="false">#ref!</definedName>
    <definedName function="false" hidden="false" name="back" vbProcedure="false">#N/A</definedName>
    <definedName function="false" hidden="false" name="backish" vbProcedure="false">#ref!</definedName>
    <definedName function="false" hidden="false" name="BACKLOAD" vbProcedure="false">[18]sheet1!#ref!</definedName>
    <definedName function="false" hidden="false" name="BackReamingDistanceFromBitUnit" vbProcedure="false">#ref!</definedName>
    <definedName function="false" hidden="false" name="BackReamingMDUnit" vbProcedure="false">#ref!</definedName>
    <definedName function="false" hidden="false" name="BackreamingStressTable" vbProcedure="false">#ref!</definedName>
    <definedName function="false" hidden="false" name="Backup" vbProcedure="false">#ref!</definedName>
    <definedName function="false" hidden="false" name="bakerpill1" vbProcedure="false">#ref!</definedName>
    <definedName function="false" hidden="false" name="bakerpill2" vbProcedure="false">#ref!</definedName>
    <definedName function="false" hidden="false" name="bakerpill3" vbProcedure="false">#ref!</definedName>
    <definedName function="false" hidden="false" name="BallMaterial" vbProcedure="false">#ref!</definedName>
    <definedName function="false" hidden="false" name="Ballooning_Area" vbProcedure="false">#ref!</definedName>
    <definedName function="false" hidden="false" name="BallPurpose" vbProcedure="false">#ref!</definedName>
    <definedName function="false" hidden="false" name="Ballseat" vbProcedure="false">#ref!</definedName>
    <definedName function="false" hidden="false" name="BallSize" vbProcedure="false">#ref!</definedName>
    <definedName function="false" hidden="false" name="Base" vbProcedure="false">#ref!</definedName>
    <definedName function="false" hidden="false" name="basicok" vbProcedure="false">#N/A</definedName>
    <definedName function="false" hidden="false" name="BATCH" vbProcedure="false">#ref!</definedName>
    <definedName function="false" hidden="false" name="Batch_Set_End_Date" vbProcedure="false">#ref!</definedName>
    <definedName function="false" hidden="false" name="Batch_Set_Start_Date" vbProcedure="false">#ref!</definedName>
    <definedName function="false" hidden="false" name="Battery_1" vbProcedure="false">'[12]JCSI 12'!$AN$26</definedName>
    <definedName function="false" hidden="false" name="Battery_2" vbProcedure="false">'[12]JCSI 12'!$AO$26</definedName>
    <definedName function="false" hidden="false" name="Battery_3" vbProcedure="false">'[12]JCSI 12'!$AP$26</definedName>
    <definedName function="false" hidden="false" name="Battery_4" vbProcedure="false">'[12]JCSI 12'!$AQ$26</definedName>
    <definedName function="false" hidden="false" name="Battery_5" vbProcedure="false">'[12]JCSI 12'!$AR$26</definedName>
    <definedName function="false" hidden="false" name="Battery_Type" vbProcedure="false">'[12]JCSI 12'!$AN$29:$AN$42</definedName>
    <definedName function="false" hidden="false" name="Bat_Source" vbProcedure="false">'[12]JCSI 12'!$AS$29:$AS$42</definedName>
    <definedName function="false" hidden="false" name="bb" vbProcedure="false">#ref!</definedName>
    <definedName function="false" hidden="true" name="bbb" vbProcedure="false">{#N/A,#N/A,FALSE,"Sheet1"}</definedName>
    <definedName function="false" hidden="false" name="BBBB" vbProcedure="false">#ref!</definedName>
    <definedName function="false" hidden="false" name="bbbbb" vbProcedure="false">[79]!Macro61</definedName>
    <definedName function="false" hidden="true" name="bbbbbbbbbbbbbb" vbProcedure="false">#ref!</definedName>
    <definedName function="false" hidden="false" name="bbg" vbProcedure="false">#ref!</definedName>
    <definedName function="false" hidden="false" name="bbhgrthf" vbProcedure="false">#ref!</definedName>
    <definedName function="false" hidden="false" name="bbllm3" vbProcedure="false">'[11]Metric Conversions'!$B$69</definedName>
    <definedName function="false" hidden="false" name="bblstk" vbProcedure="false">'[11]Displacement Cal.'!$B$7</definedName>
    <definedName function="false" hidden="false" name="BD" vbProcedure="false">INDEX([13]DRAW!$A$2:$B$12,MATCH(#ref!,[13]DRAW!$A$2:$A$12,0),2)</definedName>
    <definedName function="false" hidden="false" name="BD_SC" vbProcedure="false">INDEX([13]DRAW!$A$2:$B$12,MATCH(#ref!,[13]DRAW!$A$2:$A$12,0),2)</definedName>
    <definedName function="false" hidden="false" name="BD_TB" vbProcedure="false">INDEX([13]DRAW!$A$2:$B$12,MATCH(#ref!,[13]DRAW!$A$2:$A$12,0),2)</definedName>
    <definedName function="false" hidden="false" name="Bellows_1" vbProcedure="false">'[12]JCSI 12'!$AI$26</definedName>
    <definedName function="false" hidden="false" name="Bellows_2" vbProcedure="false">'[12]JCSI 12'!$AJ$26</definedName>
    <definedName function="false" hidden="false" name="Bellows_3" vbProcedure="false">'[12]JCSI 12'!$AK$26</definedName>
    <definedName function="false" hidden="false" name="Bellows_4" vbProcedure="false">'[12]JCSI 12'!$AL$26</definedName>
    <definedName function="false" hidden="false" name="Bellows_Type" vbProcedure="false">'[12]JCSI 12'!$AI$29:$AI$42</definedName>
    <definedName function="false" hidden="false" name="Belowballdb" vbProcedure="false">#ref!</definedName>
    <definedName function="false" hidden="false" name="Belowballslb" vbProcedure="false">#ref!</definedName>
    <definedName function="false" hidden="false" name="Belowballstring" vbProcedure="false">#ref!</definedName>
    <definedName function="false" hidden="false" name="BendInformation" vbProcedure="false">#ref!</definedName>
    <definedName function="false" hidden="false" name="BendingStressUnit" vbProcedure="false">#ref!</definedName>
    <definedName function="false" hidden="false" name="Besa_Sales" vbProcedure="false">#ref!</definedName>
    <definedName function="false" hidden="false" name="Beurswinst" vbProcedure="false">#ref!</definedName>
    <definedName function="false" hidden="true" name="bgn" vbProcedure="false">{#N/A,#N/A,FALSE,"Sheet1"}</definedName>
    <definedName function="false" hidden="false" name="bha" vbProcedure="false">#ref!</definedName>
    <definedName function="false" hidden="false" name="BHAA" vbProcedure="false">#ref!</definedName>
    <definedName function="false" hidden="false" name="BhaComments" vbProcedure="false">#ref!</definedName>
    <definedName function="false" hidden="false" name="BHALength" vbProcedure="false">#ref!</definedName>
    <definedName function="false" hidden="false" name="BhaName" vbProcedure="false">#ref!</definedName>
    <definedName function="false" hidden="false" name="BhaSchematic" vbProcedure="false">#ref!</definedName>
    <definedName function="false" hidden="false" name="Bha_Range" vbProcedure="false">#ref!</definedName>
    <definedName function="false" hidden="false" name="bhfp" vbProcedure="false">[5]Data!$F$3</definedName>
    <definedName function="false" hidden="false" name="bhipic" vbProcedure="false">"Bild 3"</definedName>
    <definedName function="false" hidden="false" name="BHLEW" vbProcedure="false">#ref!</definedName>
    <definedName function="false" hidden="false" name="BHLNS" vbProcedure="false">#ref!</definedName>
    <definedName function="false" hidden="false" name="BHLTVD" vbProcedure="false">#ref!</definedName>
    <definedName function="false" hidden="false" name="BHP" vbProcedure="false">#ref!</definedName>
    <definedName function="false" hidden="false" name="bhr" vbProcedure="false">#ref!</definedName>
    <definedName function="false" hidden="false" name="BHRR" vbProcedure="false">#ref!</definedName>
    <definedName function="false" hidden="false" name="BHServRep" vbProcedure="false">#ref!</definedName>
    <definedName function="false" hidden="false" name="BHT" vbProcedure="false">#ref!</definedName>
    <definedName function="false" hidden="false" name="BHTFlow" vbProcedure="false">#ref!</definedName>
    <definedName function="false" hidden="false" name="BHTStatic" vbProcedure="false">#ref!</definedName>
    <definedName function="false" hidden="false" name="bhy" vbProcedure="false">'[84]run sheet'!#ref!</definedName>
    <definedName function="false" hidden="false" name="bhya" vbProcedure="false">#ref!</definedName>
    <definedName function="false" hidden="false" name="BillingAdd" vbProcedure="false">#ref!</definedName>
    <definedName function="false" hidden="false" name="BillingAddres" vbProcedure="false">#ref!</definedName>
    <definedName function="false" hidden="false" name="BillingAddress" vbProcedure="false">#ref!</definedName>
    <definedName function="false" hidden="false" name="BillingCity" vbProcedure="false">#ref!</definedName>
    <definedName function="false" hidden="false" name="BillingState" vbProcedure="false">#ref!</definedName>
    <definedName function="false" hidden="false" name="BillingZip" vbProcedure="false">#ref!</definedName>
    <definedName function="false" hidden="false" name="billprob" vbProcedure="false">#ref!</definedName>
    <definedName function="false" hidden="false" name="BIT" vbProcedure="false">#ref!</definedName>
    <definedName function="false" hidden="false" name="BitDia" vbProcedure="false">#ref!</definedName>
    <definedName function="false" hidden="false" name="BitMillTypes" vbProcedure="false">#ref!</definedName>
    <definedName function="false" hidden="false" name="BitNozzles" vbProcedure="false">#ref!</definedName>
    <definedName function="false" hidden="false" name="BitNozzleTFA" vbProcedure="false">#ref!</definedName>
    <definedName function="false" hidden="false" name="BitNozzleTFAUnits" vbProcedure="false">#ref!</definedName>
    <definedName function="false" hidden="false" name="BitNozzleUnit" vbProcedure="false">#ref!</definedName>
    <definedName function="false" hidden="false" name="Bitsize" vbProcedure="false">#ref!</definedName>
    <definedName function="false" hidden="false" name="Bits_12.25in" vbProcedure="false">[14]Data!$K$2:$K$17</definedName>
    <definedName function="false" hidden="false" name="Bits_17.5in" vbProcedure="false">[14]Data!$I$2:$I$17</definedName>
    <definedName function="false" hidden="false" name="Bits_26in" vbProcedure="false">[14]Data!$H$2:$H$7</definedName>
    <definedName function="false" hidden="false" name="Bits_6in" vbProcedure="false">[14]Data!$M$2:$M$14</definedName>
    <definedName function="false" hidden="false" name="Bits_8.5in" vbProcedure="false">[14]Data!$L$2:$L$15</definedName>
    <definedName function="false" hidden="false" name="Bit_Companies" vbProcedure="false">[14]Data!$G$2:$G$8</definedName>
    <definedName function="false" hidden="false" name="BJUIHJBH" vbProcedure="false">#ref!</definedName>
    <definedName function="false" hidden="false" name="bj_stroke" vbProcedure="false">'[11]Metric Conversions'!$B$35</definedName>
    <definedName function="false" hidden="false" name="bj_strokez" vbProcedure="false">'[11]Metric Conversions'!$C$35</definedName>
    <definedName function="false" hidden="false" name="BJ_Tens" vbProcedure="false">#ref!</definedName>
    <definedName function="false" hidden="false" name="blank" vbProcedure="false">#ref!</definedName>
    <definedName function="false" hidden="false" name="BlankCell" vbProcedure="false">#ref!</definedName>
    <definedName function="false" hidden="false" name="BlankCheck" vbProcedure="false">#ref!</definedName>
    <definedName function="false" hidden="false" name="blankcovered" vbProcedure="false">[5]WTR!$I$130</definedName>
    <definedName function="false" hidden="false" name="blankcovered2" vbProcedure="false">#ref!</definedName>
    <definedName function="false" hidden="false" name="blanklength" vbProcedure="false">#ref!</definedName>
    <definedName function="false" hidden="false" name="blankod" vbProcedure="false">#ref!</definedName>
    <definedName function="false" hidden="false" name="blanks" vbProcedure="false">#N/A</definedName>
    <definedName function="false" hidden="false" name="BLANK_COVERED_NV" vbProcedure="false">#ref!</definedName>
    <definedName function="false" hidden="false" name="BLANK_LENGTH" vbProcedure="false">#ref!</definedName>
    <definedName function="false" hidden="false" name="BLANK_OD" vbProcedure="false">#ref!</definedName>
    <definedName function="false" hidden="false" name="BlFl" vbProcedure="false">#ref!</definedName>
    <definedName function="false" hidden="false" name="blnk2" vbProcedure="false">#ref!,#ref!,#ref!,#ref!,#ref!,#ref!,#ref!,#ref!,#ref!,#ref!,#ref!,#ref!</definedName>
    <definedName function="false" hidden="false" name="Block" vbProcedure="false">#ref!</definedName>
    <definedName function="false" hidden="false" name="BlockWeight" vbProcedure="false">#ref!</definedName>
    <definedName function="false" hidden="false" name="BlockWeightUnitInTripPlot" vbProcedure="false">#ref!</definedName>
    <definedName function="false" hidden="false" name="Block_Field" vbProcedure="false">#ref!</definedName>
    <definedName function="false" hidden="false" name="BLock_TD_Wt" vbProcedure="false">#ref!</definedName>
    <definedName function="false" hidden="false" name="Block_Wt" vbProcedure="false">#ref!</definedName>
    <definedName function="false" hidden="false" name="bloque" vbProcedure="false">#ref!</definedName>
    <definedName function="false" hidden="false" name="bOB" vbProcedure="false">#ref!</definedName>
    <definedName function="false" hidden="false" name="Body" vbProcedure="false">#ref!</definedName>
    <definedName function="false" hidden="false" name="bohrmeter" vbProcedure="false">#ref!</definedName>
    <definedName function="false" hidden="false" name="bonusticket" vbProcedure="false">'[88]k factor'!#ref!</definedName>
    <definedName function="false" hidden="false" name="BONUSVALUES" vbProcedure="false">#ref!</definedName>
    <definedName function="false" hidden="false" name="BOPDepth" vbProcedure="false">#ref!</definedName>
    <definedName function="false" hidden="false" name="BOPRams" vbProcedure="false">#ref!</definedName>
    <definedName function="false" hidden="false" name="Borehole" vbProcedure="false">#ref!</definedName>
    <definedName function="false" hidden="false" name="BoreholeName" vbProcedure="false">#ref!</definedName>
    <definedName function="false" hidden="false" name="BOT" vbProcedure="false">#ref!</definedName>
    <definedName function="false" hidden="false" name="Bottom" vbProcedure="false">#ref!,#ref!,#ref!</definedName>
    <definedName function="false" hidden="false" name="bottomdepthstring" vbProcedure="false">#ref!</definedName>
    <definedName function="false" hidden="false" name="BottomHoleTemp" vbProcedure="false">#ref!</definedName>
    <definedName function="false" hidden="false" name="bottomPinBoxdb" vbProcedure="false">#ref!</definedName>
    <definedName function="false" hidden="false" name="bottompinboxslb" vbProcedure="false">#ref!</definedName>
    <definedName function="false" hidden="false" name="bottomthreadstring" vbProcedure="false">#ref!</definedName>
    <definedName function="false" hidden="false" name="BottomTop" vbProcedure="false">#ref!</definedName>
    <definedName function="false" hidden="false" name="bottomTypedb" vbProcedure="false">#ref!</definedName>
    <definedName function="false" hidden="false" name="bottomtypeslb" vbProcedure="false">#ref!</definedName>
    <definedName function="false" hidden="false" name="BottomUpStrokes" vbProcedure="false">#ref!</definedName>
    <definedName function="false" hidden="false" name="Bottom_Hole_Temp." vbProcedure="false">#ref!</definedName>
    <definedName function="false" hidden="false" name="Bottom_Perforation" vbProcedure="false">#ref!</definedName>
    <definedName function="false" hidden="false" name="Bottom_Shot" vbProcedure="false">#ref!</definedName>
    <definedName function="false" hidden="false" name="BOX" vbProcedure="false">'[15]Margin Summary'!$E$22</definedName>
    <definedName function="false" hidden="false" name="BPLimit" vbProcedure="false">#ref!</definedName>
    <definedName function="false" hidden="false" name="BPRNo" vbProcedure="false">#ref!</definedName>
    <definedName function="false" hidden="false" name="BRAKAH_____CASING_RUNNING_LIST" vbProcedure="false">[90]tbgtally!#ref!</definedName>
    <definedName function="false" hidden="false" name="BranchPlant" vbProcedure="false">#ref!</definedName>
    <definedName function="false" hidden="false" name="breakerconc1" vbProcedure="false">#ref!</definedName>
    <definedName function="false" hidden="false" name="breakerconc2" vbProcedure="false">#ref!</definedName>
    <definedName function="false" hidden="false" name="breakerconc3" vbProcedure="false">#ref!</definedName>
    <definedName function="false" hidden="false" name="breakertype1" vbProcedure="false">#ref!</definedName>
    <definedName function="false" hidden="false" name="breakertype2" vbProcedure="false">#ref!</definedName>
    <definedName function="false" hidden="false" name="breakertype3" vbProcedure="false">#ref!</definedName>
    <definedName function="false" hidden="false" name="breakerused1" vbProcedure="false">#ref!</definedName>
    <definedName function="false" hidden="false" name="breakerused2" vbProcedure="false">#ref!</definedName>
    <definedName function="false" hidden="false" name="breakerused3" vbProcedure="false">#ref!</definedName>
    <definedName function="false" hidden="false" name="Break_Bolt_Value" vbProcedure="false">'[7]Drop-Down Items'!$A$14:$A$22</definedName>
    <definedName function="false" hidden="false" name="BR_Column" vbProcedure="false">null</definedName>
    <definedName function="false" hidden="false" name="BR_Unit" vbProcedure="false">null</definedName>
    <definedName function="false" hidden="false" name="bs" vbProcedure="false">'[16]Max-Torq'!$Q$79</definedName>
    <definedName function="false" hidden="false" name="bsw" vbProcedure="false">'[94]well test sheet'!#ref!</definedName>
    <definedName function="false" hidden="false" name="BTARGET" vbProcedure="false">#ref!</definedName>
    <definedName function="false" hidden="false" name="btos" vbProcedure="false">#ref!</definedName>
    <definedName function="false" hidden="false" name="Budget_owner" vbProcedure="false">#ref!</definedName>
    <definedName function="false" hidden="false" name="Buoyancy" vbProcedure="false">#ref!</definedName>
    <definedName function="false" hidden="false" name="BuoyantWeightBelowJar" vbProcedure="false">#ref!</definedName>
    <definedName function="false" hidden="false" name="BuoyantWeightBelowJarUnits" vbProcedure="false">#ref!</definedName>
    <definedName function="false" hidden="false" name="Buoy_Factor" vbProcedure="false">#ref!</definedName>
    <definedName function="false" hidden="false" name="BUR" vbProcedure="false">#ref!</definedName>
    <definedName function="false" hidden="false" name="BURAHEAD" vbProcedure="false">#ref!</definedName>
    <definedName function="false" hidden="false" name="BURBOH" vbProcedure="false">#ref!</definedName>
    <definedName function="false" hidden="false" name="BURBTMAHEAD" vbProcedure="false">#ref!</definedName>
    <definedName function="false" hidden="false" name="BURBTMBOH" vbProcedure="false">#ref!</definedName>
    <definedName function="false" hidden="false" name="BURMIDAHEAD" vbProcedure="false">#ref!</definedName>
    <definedName function="false" hidden="false" name="BURMIDBOH" vbProcedure="false">#ref!</definedName>
    <definedName function="false" hidden="false" name="Burstdb" vbProcedure="false">#ref!</definedName>
    <definedName function="false" hidden="false" name="Burstslb" vbProcedure="false">#ref!</definedName>
    <definedName function="false" hidden="false" name="burststring" vbProcedure="false">#ref!</definedName>
    <definedName function="false" hidden="false" name="BURTOPAHEAD" vbProcedure="false">#ref!</definedName>
    <definedName function="false" hidden="false" name="BURTOPBOH" vbProcedure="false">#ref!</definedName>
    <definedName function="false" hidden="false" name="BUTT" vbProcedure="false">#ref!</definedName>
    <definedName function="false" hidden="false" name="bxf" vbProcedure="false">'[16]Max-Torq'!$P$62</definedName>
    <definedName function="false" hidden="false" name="BypassRate" vbProcedure="false">#ref!</definedName>
    <definedName function="false" hidden="false" name="Bypass_Set" vbProcedure="false">#ref!</definedName>
    <definedName function="false" hidden="false" name="Bypass_Unset" vbProcedure="false">#ref!</definedName>
    <definedName function="false" hidden="false" name="Bypass_valve" vbProcedure="false">'[7]Drop-Down Items'!$E$56:$E$59</definedName>
    <definedName function="false" hidden="false" name="B_AMOUNT" vbProcedure="false">'[58]7-30-04'!#ref!</definedName>
    <definedName function="false" hidden="false" name="B_VALUE" vbProcedure="false">'[58]7-30-04'!#ref!</definedName>
    <definedName function="false" hidden="true" name="Ca" vbProcedure="false">{#N/A,#N/A,FALSE,"Drlg Param Run 1-1";#N/A,#N/A,FALSE,"DDR (3)";#N/A,#N/A,FALSE,"BHA AT (1)";#N/A,#N/A,FALSE,"Downlinkbha";#N/A,#N/A,FALSE,"Job Status Report"}</definedName>
    <definedName function="false" hidden="false" name="CABLE2_1" vbProcedure="false">INDEX([17]DRAW!$L$52:$M$54,MATCH([17]AUTO_DHWS!$AY$8,[17]DRAW!$L$52:$L$54,0),2)</definedName>
    <definedName function="false" hidden="false" name="CABLE2_2" vbProcedure="false">INDEX([17]DRAW!$L$52:$M$56,MATCH([17]AUTO_DHWS!$AY$9,[17]DRAW!$L$52:$L$56,0),2)</definedName>
    <definedName function="false" hidden="false" name="CABLE_1" vbProcedure="false">INDEX([13]DRAW!$L$51:$M$52,MATCH([13]DRAW!$B$40,[13]DRAW!$L$51:$L$52,0),2)</definedName>
    <definedName function="false" hidden="false" name="CABLE_2" vbProcedure="false">INDEX([13]DRAW!$L$51:$M$53,MATCH([13]DRAW!$B$41,[13]DRAW!$L$51:$L$53,0),2)</definedName>
    <definedName function="false" hidden="false" name="CABLE_3" vbProcedure="false">INDEX([13]DRAW!$M$54:$N$55,MATCH([13]DRAW!$B$42,[13]DRAW!$M$54:$M$55,0),2)</definedName>
    <definedName function="false" hidden="false" name="Calcs" vbProcedure="false">#ref!,#ref!</definedName>
    <definedName function="false" hidden="false" name="CalculatePipe" vbProcedure="false">[72]!Calculate_Pipe</definedName>
    <definedName function="false" hidden="false" name="Calculate_Pipe" vbProcedure="false">#N/A</definedName>
    <definedName function="false" hidden="false" name="Cancel" vbProcedure="false">[97]!Cancel</definedName>
    <definedName function="false" hidden="false" name="CAP" vbProcedure="false">#ref!</definedName>
    <definedName function="false" hidden="false" name="Capacities" vbProcedure="false">#ref!,#ref!,#ref!,#ref!,#ref!,#ref!,#ref!,#ref!,#ref!</definedName>
    <definedName function="false" hidden="false" name="CAPH" vbProcedure="false">#ref!</definedName>
    <definedName function="false" hidden="false" name="CAP_XO_PORT" vbProcedure="false">#ref!</definedName>
    <definedName function="false" hidden="false" name="CarrierName" vbProcedure="false">#ref!</definedName>
    <definedName function="false" hidden="false" name="CARRIER_FL_WT" vbProcedure="false">#ref!</definedName>
    <definedName function="false" hidden="false" name="Carrier_Index" vbProcedure="false">'[12]JCSI 12'!$AF$26</definedName>
    <definedName function="false" hidden="false" name="Carrier_Location" vbProcedure="false">'[12]JCSI 12'!$AG$29:$AG$42</definedName>
    <definedName function="false" hidden="false" name="Carrier_Loc_Index" vbProcedure="false">'[12]JCSI 12'!$AG$26</definedName>
    <definedName function="false" hidden="false" name="CARR_FL_VISCOSITY" vbProcedure="false">#ref!</definedName>
    <definedName function="false" hidden="false" name="CARR_FL_VOL_PREPACK" vbProcedure="false">#ref!</definedName>
    <definedName function="false" hidden="false" name="Carr_fl_wt_prepack" vbProcedure="false">#ref!</definedName>
    <definedName function="false" hidden="false" name="Case_Impact" vbProcedure="false">[18]Criteria!$F$2:$F$6</definedName>
    <definedName function="false" hidden="false" name="CasFluidInput" vbProcedure="false">#ref!</definedName>
    <definedName function="false" hidden="false" name="CASHFLOW_REPORT" vbProcedure="false">#ref!</definedName>
    <definedName function="false" hidden="false" name="casidstring" vbProcedure="false">#ref!</definedName>
    <definedName function="false" hidden="false" name="casinfr" vbProcedure="false">#ref!</definedName>
    <definedName function="false" hidden="false" name="casing" vbProcedure="false">#ref!</definedName>
    <definedName function="false" hidden="false" name="casingbreakerconc" vbProcedure="false">#ref!</definedName>
    <definedName function="false" hidden="false" name="casingbreakertype" vbProcedure="false">#ref!</definedName>
    <definedName function="false" hidden="false" name="casingcarrierconc" vbProcedure="false">#ref!</definedName>
    <definedName function="false" hidden="false" name="casingcarriertype" vbProcedure="false">#ref!</definedName>
    <definedName function="false" hidden="false" name="casingcarriervis" vbProcedure="false">#ref!</definedName>
    <definedName function="false" hidden="false" name="casingcarriervol" vbProcedure="false">#ref!</definedName>
    <definedName function="false" hidden="false" name="casingcarrierwt" vbProcedure="false">#ref!</definedName>
    <definedName function="false" hidden="false" name="casingcolumn" vbProcedure="false">[19]Data!$J$17</definedName>
    <definedName function="false" hidden="false" name="CasingDesign" vbProcedure="false">'[3]DWS Wells'!$I$1:$I$1048576</definedName>
    <definedName function="false" hidden="false" name="CASINGDRIFTS" vbProcedure="false">#ref!</definedName>
    <definedName function="false" hidden="false" name="casinggel" vbProcedure="false">#ref!</definedName>
    <definedName function="false" hidden="false" name="casingid" vbProcedure="false">#ref!</definedName>
    <definedName function="false" hidden="false" name="casingidref" vbProcedure="false">[19]Data!$GC$1</definedName>
    <definedName function="false" hidden="false" name="casinginfuserate" vbProcedure="false">#ref!</definedName>
    <definedName function="false" hidden="false" name="casingliner" vbProcedure="false">[19]Data!$E$45</definedName>
    <definedName function="false" hidden="false" name="casingmixratio" vbProcedure="false">#ref!</definedName>
    <definedName function="false" hidden="false" name="casingod" vbProcedure="false">#ref!</definedName>
    <definedName function="false" hidden="false" name="casingpadfluid" vbProcedure="false">#ref!</definedName>
    <definedName function="false" hidden="false" name="casingpadvol" vbProcedure="false">#ref!</definedName>
    <definedName function="false" hidden="false" name="casingprelbs" vbProcedure="false">#ref!</definedName>
    <definedName function="false" hidden="false" name="casingpumppress" vbProcedure="false">#ref!</definedName>
    <definedName function="false" hidden="false" name="casingpumprate" vbProcedure="false">#ref!</definedName>
    <definedName function="false" hidden="false" name="casingrevout" vbProcedure="false">#ref!</definedName>
    <definedName function="false" hidden="false" name="CasingSize" vbProcedure="false">#ref!</definedName>
    <definedName function="false" hidden="false" name="CASINGSIZES" vbProcedure="false">#ref!</definedName>
    <definedName function="false" hidden="false" name="CasingSizeWeight" vbProcedure="false">#ref!</definedName>
    <definedName function="false" hidden="false" name="casingslurrydens" vbProcedure="false">#ref!</definedName>
    <definedName function="false" hidden="false" name="casingstage" vbProcedure="false">#ref!</definedName>
    <definedName function="false" hidden="false" name="Casingthread" vbProcedure="false">#ref!</definedName>
    <definedName function="false" hidden="false" name="casingtotalsand" vbProcedure="false">#ref!</definedName>
    <definedName function="false" hidden="false" name="casingtotslurryvol" vbProcedure="false">#ref!</definedName>
    <definedName function="false" hidden="false" name="CasingWeight" vbProcedure="false">#ref!</definedName>
    <definedName function="false" hidden="false" name="CASINGWEIGHTS" vbProcedure="false">#ref!</definedName>
    <definedName function="false" hidden="false" name="CasingWt" vbProcedure="false">#ref!</definedName>
    <definedName function="false" hidden="false" name="Casing_Collapsez" vbProcedure="false">'[11]Liner Job Info'!$J$14</definedName>
    <definedName function="false" hidden="false" name="Casing_Connections" vbProcedure="false">[20]Data!$AB$2:$AB$5</definedName>
    <definedName function="false" hidden="false" name="Casing_Grades" vbProcedure="false">[20]Data!$AA$2:$AA$4</definedName>
    <definedName function="false" hidden="false" name="Casing_Head_Housing" vbProcedure="false">[21]Data!$AK$2:$AK$5</definedName>
    <definedName function="false" hidden="false" name="Casing_I.D." vbProcedure="false">#ref!</definedName>
    <definedName function="false" hidden="false" name="Casing_ID_13.375" vbProcedure="false">#ref!</definedName>
    <definedName function="false" hidden="false" name="Casing_ID_9.625" vbProcedure="false">#ref!</definedName>
    <definedName function="false" hidden="false" name="Casing_Liner" vbProcedure="false">#ref!</definedName>
    <definedName function="false" hidden="false" name="casing_seat" vbProcedure="false">#ref!</definedName>
    <definedName function="false" hidden="false" name="Casing_Size" vbProcedure="false">#ref!</definedName>
    <definedName function="false" hidden="false" name="Casing_Size_Weight" vbProcedure="false">#ref!</definedName>
    <definedName function="false" hidden="false" name="Casing_Weight" vbProcedure="false">#ref!</definedName>
    <definedName function="false" hidden="false" name="Casing_weights" vbProcedure="false">[20]Data!$Z$2:$Z$9</definedName>
    <definedName function="false" hidden="false" name="CasTestInput" vbProcedure="false">#ref!</definedName>
    <definedName function="false" hidden="false" name="CasTestOutPut" vbProcedure="false">#ref!</definedName>
    <definedName function="false" hidden="false" name="CAS_BLNK_ANNULUS" vbProcedure="false">#ref!</definedName>
    <definedName function="false" hidden="false" name="CAS_BLNK_VOL" vbProcedure="false">#ref!</definedName>
    <definedName function="false" hidden="false" name="CAS_BLNK_VOL_1" vbProcedure="false">'[6]#ref'!#ref!</definedName>
    <definedName function="false" hidden="false" name="CAS_BLNK_VOL_10" vbProcedure="false">'[6]#ref'!#ref!</definedName>
    <definedName function="false" hidden="false" name="CAS_BLNK_VOL_11" vbProcedure="false">'[6]#ref'!#ref!</definedName>
    <definedName function="false" hidden="false" name="CAS_BLNK_VOL_2" vbProcedure="false">'[6]#ref'!#ref!</definedName>
    <definedName function="false" hidden="false" name="CAS_BLNK_VOL_3" vbProcedure="false">'[6]#ref'!#ref!</definedName>
    <definedName function="false" hidden="false" name="CAS_BLNK_VOL_4" vbProcedure="false">'[6]#ref'!#ref!</definedName>
    <definedName function="false" hidden="false" name="CAS_BLNK_VOL_5" vbProcedure="false">'[6]#ref'!#ref!</definedName>
    <definedName function="false" hidden="false" name="CAS_BLNK_VOL_6" vbProcedure="false">'[6]#ref'!#ref!</definedName>
    <definedName function="false" hidden="false" name="CAS_BLNK_VOL_7" vbProcedure="false">'[6]#ref'!#ref!</definedName>
    <definedName function="false" hidden="false" name="CAS_BLNK_VOL_8" vbProcedure="false">'[6]#ref'!#ref!</definedName>
    <definedName function="false" hidden="false" name="CAS_BLNK_VOL_9" vbProcedure="false">'[6]#ref'!#ref!</definedName>
    <definedName function="false" hidden="false" name="CAS_EXT_VOL" vbProcedure="false">#ref!</definedName>
    <definedName function="false" hidden="false" name="CAS_EXT_VOL_1" vbProcedure="false">'[6]#ref'!#ref!</definedName>
    <definedName function="false" hidden="false" name="CAS_EXT_VOL_10" vbProcedure="false">'[6]#ref'!#ref!</definedName>
    <definedName function="false" hidden="false" name="CAS_EXT_VOL_11" vbProcedure="false">'[6]#ref'!#ref!</definedName>
    <definedName function="false" hidden="false" name="CAS_EXT_VOL_2" vbProcedure="false">'[6]#ref'!#ref!</definedName>
    <definedName function="false" hidden="false" name="CAS_EXT_VOL_3" vbProcedure="false">'[6]#ref'!#ref!</definedName>
    <definedName function="false" hidden="false" name="CAS_EXT_VOL_4" vbProcedure="false">'[6]#ref'!#ref!</definedName>
    <definedName function="false" hidden="false" name="CAS_EXT_VOL_5" vbProcedure="false">'[6]#ref'!#ref!</definedName>
    <definedName function="false" hidden="false" name="CAS_EXT_VOL_6" vbProcedure="false">'[6]#ref'!#ref!</definedName>
    <definedName function="false" hidden="false" name="CAS_EXT_VOL_7" vbProcedure="false">'[6]#ref'!#ref!</definedName>
    <definedName function="false" hidden="false" name="CAS_EXT_VOL_8" vbProcedure="false">'[6]#ref'!#ref!</definedName>
    <definedName function="false" hidden="false" name="CAS_EXT_VOL_9" vbProcedure="false">'[6]#ref'!#ref!</definedName>
    <definedName function="false" hidden="false" name="CAS_ID" vbProcedure="false">#ref!</definedName>
    <definedName function="false" hidden="false" name="CAS_OD" vbProcedure="false">#ref!</definedName>
    <definedName function="false" hidden="false" name="CAS_SCR_VOL" vbProcedure="false">#ref!</definedName>
    <definedName function="false" hidden="false" name="CAS_SCR_VOL_1" vbProcedure="false">'[6]#ref'!#ref!</definedName>
    <definedName function="false" hidden="false" name="CAS_SCR_VOL_10" vbProcedure="false">'[6]#ref'!#ref!</definedName>
    <definedName function="false" hidden="false" name="CAS_SCR_VOL_11" vbProcedure="false">'[6]#ref'!#ref!</definedName>
    <definedName function="false" hidden="false" name="CAS_SCR_VOL_2" vbProcedure="false">'[6]#ref'!#ref!</definedName>
    <definedName function="false" hidden="false" name="CAS_SCR_VOL_3" vbProcedure="false">'[6]#ref'!#ref!</definedName>
    <definedName function="false" hidden="false" name="CAS_SCR_VOL_4" vbProcedure="false">'[6]#ref'!#ref!</definedName>
    <definedName function="false" hidden="false" name="CAS_SCR_VOL_5" vbProcedure="false">'[6]#ref'!#ref!</definedName>
    <definedName function="false" hidden="false" name="CAS_SCR_VOL_6" vbProcedure="false">'[6]#ref'!#ref!</definedName>
    <definedName function="false" hidden="false" name="CAS_SCR_VOL_7" vbProcedure="false">'[6]#ref'!#ref!</definedName>
    <definedName function="false" hidden="false" name="CAS_SCR_VOL_8" vbProcedure="false">'[6]#ref'!#ref!</definedName>
    <definedName function="false" hidden="false" name="CAS_SCR_VOL_9" vbProcedure="false">'[6]#ref'!#ref!</definedName>
    <definedName function="false" hidden="false" name="CAS_WT" vbProcedure="false">#ref!</definedName>
    <definedName function="false" hidden="false" name="Categories" vbProcedure="false">#ref!</definedName>
    <definedName function="false" hidden="false" name="category" vbProcedure="false">[22]Sheet2!$A$70:$A$73</definedName>
    <definedName function="false" hidden="false" name="cc" vbProcedure="false">#ref!</definedName>
    <definedName function="false" hidden="false" name="ccc" vbProcedure="false">#ref!</definedName>
    <definedName function="false" hidden="false" name="ccccc" vbProcedure="false">[79]!Macro59</definedName>
    <definedName function="false" hidden="true" name="cccccccccccc" vbProcedure="false">#ref!</definedName>
    <definedName function="false" hidden="false" name="cdr" vbProcedure="false">'[94]well test sheet'!#ref!</definedName>
    <definedName function="false" hidden="false" name="CDWimdbase" vbProcedure="false">'[23]CD''s'!$A$2:$G$374</definedName>
    <definedName function="false" hidden="false" name="CellCheck" vbProcedure="false">#ref!</definedName>
    <definedName function="false" hidden="false" name="Celldb" vbProcedure="false">#ref!</definedName>
    <definedName function="false" hidden="false" name="CellLoco" vbProcedure="false">#ref!</definedName>
    <definedName function="false" hidden="false" name="CELLPHONE" vbProcedure="false">#ref!</definedName>
    <definedName function="false" hidden="false" name="Cellslb" vbProcedure="false">#ref!</definedName>
    <definedName function="false" hidden="false" name="Cement" vbProcedure="false">#ref!</definedName>
    <definedName function="false" hidden="false" name="CementCompany" vbProcedure="false">#ref!</definedName>
    <definedName function="false" hidden="false" name="CENG" vbProcedure="false">[24]Reference!$A$2:$A$4</definedName>
    <definedName function="false" hidden="false" name="Cent" vbProcedure="false">[25]Data!$Q$3:$Q$12</definedName>
    <definedName function="false" hidden="false" name="Centralizers" vbProcedure="false">#ref!</definedName>
    <definedName function="false" hidden="true" name="cf" vbProcedure="false">{#N/A,#N/A,FALSE,"Sheet1"}</definedName>
    <definedName function="false" hidden="false" name="CHANGEA" vbProcedure="false">#ref!</definedName>
    <definedName function="false" hidden="false" name="CHANGEB" vbProcedure="false">#ref!</definedName>
    <definedName function="false" hidden="false" name="CHANGEC" vbProcedure="false">#ref!</definedName>
    <definedName function="false" hidden="false" name="CHANGED" vbProcedure="false">#ref!</definedName>
    <definedName function="false" hidden="false" name="CHANGEE" vbProcedure="false">#ref!</definedName>
    <definedName function="false" hidden="false" name="CHANGEF" vbProcedure="false">#ref!</definedName>
    <definedName function="false" hidden="false" name="CHANGEG" vbProcedure="false">#ref!</definedName>
    <definedName function="false" hidden="false" name="CHANGEH" vbProcedure="false">#ref!</definedName>
    <definedName function="false" hidden="false" name="CHANGEI" vbProcedure="false">#ref!</definedName>
    <definedName function="false" hidden="true" name="Chart" vbProcedure="false">{#N/A,#N/A,FALSE,"Sheet1"}</definedName>
    <definedName function="false" hidden="true" name="chart1" vbProcedure="false">{#N/A,#N/A,FALSE,"Sheet1"}</definedName>
    <definedName function="false" hidden="false" name="Chemmac" vbProcedure="false">#N/A</definedName>
    <definedName function="false" hidden="false" name="Chevron" vbProcedure="false">#ref!</definedName>
    <definedName function="false" hidden="false" name="Choice" vbProcedure="false">[26]Lists!$A$1:$A$3</definedName>
    <definedName function="false" hidden="false" name="choice2" vbProcedure="false">INDIRECT(#ref!)</definedName>
    <definedName function="false" hidden="false" name="choose" vbProcedure="false">#ref!</definedName>
    <definedName function="false" hidden="false" name="Chris_Kuyken" vbProcedure="false">#ref!</definedName>
    <definedName function="false" hidden="false" name="cim" vbProcedure="false">[112]!Calculate_Pipe</definedName>
    <definedName function="false" hidden="false" name="CIPMACRO.n2foam" vbProcedure="false">#N/A</definedName>
    <definedName function="false" hidden="false" name="circpress1" vbProcedure="false">#ref!</definedName>
    <definedName function="false" hidden="false" name="circpress10" vbProcedure="false">#ref!</definedName>
    <definedName function="false" hidden="false" name="circpress2" vbProcedure="false">#ref!</definedName>
    <definedName function="false" hidden="false" name="circpress3" vbProcedure="false">#ref!</definedName>
    <definedName function="false" hidden="false" name="circpress4" vbProcedure="false">#ref!</definedName>
    <definedName function="false" hidden="false" name="circpress5" vbProcedure="false">#ref!</definedName>
    <definedName function="false" hidden="false" name="circpress6" vbProcedure="false">#ref!</definedName>
    <definedName function="false" hidden="false" name="circpress7" vbProcedure="false">#ref!</definedName>
    <definedName function="false" hidden="false" name="circpress8" vbProcedure="false">#ref!</definedName>
    <definedName function="false" hidden="false" name="circpress9" vbProcedure="false">#ref!</definedName>
    <definedName function="false" hidden="false" name="circrate1" vbProcedure="false">#ref!</definedName>
    <definedName function="false" hidden="false" name="circrate10" vbProcedure="false">#ref!</definedName>
    <definedName function="false" hidden="false" name="circrate2" vbProcedure="false">#ref!</definedName>
    <definedName function="false" hidden="false" name="circrate3" vbProcedure="false">#ref!</definedName>
    <definedName function="false" hidden="false" name="circrate4" vbProcedure="false">#ref!</definedName>
    <definedName function="false" hidden="false" name="circrate5" vbProcedure="false">#ref!</definedName>
    <definedName function="false" hidden="false" name="circrate6" vbProcedure="false">#ref!</definedName>
    <definedName function="false" hidden="false" name="circrate7" vbProcedure="false">#ref!</definedName>
    <definedName function="false" hidden="false" name="circrate8" vbProcedure="false">#ref!</definedName>
    <definedName function="false" hidden="false" name="circrate9" vbProcedure="false">#ref!</definedName>
    <definedName function="false" hidden="false" name="circsqz" vbProcedure="false">#ref!</definedName>
    <definedName function="false" hidden="false" name="CIR_RATE_RESTRESS" vbProcedure="false">#ref!</definedName>
    <definedName function="false" hidden="false" name="City" vbProcedure="false">#ref!</definedName>
    <definedName function="false" hidden="false" name="CIV" vbProcedure="false">INDEX([17]DRAW!$A$2:$B$13,MATCH([17]AUTO_DHWS!$AV$10,[17]DRAW!$A$2:$A$13,0),2)</definedName>
    <definedName function="false" hidden="false" name="CIV_2" vbProcedure="false">INDEX([17]DRAW!$A$2:$B$14,MATCH([17]AUTO_DHWS!$AV$14,[17]DRAW!$A$2:$A$13,0),2)</definedName>
    <definedName function="false" hidden="false" name="CIV_PDHG" vbProcedure="false">INDEX([13]DRAW!$A$2:$B$12,MATCH([13]DRAW!$B$32,[13]DRAW!$A$2:$A$12,0),2)</definedName>
    <definedName function="false" hidden="false" name="CLAMPON" vbProcedure="false">[55]!CLAMPON</definedName>
    <definedName function="false" hidden="false" name="Class" vbProcedure="false">'[27]Name Range'!$L$2:$L$7</definedName>
    <definedName function="false" hidden="false" name="CLDfoto" vbProcedure="false">#ref!</definedName>
    <definedName function="false" hidden="false" name="CLDproj" vbProcedure="false">#ref!</definedName>
    <definedName function="false" hidden="false" name="CLDtieon" vbProcedure="false">#ref!</definedName>
    <definedName function="false" hidden="false" name="CLEARCONTENTS" vbProcedure="false">[115]!CLEARCONTENTS</definedName>
    <definedName function="false" hidden="false" name="CLFluid1" vbProcedure="false">#ref!</definedName>
    <definedName function="false" hidden="false" name="CLFluid10" vbProcedure="false">#ref!</definedName>
    <definedName function="false" hidden="false" name="CLFluid11" vbProcedure="false">#ref!</definedName>
    <definedName function="false" hidden="false" name="CLFluid12" vbProcedure="false">#ref!</definedName>
    <definedName function="false" hidden="false" name="CLFluid13" vbProcedure="false">#ref!</definedName>
    <definedName function="false" hidden="false" name="CLFluid14" vbProcedure="false">#ref!</definedName>
    <definedName function="false" hidden="false" name="CLFluid15" vbProcedure="false">#ref!</definedName>
    <definedName function="false" hidden="false" name="CLFluid2" vbProcedure="false">#ref!</definedName>
    <definedName function="false" hidden="false" name="CLFluid3" vbProcedure="false">#ref!</definedName>
    <definedName function="false" hidden="false" name="CLFluid4" vbProcedure="false">#ref!</definedName>
    <definedName function="false" hidden="false" name="CLFluid5" vbProcedure="false">#ref!</definedName>
    <definedName function="false" hidden="false" name="CLFluid6" vbProcedure="false">#ref!</definedName>
    <definedName function="false" hidden="false" name="CLFluid7" vbProcedure="false">#ref!</definedName>
    <definedName function="false" hidden="false" name="CLFluid8" vbProcedure="false">#ref!</definedName>
    <definedName function="false" hidden="false" name="CLFluid9" vbProcedure="false">#ref!</definedName>
    <definedName function="false" hidden="false" name="Client" vbProcedure="false">#ref!</definedName>
    <definedName function="false" hidden="false" name="Cliente" vbProcedure="false">#ref!</definedName>
    <definedName function="false" hidden="false" name="ClientFd" vbProcedure="false">#ref!</definedName>
    <definedName function="false" hidden="false" name="ClientName" vbProcedure="false">#ref!</definedName>
    <definedName function="false" hidden="false" name="Clist" vbProcedure="false">OFFSET(INDIRECT(ADDRESS(MATCH(CL_Wt,Objects,0)+1,2,,,"Casing Info")),0,1,COUNTIF(Objects,CL_Wt),1)</definedName>
    <definedName function="false" hidden="false" name="CL_Wt" vbProcedure="false">'[11]Database Pg1'!$E$28</definedName>
    <definedName function="false" hidden="false" name="Objects" vbProcedure="false">#ref!</definedName>
    <definedName function="false" hidden="false" name="Clist2" vbProcedure="false">OFFSET(INDIRECT(ADDRESS(MATCH(Hsize2,Objects,0)+1,2,,,"Casing Info")),0,1,COUNTIF(Objects,Hsize2),1)</definedName>
    <definedName function="false" hidden="false" name="Hsize2" vbProcedure="false">'[11]Database Pg1'!$G$81</definedName>
    <definedName function="false" hidden="false" name="Clist3" vbProcedure="false">OFFSET(INDIRECT(ADDRESS(MATCH(Hsize3,Objects,0)+1,2,,,"Casing Info")),0,1,COUNTIF(Objects,Hsize3),1)</definedName>
    <definedName function="false" hidden="false" name="Hsize3" vbProcedure="false">'[11]Database Pg1'!$G$83</definedName>
    <definedName function="false" hidden="false" name="Closure" vbProcedure="false">#ref!</definedName>
    <definedName function="false" hidden="false" name="ClosureAzimColumn" vbProcedure="false">#ref!</definedName>
    <definedName function="false" hidden="false" name="ClosureAzimUnit" vbProcedure="false">#ref!</definedName>
    <definedName function="false" hidden="false" name="ClosureColumn" vbProcedure="false">#ref!</definedName>
    <definedName function="false" hidden="false" name="ClosureUnit" vbProcedure="false">#ref!</definedName>
    <definedName function="false" hidden="false" name="Clrmess" vbProcedure="false">[115]!Clrmess</definedName>
    <definedName function="false" hidden="false" name="CM" vbProcedure="false">#ref!</definedName>
    <definedName function="false" hidden="false" name="CMT" vbProcedure="false">'[28]Ref. data2'!$C$7:$C$10</definedName>
    <definedName function="false" hidden="false" name="CMTshade" vbProcedure="false">#ref!,#ref!,#ref!,#ref!</definedName>
    <definedName function="false" hidden="false" name="CO2_" vbProcedure="false">#ref!</definedName>
    <definedName function="false" hidden="false" name="Code" vbProcedure="false">#ref!</definedName>
    <definedName function="false" hidden="false" name="codelist" vbProcedure="false">#ref!</definedName>
    <definedName function="false" hidden="false" name="CODETAB" vbProcedure="false">'[29]CODE SIN'!$C$3:$AD$240</definedName>
    <definedName function="false" hidden="false" name="coections" vbProcedure="false">[26]!coections</definedName>
    <definedName function="false" hidden="false" name="CoilSizes" vbProcedure="false">#ref!</definedName>
    <definedName function="false" hidden="false" name="Col10_Name" vbProcedure="false">#ref!</definedName>
    <definedName function="false" hidden="false" name="Col10_Stat" vbProcedure="false">#ref!</definedName>
    <definedName function="false" hidden="false" name="Col10_Stat_Name" vbProcedure="false">#ref!</definedName>
    <definedName function="false" hidden="false" name="Col10_Unit" vbProcedure="false">#ref!</definedName>
    <definedName function="false" hidden="false" name="Col11_Name" vbProcedure="false">#ref!</definedName>
    <definedName function="false" hidden="false" name="Col11_Stat" vbProcedure="false">#ref!</definedName>
    <definedName function="false" hidden="false" name="Col11_Stat_Name" vbProcedure="false">#ref!</definedName>
    <definedName function="false" hidden="false" name="Col11_Unit" vbProcedure="false">#ref!</definedName>
    <definedName function="false" hidden="false" name="Col12_Name" vbProcedure="false">#ref!</definedName>
    <definedName function="false" hidden="false" name="Col12_Stat" vbProcedure="false">#ref!</definedName>
    <definedName function="false" hidden="false" name="Col12_Stat_Name" vbProcedure="false">#ref!</definedName>
    <definedName function="false" hidden="false" name="Col12_Unit" vbProcedure="false">#ref!</definedName>
    <definedName function="false" hidden="false" name="Col12_Unti" vbProcedure="false">#ref!</definedName>
    <definedName function="false" hidden="false" name="Col13_Name" vbProcedure="false">#ref!</definedName>
    <definedName function="false" hidden="false" name="Col13_Stat" vbProcedure="false">#ref!</definedName>
    <definedName function="false" hidden="false" name="Col13_Stat_Name" vbProcedure="false">#ref!</definedName>
    <definedName function="false" hidden="false" name="Col13_Unit" vbProcedure="false">#ref!</definedName>
    <definedName function="false" hidden="false" name="Col14_Name" vbProcedure="false">#ref!</definedName>
    <definedName function="false" hidden="false" name="Col14_Stat" vbProcedure="false">#ref!</definedName>
    <definedName function="false" hidden="false" name="Col14_Stat_Name" vbProcedure="false">#ref!</definedName>
    <definedName function="false" hidden="false" name="Col14_Unit" vbProcedure="false">#ref!</definedName>
    <definedName function="false" hidden="false" name="Col15_Name" vbProcedure="false">#ref!</definedName>
    <definedName function="false" hidden="false" name="Col15_Stat" vbProcedure="false">#ref!</definedName>
    <definedName function="false" hidden="false" name="Col15_Stat_Name" vbProcedure="false">#ref!</definedName>
    <definedName function="false" hidden="false" name="Col15_Unit" vbProcedure="false">#ref!</definedName>
    <definedName function="false" hidden="false" name="Col16_Name" vbProcedure="false">#ref!</definedName>
    <definedName function="false" hidden="false" name="Col16_Stat" vbProcedure="false">#ref!</definedName>
    <definedName function="false" hidden="false" name="Col16_Stat_Name" vbProcedure="false">#ref!</definedName>
    <definedName function="false" hidden="false" name="Col16_Unit" vbProcedure="false">#ref!</definedName>
    <definedName function="false" hidden="false" name="Col17_Name" vbProcedure="false">#ref!</definedName>
    <definedName function="false" hidden="false" name="Col17_Stat" vbProcedure="false">#ref!</definedName>
    <definedName function="false" hidden="false" name="Col17_Stat_Name" vbProcedure="false">#ref!</definedName>
    <definedName function="false" hidden="false" name="Col17_Unit" vbProcedure="false">#ref!</definedName>
    <definedName function="false" hidden="false" name="Col18_Name" vbProcedure="false">#ref!</definedName>
    <definedName function="false" hidden="false" name="Col18_Stat" vbProcedure="false">#ref!</definedName>
    <definedName function="false" hidden="false" name="Col18_Stat_Name" vbProcedure="false">#ref!</definedName>
    <definedName function="false" hidden="false" name="Col18_Unit" vbProcedure="false">#ref!</definedName>
    <definedName function="false" hidden="false" name="Col19_Name" vbProcedure="false">#ref!</definedName>
    <definedName function="false" hidden="false" name="Col19_Stat" vbProcedure="false">#ref!</definedName>
    <definedName function="false" hidden="false" name="Col19_Stat_Name" vbProcedure="false">#ref!</definedName>
    <definedName function="false" hidden="false" name="Col19_Unit" vbProcedure="false">#ref!</definedName>
    <definedName function="false" hidden="false" name="Col1_Name" vbProcedure="false">#ref!</definedName>
    <definedName function="false" hidden="false" name="Col1_Stat_Name" vbProcedure="false">#ref!</definedName>
    <definedName function="false" hidden="false" name="Col1_Unit" vbProcedure="false">#ref!</definedName>
    <definedName function="false" hidden="false" name="Col20_Name" vbProcedure="false">#ref!</definedName>
    <definedName function="false" hidden="false" name="Col20_Stat" vbProcedure="false">#ref!</definedName>
    <definedName function="false" hidden="false" name="Col20_Stat_Name" vbProcedure="false">#ref!</definedName>
    <definedName function="false" hidden="false" name="Col20_Unit" vbProcedure="false">#ref!</definedName>
    <definedName function="false" hidden="false" name="Col21_Name" vbProcedure="false">#ref!</definedName>
    <definedName function="false" hidden="false" name="Col21_Stat" vbProcedure="false">#ref!</definedName>
    <definedName function="false" hidden="false" name="Col21_Stat_Name" vbProcedure="false">#ref!</definedName>
    <definedName function="false" hidden="false" name="Col21_Unit" vbProcedure="false">#ref!</definedName>
    <definedName function="false" hidden="false" name="Col22_Name" vbProcedure="false">#ref!</definedName>
    <definedName function="false" hidden="false" name="Col22_Stat" vbProcedure="false">#ref!</definedName>
    <definedName function="false" hidden="false" name="Col22_Stat_Name" vbProcedure="false">#ref!</definedName>
    <definedName function="false" hidden="false" name="Col22_Unit" vbProcedure="false">#ref!</definedName>
    <definedName function="false" hidden="false" name="Col23_Name" vbProcedure="false">#ref!</definedName>
    <definedName function="false" hidden="false" name="Col23_Stat" vbProcedure="false">#ref!</definedName>
    <definedName function="false" hidden="false" name="Col23_Stat_Name" vbProcedure="false">#ref!</definedName>
    <definedName function="false" hidden="false" name="Col23_Unit" vbProcedure="false">#ref!</definedName>
    <definedName function="false" hidden="false" name="Col24_Name" vbProcedure="false">#ref!</definedName>
    <definedName function="false" hidden="false" name="Col24_Stat" vbProcedure="false">#ref!</definedName>
    <definedName function="false" hidden="false" name="Col24_Stat_Name" vbProcedure="false">#ref!</definedName>
    <definedName function="false" hidden="false" name="Col24_Unit" vbProcedure="false">#ref!</definedName>
    <definedName function="false" hidden="false" name="Col25_Name" vbProcedure="false">#ref!</definedName>
    <definedName function="false" hidden="false" name="Col25_Stat" vbProcedure="false">#ref!</definedName>
    <definedName function="false" hidden="false" name="Col25_Stat_Name" vbProcedure="false">#ref!</definedName>
    <definedName function="false" hidden="false" name="Col25_Unit" vbProcedure="false">#ref!</definedName>
    <definedName function="false" hidden="false" name="Col26_Name" vbProcedure="false">#ref!</definedName>
    <definedName function="false" hidden="false" name="Col26_Stat" vbProcedure="false">#ref!</definedName>
    <definedName function="false" hidden="false" name="Col26_Stat_Name" vbProcedure="false">#ref!</definedName>
    <definedName function="false" hidden="false" name="Col26_Unit" vbProcedure="false">#ref!</definedName>
    <definedName function="false" hidden="false" name="Col27_Name" vbProcedure="false">#ref!</definedName>
    <definedName function="false" hidden="false" name="Col27_Stat" vbProcedure="false">#ref!</definedName>
    <definedName function="false" hidden="false" name="Col27_Stat_Name" vbProcedure="false">#ref!</definedName>
    <definedName function="false" hidden="false" name="Col27_Unit" vbProcedure="false">#ref!</definedName>
    <definedName function="false" hidden="false" name="Col28_Name" vbProcedure="false">#ref!</definedName>
    <definedName function="false" hidden="false" name="Col28_Stat" vbProcedure="false">#ref!</definedName>
    <definedName function="false" hidden="false" name="Col28_Stat_Name" vbProcedure="false">#ref!</definedName>
    <definedName function="false" hidden="false" name="Col28_Unit" vbProcedure="false">#ref!</definedName>
    <definedName function="false" hidden="false" name="Col29_Name" vbProcedure="false">#ref!</definedName>
    <definedName function="false" hidden="false" name="Col29_Stat" vbProcedure="false">#ref!</definedName>
    <definedName function="false" hidden="false" name="Col29_Stat_Name" vbProcedure="false">#ref!</definedName>
    <definedName function="false" hidden="false" name="Col29_Unit" vbProcedure="false">#ref!</definedName>
    <definedName function="false" hidden="false" name="Col2_Name" vbProcedure="false">#ref!</definedName>
    <definedName function="false" hidden="false" name="Col2_Stat" vbProcedure="false">#ref!</definedName>
    <definedName function="false" hidden="false" name="Col2_Stat_Name" vbProcedure="false">#ref!</definedName>
    <definedName function="false" hidden="false" name="Col2_Unit" vbProcedure="false">#ref!</definedName>
    <definedName function="false" hidden="false" name="Col30_Name" vbProcedure="false">#ref!</definedName>
    <definedName function="false" hidden="false" name="Col30_Stat" vbProcedure="false">#ref!</definedName>
    <definedName function="false" hidden="false" name="Col30_Stat_Name" vbProcedure="false">#ref!</definedName>
    <definedName function="false" hidden="false" name="Col30_Unit" vbProcedure="false">#ref!</definedName>
    <definedName function="false" hidden="false" name="Col3_Name" vbProcedure="false">#ref!</definedName>
    <definedName function="false" hidden="false" name="Col3_Stat" vbProcedure="false">#ref!</definedName>
    <definedName function="false" hidden="false" name="Col3_Stat_Name" vbProcedure="false">#ref!</definedName>
    <definedName function="false" hidden="false" name="Col3_Unit" vbProcedure="false">#ref!</definedName>
    <definedName function="false" hidden="false" name="Col4_Name" vbProcedure="false">#ref!</definedName>
    <definedName function="false" hidden="false" name="Col4_Stat" vbProcedure="false">#ref!</definedName>
    <definedName function="false" hidden="false" name="Col4_Stat_Name" vbProcedure="false">#ref!</definedName>
    <definedName function="false" hidden="false" name="Col4_Unit" vbProcedure="false">#ref!</definedName>
    <definedName function="false" hidden="false" name="Col5_Name" vbProcedure="false">#ref!</definedName>
    <definedName function="false" hidden="false" name="Col5_Stat" vbProcedure="false">#ref!</definedName>
    <definedName function="false" hidden="false" name="Col5_Stat_Name" vbProcedure="false">#ref!</definedName>
    <definedName function="false" hidden="false" name="Col5_Unit" vbProcedure="false">#ref!</definedName>
    <definedName function="false" hidden="false" name="Col6_Name" vbProcedure="false">#ref!</definedName>
    <definedName function="false" hidden="false" name="Col6_Stat" vbProcedure="false">#ref!</definedName>
    <definedName function="false" hidden="false" name="Col6_Stat_Name" vbProcedure="false">#ref!</definedName>
    <definedName function="false" hidden="false" name="Col6_Unit" vbProcedure="false">#ref!</definedName>
    <definedName function="false" hidden="false" name="Col7_Name" vbProcedure="false">#ref!</definedName>
    <definedName function="false" hidden="false" name="Col7_Stat" vbProcedure="false">#ref!</definedName>
    <definedName function="false" hidden="false" name="Col7_Stat_Name" vbProcedure="false">#ref!</definedName>
    <definedName function="false" hidden="false" name="Col7_Unit" vbProcedure="false">#ref!</definedName>
    <definedName function="false" hidden="false" name="Col8_Name" vbProcedure="false">#ref!</definedName>
    <definedName function="false" hidden="false" name="Col8_Stat" vbProcedure="false">#ref!</definedName>
    <definedName function="false" hidden="false" name="Col8_Stat_Name" vbProcedure="false">#ref!</definedName>
    <definedName function="false" hidden="false" name="Col8_Unit" vbProcedure="false">#ref!</definedName>
    <definedName function="false" hidden="false" name="Col9_Name" vbProcedure="false">#ref!</definedName>
    <definedName function="false" hidden="false" name="Col9_Stat" vbProcedure="false">#ref!</definedName>
    <definedName function="false" hidden="false" name="Col9_Stat_Name" vbProcedure="false">#ref!</definedName>
    <definedName function="false" hidden="false" name="Col9_Unit" vbProcedure="false">#ref!</definedName>
    <definedName function="false" hidden="false" name="Collapsedb" vbProcedure="false">#ref!</definedName>
    <definedName function="false" hidden="false" name="Collapseslb" vbProcedure="false">#ref!</definedName>
    <definedName function="false" hidden="false" name="Collapsestring" vbProcedure="false">#ref!</definedName>
    <definedName function="false" hidden="false" name="Colordb" vbProcedure="false">#ref!</definedName>
    <definedName function="false" hidden="false" name="Colorslb" vbProcedure="false">#ref!</definedName>
    <definedName function="false" hidden="false" name="Col_16" vbProcedure="false">#ref!</definedName>
    <definedName function="false" hidden="false" name="ComDetails" vbProcedure="false">#ref!</definedName>
    <definedName function="false" hidden="false" name="ComLOg" vbProcedure="false">#ref!</definedName>
    <definedName function="false" hidden="false" name="Comment" vbProcedure="false">'[27]Name Range'!$J$2:$J$6</definedName>
    <definedName function="false" hidden="false" name="CommentColumn" vbProcedure="false">!#ref!</definedName>
    <definedName function="false" hidden="false" name="CommSchemes" vbProcedure="false">#ref!</definedName>
    <definedName function="false" hidden="true" name="COMP" vbProcedure="false">{#N/A,#N/A,FALSE,"Volume"}</definedName>
    <definedName function="false" hidden="false" name="Companies" vbProcedure="false">#ref!</definedName>
    <definedName function="false" hidden="false" name="Company" vbProcedure="false">#ref!</definedName>
    <definedName function="false" hidden="false" name="CompanyMan" vbProcedure="false">'[30]Liner Job Info'!$E$7</definedName>
    <definedName function="false" hidden="false" name="CompanyName" vbProcedure="false">'[30]Liner Job Info'!$E$4</definedName>
    <definedName function="false" hidden="false" name="Companyy" vbProcedure="false">#ref!</definedName>
    <definedName function="false" hidden="false" name="Company_Man" vbProcedure="false">#ref!</definedName>
    <definedName function="false" hidden="false" name="Company_Name" vbProcedure="false">#ref!</definedName>
    <definedName function="false" hidden="false" name="compfluidtype" vbProcedure="false">#ref!</definedName>
    <definedName function="false" hidden="false" name="compfluidwt" vbProcedure="false">#ref!</definedName>
    <definedName function="false" hidden="false" name="Compl._Fluid_Type" vbProcedure="false">#ref!</definedName>
    <definedName function="false" hidden="false" name="Compl._Fluid_Wt." vbProcedure="false">#ref!</definedName>
    <definedName function="false" hidden="false" name="Complete" vbProcedure="false">[60]auf_screen!#ref!</definedName>
    <definedName function="false" hidden="false" name="CompletionCode" vbProcedure="false">#ref!</definedName>
    <definedName function="false" hidden="false" name="Completion_Code" vbProcedure="false">[20]Data!$AE$2:$AE$126</definedName>
    <definedName function="false" hidden="false" name="Completion_End_Date" vbProcedure="false">#ref!</definedName>
    <definedName function="false" hidden="false" name="Completion_Start_Date" vbProcedure="false">#ref!</definedName>
    <definedName function="false" hidden="false" name="Completion_Tally_Sheet" vbProcedure="false">'[31]Tally - Upper Completion'!$A$16:$AC$596</definedName>
    <definedName function="false" hidden="false" name="Completion_Tubing_Size" vbProcedure="false">[20]Data!$AF$2:$AF$8</definedName>
    <definedName function="false" hidden="false" name="COMPL_FL_VOL" vbProcedure="false">#ref!</definedName>
    <definedName function="false" hidden="false" name="COMPL_FL_WT" vbProcedure="false">#ref!</definedName>
    <definedName function="false" hidden="false" name="Components" vbProcedure="false">#ref!</definedName>
    <definedName function="false" hidden="false" name="ComponentTable" vbProcedure="false">#ref!</definedName>
    <definedName function="false" hidden="false" name="ComponentTableHeader" vbProcedure="false">#ref!</definedName>
    <definedName function="false" hidden="false" name="compres" vbProcedure="false">'[7]Drop-Down Items'!$G$5:$G$9</definedName>
    <definedName function="false" hidden="false" name="Compressionaldb" vbProcedure="false">#ref!</definedName>
    <definedName function="false" hidden="false" name="Compressionalslb" vbProcedure="false">#ref!</definedName>
    <definedName function="false" hidden="false" name="Compressionstring" vbProcedure="false">#ref!</definedName>
    <definedName function="false" hidden="false" name="comptype" vbProcedure="false">[5]WTR!$G$27</definedName>
    <definedName function="false" hidden="false" name="Conduc._Size" vbProcedure="false">#ref!</definedName>
    <definedName function="false" hidden="false" name="Cone" vbProcedure="false">#ref!</definedName>
    <definedName function="false" hidden="false" name="conections" vbProcedure="false">[26]!conections</definedName>
    <definedName function="false" hidden="true" name="Conflict1" vbProcedure="false">{#N/A,#N/A,FALSE,"Drlg Param Run 1-1";#N/A,#N/A,FALSE,"DDR (3)";#N/A,#N/A,FALSE,"BHA AT (1)";#N/A,#N/A,FALSE,"Downlinkbha";#N/A,#N/A,FALSE,"Job Status Report"}</definedName>
    <definedName function="false" hidden="false" name="conical" vbProcedure="false">#ref!</definedName>
    <definedName function="false" hidden="false" name="ConnAll" vbProcedure="false">#ref!</definedName>
    <definedName function="false" hidden="false" name="ConnDn" vbProcedure="false">#ref!</definedName>
    <definedName function="false" hidden="false" name="Connect" vbProcedure="false">#ref!</definedName>
    <definedName function="false" hidden="false" name="CONNECTION" vbProcedure="false">#ref!</definedName>
    <definedName function="false" hidden="false" name="ConnectionHeader" vbProcedure="false">#ref!</definedName>
    <definedName function="false" hidden="false" name="ConnectionUnits" vbProcedure="false">#ref!</definedName>
    <definedName function="false" hidden="false" name="ConnUp" vbProcedure="false">#ref!</definedName>
    <definedName function="false" hidden="false" name="conn_cost" vbProcedure="false">#ref!</definedName>
    <definedName function="false" hidden="false" name="conref" vbProcedure="false">#ref!</definedName>
    <definedName function="false" hidden="false" name="consequence" vbProcedure="false">#ref!</definedName>
    <definedName function="false" hidden="false" name="Consolidation" vbProcedure="false">[60]auf_screen!#ref!,[60]auf_screen!#ref!,[60]auf_screen!#ref!,[60]auf_screen!#ref!,[60]auf_screen!#ref!,[60]auf_screen!#ref!,[60]auf_screen!#ref!,[60]auf_screen!#ref!,[60]auf_screen!#ref!</definedName>
    <definedName function="false" hidden="false" name="Consolisdation" vbProcedure="false">[60]auf_screen!#ref!,[60]auf_screen!#ref!,[60]auf_screen!#ref!,[60]auf_screen!#ref!,[60]auf_screen!#ref!,[60]auf_screen!#ref!,[60]auf_screen!#ref!,[60]auf_screen!#ref!,[60]auf_screen!#ref!,[60]auf_screen!#ref!</definedName>
    <definedName function="false" hidden="false" name="CONT" vbProcedure="false">#ref!</definedName>
    <definedName function="false" hidden="false" name="Contact" vbProcedure="false">[32]Mapping!$C$2:$C$10</definedName>
    <definedName function="false" hidden="false" name="Contact1" vbProcedure="false">[33]Mapping!$C$2:$C$10</definedName>
    <definedName function="false" hidden="false" name="Contacts" vbProcedure="false">#ref!</definedName>
    <definedName function="false" hidden="false" name="Contingency" vbProcedure="false">#ref!</definedName>
    <definedName function="false" hidden="false" name="contract" vbProcedure="false">'[34]Call Sheet'!$E$3</definedName>
    <definedName function="false" hidden="false" name="Contracting_entities" vbProcedure="false">'[35]drop downs'!$C$3:$C$11</definedName>
    <definedName function="false" hidden="false" name="Contraction" vbProcedure="false">#ref!</definedName>
    <definedName function="false" hidden="false" name="contractnum" vbProcedure="false">#ref!</definedName>
    <definedName function="false" hidden="false" name="contractor" vbProcedure="false">'[34]Call Sheet'!$E$6</definedName>
    <definedName function="false" hidden="false" name="Conv" vbProcedure="false">#ref!</definedName>
    <definedName function="false" hidden="false" name="CoordinateReference" vbProcedure="false">#ref!</definedName>
    <definedName function="false" hidden="false" name="CoordinateSystem" vbProcedure="false">#ref!</definedName>
    <definedName function="false" hidden="false" name="Coordinator" vbProcedure="false">#ref!</definedName>
    <definedName function="false" hidden="false" name="COPL" vbProcedure="false">#ref!</definedName>
    <definedName function="false" hidden="false" name="COPYDESGN" vbProcedure="false">[55]!COPYDESGN</definedName>
    <definedName function="false" hidden="false" name="copy_these" vbProcedure="false">#ref!</definedName>
    <definedName function="false" hidden="false" name="Corebarrel_type" vbProcedure="false">[20]Data!$V$2:$V$10</definedName>
    <definedName function="false" hidden="false" name="COREP" vbProcedure="false">#ref!</definedName>
    <definedName function="false" hidden="false" name="corrdriftlist" vbProcedure="false">#N/A</definedName>
    <definedName function="false" hidden="false" name="corrdriftlist2" vbProcedure="false">#N/A</definedName>
    <definedName function="false" hidden="false" name="corrdriftlist3" vbProcedure="false">#N/A</definedName>
    <definedName function="false" hidden="false" name="corrdriftlista" vbProcedure="false">#N/A</definedName>
    <definedName function="false" hidden="false" name="corridlist" vbProcedure="false">#N/A</definedName>
    <definedName function="false" hidden="false" name="corridlist2" vbProcedure="false">#N/A</definedName>
    <definedName function="false" hidden="false" name="corridlist3" vbProcedure="false">#N/A</definedName>
    <definedName function="false" hidden="false" name="corrlist" vbProcedure="false">#N/A</definedName>
    <definedName function="false" hidden="false" name="corrlist2" vbProcedure="false">#N/A</definedName>
    <definedName function="false" hidden="false" name="corrlist3" vbProcedure="false">#N/A</definedName>
    <definedName function="false" hidden="false" name="corrlist4" vbProcedure="false">#N/A</definedName>
    <definedName function="false" hidden="false" name="COSAF" vbProcedure="false">#ref!</definedName>
    <definedName function="false" hidden="false" name="COSAJK" vbProcedure="false">#ref!</definedName>
    <definedName function="false" hidden="false" name="COSBF" vbProcedure="false">#ref!</definedName>
    <definedName function="false" hidden="false" name="COSBJK" vbProcedure="false">#ref!</definedName>
    <definedName function="false" hidden="false" name="cosssnuk" vbProcedure="false">#ref!</definedName>
    <definedName function="false" hidden="false" name="Cost" vbProcedure="false">#ref!</definedName>
    <definedName function="false" hidden="false" name="COSTF" vbProcedure="false">#ref!</definedName>
    <definedName function="false" hidden="false" name="COSTJK" vbProcedure="false">#ref!</definedName>
    <definedName function="false" hidden="false" name="Costs" vbProcedure="false">#ref!</definedName>
    <definedName function="false" hidden="false" name="Cotry" vbProcedure="false">'[11]Liner Job Info'!$E$10</definedName>
    <definedName function="false" hidden="false" name="Countries" vbProcedure="false">[11]DATA!$BR$1:$BR$196</definedName>
    <definedName function="false" hidden="false" name="Country" vbProcedure="false">#ref!</definedName>
    <definedName function="false" hidden="false" name="Country1" vbProcedure="false">#ref!</definedName>
    <definedName function="false" hidden="false" name="County" vbProcedure="false">#ref!</definedName>
    <definedName function="false" hidden="false" name="Coupling" vbProcedure="false">#ref!</definedName>
    <definedName function="false" hidden="false" name="Coupls" vbProcedure="false">#ref!</definedName>
    <definedName function="false" hidden="false" name="CQ" vbProcedure="false">#ref!</definedName>
    <definedName function="false" hidden="false" name="Crack_DH" vbProcedure="false">#ref!</definedName>
    <definedName function="false" hidden="false" name="Crack_Press" vbProcedure="false">#ref!</definedName>
    <definedName function="false" hidden="false" name="Created" vbProcedure="false">[60]auf_screen!#ref!</definedName>
    <definedName function="false" hidden="false" name="CreateDate" vbProcedure="false">#ref!</definedName>
    <definedName function="false" hidden="false" name="CreatedBy" vbProcedure="false">#ref!</definedName>
    <definedName function="false" hidden="false" name="Created_By" vbProcedure="false">[60]auf_screen!#ref!</definedName>
    <definedName function="false" hidden="false" name="Crew" vbProcedure="false">[36]Personnel!$A$3:$D$37</definedName>
    <definedName function="false" hidden="false" name="crew0" vbProcedure="false">#ref!</definedName>
    <definedName function="false" hidden="false" name="crew1" vbProcedure="false">#ref!</definedName>
    <definedName function="false" hidden="false" name="crew2" vbProcedure="false">#ref!</definedName>
    <definedName function="false" hidden="false" name="crew3" vbProcedure="false">#ref!</definedName>
    <definedName function="false" hidden="false" name="crews" vbProcedure="false">[36]Personnel!$A$3:$D$37</definedName>
    <definedName function="false" hidden="false" name="Critical" vbProcedure="false">#N/A</definedName>
    <definedName function="false" hidden="false" name="crs" vbProcedure="false">[37]RSS!$E$199:$E$205</definedName>
    <definedName function="false" hidden="false" name="CRS_FLOAT_VALVE" vbProcedure="false">[38]RSS!$O$177:$O$180</definedName>
    <definedName function="false" hidden="false" name="CRS_FLOW_KIT" vbProcedure="false">[38]RSS!$E$181:$E$184</definedName>
    <definedName function="false" hidden="false" name="CRS_STAB" vbProcedure="false">[38]RSS!$E$191:$E$197</definedName>
    <definedName function="false" hidden="false" name="Cs" vbProcedure="false">0.25</definedName>
    <definedName function="false" hidden="false" name="csg" vbProcedure="false">#ref!</definedName>
    <definedName function="false" hidden="false" name="Csg1a" vbProcedure="false">#ref!</definedName>
    <definedName function="false" hidden="false" name="CSG20_Volume" vbProcedure="false">#ref!</definedName>
    <definedName function="false" hidden="false" name="Csg2a" vbProcedure="false">#ref!</definedName>
    <definedName function="false" hidden="false" name="Csg3a" vbProcedure="false">#ref!</definedName>
    <definedName function="false" hidden="false" name="CsgDr" vbProcedure="false">[6]Sheet1!$H$14:$H$19</definedName>
    <definedName function="false" hidden="false" name="CsgDrift1" vbProcedure="false">#ref!</definedName>
    <definedName function="false" hidden="false" name="CsgDrift2" vbProcedure="false">#ref!</definedName>
    <definedName function="false" hidden="false" name="CsgDrift3" vbProcedure="false">#ref!</definedName>
    <definedName function="false" hidden="false" name="CsgDrift4" vbProcedure="false">#ref!</definedName>
    <definedName function="false" hidden="false" name="CsgGr" vbProcedure="false">[6]Sheet1!$I$1:$I$8</definedName>
    <definedName function="false" hidden="false" name="CsgGrade" vbProcedure="false">#ref!</definedName>
    <definedName function="false" hidden="false" name="CsgGrd1" vbProcedure="false">#ref!</definedName>
    <definedName function="false" hidden="false" name="CsgGrd2" vbProcedure="false">#ref!</definedName>
    <definedName function="false" hidden="false" name="CsgGrd3" vbProcedure="false">#ref!</definedName>
    <definedName function="false" hidden="false" name="CsgGrd4" vbProcedure="false">#ref!</definedName>
    <definedName function="false" hidden="false" name="CsgID" vbProcedure="false">#ref!</definedName>
    <definedName function="false" hidden="false" name="CsgID1" vbProcedure="false">#ref!</definedName>
    <definedName function="false" hidden="false" name="CsgID2" vbProcedure="false">#ref!</definedName>
    <definedName function="false" hidden="false" name="CsgID3" vbProcedure="false">#ref!</definedName>
    <definedName function="false" hidden="false" name="CsgID4" vbProcedure="false">#ref!</definedName>
    <definedName function="false" hidden="false" name="CsgInternalYeild" vbProcedure="false">#ref!</definedName>
    <definedName function="false" hidden="false" name="CsgPt" vbProcedure="false">#ref!</definedName>
    <definedName function="false" hidden="false" name="CsgSelect" vbProcedure="false">#ref!</definedName>
    <definedName function="false" hidden="false" name="CsgShoe" vbProcedure="false">#ref!</definedName>
    <definedName function="false" hidden="false" name="CsgShoeLeakoff" vbProcedure="false">#ref!</definedName>
    <definedName function="false" hidden="false" name="CsgSz1" vbProcedure="false">#ref!</definedName>
    <definedName function="false" hidden="false" name="CsgSz2" vbProcedure="false">#ref!</definedName>
    <definedName function="false" hidden="false" name="CsgSz3" vbProcedure="false">#ref!</definedName>
    <definedName function="false" hidden="false" name="CsgSz4" vbProcedure="false">#ref!</definedName>
    <definedName function="false" hidden="false" name="CsgTally" vbProcedure="false">#ref!</definedName>
    <definedName function="false" hidden="false" name="CsgThd1" vbProcedure="false">#ref!</definedName>
    <definedName function="false" hidden="false" name="CsgThd2" vbProcedure="false">#ref!</definedName>
    <definedName function="false" hidden="false" name="CsgThd3" vbProcedure="false">#ref!</definedName>
    <definedName function="false" hidden="false" name="CsgThd4" vbProcedure="false">#ref!</definedName>
    <definedName function="false" hidden="false" name="CSGWT" vbProcedure="false">#ref!</definedName>
    <definedName function="false" hidden="false" name="CsgWt1" vbProcedure="false">#ref!</definedName>
    <definedName function="false" hidden="false" name="CsgWt2" vbProcedure="false">#ref!</definedName>
    <definedName function="false" hidden="false" name="CsgWt3" vbProcedure="false">#ref!</definedName>
    <definedName function="false" hidden="false" name="CsgWt4" vbProcedure="false">#ref!</definedName>
    <definedName function="false" hidden="false" name="Csg_Bst" vbProcedure="false">#ref!</definedName>
    <definedName function="false" hidden="false" name="Csg_Burst" vbProcedure="false">#ref!</definedName>
    <definedName function="false" hidden="false" name="Csg_Burstz" vbProcedure="false">'[11]Liner Job Info'!$H$14</definedName>
    <definedName function="false" hidden="false" name="Csg_Dft" vbProcedure="false">#ref!</definedName>
    <definedName function="false" hidden="false" name="CSG_DPTH" vbProcedure="false">#ref!</definedName>
    <definedName function="false" hidden="false" name="CSG_DPTHz" vbProcedure="false">'[11]Liner Job Info'!$P$14</definedName>
    <definedName function="false" hidden="false" name="CSG_Grd" vbProcedure="false">#ref!</definedName>
    <definedName function="false" hidden="false" name="CSG_ID" vbProcedure="false">#ref!</definedName>
    <definedName function="false" hidden="false" name="CSG_ID_Area" vbProcedure="false">#ref!</definedName>
    <definedName function="false" hidden="false" name="CSG_MYS" vbProcedure="false">#ref!</definedName>
    <definedName function="false" hidden="false" name="CSG_OD" vbProcedure="false">#ref!</definedName>
    <definedName function="false" hidden="false" name="CSG_shoe" vbProcedure="false">#ref!,#ref!,#ref!,#ref!</definedName>
    <definedName function="false" hidden="false" name="CSG_SHOE_DEPTH_13.375" vbProcedure="false">#ref!</definedName>
    <definedName function="false" hidden="false" name="CSG_SHOE_DEPTH_9.625" vbProcedure="false">#ref!</definedName>
    <definedName function="false" hidden="false" name="Csg_Size" vbProcedure="false">[25]Data!$B$3:$B$30</definedName>
    <definedName function="false" hidden="false" name="CSG_Thread" vbProcedure="false">#ref!</definedName>
    <definedName function="false" hidden="false" name="Csg_Wt" vbProcedure="false">#ref!</definedName>
    <definedName function="false" hidden="false" name="cslipjoint" vbProcedure="false">#ref!</definedName>
    <definedName function="false" hidden="false" name="CSR" vbProcedure="false">#ref!</definedName>
    <definedName function="false" hidden="false" name="CsShoeDepth" vbProcedure="false">#ref!</definedName>
    <definedName function="false" hidden="false" name="CS_10" vbProcedure="false">#ref!</definedName>
    <definedName function="false" hidden="false" name="CS_100" vbProcedure="false">#ref!</definedName>
    <definedName function="false" hidden="false" name="CS_10S" vbProcedure="false">#ref!</definedName>
    <definedName function="false" hidden="false" name="CS_120" vbProcedure="false">#ref!</definedName>
    <definedName function="false" hidden="false" name="CS_140" vbProcedure="false">#ref!</definedName>
    <definedName function="false" hidden="false" name="CS_160" vbProcedure="false">#ref!</definedName>
    <definedName function="false" hidden="false" name="CS_20" vbProcedure="false">#ref!</definedName>
    <definedName function="false" hidden="false" name="CS_30" vbProcedure="false">#ref!</definedName>
    <definedName function="false" hidden="false" name="CS_40" vbProcedure="false">#ref!</definedName>
    <definedName function="false" hidden="false" name="CS_40S" vbProcedure="false">#ref!</definedName>
    <definedName function="false" hidden="false" name="CS_5S" vbProcedure="false">#ref!</definedName>
    <definedName function="false" hidden="false" name="CS_60" vbProcedure="false">#ref!</definedName>
    <definedName function="false" hidden="false" name="CS_80" vbProcedure="false">#ref!</definedName>
    <definedName function="false" hidden="false" name="CS_80S" vbProcedure="false">#ref!</definedName>
    <definedName function="false" hidden="false" name="CS_STD" vbProcedure="false">#ref!</definedName>
    <definedName function="false" hidden="false" name="CS_XS" vbProcedure="false">#ref!</definedName>
    <definedName function="false" hidden="false" name="CS_XXS" vbProcedure="false">#ref!</definedName>
    <definedName function="false" hidden="false" name="Cthree" vbProcedure="false">#ref!</definedName>
    <definedName function="false" hidden="false" name="Ctwo" vbProcedure="false">#ref!</definedName>
    <definedName function="false" hidden="false" name="CU.FT." vbProcedure="false">#ref!</definedName>
    <definedName function="false" hidden="false" name="cubicfootperfoot" vbProcedure="false">#ref!</definedName>
    <definedName function="false" hidden="false" name="Cum" vbProcedure="false">#ref!</definedName>
    <definedName function="false" hidden="false" name="CumCost" vbProcedure="false">#ref!</definedName>
    <definedName function="false" hidden="false" name="CumLengthUnits" vbProcedure="false">#ref!</definedName>
    <definedName function="false" hidden="false" name="CumP1a" vbProcedure="false">#ref!</definedName>
    <definedName function="false" hidden="false" name="CumP1b" vbProcedure="false">#ref!</definedName>
    <definedName function="false" hidden="false" name="CumP1c" vbProcedure="false">#ref!</definedName>
    <definedName function="false" hidden="false" name="CumP1d" vbProcedure="false">#ref!</definedName>
    <definedName function="false" hidden="false" name="CumP1e" vbProcedure="false">#ref!</definedName>
    <definedName function="false" hidden="false" name="CumS1a" vbProcedure="false">#ref!</definedName>
    <definedName function="false" hidden="false" name="CumS1b" vbProcedure="false">#ref!</definedName>
    <definedName function="false" hidden="false" name="CumS1c" vbProcedure="false">#ref!</definedName>
    <definedName function="false" hidden="false" name="CumS1d" vbProcedure="false">#ref!</definedName>
    <definedName function="false" hidden="false" name="CumS1e" vbProcedure="false">#ref!</definedName>
    <definedName function="false" hidden="false" name="CumWeightUnits" vbProcedure="false">#ref!</definedName>
    <definedName function="false" hidden="false" name="currency" vbProcedure="false">#ref!</definedName>
    <definedName function="false" hidden="false" name="curves" vbProcedure="false">[39]UNCFLAM8!$AJ$10:$AJ$25</definedName>
    <definedName function="false" hidden="false" name="CusCV" vbProcedure="false">#ref!</definedName>
    <definedName function="false" hidden="false" name="CusFBot1" vbProcedure="false">#ref!</definedName>
    <definedName function="false" hidden="false" name="CusFBot2" vbProcedure="false">#ref!</definedName>
    <definedName function="false" hidden="false" name="CusFBot3" vbProcedure="false">#ref!</definedName>
    <definedName function="false" hidden="false" name="CusFBot4" vbProcedure="false">#ref!</definedName>
    <definedName function="false" hidden="false" name="CusFTop1" vbProcedure="false">#ref!</definedName>
    <definedName function="false" hidden="false" name="CusFTop2" vbProcedure="false">#ref!</definedName>
    <definedName function="false" hidden="false" name="CusFTop3" vbProcedure="false">#ref!</definedName>
    <definedName function="false" hidden="false" name="CusFTop4" vbProcedure="false">#ref!</definedName>
    <definedName function="false" hidden="false" name="CusFW1" vbProcedure="false">#ref!</definedName>
    <definedName function="false" hidden="false" name="CusFW2" vbProcedure="false">#ref!</definedName>
    <definedName function="false" hidden="false" name="CusFW3" vbProcedure="false">#ref!</definedName>
    <definedName function="false" hidden="false" name="CusFW4" vbProcedure="false">#ref!</definedName>
    <definedName function="false" hidden="false" name="CushionHW" vbProcedure="false">#ref!</definedName>
    <definedName function="false" hidden="false" name="CusJar" vbProcedure="false">#ref!</definedName>
    <definedName function="false" hidden="false" name="CusPsk" vbProcedure="false">#ref!</definedName>
    <definedName function="false" hidden="false" name="CusPTV" vbProcedure="false">#ref!</definedName>
    <definedName function="false" hidden="false" name="CusRT" vbProcedure="false">#ref!</definedName>
    <definedName function="false" hidden="false" name="CusRV" vbProcedure="false">#ref!</definedName>
    <definedName function="false" hidden="false" name="CusSLPJ" vbProcedure="false">#ref!</definedName>
    <definedName function="false" hidden="false" name="Cust" vbProcedure="false">#ref!</definedName>
    <definedName function="false" hidden="false" name="Customer" vbProcedure="false">#ref!</definedName>
    <definedName function="false" hidden="false" name="customer1" vbProcedure="false">#N/A</definedName>
    <definedName function="false" hidden="false" name="Customer2" vbProcedure="false">#N/A</definedName>
    <definedName function="false" hidden="false" name="customerid" vbProcedure="false">#ref!</definedName>
    <definedName function="false" hidden="false" name="CustomerName" vbProcedure="false">#ref!</definedName>
    <definedName function="false" hidden="false" name="CustomerNo" vbProcedure="false">#ref!</definedName>
    <definedName function="false" hidden="false" name="CustomerNumber" vbProcedure="false">#ref!</definedName>
    <definedName function="false" hidden="false" name="CustomerRefNumber" vbProcedure="false">#ref!</definedName>
    <definedName function="false" hidden="false" name="customerrep" vbProcedure="false">#ref!</definedName>
    <definedName function="false" hidden="false" name="Customers" vbProcedure="false">#ref!</definedName>
    <definedName function="false" hidden="false" name="CusTV" vbProcedure="false">#ref!</definedName>
    <definedName function="false" hidden="false" name="Cust_Index" vbProcedure="false">'[12]JCSI 12'!$V$26</definedName>
    <definedName function="false" hidden="false" name="cv" vbProcedure="false">#ref!</definedName>
    <definedName function="false" hidden="false" name="CVA" vbProcedure="false">#ref!</definedName>
    <definedName function="false" hidden="false" name="CVDepth" vbProcedure="false">#ref!</definedName>
    <definedName function="false" hidden="false" name="CX" vbProcedure="false">#ref!</definedName>
    <definedName function="false" hidden="false" name="Cyl_Yield" vbProcedure="false">#ref!</definedName>
    <definedName function="false" hidden="false" name="C_" vbProcedure="false">#ref!</definedName>
    <definedName function="false" hidden="false" name="d" vbProcedure="false">#ref!</definedName>
    <definedName function="false" hidden="false" name="DA" vbProcedure="false">[139]tonmiles!#ref!</definedName>
    <definedName function="false" hidden="false" name="DAADA" vbProcedure="false">[112]!Calculate_Pipe</definedName>
    <definedName function="false" hidden="false" name="DAD" vbProcedure="false">#ref!</definedName>
    <definedName function="false" hidden="false" name="DADAA" vbProcedure="false">#ref!</definedName>
    <definedName function="false" hidden="false" name="DAEFF" vbProcedure="false">#ref!</definedName>
    <definedName function="false" hidden="false" name="Daily_Rate" vbProcedure="false">#ref!</definedName>
    <definedName function="false" hidden="false" name="Dammam" vbProcedure="false">#ref!</definedName>
    <definedName function="false" hidden="false" name="Dammam_B._Shale" vbProcedure="false">#ref!</definedName>
    <definedName function="false" hidden="false" name="DAPage" vbProcedure="false">#ref!</definedName>
    <definedName function="false" hidden="false" name="DAR" vbProcedure="false">'[30]calculo de gas total'!#ref!</definedName>
    <definedName function="false" hidden="false" name="DAS_Specialist" vbProcedure="false">'[27]Name Range'!$M$2:$M$4</definedName>
    <definedName function="false" hidden="false" name="data" vbProcedure="false">#ref!</definedName>
    <definedName function="false" hidden="true"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DataBaseName" vbProcedure="false">#ref!</definedName>
    <definedName function="false" hidden="false" name="DataPipe" vbProcedure="false">#ref!</definedName>
    <definedName function="false" hidden="false" name="Dataq1" vbProcedure="false">#ref!</definedName>
    <definedName function="false" hidden="false" name="DataRowCenterAlignDark" vbProcedure="false">#ref!</definedName>
    <definedName function="false" hidden="false" name="DataRowCenterAlignDarkItalics" vbProcedure="false">#ref!</definedName>
    <definedName function="false" hidden="false" name="DataRowCenterAlignLight" vbProcedure="false">#ref!</definedName>
    <definedName function="false" hidden="false" name="DataRowCenterAlignLightItalics" vbProcedure="false">#ref!</definedName>
    <definedName function="false" hidden="false" name="DataRowCrossCenterLight" vbProcedure="false">#ref!</definedName>
    <definedName function="false" hidden="false" name="DataRowLeftAlignDark" vbProcedure="false">#ref!</definedName>
    <definedName function="false" hidden="false" name="DataRowLeftAlignDarkItalics" vbProcedure="false">#ref!</definedName>
    <definedName function="false" hidden="false" name="DataRowLeftAlignLight" vbProcedure="false">#ref!</definedName>
    <definedName function="false" hidden="false" name="DataRowLeftAlignLightItalics" vbProcedure="false">#ref!</definedName>
    <definedName function="false" hidden="false" name="DataRowRightAlignDark" vbProcedure="false">#ref!</definedName>
    <definedName function="false" hidden="false" name="DataRowRightAlignDark0" vbProcedure="false">#ref!</definedName>
    <definedName function="false" hidden="false" name="DataRowRightAlignDark1" vbProcedure="false">#ref!</definedName>
    <definedName function="false" hidden="false" name="DataRowRightAlignDark10" vbProcedure="false">#ref!</definedName>
    <definedName function="false" hidden="false" name="DataRowRightAlignDark2" vbProcedure="false">#ref!</definedName>
    <definedName function="false" hidden="false" name="DataRowRightAlignDark3" vbProcedure="false">#ref!</definedName>
    <definedName function="false" hidden="false" name="DataRowRightAlignDark4" vbProcedure="false">#ref!</definedName>
    <definedName function="false" hidden="false" name="DataRowRightAlignDark5" vbProcedure="false">#ref!</definedName>
    <definedName function="false" hidden="false" name="DataRowRightAlignDark6" vbProcedure="false">#ref!</definedName>
    <definedName function="false" hidden="false" name="DataRowRightAlignDark7" vbProcedure="false">#ref!</definedName>
    <definedName function="false" hidden="false" name="DataRowRightAlignDark8" vbProcedure="false">#ref!</definedName>
    <definedName function="false" hidden="false" name="DataRowRightAlignDark9" vbProcedure="false">#ref!</definedName>
    <definedName function="false" hidden="false" name="DataRowRightAlignDarkItalics" vbProcedure="false">#ref!</definedName>
    <definedName function="false" hidden="false" name="DataRowRightAlignDarkItalics0" vbProcedure="false">#ref!</definedName>
    <definedName function="false" hidden="false" name="DataRowRightAlignDarkItalics1" vbProcedure="false">#ref!</definedName>
    <definedName function="false" hidden="false" name="DataRowRightAlignDarkItalics10" vbProcedure="false">#ref!</definedName>
    <definedName function="false" hidden="false" name="DataRowRightAlignDarkItalics2" vbProcedure="false">#ref!</definedName>
    <definedName function="false" hidden="false" name="DataRowRightAlignDarkItalics3" vbProcedure="false">#ref!</definedName>
    <definedName function="false" hidden="false" name="DataRowRightAlignDarkItalics4" vbProcedure="false">#ref!</definedName>
    <definedName function="false" hidden="false" name="DataRowRightAlignDarkItalics5" vbProcedure="false">#ref!</definedName>
    <definedName function="false" hidden="false" name="DataRowRightAlignDarkItalics6" vbProcedure="false">#ref!</definedName>
    <definedName function="false" hidden="false" name="DataRowRightAlignDarkItalics7" vbProcedure="false">#ref!</definedName>
    <definedName function="false" hidden="false" name="DataRowRightAlignDarkItalics8" vbProcedure="false">#ref!</definedName>
    <definedName function="false" hidden="false" name="DataRowRightAlignDarkItalics9" vbProcedure="false">#ref!</definedName>
    <definedName function="false" hidden="false" name="DataRowRightAlignLight" vbProcedure="false">#ref!</definedName>
    <definedName function="false" hidden="false" name="DataRowRightAlignLight0" vbProcedure="false">#ref!</definedName>
    <definedName function="false" hidden="false" name="DataRowRightAlignLight1" vbProcedure="false">#ref!</definedName>
    <definedName function="false" hidden="false" name="DataRowRightAlignLight10" vbProcedure="false">#ref!</definedName>
    <definedName function="false" hidden="false" name="DataRowRightAlignLight2" vbProcedure="false">#ref!</definedName>
    <definedName function="false" hidden="false" name="DataRowRightAlignLight3" vbProcedure="false">#ref!</definedName>
    <definedName function="false" hidden="false" name="DataRowRightAlignLight4" vbProcedure="false">#ref!</definedName>
    <definedName function="false" hidden="false" name="DataRowRightAlignLight5" vbProcedure="false">#ref!</definedName>
    <definedName function="false" hidden="false" name="DataRowRightAlignLight6" vbProcedure="false">#ref!</definedName>
    <definedName function="false" hidden="false" name="DataRowRightAlignLight7" vbProcedure="false">#ref!</definedName>
    <definedName function="false" hidden="false" name="DataRowRightAlignLight8" vbProcedure="false">#ref!</definedName>
    <definedName function="false" hidden="false" name="DataRowRightAlignLight9" vbProcedure="false">#ref!</definedName>
    <definedName function="false" hidden="false" name="DataRowRightAlignLightItalics" vbProcedure="false">#ref!</definedName>
    <definedName function="false" hidden="false" name="DataRowRightAlignLightItalics0" vbProcedure="false">#ref!</definedName>
    <definedName function="false" hidden="false" name="DataRowRightAlignLightItalics1" vbProcedure="false">#ref!</definedName>
    <definedName function="false" hidden="false" name="DataRowRightAlignLightItalics10" vbProcedure="false">#ref!</definedName>
    <definedName function="false" hidden="false" name="DataRowRightAlignLightItalics2" vbProcedure="false">#ref!</definedName>
    <definedName function="false" hidden="false" name="DataRowRightAlignLightItalics3" vbProcedure="false">#ref!</definedName>
    <definedName function="false" hidden="false" name="DataRowRightAlignLightItalics4" vbProcedure="false">#ref!</definedName>
    <definedName function="false" hidden="false" name="DataRowRightAlignLightItalics5" vbProcedure="false">#ref!</definedName>
    <definedName function="false" hidden="false" name="DataRowRightAlignLightItalics6" vbProcedure="false">#ref!</definedName>
    <definedName function="false" hidden="false" name="DataRowRightAlignLightItalics7" vbProcedure="false">#ref!</definedName>
    <definedName function="false" hidden="false" name="DataRowRightAlignLightItalics8" vbProcedure="false">#ref!</definedName>
    <definedName function="false" hidden="false" name="DataRowRightAlignLightItalics9" vbProcedure="false">#ref!</definedName>
    <definedName function="false" hidden="false" name="DataStart" vbProcedure="false">!#ref!</definedName>
    <definedName function="false" hidden="false" name="datatable" vbProcedure="false">#ref!</definedName>
    <definedName function="false" hidden="false" name="datatabledb" vbProcedure="false">#ref!</definedName>
    <definedName function="false" hidden="false" name="datatableslb" vbProcedure="false">#ref!</definedName>
    <definedName function="false" hidden="false" name="Data_Formyy__h_mmPM_Red__" vbProcedure="false">#ref!</definedName>
    <definedName function="false" hidden="false" name="Data_Ranges" vbProcedure="false">[60]auf_screen!#ref!</definedName>
    <definedName function="false" hidden="false" name="data_sort" vbProcedure="false">#ref!</definedName>
    <definedName function="false" hidden="false" name="Data_Table" vbProcedure="false">#ref!</definedName>
    <definedName function="false" hidden="false" name="date" vbProcedure="false">#ref!</definedName>
    <definedName function="false" hidden="false" name="DATEASSY" vbProcedure="false">#ref!</definedName>
    <definedName function="false" hidden="false" name="DateFd" vbProcedure="false">#ref!</definedName>
    <definedName function="false" hidden="false" name="dateonloc" vbProcedure="false">'[40]Job Summ.'!$X$31</definedName>
    <definedName function="false" hidden="false" name="datepostbriefed" vbProcedure="false">#ref!</definedName>
    <definedName function="false" hidden="false" name="dateprebriefed" vbProcedure="false">#ref!</definedName>
    <definedName function="false" hidden="false" name="datesded" vbProcedure="false">#ref!</definedName>
    <definedName function="false" hidden="false" name="DateTimeArrive" vbProcedure="false">#ref!</definedName>
    <definedName function="false" hidden="false" name="date_ref" vbProcedure="false">#ref!</definedName>
    <definedName function="false" hidden="false" name="DAVCO" vbProcedure="false">#ref!</definedName>
    <definedName function="false" hidden="false" name="daysoff" vbProcedure="false">#ref!</definedName>
    <definedName function="false" hidden="false" name="dc" vbProcedure="false">#ref!</definedName>
    <definedName function="false" hidden="false" name="dcicbbls" vbProcedure="false">#ref!</definedName>
    <definedName function="false" hidden="false" name="dcohbbls" vbProcedure="false">#ref!</definedName>
    <definedName function="false" hidden="false" name="dcohft" vbProcedure="false">#ref!</definedName>
    <definedName function="false" hidden="false" name="DCSCo" vbProcedure="false">#ref!</definedName>
    <definedName function="false" hidden="false" name="DCSt" vbProcedure="false">#ref!</definedName>
    <definedName function="false" hidden="false" name="DC_4" vbProcedure="false">#ref!</definedName>
    <definedName function="false" hidden="false" name="DC_6" vbProcedure="false">#ref!</definedName>
    <definedName function="false" hidden="false" name="DC_8" vbProcedure="false">#ref!</definedName>
    <definedName function="false" hidden="false" name="DC_9" vbProcedure="false">#ref!</definedName>
    <definedName function="false" hidden="false" name="dd" vbProcedure="false">#ref!</definedName>
    <definedName function="false" hidden="false" name="Dd1_Name" vbProcedure="false">#ref!</definedName>
    <definedName function="false" hidden="false" name="Dd2_Name" vbProcedure="false">#ref!</definedName>
    <definedName function="false" hidden="false" name="dddd" vbProcedure="false">#ref!</definedName>
    <definedName function="false" hidden="true" name="dddddddddddddd" vbProcedure="false">#ref!</definedName>
    <definedName function="false" hidden="false" name="DD_2" vbProcedure="false">'[41]Dropdown List'!$B$2:$B$6</definedName>
    <definedName function="false" hidden="false" name="DD_3" vbProcedure="false">'[41]Dropdown List'!$C$2:$C$4</definedName>
    <definedName function="false" hidden="false" name="DD_5" vbProcedure="false">'[41]Dropdown List'!$F$2:$F$4</definedName>
    <definedName function="false" hidden="false" name="DECANALSCP" vbProcedure="false">#ref!</definedName>
    <definedName function="false" hidden="false" name="DECANALSSWE" vbProcedure="false">#ref!</definedName>
    <definedName function="false" hidden="false" name="decdhm" vbProcedure="false">#ref!</definedName>
    <definedName function="false" hidden="false" name="decdlr" vbProcedure="false">#ref!</definedName>
    <definedName function="false" hidden="false" name="decfrc" vbProcedure="false">#ref!</definedName>
    <definedName function="false" hidden="false" name="deck1034" vbProcedure="false">'[144]blank casing deck tally'!#ref!</definedName>
    <definedName function="false" hidden="false" name="DECK_TALLY" vbProcedure="false">#ref!</definedName>
    <definedName function="false" hidden="false" name="decpnd" vbProcedure="false">#ref!</definedName>
    <definedName function="false" hidden="false" name="decrl" vbProcedure="false">#ref!</definedName>
    <definedName function="false" hidden="false" name="decrup" vbProcedure="false">#ref!</definedName>
    <definedName function="false" hidden="false" name="decrupees" vbProcedure="false">#ref!</definedName>
    <definedName function="false" hidden="false" name="DECSUMSCP" vbProcedure="false">#ref!</definedName>
    <definedName function="false" hidden="false" name="DECSUMSSWE" vbProcedure="false">#ref!</definedName>
    <definedName function="false" hidden="true" name="DEFAULT_INTERVALS" vbProcedure="false">"OVERALL REDUCTION,1s,5s,10s,30s,1m,2m,5m,10m,30m,1H,2H,4H,8H,1D,7D,30D"</definedName>
    <definedName function="false" hidden="false" name="deg" vbProcedure="false">#ref!</definedName>
    <definedName function="false" hidden="false" name="Delay" vbProcedure="false">#ref!</definedName>
    <definedName function="false" hidden="false" name="DelayDual1" vbProcedure="false">#ref!</definedName>
    <definedName function="false" hidden="false" name="DelayDual2" vbProcedure="false">#ref!</definedName>
    <definedName function="false" hidden="false" name="deliveredto" vbProcedure="false">#ref!</definedName>
    <definedName function="false" hidden="false" name="deliverto" vbProcedure="false">#ref!</definedName>
    <definedName function="false" hidden="false" name="Delivery" vbProcedure="false">#ref!</definedName>
    <definedName function="false" hidden="false" name="DeliveryTicket" vbProcedure="false">#ref!</definedName>
    <definedName function="false" hidden="false" name="delma" vbProcedure="false">[145]!JointNumber</definedName>
    <definedName function="false" hidden="false" name="DEM" vbProcedure="false">[42]Reference!$F$2:$F$3</definedName>
    <definedName function="false" hidden="false" name="DENG" vbProcedure="false">[24]Reference!$B$2:$B$9</definedName>
    <definedName function="false" hidden="false" name="Dense_A" vbProcedure="false">#ref!</definedName>
    <definedName function="false" hidden="false" name="Dense_B" vbProcedure="false">#ref!</definedName>
    <definedName function="false" hidden="false" name="Dense_C" vbProcedure="false">#ref!</definedName>
    <definedName function="false" hidden="false" name="Dense_D" vbProcedure="false">#ref!</definedName>
    <definedName function="false" hidden="false" name="Dense_E" vbProcedure="false">#ref!</definedName>
    <definedName function="false" hidden="false" name="Dense_F" vbProcedure="false">#ref!</definedName>
    <definedName function="false" hidden="false" name="Dense_G" vbProcedure="false">#ref!</definedName>
    <definedName function="false" hidden="false" name="Dense_H" vbProcedure="false">#ref!</definedName>
    <definedName function="false" hidden="false" name="Dense_Habshan_1" vbProcedure="false">#ref!</definedName>
    <definedName function="false" hidden="false" name="Dense_Habshan_2" vbProcedure="false">#ref!</definedName>
    <definedName function="false" hidden="false" name="Dense_Habshan_3" vbProcedure="false">#ref!</definedName>
    <definedName function="false" hidden="false" name="Dense_Habshan_4" vbProcedure="false">#ref!</definedName>
    <definedName function="false" hidden="false" name="Dense_Habshan_4A" vbProcedure="false">#ref!</definedName>
    <definedName function="false" hidden="false" name="Dense_Habshan_5" vbProcedure="false">#ref!</definedName>
    <definedName function="false" hidden="false" name="Dense_Unit_11" vbProcedure="false">#ref!</definedName>
    <definedName function="false" hidden="false" name="Dense_Unit_12" vbProcedure="false">#ref!</definedName>
    <definedName function="false" hidden="false" name="Dense_Unit_13" vbProcedure="false">#ref!</definedName>
    <definedName function="false" hidden="false" name="Dense_Unit_14" vbProcedure="false">#ref!</definedName>
    <definedName function="false" hidden="false" name="Dense_Unit_15" vbProcedure="false">#ref!</definedName>
    <definedName function="false" hidden="false" name="Dense_Unit_17" vbProcedure="false">#ref!</definedName>
    <definedName function="false" hidden="false" name="Dense_Unit_18" vbProcedure="false">#ref!</definedName>
    <definedName function="false" hidden="false" name="Dense_Unit_6" vbProcedure="false">#ref!</definedName>
    <definedName function="false" hidden="false" name="Dense_Unit_7" vbProcedure="false">#ref!</definedName>
    <definedName function="false" hidden="false" name="Dense_Unit_8" vbProcedure="false">#ref!</definedName>
    <definedName function="false" hidden="false" name="Dense_Unit_9" vbProcedure="false">#ref!</definedName>
    <definedName function="false" hidden="false" name="DENSITY" vbProcedure="false">#ref!</definedName>
    <definedName function="false" hidden="false" name="DEP" vbProcedure="false">#ref!</definedName>
    <definedName function="false" hidden="false" name="department" vbProcedure="false">'[40]Job Summ.'!$X$6</definedName>
    <definedName function="false" hidden="false" name="DEPH" vbProcedure="false">#ref!</definedName>
    <definedName function="false" hidden="false" name="dept1" vbProcedure="false">#ref!</definedName>
    <definedName function="false" hidden="false" name="DEPTH" vbProcedure="false">#ref!</definedName>
    <definedName function="false" hidden="false" name="DepthIn" vbProcedure="false">#ref!</definedName>
    <definedName function="false" hidden="false" name="DepthIncremental" vbProcedure="false">#ref!</definedName>
    <definedName function="false" hidden="false" name="DepthInput" vbProcedure="false">#ref!</definedName>
    <definedName function="false" hidden="false" name="DepthInUnits" vbProcedure="false">#ref!</definedName>
    <definedName function="false" hidden="false" name="depthlblstring" vbProcedure="false">#ref!</definedName>
    <definedName function="false" hidden="false" name="DepthOut" vbProcedure="false">#ref!</definedName>
    <definedName function="false" hidden="false" name="DepthOutUnits" vbProcedure="false">#ref!</definedName>
    <definedName function="false" hidden="false" name="DepthRefString" vbProcedure="false">#ref!</definedName>
    <definedName function="false" hidden="false" name="DepthTable" vbProcedure="false">#ref!</definedName>
    <definedName function="false" hidden="false" name="DepthUnit" vbProcedure="false">#ref!</definedName>
    <definedName function="false" hidden="false" name="Depth_In" vbProcedure="false">#ref!</definedName>
    <definedName function="false" hidden="false" name="Depth_Out" vbProcedure="false">#ref!</definedName>
    <definedName function="false" hidden="false" name="DEPTH_TAGGED_PREPACK" vbProcedure="false">#ref!</definedName>
    <definedName function="false" hidden="false" name="Dept_Index" vbProcedure="false">'[12]JCSI 12'!$Y$26</definedName>
    <definedName function="false" hidden="false" name="DEQ" vbProcedure="false">#ref!</definedName>
    <definedName function="false" hidden="false" name="der" vbProcedure="false">#ref!</definedName>
    <definedName function="false" hidden="false" name="description" vbProcedure="false">#ref!</definedName>
    <definedName function="false" hidden="false" name="Description1" vbProcedure="false">#ref!</definedName>
    <definedName function="false" hidden="false" name="Description10" vbProcedure="false">#ref!</definedName>
    <definedName function="false" hidden="false" name="Description11" vbProcedure="false">#ref!</definedName>
    <definedName function="false" hidden="false" name="Description12" vbProcedure="false">#ref!</definedName>
    <definedName function="false" hidden="false" name="Description13" vbProcedure="false">#ref!</definedName>
    <definedName function="false" hidden="false" name="Description14" vbProcedure="false">#ref!</definedName>
    <definedName function="false" hidden="false" name="Description15" vbProcedure="false">#ref!</definedName>
    <definedName function="false" hidden="false" name="Description16" vbProcedure="false">#ref!</definedName>
    <definedName function="false" hidden="false" name="Description17" vbProcedure="false">#ref!</definedName>
    <definedName function="false" hidden="false" name="Description18" vbProcedure="false">#ref!</definedName>
    <definedName function="false" hidden="false" name="Description19" vbProcedure="false">#ref!</definedName>
    <definedName function="false" hidden="false" name="Description1db" vbProcedure="false">#ref!</definedName>
    <definedName function="false" hidden="false" name="Description1slb" vbProcedure="false">#ref!</definedName>
    <definedName function="false" hidden="false" name="Description2" vbProcedure="false">#ref!</definedName>
    <definedName function="false" hidden="false" name="Description20" vbProcedure="false">#ref!</definedName>
    <definedName function="false" hidden="false" name="Description2db" vbProcedure="false">#ref!</definedName>
    <definedName function="false" hidden="false" name="Description2slb" vbProcedure="false">#ref!</definedName>
    <definedName function="false" hidden="false" name="Description3" vbProcedure="false">#ref!</definedName>
    <definedName function="false" hidden="false" name="Description4" vbProcedure="false">#ref!</definedName>
    <definedName function="false" hidden="false" name="Description5" vbProcedure="false">#ref!</definedName>
    <definedName function="false" hidden="false" name="Description6" vbProcedure="false">#ref!</definedName>
    <definedName function="false" hidden="false" name="Description7" vbProcedure="false">#ref!</definedName>
    <definedName function="false" hidden="false" name="Description8" vbProcedure="false">#ref!</definedName>
    <definedName function="false" hidden="false" name="Description9" vbProcedure="false">#ref!</definedName>
    <definedName function="false" hidden="false" name="descriptionstring" vbProcedure="false">#ref!</definedName>
    <definedName function="false" hidden="false" name="DESCRIPT_TABLE" vbProcedure="false">#ref!</definedName>
    <definedName function="false" hidden="false" name="designpressurelimitsstringlbl" vbProcedure="false">#ref!</definedName>
    <definedName function="false" hidden="false" name="designtempstringlbl" vbProcedure="false">#ref!</definedName>
    <definedName function="false" hidden="false" name="designtensilelimitsstringlbl" vbProcedure="false">#ref!</definedName>
    <definedName function="false" hidden="false" name="Desired_Set_Down" vbProcedure="false">#ref!</definedName>
    <definedName function="false" hidden="false" name="details1" vbProcedure="false">#ref!</definedName>
    <definedName function="false" hidden="false" name="details2" vbProcedure="false">#ref!</definedName>
    <definedName function="false" hidden="false" name="Dev" vbProcedure="false">#ref!</definedName>
    <definedName function="false" hidden="false" name="DevFd" vbProcedure="false">#ref!</definedName>
    <definedName function="false" hidden="false" name="Deviation" vbProcedure="false">#ref!</definedName>
    <definedName function="false" hidden="false" name="DeviationFd" vbProcedure="false">#ref!</definedName>
    <definedName function="false" hidden="false" name="df" vbProcedure="false">#ref!</definedName>
    <definedName function="false" hidden="false" name="dfg" vbProcedure="false">#ref!</definedName>
    <definedName function="false" hidden="false" name="dfr" vbProcedure="false">#ref!</definedName>
    <definedName function="false" hidden="false" name="dftg" vbProcedure="false">#ref!</definedName>
    <definedName function="false" hidden="false" name="dg" vbProcedure="false">#ref!</definedName>
    <definedName function="false" hidden="false" name="dgr" vbProcedure="false">#ref!</definedName>
    <definedName function="false" hidden="true" name="DH" vbProcedure="false">#ref!</definedName>
    <definedName function="false" hidden="false" name="DHT" vbProcedure="false">#ref!</definedName>
    <definedName function="false" hidden="true" name="DHWS" vbProcedure="false">#ref!</definedName>
    <definedName function="false" hidden="false" name="DHWS1" vbProcedure="false">'[148]run sheet'!#ref!</definedName>
    <definedName function="false" hidden="true" name="DHWS_BB1373" vbProcedure="false">#ref!</definedName>
    <definedName function="false" hidden="true" name="DHWS_DY332" vbProcedure="false">#ref!</definedName>
    <definedName function="false" hidden="false" name="DIAGRAM" vbProcedure="false">#ref!</definedName>
    <definedName function="false" hidden="false" name="DiameterConversion" vbProcedure="false">#ref!</definedName>
    <definedName function="false" hidden="false" name="diameterUnit" vbProcedure="false">'[43]Metric Conversions'!$C$160</definedName>
    <definedName function="false" hidden="false" name="DiamUnit" vbProcedure="false">#ref!</definedName>
    <definedName function="false" hidden="false" name="DIESEL" vbProcedure="false">#ref!</definedName>
    <definedName function="false" hidden="false" name="Diff_Across_Ball" vbProcedure="false">#ref!</definedName>
    <definedName function="false" hidden="false" name="DIF_T_U_" vbProcedure="false">'[58]7-30-04'!#ref!</definedName>
    <definedName function="false" hidden="false" name="DigitNumber" vbProcedure="false">#ref!</definedName>
    <definedName function="false" hidden="false" name="Digit_Time" vbProcedure="false">#ref!</definedName>
    <definedName function="false" hidden="false" name="Dip" vbProcedure="false">#ref!</definedName>
    <definedName function="false" hidden="false" name="DipAngle" vbProcedure="false">#ref!</definedName>
    <definedName function="false" hidden="false" name="DIRCNG" vbProcedure="false">#ref!</definedName>
    <definedName function="false" hidden="false" name="Directional" vbProcedure="false">#ref!</definedName>
    <definedName function="false" hidden="false" name="DIRfoto" vbProcedure="false">#ref!</definedName>
    <definedName function="false" hidden="false" name="DIRobj" vbProcedure="false">#ref!</definedName>
    <definedName function="false" hidden="false" name="DIRtieon" vbProcedure="false">#ref!</definedName>
    <definedName function="false" hidden="false" name="DISC" vbProcedure="false">'[44]7-30-04'!$GO$7457</definedName>
    <definedName function="false" hidden="false" name="Discription" vbProcedure="false">#ref!</definedName>
    <definedName function="false" hidden="false" name="Discrition1" vbProcedure="false">#ref!</definedName>
    <definedName function="false" hidden="false" name="Disp._Fluid_Type" vbProcedure="false">#ref!</definedName>
    <definedName function="false" hidden="false" name="Disp._Fluid_Weight" vbProcedure="false">#ref!</definedName>
    <definedName function="false" hidden="false" name="Displacement" vbProcedure="false">#ref!</definedName>
    <definedName function="false" hidden="false" name="DisplacementMethod" vbProcedure="false">#ref!</definedName>
    <definedName function="false" hidden="false" name="DisplayFormat" vbProcedure="false">#ref!</definedName>
    <definedName function="false" hidden="false" name="DispP1a" vbProcedure="false">#ref!</definedName>
    <definedName function="false" hidden="false" name="DispP1b" vbProcedure="false">#ref!</definedName>
    <definedName function="false" hidden="false" name="DispP1c" vbProcedure="false">#ref!</definedName>
    <definedName function="false" hidden="false" name="DispP1d" vbProcedure="false">#ref!</definedName>
    <definedName function="false" hidden="false" name="DispP1e" vbProcedure="false">#ref!</definedName>
    <definedName function="false" hidden="false" name="DispS1a" vbProcedure="false">#ref!</definedName>
    <definedName function="false" hidden="false" name="DispS1b" vbProcedure="false">#ref!</definedName>
    <definedName function="false" hidden="false" name="DispS1c" vbProcedure="false">#ref!</definedName>
    <definedName function="false" hidden="false" name="DispS1d" vbProcedure="false">#ref!</definedName>
    <definedName function="false" hidden="false" name="DispS1e" vbProcedure="false">#ref!</definedName>
    <definedName function="false" hidden="false" name="Disp_Fluid_Wt" vbProcedure="false">#ref!</definedName>
    <definedName function="false" hidden="false" name="DISTfotobj" vbProcedure="false">#ref!</definedName>
    <definedName function="false" hidden="false" name="District" vbProcedure="false">#ref!</definedName>
    <definedName function="false" hidden="false" name="DistrictPh" vbProcedure="false">#ref!</definedName>
    <definedName function="false" hidden="false" name="Districts" vbProcedure="false">#ref!</definedName>
    <definedName function="false" hidden="false" name="Dist_Orient_Mode_1" vbProcedure="false">#ref!</definedName>
    <definedName function="false" hidden="false" name="Dist_Orient_Mode_1_Name" vbProcedure="false">#ref!</definedName>
    <definedName function="false" hidden="false" name="Dist_Orient_Mode_2" vbProcedure="false">#ref!</definedName>
    <definedName function="false" hidden="false" name="Dist_Orient_Mode_2_Name" vbProcedure="false">#ref!</definedName>
    <definedName function="false" hidden="false" name="Dist_Rotating" vbProcedure="false">#ref!</definedName>
    <definedName function="false" hidden="false" name="Dist_Steering" vbProcedure="false">#ref!</definedName>
    <definedName function="false" hidden="false" name="diverterbreakerconc" vbProcedure="false">#ref!</definedName>
    <definedName function="false" hidden="false" name="diverterbreakertype" vbProcedure="false">#ref!</definedName>
    <definedName function="false" hidden="false" name="divertercarriervis" vbProcedure="false">#ref!</definedName>
    <definedName function="false" hidden="false" name="divertercarrierwt" vbProcedure="false">#ref!</definedName>
    <definedName function="false" hidden="false" name="diverterfiltered" vbProcedure="false">#ref!</definedName>
    <definedName function="false" hidden="false" name="diverterlbs" vbProcedure="false">#ref!</definedName>
    <definedName function="false" hidden="false" name="divertermixratio" vbProcedure="false">#ref!</definedName>
    <definedName function="false" hidden="false" name="divertersheared" vbProcedure="false">#ref!</definedName>
    <definedName function="false" hidden="false" name="divertertype" vbProcedure="false">#ref!</definedName>
    <definedName function="false" hidden="false" name="divertervol" vbProcedure="false">#ref!</definedName>
    <definedName function="false" hidden="false" name="diviation" vbProcedure="false">#ref!</definedName>
    <definedName function="false" hidden="false" name="DIV_MIX_RATIO" vbProcedure="false">#ref!</definedName>
    <definedName function="false" hidden="true" name="djoko" vbProcedure="false">#ref!</definedName>
    <definedName function="false" hidden="true" name="dk" vbProcedure="false">#ref!</definedName>
    <definedName function="false" hidden="false" name="DL" vbProcedure="false">#ref!</definedName>
    <definedName function="false" hidden="false" name="Dlead" vbProcedure="false">#ref!</definedName>
    <definedName function="false" hidden="false" name="DLR" vbProcedure="false">#ref!</definedName>
    <definedName function="false" hidden="false" name="dlr_pnd" vbProcedure="false">#ref!</definedName>
    <definedName function="false" hidden="false" name="DLS" vbProcedure="false">#ref!</definedName>
    <definedName function="false" hidden="false" name="DLSAHEAD" vbProcedure="false">#ref!</definedName>
    <definedName function="false" hidden="false" name="DLSBOH" vbProcedure="false">#ref!</definedName>
    <definedName function="false" hidden="false" name="DLS_Column" vbProcedure="false">!#ref!</definedName>
    <definedName function="false" hidden="false" name="DLS_CompMethod" vbProcedure="false">#ref!</definedName>
    <definedName function="false" hidden="false" name="DLS_Unit" vbProcedure="false">#ref!</definedName>
    <definedName function="false" hidden="false" name="DM" vbProcedure="false">'[10]data sheet'!$J$2:$J$3</definedName>
    <definedName function="false" hidden="false" name="DMO" vbProcedure="false">#ref!</definedName>
    <definedName function="false" hidden="false" name="Dmsl" vbProcedure="false">#ref!</definedName>
    <definedName function="false" hidden="false" name="do" vbProcedure="false">[145]!JointNumber</definedName>
    <definedName function="false" hidden="false" name="DocNum" vbProcedure="false">#ref!</definedName>
    <definedName function="false" hidden="false" name="DocRev" vbProcedure="false">#ref!</definedName>
    <definedName function="false" hidden="false" name="docs" vbProcedure="false">#ref!</definedName>
    <definedName function="false" hidden="false" name="DocTitle" vbProcedure="false">#ref!</definedName>
    <definedName function="false" hidden="false" name="Doc_Rev" vbProcedure="false">#ref!</definedName>
    <definedName function="false" hidden="false" name="Dogleg" vbProcedure="false">#ref!</definedName>
    <definedName function="false" hidden="false" name="DOUG" vbProcedure="false">#ref!</definedName>
    <definedName function="false" hidden="false" name="dp" vbProcedure="false">#ref!</definedName>
    <definedName function="false" hidden="false" name="DP1_Cap" vbProcedure="false">#ref!</definedName>
    <definedName function="false" hidden="false" name="dp1_conn" vbProcedure="false">#ref!</definedName>
    <definedName function="false" hidden="false" name="DP1_Cross_Sect" vbProcedure="false">#ref!</definedName>
    <definedName function="false" hidden="false" name="DP1_Grd" vbProcedure="false">#ref!</definedName>
    <definedName function="false" hidden="false" name="DP1_ID" vbProcedure="false">#ref!</definedName>
    <definedName function="false" hidden="false" name="DP1_Leng" vbProcedure="false">#ref!</definedName>
    <definedName function="false" hidden="false" name="DP1_Lengz" vbProcedure="false">'[11]Liner Job Info'!$I$22</definedName>
    <definedName function="false" hidden="false" name="DP1_MYS" vbProcedure="false">#ref!</definedName>
    <definedName function="false" hidden="false" name="DP1_OD" vbProcedure="false">#ref!</definedName>
    <definedName function="false" hidden="false" name="DP1_Tens" vbProcedure="false">#ref!</definedName>
    <definedName function="false" hidden="false" name="DP1_Vol" vbProcedure="false">#ref!</definedName>
    <definedName function="false" hidden="false" name="DP1_Volz" vbProcedure="false">'[11]Metric Conversions'!$C$70</definedName>
    <definedName function="false" hidden="false" name="DP1_Wt_inmud" vbProcedure="false">#ref!</definedName>
    <definedName function="false" hidden="false" name="DP1_Wt_Per_Ft" vbProcedure="false">#ref!</definedName>
    <definedName function="false" hidden="false" name="DP1_X_Csg_Vol" vbProcedure="false">#ref!</definedName>
    <definedName function="false" hidden="false" name="DP1_X_Csg_Volz" vbProcedure="false">'[11]Metric Conversions'!$C$85</definedName>
    <definedName function="false" hidden="false" name="DP2_Cap" vbProcedure="false">#ref!</definedName>
    <definedName function="false" hidden="false" name="dp2_conn" vbProcedure="false">#ref!</definedName>
    <definedName function="false" hidden="false" name="DP2_Cross_Sect" vbProcedure="false">#ref!</definedName>
    <definedName function="false" hidden="false" name="DP2_Grd" vbProcedure="false">#ref!</definedName>
    <definedName function="false" hidden="false" name="DP2_ID" vbProcedure="false">#ref!</definedName>
    <definedName function="false" hidden="false" name="DP2_Leng" vbProcedure="false">#ref!</definedName>
    <definedName function="false" hidden="false" name="DP2_Lengz" vbProcedure="false">'[11]Liner Job Info'!$I$23</definedName>
    <definedName function="false" hidden="false" name="DP2_MYS" vbProcedure="false">#ref!</definedName>
    <definedName function="false" hidden="false" name="DP2_OD" vbProcedure="false">#ref!</definedName>
    <definedName function="false" hidden="false" name="DP2_Tens" vbProcedure="false">#ref!</definedName>
    <definedName function="false" hidden="false" name="DP2_Vol" vbProcedure="false">#ref!</definedName>
    <definedName function="false" hidden="false" name="DP2_Volz" vbProcedure="false">'[11]Metric Conversions'!$C$71</definedName>
    <definedName function="false" hidden="false" name="DP2_Wt_inmud" vbProcedure="false">#ref!</definedName>
    <definedName function="false" hidden="false" name="DP2_Wt_Per_Ft" vbProcedure="false">#ref!</definedName>
    <definedName function="false" hidden="false" name="DP2_X_Csg_Vol" vbProcedure="false">#ref!</definedName>
    <definedName function="false" hidden="false" name="DP2_X_Csg_Volz" vbProcedure="false">'[11]Metric Conversions'!$C$86</definedName>
    <definedName function="false" hidden="false" name="DP3_bbl_per_ft" vbProcedure="false">#ref!</definedName>
    <definedName function="false" hidden="false" name="DP3_Cap" vbProcedure="false">#ref!</definedName>
    <definedName function="false" hidden="false" name="dp3_conn" vbProcedure="false">#ref!</definedName>
    <definedName function="false" hidden="false" name="DP3_Grd" vbProcedure="false">#ref!</definedName>
    <definedName function="false" hidden="false" name="DP3_ID" vbProcedure="false">#ref!</definedName>
    <definedName function="false" hidden="false" name="DP3_Leng" vbProcedure="false">#ref!</definedName>
    <definedName function="false" hidden="false" name="DP3_Lengz" vbProcedure="false">'[11]Liner Job Info'!$I$24</definedName>
    <definedName function="false" hidden="false" name="DP3_MYS" vbProcedure="false">#ref!</definedName>
    <definedName function="false" hidden="false" name="DP3_OD" vbProcedure="false">#ref!</definedName>
    <definedName function="false" hidden="false" name="DP3_Tens" vbProcedure="false">#ref!</definedName>
    <definedName function="false" hidden="false" name="DP3_Vol" vbProcedure="false">#ref!</definedName>
    <definedName function="false" hidden="false" name="DP3_Volz" vbProcedure="false">'[11]Metric Conversions'!$C$72</definedName>
    <definedName function="false" hidden="false" name="DP3_Wt_inmud" vbProcedure="false">#ref!</definedName>
    <definedName function="false" hidden="false" name="DP3_Wt_Per_Ft" vbProcedure="false">#ref!</definedName>
    <definedName function="false" hidden="false" name="DP3_X_Csg_Vol" vbProcedure="false">#ref!</definedName>
    <definedName function="false" hidden="false" name="DP3_X_Csg_Volz" vbProcedure="false">'[11]Metric Conversions'!$C$87</definedName>
    <definedName function="false" hidden="false" name="DP4_Cap" vbProcedure="false">#ref!</definedName>
    <definedName function="false" hidden="false" name="dp4_conn" vbProcedure="false">#ref!</definedName>
    <definedName function="false" hidden="false" name="DP4_Cross_Sect" vbProcedure="false">#ref!</definedName>
    <definedName function="false" hidden="false" name="DP4_Grd" vbProcedure="false">#ref!</definedName>
    <definedName function="false" hidden="false" name="DP4_ID" vbProcedure="false">#ref!</definedName>
    <definedName function="false" hidden="false" name="DP4_Leng" vbProcedure="false">#ref!</definedName>
    <definedName function="false" hidden="false" name="DP4_Lengz" vbProcedure="false">'[11]Liner Job Info'!$I$25</definedName>
    <definedName function="false" hidden="false" name="DP4_MYS" vbProcedure="false">#ref!</definedName>
    <definedName function="false" hidden="false" name="DP4_OD" vbProcedure="false">#ref!</definedName>
    <definedName function="false" hidden="false" name="DP4_Tens" vbProcedure="false">#ref!</definedName>
    <definedName function="false" hidden="false" name="DP4_Vol" vbProcedure="false">#ref!</definedName>
    <definedName function="false" hidden="false" name="DP4_Volz" vbProcedure="false">'[11]Metric Conversions'!$C$73</definedName>
    <definedName function="false" hidden="false" name="DP4_Wt_inmud" vbProcedure="false">#ref!</definedName>
    <definedName function="false" hidden="false" name="DP4_Wt_Per_Ft" vbProcedure="false">#ref!</definedName>
    <definedName function="false" hidden="false" name="DP4_X_Csg_Vol" vbProcedure="false">#ref!</definedName>
    <definedName function="false" hidden="false" name="DP4_X_Csg_Volz" vbProcedure="false">'[11]Metric Conversions'!$C$88</definedName>
    <definedName function="false" hidden="false" name="DP5_bbl_per_ft" vbProcedure="false">#ref!</definedName>
    <definedName function="false" hidden="false" name="DP5_Cap" vbProcedure="false">#ref!</definedName>
    <definedName function="false" hidden="false" name="dp5_conn" vbProcedure="false">#ref!</definedName>
    <definedName function="false" hidden="false" name="DP5_Cross_Sect" vbProcedure="false">#ref!</definedName>
    <definedName function="false" hidden="false" name="DP5_Grd" vbProcedure="false">#ref!</definedName>
    <definedName function="false" hidden="false" name="DP5_ID" vbProcedure="false">#ref!</definedName>
    <definedName function="false" hidden="false" name="DP5_Leng" vbProcedure="false">#ref!</definedName>
    <definedName function="false" hidden="false" name="DP5_Lengz" vbProcedure="false">'[11]Liner Job Info'!$I$26</definedName>
    <definedName function="false" hidden="false" name="DP5_MYS" vbProcedure="false">#ref!</definedName>
    <definedName function="false" hidden="false" name="DP5_OD" vbProcedure="false">#ref!</definedName>
    <definedName function="false" hidden="false" name="DP5_Tens" vbProcedure="false">#ref!</definedName>
    <definedName function="false" hidden="false" name="DP5_Vol" vbProcedure="false">#ref!</definedName>
    <definedName function="false" hidden="false" name="DP5_Volz" vbProcedure="false">'[11]Metric Conversions'!$C$74</definedName>
    <definedName function="false" hidden="false" name="DP5_Wt_inmud" vbProcedure="false">#ref!</definedName>
    <definedName function="false" hidden="false" name="DP5_Wt_Per_Ft" vbProcedure="false">#ref!</definedName>
    <definedName function="false" hidden="false" name="DP5_X_Csg_Vol" vbProcedure="false">#ref!</definedName>
    <definedName function="false" hidden="false" name="DP5_X_Csg_Volz" vbProcedure="false">'[11]Metric Conversions'!$C$89</definedName>
    <definedName function="false" hidden="false" name="dpdt" vbProcedure="false">'[45]WCT-Ft'!$Q$4:$X$18</definedName>
    <definedName function="false" hidden="false" name="DPi" vbProcedure="false">#ref!</definedName>
    <definedName function="false" hidden="false" name="DPia" vbProcedure="false">#ref!</definedName>
    <definedName function="false" hidden="false" name="dpicbbls" vbProcedure="false">#ref!</definedName>
    <definedName function="false" hidden="false" name="DPIDColumn" vbProcedure="false">#ref!</definedName>
    <definedName function="false" hidden="false" name="DPNumber_35" vbProcedure="false">'[46]DP Length'!$B$3:$B$1000</definedName>
    <definedName function="false" hidden="false" name="DPNumber_5" vbProcedure="false">'[46]DP Length'!$D$3:$D$1000</definedName>
    <definedName function="false" hidden="false" name="DPo" vbProcedure="false">#ref!</definedName>
    <definedName function="false" hidden="false" name="DPoa" vbProcedure="false">#ref!</definedName>
    <definedName function="false" hidden="false" name="dpohbbls" vbProcedure="false">#ref!</definedName>
    <definedName function="false" hidden="false" name="dpohft" vbProcedure="false">#ref!</definedName>
    <definedName function="false" hidden="false" name="DPSCo" vbProcedure="false">#ref!</definedName>
    <definedName function="false" hidden="false" name="DPSizeColumn" vbProcedure="false">#ref!</definedName>
    <definedName function="false" hidden="false" name="DPSizes" vbProcedure="false">#ref!</definedName>
    <definedName function="false" hidden="false" name="DPSizeStart" vbProcedure="false">#ref!</definedName>
    <definedName function="false" hidden="false" name="DPSt" vbProcedure="false">#ref!</definedName>
    <definedName function="false" hidden="false" name="DPThread" vbProcedure="false">[11]DATA!$AA$44:$AA$94</definedName>
    <definedName function="false" hidden="false" name="DPTTL_HYD_LENTH" vbProcedure="false">#ref!</definedName>
    <definedName function="false" hidden="false" name="DPWeightColumn" vbProcedure="false">#ref!</definedName>
    <definedName function="false" hidden="false" name="DpWt" vbProcedure="false">#ref!</definedName>
    <definedName function="false" hidden="false" name="DP_2_Wt_Per_Ft" vbProcedure="false">#ref!</definedName>
    <definedName function="false" hidden="false" name="DP_Differential_Area" vbProcedure="false">#ref!</definedName>
    <definedName function="false" hidden="false" name="DP_ID_Area" vbProcedure="false">#ref!</definedName>
    <definedName function="false" hidden="false" name="DP_MYS" vbProcedure="false">[11]DATA!$AB$2:$AB$6</definedName>
    <definedName function="false" hidden="false" name="DP_Plus_Block" vbProcedure="false">#ref!</definedName>
    <definedName function="false" hidden="false" name="DP_PSI" vbProcedure="false">#ref!</definedName>
    <definedName function="false" hidden="false" name="DP_PSIz" vbProcedure="false">'[11]Liner Job Info'!$D$35</definedName>
    <definedName function="false" hidden="false" name="DP_SF" vbProcedure="false">#ref!</definedName>
    <definedName function="false" hidden="false" name="DP_Size" vbProcedure="false">[25]Data!$H$3:$H$30</definedName>
    <definedName function="false" hidden="false" name="DP_Wt" vbProcedure="false">[25]Data!$I$3:$I$30</definedName>
    <definedName function="false" hidden="false" name="DRAFT" vbProcedure="false">'[1]run sheet'!#ref!</definedName>
    <definedName function="false" hidden="false" name="draw" vbProcedure="false">#N/A</definedName>
    <definedName function="false" hidden="false" name="drawblanks" vbProcedure="false">#N/A</definedName>
    <definedName function="false" hidden="false" name="DrawingTotalPages" vbProcedure="false">2</definedName>
    <definedName function="false" hidden="false" name="drawlinerfirst" vbProcedure="false">#N/A</definedName>
    <definedName function="false" hidden="false" name="drawlinersecond" vbProcedure="false">#N/A</definedName>
    <definedName function="false" hidden="false" name="drawmiscellaneous" vbProcedure="false">#N/A</definedName>
    <definedName function="false" hidden="false" name="drawproductionfirst" vbProcedure="false">#N/A</definedName>
    <definedName function="false" hidden="false" name="drawproductionsecond" vbProcedure="false">#N/A</definedName>
    <definedName function="false" hidden="false" name="drawquantum" vbProcedure="false">#N/A</definedName>
    <definedName function="false" hidden="false" name="drawscreens" vbProcedure="false">#N/A</definedName>
    <definedName function="false" hidden="false" name="drawshearsubs" vbProcedure="false">#N/A</definedName>
    <definedName function="false" hidden="false" name="drawsump" vbProcedure="false">#N/A</definedName>
    <definedName function="false" hidden="false" name="draw_blanks" vbProcedure="false">#N/A</definedName>
    <definedName function="false" hidden="false" name="draw_linerfirst" vbProcedure="false">#N/A</definedName>
    <definedName function="false" hidden="false" name="draw_linersecond" vbProcedure="false">#N/A</definedName>
    <definedName function="false" hidden="false" name="draw_miscellaneous" vbProcedure="false">#N/A</definedName>
    <definedName function="false" hidden="false" name="draw_productionfirst" vbProcedure="false">#N/A</definedName>
    <definedName function="false" hidden="false" name="draw_productionsecond" vbProcedure="false">#N/A</definedName>
    <definedName function="false" hidden="false" name="draw_quantum" vbProcedure="false">#N/A</definedName>
    <definedName function="false" hidden="false" name="draw_screens" vbProcedure="false">#N/A</definedName>
    <definedName function="false" hidden="false" name="draw_shearsubs" vbProcedure="false">#N/A</definedName>
    <definedName function="false" hidden="false" name="draw_sump" vbProcedure="false">#N/A</definedName>
    <definedName function="false" hidden="false" name="Dress_Dull" vbProcedure="false">'[7]Drop-Down Items'!$E$74:$E$79</definedName>
    <definedName function="false" hidden="false" name="DriftColumn" vbProcedure="false">#ref!</definedName>
    <definedName function="false" hidden="false" name="DrillCollarID" vbProcedure="false">#ref!</definedName>
    <definedName function="false" hidden="false" name="DrillCollarOD" vbProcedure="false">#ref!</definedName>
    <definedName function="false" hidden="false" name="DrillCollarWt" vbProcedure="false">#ref!</definedName>
    <definedName function="false" hidden="false" name="DRILLER" vbProcedure="false">[16]!Macro1</definedName>
    <definedName function="false" hidden="false" name="DRILLER2" vbProcedure="false">[155]!Calculate_Pipe</definedName>
    <definedName function="false" hidden="false" name="DrillingDepthRange" vbProcedure="false">#ref!</definedName>
    <definedName function="false" hidden="false" name="DrillingPumpPress" vbProcedure="false">#ref!</definedName>
    <definedName function="false" hidden="false" name="Drilling_End_Date" vbProcedure="false">#ref!</definedName>
    <definedName function="false" hidden="false" name="Drilling_Start_Date" vbProcedure="false">#ref!</definedName>
    <definedName function="false" hidden="false" name="DrillPipeID" vbProcedure="false">#ref!</definedName>
    <definedName function="false" hidden="false" name="DrillPipeOD" vbProcedure="false">#ref!</definedName>
    <definedName function="false" hidden="false" name="Drillpipesize" vbProcedure="false">#ref!</definedName>
    <definedName function="false" hidden="false" name="Drillpipethread" vbProcedure="false">#ref!</definedName>
    <definedName function="false" hidden="false" name="Drillpipetype" vbProcedure="false">#ref!</definedName>
    <definedName function="false" hidden="false" name="Drillpipeweight" vbProcedure="false">#ref!</definedName>
    <definedName function="false" hidden="false" name="DrillSiteOrWellPad" vbProcedure="false">#ref!</definedName>
    <definedName function="false" hidden="false" name="DrillstringVol" vbProcedure="false">#ref!</definedName>
    <definedName function="false" hidden="false" name="Druckbereich_MI" vbProcedure="false">'[47]Dev-Baker'!$A$1:$J$46</definedName>
    <definedName function="false" hidden="false" name="Druckbereich_S3" vbProcedure="false">#ref!</definedName>
    <definedName function="false" hidden="false" name="DRYBUDG" vbProcedure="false">'[48]Exec Summ'!$W$74</definedName>
    <definedName function="false" hidden="false" name="DS" vbProcedure="false">#ref!</definedName>
    <definedName function="false" hidden="false" name="Dshoe" vbProcedure="false">#ref!</definedName>
    <definedName function="false" hidden="false" name="DST" vbProcedure="false">#ref!</definedName>
    <definedName function="false" hidden="false" name="dstrcap1" vbProcedure="false">#ref!</definedName>
    <definedName function="false" hidden="false" name="dstrcap2" vbProcedure="false">#ref!</definedName>
    <definedName function="false" hidden="false" name="DSTWeight" vbProcedure="false">#ref!</definedName>
    <definedName function="false" hidden="false" name="DST_Specialist" vbProcedure="false">'[27]Name Range'!$O$2:$O$7</definedName>
    <definedName function="false" hidden="false" name="Dtail" vbProcedure="false">#ref!</definedName>
    <definedName function="false" hidden="false" name="DTNumber" vbProcedure="false">#ref!</definedName>
    <definedName function="false" hidden="false" name="dtr" vbProcedure="false">'[16]Max-Torq'!$P$77</definedName>
    <definedName function="false" hidden="false" name="DTS" vbProcedure="false">'[6]#ref'!#ref!</definedName>
    <definedName function="false" hidden="false" name="DTS_1" vbProcedure="false">'[6]#ref'!#ref!</definedName>
    <definedName function="false" hidden="false" name="DTS_10" vbProcedure="false">'[6]#ref'!#ref!</definedName>
    <definedName function="false" hidden="false" name="DTS_11" vbProcedure="false">'[6]#ref'!#ref!</definedName>
    <definedName function="false" hidden="false" name="DTS_2" vbProcedure="false">'[6]#ref'!#ref!</definedName>
    <definedName function="false" hidden="false" name="DTS_3" vbProcedure="false">'[6]#ref'!#ref!</definedName>
    <definedName function="false" hidden="false" name="DTS_4" vbProcedure="false">'[6]#ref'!#ref!</definedName>
    <definedName function="false" hidden="false" name="DTS_5" vbProcedure="false">'[6]#ref'!#ref!</definedName>
    <definedName function="false" hidden="false" name="DTS_6" vbProcedure="false">'[6]#ref'!#ref!</definedName>
    <definedName function="false" hidden="false" name="DTS_7" vbProcedure="false">'[6]#ref'!#ref!</definedName>
    <definedName function="false" hidden="false" name="DTS_8" vbProcedure="false">'[6]#ref'!#ref!</definedName>
    <definedName function="false" hidden="false" name="DTS_9" vbProcedure="false">'[6]#ref'!#ref!</definedName>
    <definedName function="false" hidden="false" name="DU" vbProcedure="false">#ref!</definedName>
    <definedName function="false" hidden="false" name="DualTally" vbProcedure="false">#ref!</definedName>
    <definedName function="false" hidden="false" name="DUCF" vbProcedure="false">#ref!</definedName>
    <definedName function="false" hidden="false" name="dummy" vbProcedure="false">#ref!</definedName>
    <definedName function="false" hidden="false" name="DwgRel" vbProcedure="false">#ref!</definedName>
    <definedName function="false" hidden="false" name="DwgRel3" vbProcedure="false">#ref!</definedName>
    <definedName function="false" hidden="false" name="DWS" vbProcedure="false">'[13]DWS2023'!$A$4:$AD$257</definedName>
    <definedName function="false" hidden="false" name="D_I" vbProcedure="false">#ref!</definedName>
    <definedName function="false" hidden="false" name="D_t" vbProcedure="false">#ref!</definedName>
    <definedName function="false" hidden="false" name="D_t_pt" vbProcedure="false">#ref!</definedName>
    <definedName function="false" hidden="false" name="D_t_te" vbProcedure="false">#ref!</definedName>
    <definedName function="false" hidden="false" name="D_t_yp" vbProcedure="false">#ref!</definedName>
    <definedName function="false" hidden="false" name="E" vbProcedure="false">#ref!</definedName>
    <definedName function="false" hidden="false" name="EAST5" vbProcedure="false">#ref!</definedName>
    <definedName function="false" hidden="false" name="EAST7" vbProcedure="false">#ref!</definedName>
    <definedName function="false" hidden="false" name="EAST8" vbProcedure="false">#ref!</definedName>
    <definedName function="false" hidden="false" name="EastingColumn" vbProcedure="false">!#ref!</definedName>
    <definedName function="false" hidden="false" name="EastingUnit" vbProcedure="false">#ref!</definedName>
    <definedName function="false" hidden="false" name="ECP" vbProcedure="false">[90]tbgtally!#ref!</definedName>
    <definedName function="false" hidden="false" name="ECTPROJ" vbProcedure="false">#ref!</definedName>
    <definedName function="false" hidden="false" name="ED" vbProcedure="false">[72]!Calculate_Pipe</definedName>
    <definedName function="false" hidden="false" name="edd" vbProcedure="false">[160]!Calculate_Pipe</definedName>
    <definedName function="false" hidden="false" name="EDIT1" vbProcedure="false">#ref!</definedName>
    <definedName function="false" hidden="false" name="EDIT2" vbProcedure="false">#ref!</definedName>
    <definedName function="false" hidden="false" name="ee" vbProcedure="false">#ref!</definedName>
    <definedName function="false" hidden="true" name="eeeeeeeeeeeeeee" vbProcedure="false">#ref!</definedName>
    <definedName function="false" hidden="false" name="EffDate" vbProcedure="false">[49]Revision_History!$G$8&amp;" "&amp;TEXT([49]Revision_History!$H$8, "DD-MMM-YYYY")</definedName>
    <definedName function="false" hidden="false" name="EffectiveAxialStressUnit" vbProcedure="false">#ref!</definedName>
    <definedName function="false" hidden="false" name="Eff_Area_Pipe" vbProcedure="false">[50]Selector!$C$23</definedName>
    <definedName function="false" hidden="false" name="Eff_Date" vbProcedure="false">#ref!</definedName>
    <definedName function="false" hidden="false" name="efwrf" vbProcedure="false">#ref!</definedName>
    <definedName function="false" hidden="false" name="EG" vbProcedure="false">#ref!</definedName>
    <definedName function="false" hidden="false" name="EIDT2" vbProcedure="false">#ref!</definedName>
    <definedName function="false" hidden="false" name="EJYETYJEJ" vbProcedure="false">#ref!</definedName>
    <definedName function="false" hidden="false" name="EKIKO2" vbProcedure="false">#ref!</definedName>
    <definedName function="false" hidden="false" name="Elaines" vbProcedure="false">#ref!</definedName>
    <definedName function="false" hidden="false" name="Element_Rating" vbProcedure="false">#ref!</definedName>
    <definedName function="false" hidden="false" name="Element_Ratingz" vbProcedure="false">'[11]Liner Job Info'!$P$41</definedName>
    <definedName function="false" hidden="false" name="Elevation" vbProcedure="false">#ref!</definedName>
    <definedName function="false" hidden="false" name="ElevationReference" vbProcedure="false">#ref!</definedName>
    <definedName function="false" hidden="false" name="emilia" vbProcedure="false">'[28]calculo de gas total'!#ref!</definedName>
    <definedName function="false" hidden="false" name="emplnum" vbProcedure="false">'[40]Job Summ.'!$A$6</definedName>
    <definedName function="false" hidden="false" name="Empty" vbProcedure="false">[60]auf_screen!#ref!</definedName>
    <definedName function="false" hidden="false" name="EmptyRow" vbProcedure="false">#ref!</definedName>
    <definedName function="false" hidden="false" name="END" vbProcedure="false">'[58]7-30-04'!#ref!</definedName>
    <definedName function="false" hidden="false" name="EndDepthMulti" vbProcedure="false">#ref!</definedName>
    <definedName function="false" hidden="false" name="end_1" vbProcedure="false">'[51]2003 SSWE LINE ITEMS'!$W$304</definedName>
    <definedName function="false" hidden="false" name="EngineerName" vbProcedure="false">#ref!</definedName>
    <definedName function="false" hidden="false" name="English" vbProcedure="false">#ref!</definedName>
    <definedName function="false" hidden="false" name="Entity" vbProcedure="false">[123]!Table6[contracting/sourcing entity]</definedName>
    <definedName function="false" hidden="false" name="EOBcp" vbProcedure="false">#ref!</definedName>
    <definedName function="false" hidden="false" name="EOBm" vbProcedure="false">#ref!</definedName>
    <definedName function="false" hidden="false" name="EOBv" vbProcedure="false">#ref!</definedName>
    <definedName function="false" hidden="false" name="epm" vbProcedure="false">[17]scope!#ref!</definedName>
    <definedName function="false" hidden="false" name="Equip" vbProcedure="false">'[52]#REF'!$B$12</definedName>
    <definedName function="false" hidden="false" name="Equipmentrunin" vbProcedure="false">#ref!</definedName>
    <definedName function="false" hidden="false" name="equipmenttype" vbProcedure="false">#ref!</definedName>
    <definedName function="false" hidden="false" name="EQ_2" vbProcedure="false">'[15]Margin Summary'!$E$14</definedName>
    <definedName function="false" hidden="false" name="erg" vbProcedure="false">#ref!</definedName>
    <definedName function="false" hidden="false" name="error" vbProcedure="false">[19]Data!$F$10</definedName>
    <definedName function="false" hidden="false" name="ertert" vbProcedure="false">#ref!</definedName>
    <definedName function="false" hidden="false" name="erttt" vbProcedure="false">#ref!</definedName>
    <definedName function="false" hidden="false" name="ESTPSjobs" vbProcedure="false">[60]auf_screen!#ref!</definedName>
    <definedName function="false" hidden="false" name="ES_Jobs" vbProcedure="false">[60]auf_screen!#ref!,[60]auf_screen!#ref!,[60]auf_screen!#ref!,[60]auf_screen!#ref!,[60]auf_screen!#ref!,[60]auf_screen!#ref!,[60]auf_screen!#ref!,[60]auf_screen!#ref!,[60]auf_screen!#ref!</definedName>
    <definedName function="false" hidden="false" name="ES_pricelist" vbProcedure="false">#ref!</definedName>
    <definedName function="false" hidden="false" name="EW" vbProcedure="false">#ref!</definedName>
    <definedName function="false" hidden="false" name="EWAHEAD" vbProcedure="false">#ref!</definedName>
    <definedName function="false" hidden="false" name="EWBOH" vbProcedure="false">#ref!</definedName>
    <definedName function="false" hidden="false" name="EWDIFF" vbProcedure="false">#ref!</definedName>
    <definedName function="false" hidden="false" name="EWfoto" vbProcedure="false">#ref!</definedName>
    <definedName function="false" hidden="false" name="EWnobj" vbProcedure="false">#ref!</definedName>
    <definedName function="false" hidden="false" name="EWobj" vbProcedure="false">#ref!</definedName>
    <definedName function="false" hidden="false" name="EWproj" vbProcedure="false">#ref!</definedName>
    <definedName function="false" hidden="false" name="EWtieon" vbProcedure="false">#ref!</definedName>
    <definedName function="false" hidden="false" name="EW_Column" vbProcedure="false">!#ref!</definedName>
    <definedName function="false" hidden="false" name="EW_Unit" vbProcedure="false">#ref!</definedName>
    <definedName function="false" hidden="false" name="ex" vbProcedure="false">[145]!JointNumber</definedName>
    <definedName function="false" hidden="false" name="exceedlimit" vbProcedure="false">#ref!</definedName>
    <definedName function="false" hidden="false" name="Excel_BuiltIn_Print_Area" vbProcedure="false">NA()</definedName>
    <definedName function="false" hidden="false" name="Excel_BuiltIn_Print_Area_16" vbProcedure="false">#ref!</definedName>
    <definedName function="false" hidden="false" name="Excel_BuiltIn_Print_Area_16_1" vbProcedure="false">#ref!</definedName>
    <definedName function="false" hidden="false" name="Excel_BuiltIn_Print_Titles" vbProcedure="false">NA()</definedName>
    <definedName function="false" hidden="false" name="EXCHANGE" vbProcedure="false">#N/A</definedName>
    <definedName function="false" hidden="false" name="Exempt" vbProcedure="false">#ref!</definedName>
    <definedName function="false" hidden="false" name="Existing_Liner_Top" vbProcedure="false">#ref!</definedName>
    <definedName function="false" hidden="false" name="Existing_Liner_Top_Depth" vbProcedure="false">#ref!</definedName>
    <definedName function="false" hidden="false" name="EXIT" vbProcedure="false">#ref!</definedName>
    <definedName function="false" hidden="false" name="Expansion" vbProcedure="false">#ref!</definedName>
    <definedName function="false" hidden="false" name="Expected_Job_Date" vbProcedure="false">#ref!</definedName>
    <definedName function="false" hidden="false" name="ExpJobDesig" vbProcedure="false">#ref!</definedName>
    <definedName function="false" hidden="false" name="ExplosiveData" vbProcedure="false">#ref!</definedName>
    <definedName function="false" hidden="false" name="ExplosiveData1to2" vbProcedure="false">#ref!</definedName>
    <definedName function="false" hidden="false" name="ExplosiveType" vbProcedure="false">#ref!</definedName>
    <definedName function="false" hidden="false" name="Explosive_Type" vbProcedure="false">#ref!</definedName>
    <definedName function="false" hidden="false" name="EXP_1" vbProcedure="false">INDEX([13]DRAW!$A$2:$B$12,MATCH(#ref!,[13]DRAW!$A$2:$A$12,0),2)</definedName>
    <definedName function="false" hidden="false" name="ExternalSales" vbProcedure="false">[18]Criteria!$D$2:$D$6</definedName>
    <definedName function="false" hidden="false" name="Externalvolstring" vbProcedure="false">#ref!</definedName>
    <definedName function="false" hidden="false" name="Extra" vbProcedure="false">#ref!</definedName>
    <definedName function="false" hidden="false" name="ExtraPressure" vbProcedure="false">#ref!</definedName>
    <definedName function="false" hidden="false" name="EXT_LENGTH" vbProcedure="false">#ref!</definedName>
    <definedName function="false" hidden="false" name="EXT_LENGTH_1" vbProcedure="false">'[6]#ref'!#ref!</definedName>
    <definedName function="false" hidden="false" name="EXT_LENGTH_10" vbProcedure="false">'[6]#ref'!#ref!</definedName>
    <definedName function="false" hidden="false" name="EXT_LENGTH_11" vbProcedure="false">'[6]#ref'!#ref!</definedName>
    <definedName function="false" hidden="false" name="EXT_LENGTH_2" vbProcedure="false">'[6]#ref'!#ref!</definedName>
    <definedName function="false" hidden="false" name="EXT_LENGTH_3" vbProcedure="false">'[6]#ref'!#ref!</definedName>
    <definedName function="false" hidden="false" name="EXT_LENGTH_4" vbProcedure="false">'[6]#ref'!#ref!</definedName>
    <definedName function="false" hidden="false" name="EXT_LENGTH_5" vbProcedure="false">'[6]#ref'!#ref!</definedName>
    <definedName function="false" hidden="false" name="EXT_LENGTH_6" vbProcedure="false">'[6]#ref'!#ref!</definedName>
    <definedName function="false" hidden="false" name="EXT_LENGTH_7" vbProcedure="false">'[6]#ref'!#ref!</definedName>
    <definedName function="false" hidden="false" name="EXT_LENGTH_8" vbProcedure="false">'[6]#ref'!#ref!</definedName>
    <definedName function="false" hidden="false" name="EXT_LENGTH_9" vbProcedure="false">'[6]#ref'!#ref!</definedName>
    <definedName function="false" hidden="false" name="F" vbProcedure="false">#ref!</definedName>
    <definedName function="false" hidden="false" name="factor" vbProcedure="false">#ref!</definedName>
    <definedName function="false" hidden="false" name="fasc" vbProcedure="false">#ref!</definedName>
    <definedName function="false" hidden="false" name="Fault_Tolerance" vbProcedure="false">'[169]qte bom'!#ref!</definedName>
    <definedName function="false" hidden="false" name="FAX" vbProcedure="false">#ref!</definedName>
    <definedName function="false" hidden="false" name="FB" vbProcedure="false">[170]!Calculate_Pipe</definedName>
    <definedName function="false" hidden="false" name="FCP" vbProcedure="false">#ref!</definedName>
    <definedName function="false" hidden="false" name="fd" vbProcedure="false">#N/A</definedName>
    <definedName function="false" hidden="false" name="fde" vbProcedure="false">#ref!</definedName>
    <definedName function="false" hidden="false" name="FDF" vbProcedure="false">IF(ISBLANK(#ref!),IF(#ref! #ref! =#ref!,OFFSET([171]!ValidationList2[[#all],[main categories]],1,,COUNTA([171]!ValidationList2[main categories])),OFFSET([171]!ValidationList2[#data],0,MATCH(#ref!, [171]!ValidationList2[#headers],0)-1,COUNTA(OFFSET([171]!ValidationList2[#data],,MATCH(#ref!, [171]!ValidationList2[#headers],0)-1,,1)),1)))</definedName>
    <definedName function="false" hidden="false" name="fdg" vbProcedure="false">#ref!</definedName>
    <definedName function="false" hidden="false" name="FE" vbProcedure="false">[25]Data!$O$3:$O$12</definedName>
    <definedName function="false" hidden="false" name="FEBANAL" vbProcedure="false">#ref!</definedName>
    <definedName function="false" hidden="false" name="FEBMANAL" vbProcedure="false">#ref!</definedName>
    <definedName function="false" hidden="false" name="FEBMARGANAL" vbProcedure="false">#ref!</definedName>
    <definedName function="false" hidden="false" name="FEBMARGSCP" vbProcedure="false">#ref!</definedName>
    <definedName function="false" hidden="false" name="februpees" vbProcedure="false">#ref!</definedName>
    <definedName function="false" hidden="true"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FEWFW" vbProcedure="false">#ref!</definedName>
    <definedName function="false" hidden="false" name="FF" vbProcedure="false">#ref!</definedName>
    <definedName function="false" hidden="false" name="FFAPPCOLNAME5_1" vbProcedure="false">[53]CRITERIA1!$F$5</definedName>
    <definedName function="false" hidden="false" name="FFAPPCOLNAME6_1" vbProcedure="false">[53]CRITERIA1!$F$6</definedName>
    <definedName function="false" hidden="false" name="FFAPPCOLNAME7_1" vbProcedure="false">[53]CRITERIA1!$F$7</definedName>
    <definedName function="false" hidden="false" name="FFAPPCOLNAME8_1" vbProcedure="false">[53]CRITERIA1!$F$8</definedName>
    <definedName function="false" hidden="false" name="fff" vbProcedure="false">#ref!</definedName>
    <definedName function="false" hidden="false" name="ffff" vbProcedure="false">[174]!Prev.Macro113</definedName>
    <definedName function="false" hidden="false" name="fffff" vbProcedure="false">[54]Data!$W$2:$W$65</definedName>
    <definedName function="false" hidden="true" name="ffffffffffffff" vbProcedure="false">#ref!</definedName>
    <definedName function="false" hidden="false" name="FFSEGMENT1_1" vbProcedure="false">[53]CRITERIA1!$D$1</definedName>
    <definedName function="false" hidden="false" name="FFSEGMENT2_1" vbProcedure="false">[53]CRITERIA1!$D$2</definedName>
    <definedName function="false" hidden="false" name="FFSEGMENT3_1" vbProcedure="false">[53]CRITERIA1!$D$3</definedName>
    <definedName function="false" hidden="false" name="FFSEGMENT5_1" vbProcedure="false">[53]CRITERIA1!$D$5</definedName>
    <definedName function="false" hidden="false" name="FFSEGMENT6_1" vbProcedure="false">[53]CRITERIA1!$D$6</definedName>
    <definedName function="false" hidden="false" name="FFSEGMENT7_1" vbProcedure="false">[53]CRITERIA1!$D$7</definedName>
    <definedName function="false" hidden="false" name="FFSEGMENT8_1" vbProcedure="false">[53]CRITERIA1!$D$8</definedName>
    <definedName function="false" hidden="false" name="FFSEGSEPARATOR1" vbProcedure="false">[53]CRITERIA1!$B$17</definedName>
    <definedName function="false" hidden="false" name="FG" vbProcedure="false">#ref!</definedName>
    <definedName function="false" hidden="false" name="fg5ytr" vbProcedure="false">#ref!</definedName>
    <definedName function="false" hidden="false" name="fgb" vbProcedure="false">#ref!</definedName>
    <definedName function="false" hidden="false" name="fgm" vbProcedure="false">#ref!</definedName>
    <definedName function="false" hidden="false" name="FHSelected" vbProcedure="false">#ref!</definedName>
    <definedName function="false" hidden="false" name="FHSen3" vbProcedure="false">#ref!</definedName>
    <definedName function="false" hidden="false" name="Field" vbProcedure="false">#ref!</definedName>
    <definedName function="false" hidden="false" name="FieldFd" vbProcedure="false">#ref!</definedName>
    <definedName function="false" hidden="false" name="FieldName" vbProcedure="false">#ref!</definedName>
    <definedName function="false" hidden="false" name="FIELDNAMEROW1" vbProcedure="false">[53]CRITERIA1!$B$25</definedName>
    <definedName function="false" hidden="false" name="FIelds" vbProcedure="false">#ref!</definedName>
    <definedName function="false" hidden="false" name="FieldStrength" vbProcedure="false">#ref!</definedName>
    <definedName function="false" hidden="false" name="Field_Index" vbProcedure="false">'[12]JCSI 12'!$W$26</definedName>
    <definedName function="false" hidden="false" name="Filename" vbProcedure="false">[60]auf_screen!#ref!</definedName>
    <definedName function="false" hidden="false" name="filtered" vbProcedure="false">#ref!</definedName>
    <definedName function="false" hidden="false" name="final" vbProcedure="false">[145]!JointNumber</definedName>
    <definedName function="false" hidden="false" name="Finalcp" vbProcedure="false">#ref!</definedName>
    <definedName function="false" hidden="false" name="finalstimpress" vbProcedure="false">#ref!</definedName>
    <definedName function="false" hidden="false" name="finalstimrate" vbProcedure="false">#ref!</definedName>
    <definedName function="false" hidden="false" name="Fiqa" vbProcedure="false">#ref!</definedName>
    <definedName function="false" hidden="false" name="FIRSTDATAROW1" vbProcedure="false">[53]CRITERIA1!$B$27</definedName>
    <definedName function="false" hidden="false" name="First_Header" vbProcedure="false">#ref!</definedName>
    <definedName function="false" hidden="false" name="FISHNECKSIZE" vbProcedure="false">#ref!</definedName>
    <definedName function="false" hidden="false" name="FishNeckUnits" vbProcedure="false">#ref!</definedName>
    <definedName function="false" hidden="false" name="FJNDEF" vbProcedure="false">#ref!</definedName>
    <definedName function="false" hidden="false" name="Floatequipment" vbProcedure="false">#ref!</definedName>
    <definedName function="false" hidden="false" name="FloatingStart" vbProcedure="false">#ref!</definedName>
    <definedName function="false" hidden="false" name="Float_Collar_13.375" vbProcedure="false">#ref!</definedName>
    <definedName function="false" hidden="false" name="Float_Collar_7" vbProcedure="false">#ref!</definedName>
    <definedName function="false" hidden="false" name="Float_Collar_9.625" vbProcedure="false">#ref!</definedName>
    <definedName function="false" hidden="false" name="Float_Shoe_at_13.375" vbProcedure="false">#ref!</definedName>
    <definedName function="false" hidden="false" name="Flow" vbProcedure="false">#ref!</definedName>
    <definedName function="false" hidden="false" name="flow1" vbProcedure="false">'[7]Drop-Down Items'!$E$132:$E$135</definedName>
    <definedName function="false" hidden="false" name="FlowRegime" vbProcedure="false">#ref!</definedName>
    <definedName function="false" hidden="false" name="fluid" vbProcedure="false">#ref!</definedName>
    <definedName function="false" hidden="false" name="Fluids" vbProcedure="false">'[2]Data Go-To-Sheet'!$F$13:$F$71</definedName>
    <definedName function="false" hidden="false" name="FluidType" vbProcedure="false">#ref!</definedName>
    <definedName function="false" hidden="false" name="FluidTypes" vbProcedure="false">#ref!</definedName>
    <definedName function="false" hidden="false" name="FluidWeight" vbProcedure="false">#ref!</definedName>
    <definedName function="false" hidden="false" name="FluidWt" vbProcedure="false">#ref!</definedName>
    <definedName function="false" hidden="false" name="fluid_vel" vbProcedure="false">'[7]Drop-Down Items'!$P$7:$P$10</definedName>
    <definedName function="false" hidden="false" name="fluid_vol" vbProcedure="false">'[7]Drop-Down Items'!$Q$7:$Q$11</definedName>
    <definedName function="false" hidden="false" name="fm_prop" vbProcedure="false">'[7]Drop-Down Items'!$F$5:$F$12</definedName>
    <definedName function="false" hidden="false" name="FNDNAM1" vbProcedure="false">[53]CRITERIA1!$B$12</definedName>
    <definedName function="false" hidden="false" name="FNDUSERID1" vbProcedure="false">[53]CRITERIA1!$B$15</definedName>
    <definedName function="false" hidden="false" name="Follow_Dress_Dull" vbProcedure="false">'[7]Drop-Down Items'!$E$74:$E$78</definedName>
    <definedName function="false" hidden="false" name="Fondsen_Alle" vbProcedure="false">#ref!</definedName>
    <definedName function="false" hidden="false" name="FOOTAGE" vbProcedure="false">'[58]7-30-04'!#ref!</definedName>
    <definedName function="false" hidden="false" name="Footer" vbProcedure="false">#ref!</definedName>
    <definedName function="false" hidden="true" name="FORECAST" vbProcedure="false">#ref!</definedName>
    <definedName function="false" hidden="false" name="FORM" vbProcedure="false">#ref!</definedName>
    <definedName function="false" hidden="false" name="Form._Pressure" vbProcedure="false">#ref!</definedName>
    <definedName function="false" hidden="false" name="formation" vbProcedure="false">#ref!</definedName>
    <definedName function="false" hidden="false" name="Formations_Below_Nahr_Umr" vbProcedure="false">[20]Data!$X$2:$X$18</definedName>
    <definedName function="false" hidden="false" name="Formation_Remarks" vbProcedure="false">#ref!</definedName>
    <definedName function="false" hidden="false" name="Formation_Type" vbProcedure="false">'[7]Drop-Down Items'!$E$4:$E$27</definedName>
    <definedName function="false" hidden="false" name="FORMULAS" vbProcedure="false">'[44]7-30-04'!$GO$7457</definedName>
    <definedName function="false" hidden="false" name="fpm" vbProcedure="false">#ref!</definedName>
    <definedName function="false" hidden="false" name="fracgrad" vbProcedure="false">#ref!</definedName>
    <definedName function="false" hidden="false" name="fracmw" vbProcedure="false">#ref!</definedName>
    <definedName function="false" hidden="false" name="fracpress" vbProcedure="false">#ref!</definedName>
    <definedName function="false" hidden="false" name="Frequencies" vbProcedure="false">#ref!</definedName>
    <definedName function="false" hidden="false" name="FRG" vbProcedure="false">'[15]Margin Summary'!$E$23</definedName>
    <definedName function="false" hidden="false" name="frictionpressure" vbProcedure="false">[19]Data!$F$8</definedName>
    <definedName function="false" hidden="false" name="FRONT" vbProcedure="false">#ref!</definedName>
    <definedName function="false" hidden="false" name="fsm" vbProcedure="false">[55]Worksheet!$H$10</definedName>
    <definedName function="false" hidden="false" name="FT" vbProcedure="false">#ref!</definedName>
    <definedName function="false" hidden="false" name="ftg" vbProcedure="false">#ref!</definedName>
    <definedName function="false" hidden="false" name="ftmtrs" vbProcedure="false">#ref!</definedName>
    <definedName function="false" hidden="false" name="ftormeters" vbProcedure="false">'[11]Metric Conversions'!$B$14</definedName>
    <definedName function="false" hidden="false" name="FT_AVAL" vbProcedure="false">'[58]7-30-04'!#ref!</definedName>
    <definedName function="false" hidden="false" name="FT_HLDG" vbProcedure="false">'[58]7-30-04'!#ref!</definedName>
    <definedName function="false" hidden="false" name="FULL_COST_CALC" vbProcedure="false">#ref!</definedName>
    <definedName function="false" hidden="false" name="functioned" vbProcedure="false">#ref!</definedName>
    <definedName function="false" hidden="false" name="FUTOPBUDG" vbProcedure="false">'[48]Exec Summ'!$AA$74</definedName>
    <definedName function="false" hidden="false" name="fuv" vbProcedure="false">#ref!</definedName>
    <definedName function="false" hidden="false" name="F_COLLAR" vbProcedure="false">[90]tbgtally!#ref!</definedName>
    <definedName function="false" hidden="false" name="g" vbProcedure="false">#ref!</definedName>
    <definedName function="false" hidden="false" name="Gamal_Youssef_Salem" vbProcedure="false">'[179]distribution list'!#ref!</definedName>
    <definedName function="false" hidden="false" name="Gamma_Quadrant" vbProcedure="false">[38]RSS!$N$139:$N$144</definedName>
    <definedName function="false" hidden="false" name="GAS" vbProcedure="false">#ref!</definedName>
    <definedName function="false" hidden="false" name="GasQualities" vbProcedure="false">#ref!</definedName>
    <definedName function="false" hidden="false" name="gasrate" vbProcedure="false">'[94]well test sheet'!#ref!</definedName>
    <definedName function="false" hidden="false" name="GasTypes" vbProcedure="false">#ref!</definedName>
    <definedName function="false" hidden="false" name="gas_cumm" vbProcedure="false">'[94]well test sheet'!#ref!</definedName>
    <definedName function="false" hidden="false" name="GAUGE" vbProcedure="false">#ref!</definedName>
    <definedName function="false" hidden="false" name="gaugeb" vbProcedure="false">#N/A</definedName>
    <definedName function="false" hidden="false" name="Gaugecancel" vbProcedure="false">#N/A</definedName>
    <definedName function="false" hidden="false" name="gaugeconok" vbProcedure="false">#N/A</definedName>
    <definedName function="false" hidden="false" name="gaugeconok2" vbProcedure="false">#N/A</definedName>
    <definedName function="false" hidden="false" name="gaugeok" vbProcedure="false">#N/A</definedName>
    <definedName function="false" hidden="false" name="gaugeok2" vbProcedure="false">#N/A</definedName>
    <definedName function="false" hidden="false" name="GAUGES" vbProcedure="false">#ref!</definedName>
    <definedName function="false" hidden="false" name="gaugeselect" vbProcedure="false">#N/A</definedName>
    <definedName function="false" hidden="false" name="gaugeselect2" vbProcedure="false">#N/A</definedName>
    <definedName function="false" hidden="false" name="Gauge_Carrier" vbProcedure="false">'[12]JCSI 12'!$AF$29:$AF$42</definedName>
    <definedName function="false" hidden="false" name="Gauge_Index" vbProcedure="false">'[12]JCSI 12'!$AD$26</definedName>
    <definedName function="false" hidden="false" name="Gauge_Type" vbProcedure="false">'[12]JCSI 12'!$AD$29:$AD$42</definedName>
    <definedName function="false" hidden="false" name="GC" vbProcedure="false">#ref!</definedName>
    <definedName function="false" hidden="false" name="GCS" vbProcedure="false">#ref!</definedName>
    <definedName function="false" hidden="true" name="gdsg" vbProcedure="false">[56]Run!$C$16:$C$512</definedName>
    <definedName function="false" hidden="false" name="GEES" vbProcedure="false">#ref!</definedName>
    <definedName function="false" hidden="false" name="gel" vbProcedure="false">#ref!</definedName>
    <definedName function="false" hidden="false" name="GenderHeader" vbProcedure="false">#ref!</definedName>
    <definedName function="false" hidden="false" name="General" vbProcedure="false">#ref!,#ref!,#ref!,#ref!</definedName>
    <definedName function="false" hidden="false" name="genn" vbProcedure="false">'[181]1pcbud'!#ref!</definedName>
    <definedName function="false" hidden="false" name="GeodeticLocation" vbProcedure="false">#ref!</definedName>
    <definedName function="false" hidden="false" name="GeomagInfoFirstRow" vbProcedure="false">#ref!</definedName>
    <definedName function="false" hidden="false" name="Geometry" vbProcedure="false">#ref!</definedName>
    <definedName function="false" hidden="false" name="GFTTC" vbProcedure="false">[145]!JointNumber</definedName>
    <definedName function="false" hidden="false" name="GG" vbProcedure="false">#ref!</definedName>
    <definedName function="false" hidden="false" name="GGGR" vbProcedure="false">#ref!</definedName>
    <definedName function="false" hidden="false" name="gh" vbProcedure="false">#ref!</definedName>
    <definedName function="false" hidden="false" name="ghy" vbProcedure="false">#ref!</definedName>
    <definedName function="false" hidden="false" name="giu" vbProcedure="false">'[181]1pcbud'!#ref!</definedName>
    <definedName function="false" hidden="false" name="GL" vbProcedure="false">#ref!</definedName>
    <definedName function="false" hidden="false" name="GLM" vbProcedure="false">[72]!Calculate_Pipe</definedName>
    <definedName function="false" hidden="false" name="GLMs" vbProcedure="false">'[2]Equipment Go-To Sheet'!$F$201:$F$225</definedName>
    <definedName function="false" hidden="false" name="GLM_1" vbProcedure="false">INDEX([13]DRAW!$A$2:$B$12,MATCH(#ref!,[13]DRAW!$A$2:$A$12,0),2)</definedName>
    <definedName function="false" hidden="false" name="GLM_2" vbProcedure="false">INDEX([13]DRAW!$A$2:$B$12,MATCH(#ref!,[13]DRAW!$A$2:$A$12,0),2)</definedName>
    <definedName function="false" hidden="false" name="GLM_3" vbProcedure="false">INDEX([13]DRAW!$A$2:$B$12,MATCH(#ref!,[13]DRAW!$A$2:$A$12,0),2)</definedName>
    <definedName function="false" hidden="false" name="GLM_4" vbProcedure="false">INDEX([13]DRAW!$A$2:$B$12,MATCH(#ref!,[13]DRAW!$A$2:$A$12,0),2)</definedName>
    <definedName function="false" hidden="false" name="GLVs" vbProcedure="false">'[2]Equipment Go-To Sheet'!$F$223:$F$232</definedName>
    <definedName function="false" hidden="false" name="GM" vbProcedure="false">#ref!</definedName>
    <definedName function="false" hidden="true" name="Gmh" vbProcedure="false">{#N/A,#N/A,FALSE,"Sheet1"}</definedName>
    <definedName function="false" hidden="false" name="gor" vbProcedure="false">'[94]well test sheet'!#ref!</definedName>
    <definedName function="false" hidden="false" name="Goto_End_Ranges" vbProcedure="false">[60]auf_screen!#ref!</definedName>
    <definedName function="false" hidden="false" name="Goto_Home_Ranges" vbProcedure="false">[60]auf_screen!#ref!</definedName>
    <definedName function="false" hidden="false" name="Goto_Ranges" vbProcedure="false">[60]auf_screen!#ref!</definedName>
    <definedName function="false" hidden="false" name="GP" vbProcedure="false">#ref!</definedName>
    <definedName function="false" hidden="false" name="gpbreakerconc" vbProcedure="false">#ref!</definedName>
    <definedName function="false" hidden="false" name="gpbreakertype" vbProcedure="false">#ref!</definedName>
    <definedName function="false" hidden="false" name="gpcarriertype" vbProcedure="false">#ref!</definedName>
    <definedName function="false" hidden="false" name="gpcarriervis" vbProcedure="false">#ref!</definedName>
    <definedName function="false" hidden="false" name="gpcarriervol" vbProcedure="false">#ref!</definedName>
    <definedName function="false" hidden="false" name="gpcarrierwt" vbProcedure="false">#ref!</definedName>
    <definedName function="false" hidden="false" name="gpextlength" vbProcedure="false">#ref!</definedName>
    <definedName function="false" hidden="false" name="gpextod" vbProcedure="false">#ref!</definedName>
    <definedName function="false" hidden="false" name="gpgel" vbProcedure="false">#ref!</definedName>
    <definedName function="false" hidden="false" name="gpinfuserate" vbProcedure="false">#ref!</definedName>
    <definedName function="false" hidden="false" name="gplbs" vbProcedure="false">#ref!</definedName>
    <definedName function="false" hidden="false" name="gpleakoff" vbProcedure="false">#ref!</definedName>
    <definedName function="false" hidden="false" name="gpmixratio" vbProcedure="false">#ref!</definedName>
    <definedName function="false" hidden="false" name="gppadfluid" vbProcedure="false">#ref!</definedName>
    <definedName function="false" hidden="false" name="gppadvol" vbProcedure="false">#ref!</definedName>
    <definedName function="false" hidden="false" name="gppumprate" vbProcedure="false">#ref!</definedName>
    <definedName function="false" hidden="false" name="gpreturnrate" vbProcedure="false">[5]WTR!$M$87</definedName>
    <definedName function="false" hidden="false" name="gpsandoutpress" vbProcedure="false">#ref!</definedName>
    <definedName function="false" hidden="false" name="gpsandoutrate" vbProcedure="false">#ref!</definedName>
    <definedName function="false" hidden="false" name="gpslurrydens" vbProcedure="false">#ref!</definedName>
    <definedName function="false" hidden="false" name="gptotalslurryvol" vbProcedure="false">#ref!</definedName>
    <definedName function="false" hidden="false" name="gptotalslurryvol_1" vbProcedure="false">'[6]#ref'!#ref!</definedName>
    <definedName function="false" hidden="false" name="gptotalslurryvol_10" vbProcedure="false">'[6]#ref'!#ref!</definedName>
    <definedName function="false" hidden="false" name="gptotalslurryvol_11" vbProcedure="false">'[6]#ref'!#ref!</definedName>
    <definedName function="false" hidden="false" name="gptotalslurryvol_2" vbProcedure="false">'[6]#ref'!#ref!</definedName>
    <definedName function="false" hidden="false" name="gptotalslurryvol_3" vbProcedure="false">'[6]#ref'!#ref!</definedName>
    <definedName function="false" hidden="false" name="gptotalslurryvol_4" vbProcedure="false">'[6]#ref'!#ref!</definedName>
    <definedName function="false" hidden="false" name="gptotalslurryvol_5" vbProcedure="false">'[6]#ref'!#ref!</definedName>
    <definedName function="false" hidden="false" name="gptotalslurryvol_6" vbProcedure="false">'[6]#ref'!#ref!</definedName>
    <definedName function="false" hidden="false" name="gptotalslurryvol_7" vbProcedure="false">'[6]#ref'!#ref!</definedName>
    <definedName function="false" hidden="false" name="gptotalslurryvol_8" vbProcedure="false">'[6]#ref'!#ref!</definedName>
    <definedName function="false" hidden="false" name="gptotalslurryvol_9" vbProcedure="false">'[6]#ref'!#ref!</definedName>
    <definedName function="false" hidden="false" name="GP_EXT_OD" vbProcedure="false">#ref!</definedName>
    <definedName function="false" hidden="false" name="GP_MIX_RATIO" vbProcedure="false">#ref!</definedName>
    <definedName function="false" hidden="false" name="GP_SLURRY_VOL" vbProcedure="false">#ref!</definedName>
    <definedName function="false" hidden="false" name="GQGQ" vbProcedure="false">#ref!</definedName>
    <definedName function="false" hidden="false" name="GQQ" vbProcedure="false">#ref!</definedName>
    <definedName function="false" hidden="false" name="GR" vbProcedure="false">#ref!</definedName>
    <definedName function="false" hidden="false" name="grade" vbProcedure="false">#ref!</definedName>
    <definedName function="false" hidden="false" name="GRADEPIPE" vbProcedure="false">#ref!</definedName>
    <definedName function="false" hidden="false" name="Grade_DP" vbProcedure="false">[25]Data!$J$3:$J$30</definedName>
    <definedName function="false" hidden="true" name="grapgb" vbProcedure="false">#ref!</definedName>
    <definedName function="false" hidden="false" name="GrapHSVOverkill" vbProcedure="false">#ref!</definedName>
    <definedName function="false" hidden="false" name="GrapLSV" vbProcedure="false">#ref!</definedName>
    <definedName function="false" hidden="false" name="GrapOverkillExtra" vbProcedure="false">#ref!</definedName>
    <definedName function="false" hidden="false" name="GrapUBPres" vbProcedure="false">#ref!</definedName>
    <definedName function="false" hidden="false" name="GrapUBPress" vbProcedure="false">#ref!</definedName>
    <definedName function="false" hidden="false" name="gravelincasing" vbProcedure="false">#ref!</definedName>
    <definedName function="false" hidden="false" name="gravelinperfs" vbProcedure="false">[5]WTR!$G$101</definedName>
    <definedName function="false" hidden="false" name="gravelonblank" vbProcedure="false">[5]WTR!$I$155</definedName>
    <definedName function="false" hidden="false" name="gravelonscreen" vbProcedure="false">[5]WTR!$I$154</definedName>
    <definedName function="false" hidden="false" name="gravelsize" vbProcedure="false">#ref!</definedName>
    <definedName function="false" hidden="false" name="GRAVEL_IN_CSG." vbProcedure="false">#ref!</definedName>
    <definedName function="false" hidden="false" name="GridConvergence" vbProcedure="false">#ref!</definedName>
    <definedName function="false" hidden="false" name="GridLocation" vbProcedure="false">#ref!</definedName>
    <definedName function="false" hidden="false" name="grinhhhhhh" vbProcedure="false">#ref!</definedName>
    <definedName function="false" hidden="false" name="GROSS_COST_DATA" vbProcedure="false">#ref!</definedName>
    <definedName function="false" hidden="false" name="GroundLevelElevation" vbProcedure="false">#ref!</definedName>
    <definedName function="false" hidden="false" name="Groupdb" vbProcedure="false">#ref!</definedName>
    <definedName function="false" hidden="false" name="GroupID" vbProcedure="false">[11]DATA!$Q$2:$Q$268</definedName>
    <definedName function="false" hidden="false" name="Groupslb" vbProcedure="false">#ref!</definedName>
    <definedName function="false" hidden="false" name="Group_ID" vbProcedure="false">[57]DATA!$Q$2:$Q$268</definedName>
    <definedName function="false" hidden="false" name="GRQ" vbProcedure="false">#ref!</definedName>
    <definedName function="false" hidden="true" name="gsa" vbProcedure="false">#ref!</definedName>
    <definedName function="false" hidden="true" name="GUB24SECWELL" vbProcedure="false">#ref!</definedName>
    <definedName function="false" hidden="false" name="GUCF" vbProcedure="false">#ref!</definedName>
    <definedName function="false" hidden="false" name="GudCont" vbProcedure="false">#ref!</definedName>
    <definedName function="false" hidden="false" name="Gun" vbProcedure="false">#ref!</definedName>
    <definedName function="false" hidden="false" name="GunDatabase" vbProcedure="false">#ref!</definedName>
    <definedName function="false" hidden="false" name="GunLength" vbProcedure="false">#ref!</definedName>
    <definedName function="false" hidden="false" name="GunSize" vbProcedure="false">#ref!</definedName>
    <definedName function="false" hidden="false" name="GunSPF" vbProcedure="false">#ref!</definedName>
    <definedName function="false" hidden="false" name="GunsWeight" vbProcedure="false">#ref!</definedName>
    <definedName function="false" hidden="false" name="GunSystem" vbProcedure="false">#ref!</definedName>
    <definedName function="false" hidden="false" name="gunticket" vbProcedure="false">#ref!</definedName>
    <definedName function="false" hidden="false" name="Gun_Size" vbProcedure="false">#ref!</definedName>
    <definedName function="false" hidden="false" name="GWS" vbProcedure="false">#ref!</definedName>
    <definedName function="false" hidden="false" name="h" vbProcedure="false">#ref!</definedName>
    <definedName function="false" hidden="false" name="H2S" vbProcedure="false">#ref!</definedName>
    <definedName function="false" hidden="false" name="Habshan" vbProcedure="false">#ref!</definedName>
    <definedName function="false" hidden="false" name="Habshan_Zone_1" vbProcedure="false">#ref!</definedName>
    <definedName function="false" hidden="false" name="Habshan_Zone_2" vbProcedure="false">#ref!</definedName>
    <definedName function="false" hidden="false" name="Habshan_Zone_3" vbProcedure="false">#ref!</definedName>
    <definedName function="false" hidden="false" name="Habshan_Zone_4" vbProcedure="false">#ref!</definedName>
    <definedName function="false" hidden="false" name="Habshan_Zone_4A" vbProcedure="false">#ref!</definedName>
    <definedName function="false" hidden="false" name="Habshan_Zone_5" vbProcedure="false">#ref!</definedName>
    <definedName function="false" hidden="false" name="Halul" vbProcedure="false">#ref!</definedName>
    <definedName function="false" hidden="false" name="Halul___Laffan" vbProcedure="false">#ref!</definedName>
    <definedName function="false" hidden="false" name="HANGER" vbProcedure="false">#ref!</definedName>
    <definedName function="false" hidden="false" name="Hangerfunction" vbProcedure="false">#ref!</definedName>
    <definedName function="false" hidden="false" name="Hanger_Burst" vbProcedure="false">#ref!</definedName>
    <definedName function="false" hidden="false" name="Hanger_size" vbProcedure="false">#ref!</definedName>
    <definedName function="false" hidden="false" name="HangSelect" vbProcedure="false">#ref!</definedName>
    <definedName function="false" hidden="false" name="Hanifa" vbProcedure="false">#ref!</definedName>
    <definedName function="false" hidden="false" name="Hardware" vbProcedure="false">[141]summary!#ref!</definedName>
    <definedName function="false" hidden="false" name="Hassan" vbProcedure="false">[185]!Macro1</definedName>
    <definedName function="false" hidden="false" name="HAUL_Thread" vbProcedure="false">[11]DATA!$BM$22:$BM$114</definedName>
    <definedName function="false" hidden="false" name="HazCat" vbProcedure="false">[58]HARC_Upload!$B$3:$V$3</definedName>
    <definedName function="false" hidden="false" name="HDFDepth" vbProcedure="false">#ref!</definedName>
    <definedName function="false" hidden="false" name="HEAD" vbProcedure="false">#ref!</definedName>
    <definedName function="false" hidden="false" name="HelBucklingUnit" vbProcedure="false">#ref!</definedName>
    <definedName function="false" hidden="false" name="Help" vbProcedure="false">#ref!</definedName>
    <definedName function="false" hidden="false" name="hesfluid" vbProcedure="false">#ref!</definedName>
    <definedName function="false" hidden="false" name="hfmSBBCopyBBRange" vbProcedure="false">#ref!</definedName>
    <definedName function="false" hidden="false" name="hfmSBBSetFormula" vbProcedure="false">#ref!</definedName>
    <definedName function="false" hidden="false" name="hfmSBBSetValueRange" vbProcedure="false">#ref!</definedName>
    <definedName function="false" hidden="false" name="HGG" vbProcedure="false">[139]tonmiles!#ref!</definedName>
    <definedName function="false" hidden="true" name="hgh" vbProcedure="false">[1]Run!$D$15:$D$512</definedName>
    <definedName function="false" hidden="false" name="hgr" vbProcedure="false">#ref!</definedName>
    <definedName function="false" hidden="false" name="HgrMaterial" vbProcedure="false">#ref!</definedName>
    <definedName function="false" hidden="false" name="HGR_OL_Packoff_In" vbProcedure="false">#ref!</definedName>
    <definedName function="false" hidden="false" name="hh" vbProcedure="false">#ref!</definedName>
    <definedName function="false" hidden="false" name="hhd" vbProcedure="false">#ref!</definedName>
    <definedName function="false" hidden="false" name="HHHH" vbProcedure="false">#ref!</definedName>
    <definedName function="false" hidden="false" name="hhp" vbProcedure="false">'[94]well test sheet'!#ref!</definedName>
    <definedName function="false" hidden="false" name="hideahead" vbProcedure="false">#ref!</definedName>
    <definedName function="false" hidden="false" name="hideboh" vbProcedure="false">#ref!</definedName>
    <definedName function="false" hidden="false" name="hidebtoincl" vbProcedure="false">#ref!</definedName>
    <definedName function="false" hidden="false" name="hidebur2" vbProcedure="false">#ref!</definedName>
    <definedName function="false" hidden="false" name="hidesvy" vbProcedure="false">#ref!</definedName>
    <definedName function="false" hidden="false" name="Hith_Anhydrite" vbProcedure="false">#ref!</definedName>
    <definedName function="false" hidden="false" name="hj" vbProcedure="false">#ref!</definedName>
    <definedName function="false" hidden="false" name="HKWT" vbProcedure="false">#ref!</definedName>
    <definedName function="false" hidden="false" name="HLDG_CUST" vbProcedure="false">'[58]7-30-04'!#ref!</definedName>
    <definedName function="false" hidden="false" name="HLDG_QTY" vbProcedure="false">'[58]7-30-04'!#ref!</definedName>
    <definedName function="false" hidden="false" name="Hngr_Body_OD" vbProcedure="false">#ref!</definedName>
    <definedName function="false" hidden="false" name="Hngr_Body_yield" vbProcedure="false">#ref!</definedName>
    <definedName function="false" hidden="false" name="Hngr_Bst" vbProcedure="false">#ref!</definedName>
    <definedName function="false" hidden="false" name="Hngr_Bstz" vbProcedure="false">'[11]Liner Job Info'!$D$39</definedName>
    <definedName function="false" hidden="false" name="Hngr_Coll" vbProcedure="false">#ref!</definedName>
    <definedName function="false" hidden="false" name="Hngr_ID" vbProcedure="false">#ref!</definedName>
    <definedName function="false" hidden="false" name="Hngr_Model" vbProcedure="false">#ref!</definedName>
    <definedName function="false" hidden="false" name="HNGR_OL_PO_Out" vbProcedure="false">#ref!</definedName>
    <definedName function="false" hidden="false" name="Hngr_Overload_Cmt_Setup" vbProcedure="false">#ref!</definedName>
    <definedName function="false" hidden="false" name="Hngr_Shear" vbProcedure="false">#ref!</definedName>
    <definedName function="false" hidden="false" name="Hngr_Tens" vbProcedure="false">#ref!</definedName>
    <definedName function="false" hidden="false" name="Hng_Cap" vbProcedure="false">#ref!</definedName>
    <definedName function="false" hidden="false" name="HOLEmud" vbProcedure="false">#ref!,#ref!,#ref!</definedName>
    <definedName function="false" hidden="false" name="HoleSize" vbProcedure="false">#ref!</definedName>
    <definedName function="false" hidden="false" name="HoleSizeUnits" vbProcedure="false">#ref!</definedName>
    <definedName function="false" hidden="false" name="holevol" vbProcedure="false">#N/A</definedName>
    <definedName function="false" hidden="false" name="hole_csg_size" vbProcedure="false">'[7]Drop-Down Items'!$K$7:$K$8</definedName>
    <definedName function="false" hidden="false" name="Hole_depth" vbProcedure="false">#ref!</definedName>
    <definedName function="false" hidden="false" name="Hole_Size_12.25_9.625" vbProcedure="false">#ref!</definedName>
    <definedName function="false" hidden="false" name="Hole_Size_8.5_7" vbProcedure="false">#ref!</definedName>
    <definedName function="false" hidden="false" name="HookloadUnit" vbProcedure="false">#ref!</definedName>
    <definedName function="false" hidden="false" name="HoursMax" vbProcedure="false">#ref!</definedName>
    <definedName function="false" hidden="false" name="hpb" vbProcedure="false">'[94]well test sheet'!#ref!</definedName>
    <definedName function="false" hidden="false" name="HRS" vbProcedure="false">'[189]amberjack a32ream'!#ref!</definedName>
    <definedName function="false" hidden="false" name="hrt" vbProcedure="false">#ref!</definedName>
    <definedName function="false" hidden="false" name="HR_Turns" vbProcedure="false">#ref!</definedName>
    <definedName function="false" hidden="false" name="HSDT3" vbProcedure="false">#ref!</definedName>
    <definedName function="false" hidden="false" name="hslipjoint" vbProcedure="false">#ref!</definedName>
    <definedName function="false" hidden="false" name="HSVOverkill" vbProcedure="false">#ref!</definedName>
    <definedName function="false" hidden="true" name="HTML_CodePage" vbProcedure="false">1252</definedName>
    <definedName function="false" hidden="true" name="HTML_Control" vbProcedure="false">{"'Operator &amp; Well Info.'!$A$1:$F$16"}</definedName>
    <definedName function="false" hidden="true" name="HTML_Description" vbProcedure="false">""</definedName>
    <definedName function="false" hidden="true" name="HTML_Email" vbProcedure="false">""</definedName>
    <definedName function="false" hidden="true" name="HTML_Header" vbProcedure="false">"Operator &amp; Well Info."</definedName>
    <definedName function="false" hidden="true" name="HTML_LastUpdate" vbProcedure="false">"3/17/00"</definedName>
    <definedName function="false" hidden="true" name="HTML_LineAfter" vbProcedure="false">FALSE()</definedName>
    <definedName function="false" hidden="true" name="HTML_LineBefore" vbProcedure="false">FALSE()</definedName>
    <definedName function="false" hidden="true" name="HTML_Name" vbProcedure="false">"Greg Whiteley"</definedName>
    <definedName function="false" hidden="true" name="HTML_OBDlg2" vbProcedure="false">TRUE()</definedName>
    <definedName function="false" hidden="true" name="HTML_OBDlg4" vbProcedure="false">TRUE()</definedName>
    <definedName function="false" hidden="true" name="HTML_OS" vbProcedure="false">0</definedName>
    <definedName function="false" hidden="true" name="HTML_PathFile" vbProcedure="false">"C:\My Documents\MyHTML.htm"</definedName>
    <definedName function="false" hidden="true" name="HTML_Title" vbProcedure="false">"Book2"</definedName>
    <definedName function="false" hidden="false" name="HWDP" vbProcedure="false">#ref!</definedName>
    <definedName function="false" hidden="false" name="hwdpdt" vbProcedure="false">'[45]WCT-Ft'!$Q$19:$X$24</definedName>
    <definedName function="false" hidden="false" name="HWDP_s" vbProcedure="false">#ref!</definedName>
    <definedName function="false" hidden="false" name="HWDrillPipeID" vbProcedure="false">#ref!</definedName>
    <definedName function="false" hidden="false" name="HWDrillPipeLength" vbProcedure="false">#ref!</definedName>
    <definedName function="false" hidden="false" name="HWDrillPipeOD" vbProcedure="false">#ref!</definedName>
    <definedName function="false" hidden="false" name="HWDrillPipeWt" vbProcedure="false">#ref!</definedName>
    <definedName function="false" hidden="false" name="HWSCo" vbProcedure="false">#ref!</definedName>
    <definedName function="false" hidden="false" name="HWSt" vbProcedure="false">#ref!</definedName>
    <definedName function="false" hidden="false" name="hy" vbProcedure="false">[49]!Prev.Macro106</definedName>
    <definedName function="false" hidden="false" name="Hyd._Pressure" vbProcedure="false">#ref!</definedName>
    <definedName function="false" hidden="false" name="Hyd_at_TV" vbProcedure="false">#ref!</definedName>
    <definedName function="false" hidden="false" name="Hyd_Effect_Force" vbProcedure="false">#ref!</definedName>
    <definedName function="false" hidden="false" name="Hyd_force_element" vbProcedure="false">#ref!</definedName>
    <definedName function="false" hidden="false" name="HyfloSeatID" vbProcedure="false">#ref!</definedName>
    <definedName function="false" hidden="false" name="HyfloSeatNumber" vbProcedure="false">#ref!</definedName>
    <definedName function="false" hidden="false" name="HyfloSupplier" vbProcedure="false">#ref!</definedName>
    <definedName function="false" hidden="false" name="i" vbProcedure="false">#ref!</definedName>
    <definedName function="false" hidden="false" name="ICMS" vbProcedure="false">#ref!</definedName>
    <definedName function="false" hidden="false" name="ICP" vbProcedure="false">#ref!</definedName>
    <definedName function="false" hidden="false" name="ID" vbProcedure="false">#ref!</definedName>
    <definedName function="false" hidden="false" name="IDColumn" vbProcedure="false">#ref!</definedName>
    <definedName function="false" hidden="false" name="IDdb" vbProcedure="false">#ref!</definedName>
    <definedName function="false" hidden="false" name="IDDP" vbProcedure="false">#ref!</definedName>
    <definedName function="false" hidden="false" name="idlist" vbProcedure="false">[19]Data!$GD$2:$GE$237</definedName>
    <definedName function="false" hidden="false" name="idslb" vbProcedure="false">#ref!</definedName>
    <definedName function="false" hidden="false" name="idstring" vbProcedure="false">#ref!</definedName>
    <definedName function="false" hidden="false" name="IDUnit" vbProcedure="false">#ref!</definedName>
    <definedName function="false" hidden="false" name="IGLD_Tally_Depths" vbProcedure="false">'[2]5 GLV Design'!$B$2:$K$23</definedName>
    <definedName function="false" hidden="false" name="IGLD_Target_Depths" vbProcedure="false">'[2]5 GLV Design'!$B$26:$K$47</definedName>
    <definedName function="false" hidden="false" name="iiiiiiiiiiiiikkk" vbProcedure="false">#ref!</definedName>
    <definedName function="false" hidden="false" name="ik" vbProcedure="false">#ref!,#ref!</definedName>
    <definedName function="false" hidden="false" name="Imagedb" vbProcedure="false">#ref!</definedName>
    <definedName function="false" hidden="false" name="Imageslb" vbProcedure="false">#ref!</definedName>
    <definedName function="false" hidden="false" name="imagestring" vbProcedure="false">#ref!</definedName>
    <definedName function="false" hidden="false" name="impdwg" vbProcedure="false">#ref!</definedName>
    <definedName function="false" hidden="false" name="impdwg_1" vbProcedure="false">impdwg</definedName>
    <definedName function="false" hidden="false" name="impdwg_10" vbProcedure="false">impdwg</definedName>
    <definedName function="false" hidden="false" name="impdwg_11" vbProcedure="false">impdwg</definedName>
    <definedName function="false" hidden="false" name="impdwg_2" vbProcedure="false">impdwg</definedName>
    <definedName function="false" hidden="false" name="impdwg_3" vbProcedure="false">impdwg</definedName>
    <definedName function="false" hidden="false" name="impdwg_4" vbProcedure="false">impdwg</definedName>
    <definedName function="false" hidden="false" name="impdwg_5" vbProcedure="false">impdwg</definedName>
    <definedName function="false" hidden="false" name="impdwg_6" vbProcedure="false">impdwg</definedName>
    <definedName function="false" hidden="false" name="impdwg_7" vbProcedure="false">impdwg</definedName>
    <definedName function="false" hidden="false" name="impdwg_8" vbProcedure="false">impdwg</definedName>
    <definedName function="false" hidden="false" name="impdwg_9" vbProcedure="false">impdwg</definedName>
    <definedName function="false" hidden="false" name="ImpExpStringLb" vbProcedure="false">#ref!</definedName>
    <definedName function="false" hidden="false" name="IMPflow" vbProcedure="false">#ref!</definedName>
    <definedName function="false" hidden="false" name="in" vbProcedure="false">#ref!</definedName>
    <definedName function="false" hidden="false" name="Inc" vbProcedure="false">#ref!</definedName>
    <definedName function="false" hidden="false" name="inch" vbProcedure="false">#ref!</definedName>
    <definedName function="false" hidden="false" name="Incl" vbProcedure="false">#ref!</definedName>
    <definedName function="false" hidden="false" name="INCLAHEAD" vbProcedure="false">#ref!</definedName>
    <definedName function="false" hidden="false" name="INCLBOH" vbProcedure="false">#ref!</definedName>
    <definedName function="false" hidden="false" name="InclColumn" vbProcedure="false">!#ref!</definedName>
    <definedName function="false" hidden="false" name="INCLfoto" vbProcedure="false">#ref!</definedName>
    <definedName function="false" hidden="false" name="INCLfotobj" vbProcedure="false">#ref!</definedName>
    <definedName function="false" hidden="false" name="Inclination" vbProcedure="false">#ref!</definedName>
    <definedName function="false" hidden="false" name="InclinationData" vbProcedure="false">OFFSET([191]!Inclination,2,0,COUNT(#ref!),1)</definedName>
    <definedName function="false" hidden="false" name="Inclination_In" vbProcedure="false">#ref!</definedName>
    <definedName function="false" hidden="false" name="Inclination_Out" vbProcedure="false">#ref!</definedName>
    <definedName function="false" hidden="false" name="INCLnobj" vbProcedure="false">#ref!</definedName>
    <definedName function="false" hidden="false" name="INCLproj" vbProcedure="false">#ref!</definedName>
    <definedName function="false" hidden="false" name="INCLtieon" vbProcedure="false">#ref!</definedName>
    <definedName function="false" hidden="false" name="InclUnit" vbProcedure="false">#ref!</definedName>
    <definedName function="false" hidden="true"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Index_Client" vbProcedure="false">#ref!</definedName>
    <definedName function="false" hidden="false" name="INFL" vbProcedure="false">#ref!</definedName>
    <definedName function="false" hidden="false" name="Infl." vbProcedure="false">#ref!</definedName>
    <definedName function="false" hidden="false" name="InfoInput" vbProcedure="false">#ref!</definedName>
    <definedName function="false" hidden="false" name="Information" vbProcedure="false">[60]auf_screen!#ref!</definedName>
    <definedName function="false" hidden="false" name="Information_Range" vbProcedure="false">[60]auf_screen!#ref!</definedName>
    <definedName function="false" hidden="false" name="INFUSER_RATE" vbProcedure="false">#ref!</definedName>
    <definedName function="false" hidden="false" name="INFUSER_RATE_PREPACK" vbProcedure="false">#ref!</definedName>
    <definedName function="false" hidden="false" name="Initialcp" vbProcedure="false">#ref!</definedName>
    <definedName function="false" hidden="false" name="InitialName" vbProcedure="false">#ref!</definedName>
    <definedName function="false" hidden="false" name="injectiona" vbProcedure="false">#ref!</definedName>
    <definedName function="false" hidden="false" name="injectionb" vbProcedure="false">#ref!</definedName>
    <definedName function="false" hidden="false" name="injectionc" vbProcedure="false">#ref!</definedName>
    <definedName function="false" hidden="false" name="injectiond" vbProcedure="false">#ref!</definedName>
    <definedName function="false" hidden="false" name="injectione" vbProcedure="false">#ref!</definedName>
    <definedName function="false" hidden="false" name="injectionf" vbProcedure="false">#ref!</definedName>
    <definedName function="false" hidden="false" name="injectiong" vbProcedure="false">#ref!</definedName>
    <definedName function="false" hidden="false" name="injectionh" vbProcedure="false">#ref!</definedName>
    <definedName function="false" hidden="false" name="injectioni" vbProcedure="false">#ref!</definedName>
    <definedName function="false" hidden="false" name="injectionj" vbProcedure="false">#ref!</definedName>
    <definedName function="false" hidden="false" name="InLineConn" vbProcedure="false">#ref!</definedName>
    <definedName function="false" hidden="false" name="INPUT" vbProcedure="false">'[4]cumulative temp diff'!#ref!</definedName>
    <definedName function="false" hidden="false" name="Insert" vbProcedure="false">#ref!</definedName>
    <definedName function="false" hidden="false" name="INSERT1" vbProcedure="false">#ref!</definedName>
    <definedName function="false" hidden="false" name="INSERT2" vbProcedure="false">#ref!</definedName>
    <definedName function="false" hidden="false" name="INSERT3" vbProcedure="false">#ref!</definedName>
    <definedName function="false" hidden="false" name="INSERT5" vbProcedure="false">#ref!</definedName>
    <definedName function="false" hidden="false" name="InsertPoint" vbProcedure="false">#ref!</definedName>
    <definedName function="false" hidden="false" name="Insert_New_Page" vbProcedure="false">#ref!</definedName>
    <definedName function="false" hidden="false" name="Insert_New_Page_1" vbProcedure="false">[74]!Insert_New_Page</definedName>
    <definedName function="false" hidden="false" name="Insert_New_Page_10" vbProcedure="false">[74]!Insert_New_Page</definedName>
    <definedName function="false" hidden="false" name="Insert_New_Page_11" vbProcedure="false">[74]!Insert_New_Page</definedName>
    <definedName function="false" hidden="false" name="Insert_New_Page_2" vbProcedure="false">[74]!Insert_New_Page</definedName>
    <definedName function="false" hidden="false" name="Insert_New_Page_3" vbProcedure="false">[74]!Insert_New_Page</definedName>
    <definedName function="false" hidden="false" name="Insert_New_Page_4" vbProcedure="false">[74]!Insert_New_Page</definedName>
    <definedName function="false" hidden="false" name="Insert_New_Page_5" vbProcedure="false">[74]!Insert_New_Page</definedName>
    <definedName function="false" hidden="false" name="Insert_New_Page_6" vbProcedure="false">[74]!Insert_New_Page</definedName>
    <definedName function="false" hidden="false" name="Insert_New_Page_7" vbProcedure="false">[74]!Insert_New_Page</definedName>
    <definedName function="false" hidden="false" name="Insert_New_Page_8" vbProcedure="false">[74]!Insert_New_Page</definedName>
    <definedName function="false" hidden="false" name="Insert_New_Page_9" vbProcedure="false">[74]!Insert_New_Page</definedName>
    <definedName function="false" hidden="false" name="Inside_Info" vbProcedure="false">#ref!</definedName>
    <definedName function="false" hidden="false" name="INSTRUCTIONS" vbProcedure="false">#ref!</definedName>
    <definedName function="false" hidden="false" name="Insurance" vbProcedure="false">#ref!</definedName>
    <definedName function="false" hidden="false" name="Internalvolstring" vbProcedure="false">#ref!</definedName>
    <definedName function="false" hidden="false" name="IntervalFd" vbProcedure="false">#ref!</definedName>
    <definedName function="false" hidden="false" name="IntFd" vbProcedure="false">#ref!</definedName>
    <definedName function="false" hidden="false" name="inv" vbProcedure="false">#ref!</definedName>
    <definedName function="false" hidden="false" name="INVENT2" vbProcedure="false">#ref!</definedName>
    <definedName function="false" hidden="false" name="Inverse_Balloon_Area" vbProcedure="false">#ref!</definedName>
    <definedName function="false" hidden="false" name="invoice" vbProcedure="false">#ref!</definedName>
    <definedName function="false" hidden="false" name="Involvement" vbProcedure="false">#ref!</definedName>
    <definedName function="false" hidden="false" name="InvRefNum" vbProcedure="false">#ref!</definedName>
    <definedName function="false" hidden="false" name="ipad_form" vbProcedure="false">'[7]Drop-Down Items'!$AE$7:$AE$8</definedName>
    <definedName function="false" hidden="false" name="IPI" vbProcedure="false">#ref!</definedName>
    <definedName function="false" hidden="false" name="IR" vbProcedure="false">#ref!</definedName>
    <definedName function="false" hidden="false" name="iris" vbProcedure="false">#ref!</definedName>
    <definedName function="false" hidden="false" name="isip" vbProcedure="false">#ref!</definedName>
    <definedName function="false" hidden="false" name="Issue" vbProcedure="false">#ref!</definedName>
    <definedName function="false" hidden="false" name="Item1" vbProcedure="false">INDEX(#ref!,0,MATCH('[59]ENG Input'!$A$12,Categories,0))</definedName>
    <definedName function="false" hidden="false" name="Item10" vbProcedure="false">INDEX(#ref!,0,MATCH('[59]ENG Input'!$A$128,Categories,0))</definedName>
    <definedName function="false" hidden="false" name="Item11" vbProcedure="false">INDEX(#ref!,0,MATCH('[59]ENG Input'!$A$139,Categories,0))</definedName>
    <definedName function="false" hidden="false" name="Item12" vbProcedure="false">INDEX(#ref!,0,MATCH('[59]ENG Input'!$A$155,Categories,0))</definedName>
    <definedName function="false" hidden="false" name="Item13" vbProcedure="false">INDEX(#ref!,0,MATCH('[59]ENG Input'!$A$171,Categories,0))</definedName>
    <definedName function="false" hidden="false" name="Item14" vbProcedure="false">INDEX(#ref!,0,MATCH('[59]ENG Input'!$A$182,Categories,0))</definedName>
    <definedName function="false" hidden="false" name="Item15" vbProcedure="false">INDEX(#ref!,0,MATCH('[59]ENG Input'!$A$193,Categories,0))</definedName>
    <definedName function="false" hidden="false" name="Item16" vbProcedure="false">INDEX(#ref!,0,MATCH('[59]ENG Input'!$A$204,Categories,0))</definedName>
    <definedName function="false" hidden="false" name="Item17" vbProcedure="false">INDEX(#ref!,0,MATCH('[59]ENG Input'!$A$215,Categories,0))</definedName>
    <definedName function="false" hidden="false" name="Item18" vbProcedure="false">INDEX(#ref!,0,MATCH('[59]ENG Input'!$A$226,Categories,0))</definedName>
    <definedName function="false" hidden="false" name="Item19" vbProcedure="false">INDEX(#ref!,0,MATCH('[59]ENG Input'!$A$237,Categories,0))</definedName>
    <definedName function="false" hidden="false" name="Item2" vbProcedure="false">INDEX(#ref!,0,MATCH('[59]ENG Input'!$A$32,Categories,0))</definedName>
    <definedName function="false" hidden="false" name="Item20" vbProcedure="false">INDEX(#ref!,0,MATCH('[59]ENG Input'!$A$248,Categories,0))</definedName>
    <definedName function="false" hidden="false" name="Item3" vbProcedure="false">INDEX(#ref!,0,MATCH('[59]ENG Input'!$A$48,Categories,0))</definedName>
    <definedName function="false" hidden="false" name="Item4" vbProcedure="false">INDEX(#ref!,0,MATCH('[59]ENG Input'!$A$59,Categories,0))</definedName>
    <definedName function="false" hidden="false" name="Item5" vbProcedure="false">INDEX(#ref!,0,MATCH('[59]ENG Input'!$A$73,Categories,0))</definedName>
    <definedName function="false" hidden="false" name="Item6" vbProcedure="false">INDEX(#ref!,0,MATCH('[59]ENG Input'!$A$84,Categories,0))</definedName>
    <definedName function="false" hidden="false" name="Item7" vbProcedure="false">INDEX(#ref!,0,MATCH('[59]ENG Input'!$A$95,Categories,0))</definedName>
    <definedName function="false" hidden="false" name="Item8" vbProcedure="false">INDEX(#ref!,0,MATCH('[59]ENG Input'!$A$106,Categories,0))</definedName>
    <definedName function="false" hidden="false" name="Item9" vbProcedure="false">INDEX(#ref!,0,MATCH('[59]ENG Input'!$A$117,Categories,0))</definedName>
    <definedName function="false" hidden="false" name="itemnumberstring" vbProcedure="false">#ref!</definedName>
    <definedName function="false" hidden="false" name="itemnumberstring2" vbProcedure="false">#ref!</definedName>
    <definedName function="false" hidden="true" name="iuuyyyt" vbProcedure="false">#ref!</definedName>
    <definedName function="false" hidden="false" name="j" vbProcedure="false">#ref!</definedName>
    <definedName function="false" hidden="false" name="JANANALSCP" vbProcedure="false">#ref!</definedName>
    <definedName function="false" hidden="false" name="JANANALSSWE" vbProcedure="false">#ref!</definedName>
    <definedName function="false" hidden="false" name="janrupees" vbProcedure="false">#ref!</definedName>
    <definedName function="false" hidden="false" name="JAR" vbProcedure="false">#ref!</definedName>
    <definedName function="false" hidden="false" name="JARDepth" vbProcedure="false">#ref!</definedName>
    <definedName function="false" hidden="false" name="JE" vbProcedure="false">#ref!</definedName>
    <definedName function="false" hidden="false" name="jena_9" vbProcedure="false">#ref!</definedName>
    <definedName function="false" hidden="false" name="JEYJD" vbProcedure="false">#ref!</definedName>
    <definedName function="false" hidden="false" name="Jim" vbProcedure="false">#ref!</definedName>
    <definedName function="false" hidden="false" name="JimG" vbProcedure="false">#ref!</definedName>
    <definedName function="false" hidden="true" name="jj" vbProcedure="false">#ref!</definedName>
    <definedName function="false" hidden="false" name="JK" vbProcedure="false">#ref!</definedName>
    <definedName function="false" hidden="false" name="Job" vbProcedure="false">#ref!</definedName>
    <definedName function="false" hidden="false" name="JobCenterID" vbProcedure="false">#ref!</definedName>
    <definedName function="false" hidden="false" name="JobCode" vbProcedure="false">#ref!</definedName>
    <definedName function="false" hidden="false" name="JobDate" vbProcedure="false">'[30]Liner Job Info'!$O$11</definedName>
    <definedName function="false" hidden="false" name="JobEndDate" vbProcedure="false">#ref!</definedName>
    <definedName function="false" hidden="false" name="JobFd" vbProcedure="false">#ref!</definedName>
    <definedName function="false" hidden="false" name="JobLogCustSig" vbProcedure="false">#ref!</definedName>
    <definedName function="false" hidden="false" name="jobno" vbProcedure="false">[5]WTR!$I$3</definedName>
    <definedName function="false" hidden="false" name="JobNumber" vbProcedure="false">#ref!</definedName>
    <definedName function="false" hidden="false" name="jobpurpose1" vbProcedure="false">#N/A</definedName>
    <definedName function="false" hidden="false" name="JobQuest" vbProcedure="false">#ref!</definedName>
    <definedName function="false" hidden="false" name="JobRefFd" vbProcedure="false">#ref!</definedName>
    <definedName function="false" hidden="false" name="JobStartDate" vbProcedure="false">#ref!</definedName>
    <definedName function="false" hidden="false" name="JobType" vbProcedure="false">#ref!</definedName>
    <definedName function="false" hidden="false" name="Jobtype1" vbProcedure="false">#N/A</definedName>
    <definedName function="false" hidden="false" name="jobtypeandcat" vbProcedure="false">#ref!</definedName>
    <definedName function="false" hidden="false" name="jobtypelabel" vbProcedure="false">#ref!</definedName>
    <definedName function="false" hidden="false" name="Job_date" vbProcedure="false">#ref!</definedName>
    <definedName function="false" hidden="false" name="Job_Name" vbProcedure="false">#ref!</definedName>
    <definedName function="false" hidden="false" name="Job_Number" vbProcedure="false">#ref!</definedName>
    <definedName function="false" hidden="false" name="Job_Quality" vbProcedure="false">[60]auf_screen!#ref!</definedName>
    <definedName function="false" hidden="false" name="Job_Type" vbProcedure="false">#ref!</definedName>
    <definedName function="false" hidden="false" name="Job_Type_Index" vbProcedure="false">'[12]JCSI 12'!$AB$26</definedName>
    <definedName function="false" hidden="false" name="JointNumber" vbProcedure="false">#N/A</definedName>
    <definedName function="false" hidden="false" name="JOINTNUMBER23" vbProcedure="false">[72]!JointNumber</definedName>
    <definedName function="false" hidden="false" name="JOINTNYMBER4" vbProcedure="false">[72]!JointNumber</definedName>
    <definedName function="false" hidden="false" name="joints" vbProcedure="false">#ref!</definedName>
    <definedName function="false" hidden="false" name="joints1" vbProcedure="false">#ref!</definedName>
    <definedName function="false" hidden="false" name="JOINT_NO." vbProcedure="false">[90]tbgtally!#ref!</definedName>
    <definedName function="false" hidden="false" name="Journal_Entries_Foglio1_Elenca" vbProcedure="false">#ref!</definedName>
    <definedName function="false" hidden="true" name="JOYCE" vbProcedure="false">#ref!</definedName>
    <definedName function="false" hidden="false" name="JR" vbProcedure="false">#ref!</definedName>
    <definedName function="false" hidden="false" name="JRJTRJT" vbProcedure="false">#ref!</definedName>
    <definedName function="false" hidden="false" name="JSA" vbProcedure="false">#ref!</definedName>
    <definedName function="false" hidden="false" name="JtCount" vbProcedure="false">#ref!</definedName>
    <definedName function="false" hidden="false" name="JTNFN" vbProcedure="false">#ref!</definedName>
    <definedName function="false" hidden="false" name="Jt_No" vbProcedure="false">#ref!</definedName>
    <definedName function="false" hidden="false" name="Jubaila" vbProcedure="false">#ref!</definedName>
    <definedName function="false" hidden="true" name="jun" vbProcedure="false">{#N/A,#N/A,FALSE,"Sheet1"}</definedName>
    <definedName function="false" hidden="true" name="June" vbProcedure="false">{#N/A,#N/A,FALSE,"Sheet1"}</definedName>
    <definedName function="false" hidden="true" name="June1" vbProcedure="false">{#N/A,#N/A,FALSE,"Sheet1"}</definedName>
    <definedName function="false" hidden="true" name="junk" vbProcedure="false">{#N/A,#N/A,FALSE,"Volume"}</definedName>
    <definedName function="false" hidden="true" name="junk1" vbProcedure="false">{#N/A,#N/A,FALSE,"Volume"}</definedName>
    <definedName function="false" hidden="true" name="junk2" vbProcedure="false">{#N/A,#N/A,FALSE,"Volume"}</definedName>
    <definedName function="false" hidden="true" name="junk3" vbProcedure="false">{#N/A,#N/A,FALSE,"Volume"}</definedName>
    <definedName function="false" hidden="true" name="junk4" vbProcedure="false">{#N/A,#N/A,FALSE,"Volume"}</definedName>
    <definedName function="false" hidden="false" name="k" vbProcedure="false">#ref!</definedName>
    <definedName function="false" hidden="false" name="KB" vbProcedure="false">#ref!</definedName>
    <definedName function="false" hidden="false" name="KD" vbProcedure="false">#ref!</definedName>
    <definedName function="false" hidden="false" name="Kelly_Dwn" vbProcedure="false">#ref!</definedName>
    <definedName function="false" hidden="false" name="KFactor" vbProcedure="false">#ref!</definedName>
    <definedName function="false" hidden="false" name="KillSheet" vbProcedure="false">#ref!</definedName>
    <definedName function="false" hidden="false" name="Kill_Fluid_Type" vbProcedure="false">#ref!</definedName>
    <definedName function="false" hidden="false" name="Kill_Fluid_Wt" vbProcedure="false">#ref!</definedName>
    <definedName function="false" hidden="false" name="KK" vbProcedure="false">[74]!Macro1</definedName>
    <definedName function="false" hidden="false" name="kkkkkkkk" vbProcedure="false">#ref!</definedName>
    <definedName function="false" hidden="false" name="KL" vbProcedure="false">#ref!</definedName>
    <definedName function="false" hidden="false" name="KO" vbProcedure="false">#ref!</definedName>
    <definedName function="false" hidden="false" name="KOP" vbProcedure="false">#ref!</definedName>
    <definedName function="false" hidden="false" name="KOPANG" vbProcedure="false">#ref!</definedName>
    <definedName function="false" hidden="false" name="KOPcp" vbProcedure="false">#ref!</definedName>
    <definedName function="false" hidden="false" name="KOPDIR" vbProcedure="false">#ref!</definedName>
    <definedName function="false" hidden="false" name="KOPEW" vbProcedure="false">#ref!</definedName>
    <definedName function="false" hidden="false" name="KOPm" vbProcedure="false">#ref!</definedName>
    <definedName function="false" hidden="false" name="KOPNS" vbProcedure="false">#ref!</definedName>
    <definedName function="false" hidden="false" name="KOPTVD" vbProcedure="false">#ref!</definedName>
    <definedName function="false" hidden="false" name="KOPv" vbProcedure="false">#ref!</definedName>
    <definedName function="false" hidden="false" name="KRR" vbProcedure="false">#ref!</definedName>
    <definedName function="false" hidden="false" name="KUYUKR" vbProcedure="false">#ref!</definedName>
    <definedName function="false" hidden="false" name="KWM" vbProcedure="false">#ref!</definedName>
    <definedName function="false" hidden="false" name="K_1" vbProcedure="false">#ref!</definedName>
    <definedName function="false" hidden="false" name="K_2" vbProcedure="false">#ref!</definedName>
    <definedName function="false" hidden="false" name="K_Dual" vbProcedure="false">#ref!</definedName>
    <definedName function="false" hidden="false" name="L" vbProcedure="false">#ref!</definedName>
    <definedName function="false" hidden="false" name="L1o" vbProcedure="false">#ref!</definedName>
    <definedName function="false" hidden="false" name="L2u" vbProcedure="false">#ref!</definedName>
    <definedName function="false" hidden="false" name="LABEL" vbProcedure="false">'[44]7-30-04'!$GO$7457</definedName>
    <definedName function="false" hidden="false" name="LABELTEXTROW1" vbProcedure="false">[53]CRITERIA1!$B$23</definedName>
    <definedName function="false" hidden="false" name="Laffan" vbProcedure="false">#ref!</definedName>
    <definedName function="false" hidden="false" name="Landing_Strings" vbProcedure="false">'[2]Equipment Go-To Sheet'!$F$303:$F$309</definedName>
    <definedName function="false" hidden="false" name="landoffshore" vbProcedure="false">#ref!</definedName>
    <definedName function="false" hidden="false" name="LastCsgString" vbProcedure="false">#ref!</definedName>
    <definedName function="false" hidden="false" name="lastrow" vbProcedure="false">#ref!</definedName>
    <definedName function="false" hidden="false" name="Latch_in_Collar_7" vbProcedure="false">#ref!</definedName>
    <definedName function="false" hidden="false" name="LatColumn" vbProcedure="false">!#ref!</definedName>
    <definedName function="false" hidden="false" name="Lateral_A_Directional" vbProcedure="false">'[60]A3a Well Path (Lateral A)'!$B$9:$O$621</definedName>
    <definedName function="false" hidden="false" name="Lateral_B_Directional" vbProcedure="false">'[60]A3b Well Path (Lateral B)'!$B$10:$P$500</definedName>
    <definedName function="false" hidden="false" name="Lateral_Lower_Directional" vbProcedure="false">'[2]3A Well Path (lower lateral)'!$B$10:$P$420</definedName>
    <definedName function="false" hidden="false" name="latlong" vbProcedure="false">'[34]Call Sheet'!$P$7</definedName>
    <definedName function="false" hidden="false" name="Lay" vbProcedure="false">'[52]#REF'!$B$12</definedName>
    <definedName function="false" hidden="false" name="LBS_FT" vbProcedure="false">'[58]7-30-04'!#ref!</definedName>
    <definedName function="false" hidden="false" name="lb_ft" vbProcedure="false">#ref!</definedName>
    <definedName function="false" hidden="false" name="lb_gal" vbProcedure="false">#ref!</definedName>
    <definedName function="false" hidden="false" name="LC" vbProcedure="false">INDEX([13]DRAW!$J$12:$K$21,MATCH(#ref!,[13]DRAW!$J$12:$J$21,0),2)</definedName>
    <definedName function="false" hidden="false" name="LCJobType" vbProcedure="false">#ref!</definedName>
    <definedName function="false" hidden="false" name="LC_TYPE" vbProcedure="false">INDEX([13]DRAW!$P$60:$Q$62,MATCH([13]DRAW!$Q$59,[13]DRAW!$P$60:$P$62,0),2)</definedName>
    <definedName function="false" hidden="false" name="Lead_Cmt_Wt" vbProcedure="false">#ref!</definedName>
    <definedName function="false" hidden="false" name="Lead_Mill_Dull_Char" vbProcedure="false">'[7]Drop-Down Items'!$B$75:$B$94</definedName>
    <definedName function="false" hidden="false" name="Lead_Mill_Dull_Location" vbProcedure="false">'[7]Drop-Down Items'!$A$88:$A$106</definedName>
    <definedName function="false" hidden="false" name="Lead_Slurry_in_12.25__OH" vbProcedure="false">'[61]Cmt Csg'!$C$6</definedName>
    <definedName function="false" hidden="false" name="Leak_Off_Press" vbProcedure="false">#ref!</definedName>
    <definedName function="false" hidden="false" name="Leak_Off_Test_Press." vbProcedure="false">#ref!</definedName>
    <definedName function="false" hidden="false" name="Lease" vbProcedure="false">#ref!</definedName>
    <definedName function="false" hidden="false" name="Lease1" vbProcedure="false">#ref!</definedName>
    <definedName function="false" hidden="false" name="LEFT_BORDER" vbProcedure="false">#ref!</definedName>
    <definedName function="false" hidden="false" name="Legal" vbProcedure="false">#ref!</definedName>
    <definedName function="false" hidden="false" name="Leg_Index" vbProcedure="false">'[12]JCSI 12'!$Z$26</definedName>
    <definedName function="false" hidden="false" name="length" vbProcedure="false">#ref!</definedName>
    <definedName function="false" hidden="false" name="Lengthdb" vbProcedure="false">#ref!</definedName>
    <definedName function="false" hidden="false" name="Lengthlong" vbProcedure="false">#ref!</definedName>
    <definedName function="false" hidden="false" name="Lengths" vbProcedure="false">#ref!,#ref!,#ref!,#ref!,#ref!,#ref!,#ref!,#ref!,#ref!,#ref!,#ref!,#ref!,#ref!,#ref!</definedName>
    <definedName function="false" hidden="false" name="lengthslb" vbProcedure="false">#ref!</definedName>
    <definedName function="false" hidden="false" name="Lengthsmall" vbProcedure="false">#ref!</definedName>
    <definedName function="false" hidden="false" name="lengthstring" vbProcedure="false">#ref!</definedName>
    <definedName function="false" hidden="false" name="LengthUnit" vbProcedure="false">#ref!</definedName>
    <definedName function="false" hidden="false" name="LengthUnits" vbProcedure="false">#ref!</definedName>
    <definedName function="false" hidden="false" name="Length_long" vbProcedure="false">#ref!</definedName>
    <definedName function="false" hidden="false" name="Length_small" vbProcedure="false">#ref!</definedName>
    <definedName function="false" hidden="false" name="Level_2_BOMS" vbProcedure="false">#ref!</definedName>
    <definedName function="false" hidden="false" name="LFTS" vbProcedure="false">#ref!</definedName>
    <definedName function="false" hidden="false" name="LIFTSUB" vbProcedure="false">#ref!</definedName>
    <definedName function="false" hidden="false" name="LIFTSUB1" vbProcedure="false">#ref!</definedName>
    <definedName function="false" hidden="false" name="Likelihood" vbProcedure="false">#ref!</definedName>
    <definedName function="false" hidden="false" name="Liner1_Burst" vbProcedure="false">#ref!</definedName>
    <definedName function="false" hidden="false" name="Liner1_Burstz" vbProcedure="false">'[11]Liner Job Info'!$J$17</definedName>
    <definedName function="false" hidden="false" name="Liner1_Cap" vbProcedure="false">#ref!</definedName>
    <definedName function="false" hidden="false" name="Liner1_Collapse" vbProcedure="false">#ref!</definedName>
    <definedName function="false" hidden="false" name="Liner1_Collapsez" vbProcedure="false">'[11]Liner Job Info'!$L$17</definedName>
    <definedName function="false" hidden="false" name="Liner1_Drift" vbProcedure="false">#ref!</definedName>
    <definedName function="false" hidden="false" name="Liner1_ID" vbProcedure="false">#ref!</definedName>
    <definedName function="false" hidden="false" name="Liner1_Length" vbProcedure="false">#ref!</definedName>
    <definedName function="false" hidden="false" name="Liner1_Lengthz" vbProcedure="false">'[11]Liner Job Info'!$R$17</definedName>
    <definedName function="false" hidden="false" name="Liner1_OD" vbProcedure="false">#ref!</definedName>
    <definedName function="false" hidden="false" name="Liner1_Tensile" vbProcedure="false">#ref!</definedName>
    <definedName function="false" hidden="false" name="Liner1_Thread" vbProcedure="false">#ref!</definedName>
    <definedName function="false" hidden="false" name="Liner1_Wt_in_Mud" vbProcedure="false">#ref!</definedName>
    <definedName function="false" hidden="false" name="Liner1_Wt_Per_Ft" vbProcedure="false">#ref!</definedName>
    <definedName function="false" hidden="false" name="Liner2_Burst" vbProcedure="false">#ref!</definedName>
    <definedName function="false" hidden="false" name="Liner2_Burstz" vbProcedure="false">'[11]Liner Job Info'!$J$18</definedName>
    <definedName function="false" hidden="false" name="Liner2_Cap" vbProcedure="false">#ref!</definedName>
    <definedName function="false" hidden="false" name="Liner2_Collapse" vbProcedure="false">#ref!</definedName>
    <definedName function="false" hidden="false" name="Liner2_Collapsez" vbProcedure="false">'[11]Liner Job Info'!$L$18</definedName>
    <definedName function="false" hidden="false" name="Liner2_Drift" vbProcedure="false">#ref!</definedName>
    <definedName function="false" hidden="false" name="Liner2_ID" vbProcedure="false">#ref!</definedName>
    <definedName function="false" hidden="false" name="Liner2_Length" vbProcedure="false">#ref!</definedName>
    <definedName function="false" hidden="false" name="Liner2_Lengthz" vbProcedure="false">'[11]Liner Job Info'!$R$18</definedName>
    <definedName function="false" hidden="false" name="Liner2_OD" vbProcedure="false">#ref!</definedName>
    <definedName function="false" hidden="false" name="Liner2_Tensile" vbProcedure="false">#ref!</definedName>
    <definedName function="false" hidden="false" name="Liner2_Thread" vbProcedure="false">#ref!</definedName>
    <definedName function="false" hidden="false" name="Liner2_Wt_in_Mud" vbProcedure="false">#ref!</definedName>
    <definedName function="false" hidden="false" name="Liner2_Wt_Per_FT" vbProcedure="false">#ref!</definedName>
    <definedName function="false" hidden="false" name="LinerGrade" vbProcedure="false">#ref!</definedName>
    <definedName function="false" hidden="false" name="LinerHanger" vbProcedure="false">#ref!</definedName>
    <definedName function="false" hidden="false" name="LinerID" vbProcedure="false">#ref!</definedName>
    <definedName function="false" hidden="false" name="LinerLength" vbProcedure="false">#ref!</definedName>
    <definedName function="false" hidden="false" name="linerod" vbProcedure="false">#ref!</definedName>
    <definedName function="false" hidden="false" name="Liners" vbProcedure="false">'[2]Equipment Go-To Sheet'!$F$111:$F$118</definedName>
    <definedName function="false" hidden="false" name="linersize" vbProcedure="false">#ref!</definedName>
    <definedName function="false" hidden="false" name="LinerTopPackerRequired1" vbProcedure="false">#ref!</definedName>
    <definedName function="false" hidden="false" name="LinerTopPackerRequired2" vbProcedure="false">#ref!</definedName>
    <definedName function="false" hidden="false" name="Linertype" vbProcedure="false">#ref!</definedName>
    <definedName function="false" hidden="false" name="LinerWeight" vbProcedure="false">#ref!</definedName>
    <definedName function="false" hidden="false" name="linerwt" vbProcedure="false">#ref!</definedName>
    <definedName function="false" hidden="false" name="Liner_I.D." vbProcedure="false">#ref!</definedName>
    <definedName function="false" hidden="false" name="LINER_ID_7" vbProcedure="false">#ref!</definedName>
    <definedName function="false" hidden="false" name="Liner_ID_Area" vbProcedure="false">#ref!</definedName>
    <definedName function="false" hidden="false" name="LINER_OD_7" vbProcedure="false">#ref!</definedName>
    <definedName function="false" hidden="false" name="LINER_SHOE_DEPTH_7" vbProcedure="false">#ref!</definedName>
    <definedName function="false" hidden="false" name="Liner_Size" vbProcedure="false">#ref!</definedName>
    <definedName function="false" hidden="false" name="Liner_Top__MD" vbProcedure="false">#ref!</definedName>
    <definedName function="false" hidden="false" name="Liner_Weight" vbProcedure="false">#ref!</definedName>
    <definedName function="false" hidden="false" name="LIST" vbProcedure="false">#ref!</definedName>
    <definedName function="false" hidden="false" name="listcode" vbProcedure="false">#ref!</definedName>
    <definedName function="false" hidden="false" name="LIST_PRC" vbProcedure="false">'[44]7-30-04'!$GO$7457</definedName>
    <definedName function="false" hidden="false" name="Lithology" vbProcedure="false">#N/A</definedName>
    <definedName function="false" hidden="true" name="lkj" vbProcedure="false">[56]Run!$B$18:$B$512</definedName>
    <definedName function="false" hidden="false" name="ll" vbProcedure="false">#ref!</definedName>
    <definedName function="false" hidden="false" name="LNR16_volume" vbProcedure="false">#ref!</definedName>
    <definedName function="false" hidden="false" name="Lnr1_Burst" vbProcedure="false">#ref!</definedName>
    <definedName function="false" hidden="false" name="Lnr1_Collapse" vbProcedure="false">#ref!</definedName>
    <definedName function="false" hidden="false" name="Lnr1_Grade" vbProcedure="false">#ref!</definedName>
    <definedName function="false" hidden="false" name="Lnr1_to_LC_Vol" vbProcedure="false">#ref!</definedName>
    <definedName function="false" hidden="false" name="Lnr1_Vol" vbProcedure="false">#ref!</definedName>
    <definedName function="false" hidden="false" name="Lnr1_Volz" vbProcedure="false">'[11]Metric Conversions'!$C$77</definedName>
    <definedName function="false" hidden="false" name="Lnr1_X_OH_Vol" vbProcedure="false">#ref!</definedName>
    <definedName function="false" hidden="false" name="Lnr1_X_OH_Volz" vbProcedure="false">'[11]Metric Conversions'!$C$82</definedName>
    <definedName function="false" hidden="false" name="Lnr2_Burst" vbProcedure="false">#ref!</definedName>
    <definedName function="false" hidden="false" name="Lnr2_Collapse" vbProcedure="false">#ref!</definedName>
    <definedName function="false" hidden="false" name="Lnr2_Grade" vbProcedure="false">#ref!</definedName>
    <definedName function="false" hidden="false" name="Lnr2_Vol" vbProcedure="false">#ref!</definedName>
    <definedName function="false" hidden="false" name="Lnr2_Volz" vbProcedure="false">'[11]Metric Conversions'!$C$78</definedName>
    <definedName function="false" hidden="false" name="Lnr2_X_OH_Vol" vbProcedure="false">#ref!</definedName>
    <definedName function="false" hidden="false" name="Lnr2_X_OH_Volz" vbProcedure="false">'[11]Metric Conversions'!$C$83</definedName>
    <definedName function="false" hidden="false" name="LnrDrift1" vbProcedure="false">#ref!</definedName>
    <definedName function="false" hidden="false" name="LnrDrift2" vbProcedure="false">#ref!</definedName>
    <definedName function="false" hidden="false" name="LnrGrd1" vbProcedure="false">#ref!</definedName>
    <definedName function="false" hidden="false" name="LnrGrd2" vbProcedure="false">#ref!</definedName>
    <definedName function="false" hidden="false" name="LnrID1" vbProcedure="false">#ref!</definedName>
    <definedName function="false" hidden="false" name="LnrID2" vbProcedure="false">#ref!</definedName>
    <definedName function="false" hidden="false" name="LnrSz1" vbProcedure="false">#ref!</definedName>
    <definedName function="false" hidden="false" name="LnrSz2" vbProcedure="false">#ref!</definedName>
    <definedName function="false" hidden="false" name="LnrThd1" vbProcedure="false">#ref!</definedName>
    <definedName function="false" hidden="false" name="LnrThd2" vbProcedure="false">#ref!</definedName>
    <definedName function="false" hidden="false" name="LnrWt1" vbProcedure="false">#ref!</definedName>
    <definedName function="false" hidden="false" name="LnrWt2" vbProcedure="false">#ref!</definedName>
    <definedName function="false" hidden="false" name="LNR_L80" vbProcedure="false">"Freeform 8,Freeform 9,SHOE_1"</definedName>
    <definedName function="false" hidden="false" name="Lnr_Shoe_Depth" vbProcedure="false">#ref!</definedName>
    <definedName function="false" hidden="false" name="Lnr_Shoe_Depthz" vbProcedure="false">'[62]Liner Job Info'!$R$19</definedName>
    <definedName function="false" hidden="false" name="Lnr_Size" vbProcedure="false">[25]Data!$D$3:$D$30</definedName>
    <definedName function="false" hidden="false" name="Lnr_Type" vbProcedure="false">[25]Data!$L$3:$L$12</definedName>
    <definedName function="false" hidden="false" name="Lnr_Wt" vbProcedure="false">[25]Data!$E$3:$E$159</definedName>
    <definedName function="false" hidden="false" name="Loaded" vbProcedure="false">#ref!</definedName>
    <definedName function="false" hidden="false" name="Location" vbProcedure="false">#ref!</definedName>
    <definedName function="false" hidden="false" name="Location1" vbProcedure="false">#ref!</definedName>
    <definedName function="false" hidden="false" name="Locations" vbProcedure="false">#ref!</definedName>
    <definedName function="false" hidden="false" name="location_oo" vbProcedure="false">'[7]Drop-Down Items'!$AD$7:$AD$8</definedName>
    <definedName function="false" hidden="false" name="location_rig" vbProcedure="false">#ref!</definedName>
    <definedName function="false" hidden="false" name="Loc_Index" vbProcedure="false">'[12]JCSI 12'!$W$26</definedName>
    <definedName function="false" hidden="false" name="LODO" vbProcedure="false">#ref!</definedName>
    <definedName function="false" hidden="false" name="LodSheet" vbProcedure="false">#ref!</definedName>
    <definedName function="false" hidden="false" name="Logo" vbProcedure="false">#ref!</definedName>
    <definedName function="false" hidden="false" name="Logoo" vbProcedure="false">#ref!</definedName>
    <definedName function="false" hidden="false" name="Log_suites" vbProcedure="false">[20]Data!$F$2:$F$13</definedName>
    <definedName function="false" hidden="false" name="LongColumn" vbProcedure="false">!#ref!</definedName>
    <definedName function="false" hidden="false" name="lop" vbProcedure="false">#ref!</definedName>
    <definedName function="false" hidden="false" name="lossafter1" vbProcedure="false">#ref!</definedName>
    <definedName function="false" hidden="false" name="lossafter2" vbProcedure="false">#ref!</definedName>
    <definedName function="false" hidden="false" name="lossafter3" vbProcedure="false">#ref!</definedName>
    <definedName function="false" hidden="false" name="lossbefore1" vbProcedure="false">#ref!</definedName>
    <definedName function="false" hidden="false" name="lossbefore2" vbProcedure="false">#ref!</definedName>
    <definedName function="false" hidden="false" name="lossbefore3" vbProcedure="false">#ref!</definedName>
    <definedName function="false" hidden="false" name="LossCat" vbProcedure="false">[58]HARC_Upload!$B$4:$Y$4</definedName>
    <definedName function="false" hidden="false" name="LostTime" vbProcedure="false">#ref!</definedName>
    <definedName function="false" hidden="false" name="lotd" vbProcedure="false">#ref!</definedName>
    <definedName function="false" hidden="false" name="lotmw" vbProcedure="false">#ref!</definedName>
    <definedName function="false" hidden="false" name="lotp" vbProcedure="false">#ref!</definedName>
    <definedName function="false" hidden="true" name="loudout" vbProcedure="false">[63]Run!$D$15:$D$512</definedName>
    <definedName function="false" hidden="false" name="LRG_PROJ" vbProcedure="false">#ref!</definedName>
    <definedName function="false" hidden="false" name="LR_HS" vbProcedure="false">'[7]Drop-Down Items'!$F$34:$F$35</definedName>
    <definedName function="false" hidden="false" name="LS" vbProcedure="false">#ref!</definedName>
    <definedName function="false" hidden="false" name="LSD" vbProcedure="false">#ref!</definedName>
    <definedName function="false" hidden="false" name="LStringW" vbProcedure="false">#ref!</definedName>
    <definedName function="false" hidden="false" name="LSV" vbProcedure="false">#ref!</definedName>
    <definedName function="false" hidden="false" name="LT" vbProcedure="false">'[58]7-30-04'!#ref!</definedName>
    <definedName function="false" hidden="false" name="LTP" vbProcedure="false">INDEX([13]DRAW!$D$13:$E$14,MATCH(#ref!,[13]DRAW!$D$13:$D$14,0),2)</definedName>
    <definedName function="false" hidden="false" name="LTV" vbProcedure="false">#ref!</definedName>
    <definedName function="false" hidden="false" name="LTVCor" vbProcedure="false">#ref!</definedName>
    <definedName function="false" hidden="false" name="LU" vbProcedure="false">#ref!</definedName>
    <definedName function="false" hidden="false" name="LUCF" vbProcedure="false">#ref!</definedName>
    <definedName function="false" hidden="false" name="LWD" vbProcedure="false">#ref!</definedName>
    <definedName function="false" hidden="false" name="LWD_Conns" vbProcedure="false">#ref!</definedName>
    <definedName function="false" hidden="false" name="LWD_Sizes" vbProcedure="false">#ref!</definedName>
    <definedName function="false" hidden="false" name="LWPsys" vbProcedure="false">#ref!</definedName>
    <definedName function="false" hidden="false" name="lyc" vbProcedure="false">#ref!</definedName>
    <definedName function="false" hidden="false" name="L_bhaA" vbProcedure="false">[139]tonmiles!#ref!</definedName>
    <definedName function="false" hidden="false" name="m" vbProcedure="false">#ref!</definedName>
    <definedName function="false" hidden="false" name="MA" vbProcedure="false">[139]tonmiles!#ref!</definedName>
    <definedName function="false" hidden="false" name="Macro1" vbProcedure="false">#ref!</definedName>
    <definedName function="false" hidden="false" name="Macro112" vbProcedure="false">[56]!Macro59</definedName>
    <definedName function="false" hidden="false" name="Macro2" vbProcedure="false">#ref!</definedName>
    <definedName function="false" hidden="false" name="Macro22" vbProcedure="false">#ref!</definedName>
    <definedName function="false" hidden="false" name="Macro22_1" vbProcedure="false">Macro22</definedName>
    <definedName function="false" hidden="false" name="Macro22_10" vbProcedure="false">Macro22</definedName>
    <definedName function="false" hidden="false" name="Macro22_11" vbProcedure="false">Macro22</definedName>
    <definedName function="false" hidden="false" name="Macro22_2" vbProcedure="false">Macro22</definedName>
    <definedName function="false" hidden="false" name="Macro22_3" vbProcedure="false">Macro22</definedName>
    <definedName function="false" hidden="false" name="Macro22_4" vbProcedure="false">Macro22</definedName>
    <definedName function="false" hidden="false" name="Macro22_5" vbProcedure="false">Macro22</definedName>
    <definedName function="false" hidden="false" name="Macro22_6" vbProcedure="false">Macro22</definedName>
    <definedName function="false" hidden="false" name="Macro22_7" vbProcedure="false">Macro22</definedName>
    <definedName function="false" hidden="false" name="Macro22_8" vbProcedure="false">Macro22</definedName>
    <definedName function="false" hidden="false" name="Macro22_9" vbProcedure="false">Macro22</definedName>
    <definedName function="false" hidden="false" name="Macro233" vbProcedure="false">[16]!Macro1</definedName>
    <definedName function="false" hidden="false" name="Macro2_1" vbProcedure="false">#N/A</definedName>
    <definedName function="false" hidden="false" name="Macro2_10" vbProcedure="false">#N/A</definedName>
    <definedName function="false" hidden="false" name="Macro2_11" vbProcedure="false">#N/A</definedName>
    <definedName function="false" hidden="false" name="Macro2_2" vbProcedure="false">#N/A</definedName>
    <definedName function="false" hidden="false" name="Macro2_3" vbProcedure="false">#N/A</definedName>
    <definedName function="false" hidden="false" name="Macro2_4" vbProcedure="false">#N/A</definedName>
    <definedName function="false" hidden="false" name="Macro2_5" vbProcedure="false">#N/A</definedName>
    <definedName function="false" hidden="false" name="Macro2_6" vbProcedure="false">#N/A</definedName>
    <definedName function="false" hidden="false" name="Macro2_7" vbProcedure="false">#N/A</definedName>
    <definedName function="false" hidden="false" name="Macro2_8" vbProcedure="false">#N/A</definedName>
    <definedName function="false" hidden="false" name="Macro2_9" vbProcedure="false">#N/A</definedName>
    <definedName function="false" hidden="false" name="Macro3" vbProcedure="false">#ref!</definedName>
    <definedName function="false" hidden="false" name="Macro3_1" vbProcedure="false">Macro3</definedName>
    <definedName function="false" hidden="false" name="Macro3_10" vbProcedure="false">Macro3</definedName>
    <definedName function="false" hidden="false" name="Macro3_11" vbProcedure="false">Macro3</definedName>
    <definedName function="false" hidden="false" name="Macro3_2" vbProcedure="false">Macro3</definedName>
    <definedName function="false" hidden="false" name="Macro3_3" vbProcedure="false">Macro3</definedName>
    <definedName function="false" hidden="false" name="Macro3_4" vbProcedure="false">Macro3</definedName>
    <definedName function="false" hidden="false" name="Macro3_5" vbProcedure="false">Macro3</definedName>
    <definedName function="false" hidden="false" name="Macro3_6" vbProcedure="false">Macro3</definedName>
    <definedName function="false" hidden="false" name="Macro3_7" vbProcedure="false">Macro3</definedName>
    <definedName function="false" hidden="false" name="Macro3_8" vbProcedure="false">Macro3</definedName>
    <definedName function="false" hidden="false" name="Macro3_9" vbProcedure="false">Macro3</definedName>
    <definedName function="false" hidden="false" name="Macro46" vbProcedure="false">[26]!Macro46</definedName>
    <definedName function="false" hidden="false" name="Macro59" vbProcedure="false">[26]!Macro59</definedName>
    <definedName function="false" hidden="false" name="Macro60" vbProcedure="false">[26]!Macro60</definedName>
    <definedName function="false" hidden="false" name="Macro61" vbProcedure="false">[26]!Macro61</definedName>
    <definedName function="false" hidden="false" name="mag" vbProcedure="false">'[181]1pcbud'!#ref!</definedName>
    <definedName function="false" hidden="false" name="MagDec" vbProcedure="false">#ref!</definedName>
    <definedName function="false" hidden="false" name="MagDip" vbProcedure="false">#ref!</definedName>
    <definedName function="false" hidden="false" name="MagneticDeclDate" vbProcedure="false">#ref!</definedName>
    <definedName function="false" hidden="false" name="MagneticDeclination" vbProcedure="false">#ref!</definedName>
    <definedName function="false" hidden="false" name="MagneticDeclModel" vbProcedure="false">#ref!</definedName>
    <definedName function="false" hidden="false" name="MakeupLoss" vbProcedure="false">#ref!</definedName>
    <definedName function="false" hidden="false" name="Make_up" vbProcedure="false">#ref!</definedName>
    <definedName function="false" hidden="false" name="Make_Up_Torque_Of_Weak_Link" vbProcedure="false">#ref!</definedName>
    <definedName function="false" hidden="false" name="Man" vbProcedure="false">#ref!</definedName>
    <definedName function="false" hidden="false" name="Manifa___Hith" vbProcedure="false">#ref!</definedName>
    <definedName function="false" hidden="false" name="MaPSDensity" vbProcedure="false">#ref!</definedName>
    <definedName function="false" hidden="false" name="MaPSDiameter" vbProcedure="false">#ref!</definedName>
    <definedName function="false" hidden="false" name="MaPSFlowRate" vbProcedure="false">#ref!</definedName>
    <definedName function="false" hidden="false" name="MaPSLength" vbProcedure="false">#ref!</definedName>
    <definedName function="false" hidden="false" name="MaPSMass" vbProcedure="false">#ref!</definedName>
    <definedName function="false" hidden="false" name="MaPSPressure" vbProcedure="false">#ref!</definedName>
    <definedName function="false" hidden="false" name="MaPSTemp" vbProcedure="false">#ref!</definedName>
    <definedName function="false" hidden="false" name="MaPSWeight" vbProcedure="false">#ref!</definedName>
    <definedName function="false" hidden="false" name="mar" vbProcedure="false">'[181]1pcbud'!#ref!</definedName>
    <definedName function="false" hidden="false" name="MARANALSCP" vbProcedure="false">#ref!</definedName>
    <definedName function="false" hidden="false" name="MARANALSSWE" vbProcedure="false">#ref!</definedName>
    <definedName function="false" hidden="false" name="MARCH_3_1995." vbProcedure="false">[90]tbgtally!#ref!</definedName>
    <definedName function="false" hidden="false" name="Margin" vbProcedure="false">#ref!</definedName>
    <definedName function="false" hidden="false" name="margin_pcent" vbProcedure="false">#ref!</definedName>
    <definedName function="false" hidden="false" name="Margin_Sheet" vbProcedure="false">#ref!</definedName>
    <definedName function="false" hidden="false" name="mark" vbProcedure="false">#ref!</definedName>
    <definedName function="false" hidden="false" name="mark1" vbProcedure="false">#ref!</definedName>
    <definedName function="false" hidden="false" name="mark2" vbProcedure="false">#ref!</definedName>
    <definedName function="false" hidden="false" name="marrupees" vbProcedure="false">#ref!</definedName>
    <definedName function="false" hidden="false" name="masp" vbProcedure="false">#ref!</definedName>
    <definedName function="false" hidden="false" name="MassUnit" vbProcedure="false">'[43]Metric Conversions'!$C$221</definedName>
    <definedName function="false" hidden="false" name="Material" vbProcedure="false">#ref!</definedName>
    <definedName function="false" hidden="false" name="Material_list" vbProcedure="false">'[2]Data Go-To-Sheet'!$H$4:$H$26</definedName>
    <definedName function="false" hidden="false" name="MatMoveTotalPages" vbProcedure="false">1</definedName>
    <definedName function="false" hidden="false" name="Mauddud" vbProcedure="false">#ref!</definedName>
    <definedName function="false" hidden="false" name="Max" vbProcedure="false">#ref!</definedName>
    <definedName function="false" hidden="false" name="Max._Deviation" vbProcedure="false">#ref!</definedName>
    <definedName function="false" hidden="false" name="MaxDev" vbProcedure="false">#ref!</definedName>
    <definedName function="false" hidden="false" name="MaxDeviationFd" vbProcedure="false">#ref!</definedName>
    <definedName function="false" hidden="false" name="MaxDHole" vbProcedure="false">#ref!</definedName>
    <definedName function="false" hidden="false" name="MAXDLS" vbProcedure="false">#ref!</definedName>
    <definedName function="false" hidden="false" name="MaxOdUnits" vbProcedure="false">#ref!</definedName>
    <definedName function="false" hidden="false" name="MaxSurface" vbProcedure="false">#ref!</definedName>
    <definedName function="false" hidden="false" name="MaxTempdb" vbProcedure="false">#ref!</definedName>
    <definedName function="false" hidden="false" name="MaxTempslb" vbProcedure="false">#ref!</definedName>
    <definedName function="false" hidden="false" name="maxtempstring" vbProcedure="false">#ref!</definedName>
    <definedName function="false" hidden="false" name="Max_Bump_psi" vbProcedure="false">#ref!</definedName>
    <definedName function="false" hidden="false" name="Max_Bump_psiz" vbProcedure="false">'[11]Metric Conversions'!$C$59</definedName>
    <definedName function="false" hidden="false" name="Max_Test_Cmt_Setup" vbProcedure="false">#ref!</definedName>
    <definedName function="false" hidden="false" name="Max_Test_Cmt_Setupz" vbProcedure="false">'[11]Metric Conversions'!$C$62</definedName>
    <definedName function="false" hidden="false" name="Max_Test_Seals_In" vbProcedure="false">#ref!</definedName>
    <definedName function="false" hidden="false" name="Max_Test_Seals_Inz" vbProcedure="false">'[11]Metric Conversions'!$C$61</definedName>
    <definedName function="false" hidden="false" name="Max_test_seals_out" vbProcedure="false">#ref!</definedName>
    <definedName function="false" hidden="false" name="Max_test_seals_outz" vbProcedure="false">'[11]Metric Conversions'!$C$60</definedName>
    <definedName function="false" hidden="false" name="Max_Turns" vbProcedure="false">#ref!</definedName>
    <definedName function="false" hidden="false" name="MAYANALSCP" vbProcedure="false">#ref!</definedName>
    <definedName function="false" hidden="false" name="MAYANALSSWE" vbProcedure="false">#ref!</definedName>
    <definedName function="false" hidden="false" name="MB" vbProcedure="false">[139]tonmiles!#ref!</definedName>
    <definedName function="false" hidden="false" name="MBK" vbProcedure="false">[139]tonmiles!#ref!</definedName>
    <definedName function="false" hidden="false" name="mccv" vbProcedure="false">#ref!</definedName>
    <definedName function="false" hidden="false" name="MD" vbProcedure="false">#ref!</definedName>
    <definedName function="false" hidden="false" name="MDAHEAD" vbProcedure="false">#ref!</definedName>
    <definedName function="false" hidden="false" name="MDBOH" vbProcedure="false">#ref!</definedName>
    <definedName function="false" hidden="false" name="MDData" vbProcedure="false">OFFSET([191]!MDForInclination,2,0,COUNT(#ref!),1)</definedName>
    <definedName function="false" hidden="false" name="MDForInclination" vbProcedure="false">#ref!</definedName>
    <definedName function="false" hidden="false" name="MD_Column" vbProcedure="false">!#ref!</definedName>
    <definedName function="false" hidden="false" name="MD_Unit" vbProcedure="false">#ref!</definedName>
    <definedName function="false" hidden="false" name="ME" vbProcedure="false">'[9]Bid Summary'!$K$5</definedName>
    <definedName function="false" hidden="false" name="MEA_Countries" vbProcedure="false">'[35]drop downs'!$A$3:$A$16</definedName>
    <definedName function="false" hidden="false" name="MEMORYSTICK" vbProcedure="false">#ref!</definedName>
    <definedName function="false" hidden="false" name="MENU" vbProcedure="false">#ref!</definedName>
    <definedName function="false" hidden="false" name="MeteringTime" vbProcedure="false">#ref!</definedName>
    <definedName function="false" hidden="false" name="Metric" vbProcedure="false">#ref!</definedName>
    <definedName function="false" hidden="false" name="MFS" vbProcedure="false">#ref!</definedName>
    <definedName function="false" hidden="false" name="MH" vbProcedure="false">#ref!</definedName>
    <definedName function="false" hidden="false" name="midlife" vbProcedure="false">#ref!</definedName>
    <definedName function="false" hidden="false" name="Mill" vbProcedure="false">[6]Sheet1!$G$4:$G$8</definedName>
    <definedName function="false" hidden="false" name="MillType" vbProcedure="false">[6]Sheet1!$A$18:$A$21</definedName>
    <definedName function="false" hidden="false" name="Mill_Type" vbProcedure="false">'[7]Drop-Down Items'!$A$34:$A$70</definedName>
    <definedName function="false" hidden="false" name="Min" vbProcedure="false">#ref!</definedName>
    <definedName function="false" hidden="false" name="Min._Ten_Sett_Tool_Assy" vbProcedure="false">#ref!</definedName>
    <definedName function="false" hidden="false" name="Mind" vbProcedure="false">#ref!</definedName>
    <definedName function="false" hidden="false" name="MinDHole" vbProcedure="false">#ref!</definedName>
    <definedName function="false" hidden="false" name="MinDownhole" vbProcedure="false">#ref!</definedName>
    <definedName function="false" hidden="false" name="MinE" vbProcedure="false">#ref!</definedName>
    <definedName function="false" hidden="false" name="MinSurface" vbProcedure="false">#ref!</definedName>
    <definedName function="false" hidden="false" name="Min_DP_Tens" vbProcedure="false">#ref!</definedName>
    <definedName function="false" hidden="false" name="Min_Ft_Release_RH" vbProcedure="false">'[11]Metric Conversions'!$B$39</definedName>
    <definedName function="false" hidden="false" name="Min_Ft_Release_RHz" vbProcedure="false">'[11]Metric Conversions'!$C$39</definedName>
    <definedName function="false" hidden="false" name="MissRuns" vbProcedure="false">#ref!</definedName>
    <definedName function="false" hidden="false" name="MiStringW" vbProcedure="false">#ref!</definedName>
    <definedName function="false" hidden="false" name="MJ" vbProcedure="false">'[64]#REF'!$B$12</definedName>
    <definedName function="false" hidden="false" name="mju" vbProcedure="false">#ref!</definedName>
    <definedName function="false" hidden="false" name="mmm" vbProcedure="false">[53]CRITERIA1!$B$32</definedName>
    <definedName function="false" hidden="false" name="MN" vbProcedure="false">#ref!</definedName>
    <definedName function="false" hidden="false" name="mnh" vbProcedure="false">#ref!</definedName>
    <definedName function="false" hidden="false" name="mobile" vbProcedure="false">'[34]Call Sheet'!$R$5</definedName>
    <definedName function="false" hidden="false" name="Module1.draw_productionfirst" vbProcedure="false">#N/A</definedName>
    <definedName function="false" hidden="false" name="Module1.draw_productionsecond" vbProcedure="false">#N/A</definedName>
    <definedName function="false" hidden="false" name="Module1.impdwg" vbProcedure="false">#ref!</definedName>
    <definedName function="false" hidden="false" name="Module1.impdwg_1" vbProcedure="false">Module1.impdwg</definedName>
    <definedName function="false" hidden="false" name="Module1.impdwg_10" vbProcedure="false">Module1.impdwg</definedName>
    <definedName function="false" hidden="false" name="Module1.impdwg_11" vbProcedure="false">Module1.impdwg</definedName>
    <definedName function="false" hidden="false" name="Module1.impdwg_2" vbProcedure="false">Module1.impdwg</definedName>
    <definedName function="false" hidden="false" name="Module1.impdwg_3" vbProcedure="false">Module1.impdwg</definedName>
    <definedName function="false" hidden="false" name="Module1.impdwg_4" vbProcedure="false">Module1.impdwg</definedName>
    <definedName function="false" hidden="false" name="Module1.impdwg_5" vbProcedure="false">Module1.impdwg</definedName>
    <definedName function="false" hidden="false" name="Module1.impdwg_6" vbProcedure="false">Module1.impdwg</definedName>
    <definedName function="false" hidden="false" name="Module1.impdwg_7" vbProcedure="false">Module1.impdwg</definedName>
    <definedName function="false" hidden="false" name="Module1.impdwg_8" vbProcedure="false">Module1.impdwg</definedName>
    <definedName function="false" hidden="false" name="Module1.impdwg_9" vbProcedure="false">Module1.impdwg</definedName>
    <definedName function="false" hidden="false" name="Module4.drawblanks" vbProcedure="false">#N/A</definedName>
    <definedName function="false" hidden="false" name="Module4.drawlinerfirst" vbProcedure="false">#N/A</definedName>
    <definedName function="false" hidden="false" name="Module4.drawlinersecond" vbProcedure="false">#N/A</definedName>
    <definedName function="false" hidden="false" name="Module4.drawmiscellaneous" vbProcedure="false">#N/A</definedName>
    <definedName function="false" hidden="false" name="Module4.drawproductionfirst" vbProcedure="false">#N/A</definedName>
    <definedName function="false" hidden="false" name="Module4.drawproductionsecond" vbProcedure="false">#N/A</definedName>
    <definedName function="false" hidden="false" name="Module4.drawquantum" vbProcedure="false">#N/A</definedName>
    <definedName function="false" hidden="false" name="Module4.drawscreens" vbProcedure="false">#N/A</definedName>
    <definedName function="false" hidden="false" name="Module4.drawshearsubs" vbProcedure="false">#N/A</definedName>
    <definedName function="false" hidden="false" name="Module4.drawsump" vbProcedure="false">#N/A</definedName>
    <definedName function="false" hidden="false" name="Module4.textfive" vbProcedure="false">#N/A</definedName>
    <definedName function="false" hidden="false" name="Module4.textfivehalf" vbProcedure="false">#N/A</definedName>
    <definedName function="false" hidden="false" name="Module4.textninefiveeightfourfirst" vbProcedure="false">#N/A</definedName>
    <definedName function="false" hidden="false" name="Module4.textninefiveeightfoursecond" vbProcedure="false">#N/A</definedName>
    <definedName function="false" hidden="false" name="Module4.textninefiveeightsixfirst" vbProcedure="false">#N/A</definedName>
    <definedName function="false" hidden="false" name="Module4.textninefiveeightsixsecond" vbProcedure="false">#N/A</definedName>
    <definedName function="false" hidden="false" name="Module4.textsevenfiveeightfour" vbProcedure="false">#N/A</definedName>
    <definedName function="false" hidden="false" name="Module4.textsevenfiveeightthree" vbProcedure="false">#N/A</definedName>
    <definedName function="false" hidden="false" name="Module4.textsevenfour" vbProcedure="false">#N/A</definedName>
    <definedName function="false" hidden="false" name="Module4.textseventhree" vbProcedure="false">#N/A</definedName>
    <definedName function="false" hidden="false" name="MOE" vbProcedure="false">#ref!</definedName>
    <definedName function="false" hidden="false" name="month" vbProcedure="false">#ref!</definedName>
    <definedName function="false" hidden="false" name="Monthly_Production_Summary" vbProcedure="false">#ref!</definedName>
    <definedName function="false" hidden="false" name="monthref" vbProcedure="false">[65]References!$H$1:$I$12</definedName>
    <definedName function="false" hidden="false" name="Months" vbProcedure="false">#ref!</definedName>
    <definedName function="false" hidden="false" name="MotorFits" vbProcedure="false">#ref!</definedName>
    <definedName function="false" hidden="false" name="MotorSizes" vbProcedure="false">#ref!</definedName>
    <definedName function="false" hidden="false" name="Motors_for_12.1_4in" vbProcedure="false">[20]Data!$R$2:$R$24</definedName>
    <definedName function="false" hidden="false" name="Motors_for_17.1_2_or_16in" vbProcedure="false">[14]Data!$Q$2:$Q$13</definedName>
    <definedName function="false" hidden="false" name="Motors_for_26in" vbProcedure="false">[14]Data!$P$2:$P$10</definedName>
    <definedName function="false" hidden="false" name="Motors_for_6in" vbProcedure="false">[20]Data!$T$2:$T$21</definedName>
    <definedName function="false" hidden="false" name="Motors_for_8.1_2in" vbProcedure="false">[14]Data!$S$2:$S$20</definedName>
    <definedName function="false" hidden="false" name="MotorType" vbProcedure="false">#ref!</definedName>
    <definedName function="false" hidden="false" name="MotorYN" vbProcedure="false">#ref!</definedName>
    <definedName function="false" hidden="false" name="Motor_Company" vbProcedure="false">[20]Data!$U$2:$U$6</definedName>
    <definedName function="false" hidden="false" name="MOTOR_LENGTH" vbProcedure="false">#ref!</definedName>
    <definedName function="false" hidden="false" name="MOTOR_WEIGHT" vbProcedure="false">#ref!</definedName>
    <definedName function="false" hidden="false" name="MPC" vbProcedure="false">'[9]Bid Summary'!$K$4</definedName>
    <definedName function="false" hidden="true" name="mr" vbProcedure="false">{#N/A,#N/A,FALSE,"Sheet1"}</definedName>
    <definedName function="false" hidden="false" name="mrjanstring" vbProcedure="false">#ref!</definedName>
    <definedName function="false" hidden="false" name="ms5b" vbProcedure="false">[17]milestone!#ref!</definedName>
    <definedName function="false" hidden="false" name="MStringW" vbProcedure="false">#ref!</definedName>
    <definedName function="false" hidden="false" name="Mud" vbProcedure="false">#ref!</definedName>
    <definedName function="false" hidden="false" name="MudFunnelViscosity" vbProcedure="false">#ref!</definedName>
    <definedName function="false" hidden="false" name="MudFunnelViscosityUnits" vbProcedure="false">#ref!</definedName>
    <definedName function="false" hidden="false" name="MudHW" vbProcedure="false">#ref!</definedName>
    <definedName function="false" hidden="false" name="MudPV" vbProcedure="false">#ref!</definedName>
    <definedName function="false" hidden="false" name="MudPVUnits" vbProcedure="false">#ref!</definedName>
    <definedName function="false" hidden="false" name="MudType" vbProcedure="false">#ref!</definedName>
    <definedName function="false" hidden="false" name="MudTypeFd" vbProcedure="false">#ref!</definedName>
    <definedName function="false" hidden="false" name="MudTypes" vbProcedure="false">#ref!</definedName>
    <definedName function="false" hidden="false" name="MudUnit" vbProcedure="false">#ref!</definedName>
    <definedName function="false" hidden="false" name="MudWeight" vbProcedure="false">#ref!</definedName>
    <definedName function="false" hidden="false" name="MudWeightUnits" vbProcedure="false">#ref!</definedName>
    <definedName function="false" hidden="false" name="MudWt" vbProcedure="false">#ref!</definedName>
    <definedName function="false" hidden="false" name="MudYP" vbProcedure="false">#ref!</definedName>
    <definedName function="false" hidden="false" name="MudYPUnits" vbProcedure="false">#ref!</definedName>
    <definedName function="false" hidden="false" name="Mud_Type" vbProcedure="false">#ref!</definedName>
    <definedName function="false" hidden="false" name="mud_weight" vbProcedure="false">'[7]Drop-Down Items'!$O$7:$O$11</definedName>
    <definedName function="false" hidden="false" name="Mud_Wt" vbProcedure="false">#ref!</definedName>
    <definedName function="false" hidden="false" name="Mud_Wtz" vbProcedure="false">'[11]Liner Job Info'!$D$31</definedName>
    <definedName function="false" hidden="false" name="MULE_SHOE_DEPTH" vbProcedure="false">#ref!</definedName>
    <definedName function="false" hidden="false" name="mush" vbProcedure="false">#ref!</definedName>
    <definedName function="false" hidden="false" name="Mustang" vbProcedure="false">'[66]Items Listings'!$A$10:$AI$821</definedName>
    <definedName function="false" hidden="false" name="mv" vbProcedure="false">#ref!</definedName>
    <definedName function="false" hidden="false" name="MW" vbProcedure="false">#ref!</definedName>
    <definedName function="false" hidden="false" name="MWD" vbProcedure="false">[55]!MWD</definedName>
    <definedName function="false" hidden="false" name="MWD_Bottom_Conn" vbProcedure="false">#ref!</definedName>
    <definedName function="false" hidden="false" name="MWD_Flows" vbProcedure="false">#ref!</definedName>
    <definedName function="false" hidden="false" name="MWD_Sizes" vbProcedure="false">#ref!</definedName>
    <definedName function="false" hidden="false" name="MWD_Top_Conn" vbProcedure="false">#ref!</definedName>
    <definedName function="false" hidden="false" name="my" vbProcedure="false">[145]!JointNumber</definedName>
    <definedName function="false" hidden="false" name="myData" vbProcedure="false">#ref!</definedName>
    <definedName function="false" hidden="false" name="m_choke" vbProcedure="false">'[94]well test sheet'!#ref!</definedName>
    <definedName function="false" hidden="false" name="M_Dual" vbProcedure="false">#ref!</definedName>
    <definedName function="false" hidden="false" name="M_TONS" vbProcedure="false">'[58]7-30-04'!#ref!</definedName>
    <definedName function="false" hidden="false" name="M___Malabo" vbProcedure="false">#ref!</definedName>
    <definedName function="false" hidden="false" name="n" vbProcedure="false">#ref!</definedName>
    <definedName function="false" hidden="false" name="N2_Precharge" vbProcedure="false">#ref!</definedName>
    <definedName function="false" hidden="false" name="N2_Press_DH" vbProcedure="false">#ref!</definedName>
    <definedName function="false" hidden="false" name="N2_Stroke" vbProcedure="false">#ref!</definedName>
    <definedName function="false" hidden="false" name="N2_Temp_DH" vbProcedure="false">#ref!</definedName>
    <definedName function="false" hidden="false" name="N2_Temp_Surf" vbProcedure="false">#ref!</definedName>
    <definedName function="false" hidden="false" name="N2_Vol_DH" vbProcedure="false">#ref!</definedName>
    <definedName function="false" hidden="false" name="N2_Vol_Surf" vbProcedure="false">#ref!</definedName>
    <definedName function="false" hidden="false" name="Nahr_Umr" vbProcedure="false">#ref!</definedName>
    <definedName function="false" hidden="false" name="NAKAMI" vbProcedure="false">'[44]7-30-04'!$GO$7457</definedName>
    <definedName function="false" hidden="false" name="name" vbProcedure="false">#ref!</definedName>
    <definedName function="false" hidden="false" name="NAME1" vbProcedure="false">'[28]Ref. data2'!$B$7:$B$10</definedName>
    <definedName function="false" hidden="false" name="NAME4" vbProcedure="false">'[28]Ref. data2'!$B$19:$B$21</definedName>
    <definedName function="false" hidden="false" name="NAME5" vbProcedure="false">'[28]Ref. data2'!$B$22:$B$26</definedName>
    <definedName function="false" hidden="false" name="NAME6" vbProcedure="false">'[28]Ref. data2'!$B$27:$B$29</definedName>
    <definedName function="false" hidden="false" name="NAME7" vbProcedure="false">'[28]Ref. data2'!$B$30:$B$31</definedName>
    <definedName function="false" hidden="false" name="NAME9" vbProcedure="false">'[28]Ref. data2'!$B$34:$B$36</definedName>
    <definedName function="false" hidden="false" name="namelookupdp" vbProcedure="false">#ref!</definedName>
    <definedName function="false" hidden="false" name="namelookupliner" vbProcedure="false">#ref!</definedName>
    <definedName function="false" hidden="false" name="namelookupmeasure" vbProcedure="false">#ref!</definedName>
    <definedName function="false" hidden="false" name="namelookuptemp" vbProcedure="false">#ref!</definedName>
    <definedName function="false" hidden="false" name="NAMEPHONE" vbProcedure="false">#ref!</definedName>
    <definedName function="false" hidden="false" name="names" vbProcedure="false">'[10]data sheet'!$A$2:$A$8</definedName>
    <definedName function="false" hidden="false" name="nb" vbProcedure="false">#ref!</definedName>
    <definedName function="false" hidden="false" name="nbv" vbProcedure="false">#ref!</definedName>
    <definedName function="false" hidden="false" name="NCRP2" vbProcedure="false">#ref!</definedName>
    <definedName function="false" hidden="false" name="NEBRIGS" vbProcedure="false">[65]References!$D$1:$D$16</definedName>
    <definedName function="false" hidden="false" name="Neck" vbProcedure="false">#ref!</definedName>
    <definedName function="false" hidden="false" name="netperf" vbProcedure="false">#ref!</definedName>
    <definedName function="false" hidden="false" name="Net_Margin" vbProcedure="false">#ref!</definedName>
    <definedName function="false" hidden="false" name="NET_PERFS" vbProcedure="false">#ref!</definedName>
    <definedName function="false" hidden="false" name="New" vbProcedure="false">[67]MAIN!$B$12</definedName>
    <definedName function="false" hidden="false" name="NewData" vbProcedure="false">#N/A</definedName>
    <definedName function="false" hidden="false" name="NewDes" vbProcedure="false">#N/A</definedName>
    <definedName function="false" hidden="false" name="NEWMD" vbProcedure="false">#ref!</definedName>
    <definedName function="false" hidden="false" name="newrisk" vbProcedure="false">#ref!</definedName>
    <definedName function="false" hidden="false" name="NewSheet" vbProcedure="false">#ref!</definedName>
    <definedName function="false" hidden="false" name="NewSurv" vbProcedure="false">[68]Tally!$F$3</definedName>
    <definedName function="false" hidden="false" name="NextTD" vbProcedure="false">'[69]Lookahd EA'!$E$1:$N$3</definedName>
    <definedName function="false" hidden="true"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NH4CL" vbProcedure="false">#ref!</definedName>
    <definedName function="false" hidden="false" name="NH4CL_1" vbProcedure="false">'[6]#ref'!#ref!</definedName>
    <definedName function="false" hidden="false" name="NH4CL_10" vbProcedure="false">'[6]#ref'!#ref!</definedName>
    <definedName function="false" hidden="false" name="NH4CL_11" vbProcedure="false">'[6]#ref'!#ref!</definedName>
    <definedName function="false" hidden="false" name="NH4CL_2" vbProcedure="false">'[6]#ref'!#ref!</definedName>
    <definedName function="false" hidden="false" name="NH4CL_3" vbProcedure="false">'[6]#ref'!#ref!</definedName>
    <definedName function="false" hidden="false" name="NH4CL_4" vbProcedure="false">'[6]#ref'!#ref!</definedName>
    <definedName function="false" hidden="false" name="NH4CL_5" vbProcedure="false">'[6]#ref'!#ref!</definedName>
    <definedName function="false" hidden="false" name="NH4CL_6" vbProcedure="false">'[6]#ref'!#ref!</definedName>
    <definedName function="false" hidden="false" name="NH4CL_7" vbProcedure="false">'[6]#ref'!#ref!</definedName>
    <definedName function="false" hidden="false" name="NH4CL_8" vbProcedure="false">'[6]#ref'!#ref!</definedName>
    <definedName function="false" hidden="false" name="NH4CL_9" vbProcedure="false">'[6]#ref'!#ref!</definedName>
    <definedName function="false" hidden="false" name="NIPPLELIST" vbProcedure="false">#ref!</definedName>
    <definedName function="false" hidden="false" name="NIPPLEOLD" vbProcedure="false">#ref!</definedName>
    <definedName function="false" hidden="false" name="Nipples" vbProcedure="false">#ref!</definedName>
    <definedName function="false" hidden="false" name="NIPPLESAP" vbProcedure="false">#ref!</definedName>
    <definedName function="false" hidden="false" name="Nipples_Plugs_WEGs" vbProcedure="false">'[2]Equipment Go-To Sheet'!$F$244:$F$302</definedName>
    <definedName function="false" hidden="false" name="NIS" vbProcedure="false">#ref!</definedName>
    <definedName function="false" hidden="false" name="nitrogen" vbProcedure="false">#ref!</definedName>
    <definedName function="false" hidden="false" name="nju" vbProcedure="false">#ref!</definedName>
    <definedName function="false" hidden="false" name="nkl" vbProcedure="false">#ref!</definedName>
    <definedName function="false" hidden="false" name="NM" vbProcedure="false">[16]!Macro1</definedName>
    <definedName function="false" hidden="false" name="NM_pcent" vbProcedure="false">#ref!</definedName>
    <definedName function="false" hidden="true" name="nn" vbProcedure="false">#ref!</definedName>
    <definedName function="false" hidden="false" name="NNomLength" vbProcedure="false">#ref!</definedName>
    <definedName function="false" hidden="false" name="NO" vbProcedure="false">#ref!</definedName>
    <definedName function="false" hidden="false" name="No." vbProcedure="false">#ref!</definedName>
    <definedName function="false" hidden="false" name="NOOFFFSEGMENTS1" vbProcedure="false">[53]CRITERIA1!$B$18</definedName>
    <definedName function="false" hidden="false" name="NOofTools" vbProcedure="false">[11]DATA!$BP$2:$BP$12</definedName>
    <definedName function="false" hidden="false" name="norman" vbProcedure="false">#ref!</definedName>
    <definedName function="false" hidden="false" name="NORTH5" vbProcedure="false">#ref!</definedName>
    <definedName function="false" hidden="false" name="NORTH7" vbProcedure="false">#ref!</definedName>
    <definedName function="false" hidden="false" name="NORTH8" vbProcedure="false">#ref!</definedName>
    <definedName function="false" hidden="false" name="NorthingColumn" vbProcedure="false">!#ref!</definedName>
    <definedName function="false" hidden="false" name="NorthingUnit" vbProcedure="false">#ref!</definedName>
    <definedName function="false" hidden="false" name="NorthReference" vbProcedure="false">#ref!</definedName>
    <definedName function="false" hidden="false" name="NOS" vbProcedure="false">#ref!</definedName>
    <definedName function="false" hidden="false" name="NosOfTubing" vbProcedure="false">#ref!</definedName>
    <definedName function="false" hidden="false" name="NoSystem" vbProcedure="false">#ref!,#ref!</definedName>
    <definedName function="false" hidden="false" name="NOT_REQUIRED" vbProcedure="false">#ref!</definedName>
    <definedName function="false" hidden="false" name="NOVANALSCP" vbProcedure="false">#ref!</definedName>
    <definedName function="false" hidden="false" name="NOVANALSSWE" vbProcedure="false">#ref!</definedName>
    <definedName function="false" hidden="false" name="NOVSUM" vbProcedure="false">#ref!</definedName>
    <definedName function="false" hidden="false" name="NOVSUMSCP" vbProcedure="false">#ref!</definedName>
    <definedName function="false" hidden="false" name="noz_5" vbProcedure="false">#ref!</definedName>
    <definedName function="false" hidden="false" name="noz_6" vbProcedure="false">#ref!</definedName>
    <definedName function="false" hidden="false" name="NS" vbProcedure="false">#ref!</definedName>
    <definedName function="false" hidden="false" name="NSAHEAD" vbProcedure="false">#ref!</definedName>
    <definedName function="false" hidden="false" name="NSBOH" vbProcedure="false">#ref!</definedName>
    <definedName function="false" hidden="false" name="NSDIFF" vbProcedure="false">#ref!</definedName>
    <definedName function="false" hidden="false" name="NSfoto" vbProcedure="false">#ref!</definedName>
    <definedName function="false" hidden="false" name="NSnobj" vbProcedure="false">#ref!</definedName>
    <definedName function="false" hidden="false" name="NSobj" vbProcedure="false">#ref!</definedName>
    <definedName function="false" hidden="false" name="NSproj" vbProcedure="false">#ref!</definedName>
    <definedName function="false" hidden="false" name="NStieon" vbProcedure="false">#ref!</definedName>
    <definedName function="false" hidden="false" name="NS_Column" vbProcedure="false">!#ref!</definedName>
    <definedName function="false" hidden="false" name="NS_Unit" vbProcedure="false">#ref!</definedName>
    <definedName function="false" hidden="false" name="NuclearTools" vbProcedure="false">#ref!</definedName>
    <definedName function="false" hidden="false" name="NUMBEROFDETAILFIELDS1" vbProcedure="false">[53]CRITERIA1!$B$29</definedName>
    <definedName function="false" hidden="false" name="NUMBEROFHEADERFIELDS1" vbProcedure="false">[53]CRITERIA1!$B$28</definedName>
    <definedName function="false" hidden="false" name="o" vbProcedure="false">#ref!</definedName>
    <definedName function="false" hidden="false" name="objective" vbProcedure="false">#ref!</definedName>
    <definedName function="false" hidden="false" name="Objectives" vbProcedure="false">'[70]DWS Wells'!$M$1:$M$1048576</definedName>
    <definedName function="false" hidden="false" name="OCSG" vbProcedure="false">#ref!</definedName>
    <definedName function="false" hidden="false" name="OCTG" vbProcedure="false">#ref!</definedName>
    <definedName function="false" hidden="false" name="OCTG1" vbProcedure="false">#ref!</definedName>
    <definedName function="false" hidden="false" name="OD" vbProcedure="false">#ref!</definedName>
    <definedName function="false" hidden="false" name="OD1_Rotating_Name" vbProcedure="false">#ref!</definedName>
    <definedName function="false" hidden="false" name="OD2_Rotating_Name" vbProcedure="false">#ref!</definedName>
    <definedName function="false" hidden="false" name="odcasing" vbProcedure="false">[19]Data!$J$16</definedName>
    <definedName function="false" hidden="false" name="ODdb" vbProcedure="false">#ref!</definedName>
    <definedName function="false" hidden="false" name="ODDP" vbProcedure="false">#ref!</definedName>
    <definedName function="false" hidden="false" name="OdIdUnits" vbProcedure="false">#ref!</definedName>
    <definedName function="false" hidden="false" name="ODSizes" vbProcedure="false">#ref!</definedName>
    <definedName function="false" hidden="false" name="odslb" vbProcedure="false">#ref!</definedName>
    <definedName function="false" hidden="false" name="odstring" vbProcedure="false">#ref!</definedName>
    <definedName function="false" hidden="false" name="ODUnit" vbProcedure="false">#ref!</definedName>
    <definedName function="false" hidden="false" name="odworkstring" vbProcedure="false">[19]Data!$W$18</definedName>
    <definedName function="false" hidden="false" name="OffBottomSet1InUnit" vbProcedure="false">#ref!</definedName>
    <definedName function="false" hidden="false" name="OffBottomSet2InUnit" vbProcedure="false">#ref!</definedName>
    <definedName function="false" hidden="false" name="OffBottomSet3InUnit" vbProcedure="false">#ref!</definedName>
    <definedName function="false" hidden="false" name="OffBottomSet4InUnit" vbProcedure="false">#ref!</definedName>
    <definedName function="false" hidden="false" name="OffBottomTorqueOutputDepth" vbProcedure="false">#ref!</definedName>
    <definedName function="false" hidden="false" name="OFFER" vbProcedure="false">'[58]7-30-04'!#ref!</definedName>
    <definedName function="false" hidden="false" name="office" vbProcedure="false">'[34]Call Sheet'!$AH$5</definedName>
    <definedName function="false" hidden="false" name="Offsets" vbProcedure="false">[60]auf_screen!#ref!</definedName>
    <definedName function="false" hidden="false" name="Offshore_Block" vbProcedure="false">#ref!</definedName>
    <definedName function="false" hidden="false" name="OFR_AMOUNT" vbProcedure="false">'[58]7-30-04'!#ref!</definedName>
    <definedName function="false" hidden="false" name="ogr" vbProcedure="false">'[71]Test Data'!$T$8:$T$16,'[71]Test Data'!$T$18:$T$122,'[71]Test Data'!$T$132:$T$247</definedName>
    <definedName function="false" hidden="false" name="OHoleID" vbProcedure="false">#ref!</definedName>
    <definedName function="false" hidden="false" name="OHoleLength" vbProcedure="false">#ref!</definedName>
    <definedName function="false" hidden="false" name="OH_1" vbProcedure="false">[72]References!$V$1:$V$4</definedName>
    <definedName function="false" hidden="false" name="OH_Dia" vbProcedure="false">#ref!</definedName>
    <definedName function="false" hidden="false" name="OIL" vbProcedure="false">#ref!</definedName>
    <definedName function="false" hidden="true" name="oilgraph" vbProcedure="false">#ref!</definedName>
    <definedName function="false" hidden="false" name="oilM" vbProcedure="false">#ref!</definedName>
    <definedName function="false" hidden="false" name="oilrate" vbProcedure="false">'[94]well test sheet'!#ref!</definedName>
    <definedName function="false" hidden="false" name="oil_cumm" vbProcedure="false">'[94]well test sheet'!#ref!</definedName>
    <definedName function="false" hidden="false" name="Okill" vbProcedure="false">#ref!</definedName>
    <definedName function="false" hidden="false" name="ol" vbProcedure="false">#ref!</definedName>
    <definedName function="false" hidden="false" name="Old" vbProcedure="false">#ref!</definedName>
    <definedName function="false" hidden="false" name="Oldready" vbProcedure="false">#ref!</definedName>
    <definedName function="false" hidden="true" name="olo" vbProcedure="false">#ref!</definedName>
    <definedName function="false" hidden="true"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OMW" vbProcedure="false">#ref!</definedName>
    <definedName function="false" hidden="false" name="OM_Type" vbProcedure="false">[18]Criteria!$E$2:$E$15</definedName>
    <definedName function="false" hidden="false" name="ONBOARD" vbProcedure="false">'[73]Initial Tally'!$G$4</definedName>
    <definedName function="false" hidden="false" name="onefive" vbProcedure="false">#ref!</definedName>
    <definedName function="false" hidden="false" name="ONLYUS" vbProcedure="false">#ref!</definedName>
    <definedName function="false" hidden="false" name="ooooooooo" vbProcedure="false">#ref!</definedName>
    <definedName function="false" hidden="false" name="oooooooooooooooooooooo" vbProcedure="false">[53]CRITERIA1!$B$33</definedName>
    <definedName function="false" hidden="false" name="OPBUDG" vbProcedure="false">'[48]Exec Summ'!$Y$74</definedName>
    <definedName function="false" hidden="false" name="OpenEndString" vbProcedure="false">#ref!</definedName>
    <definedName function="false" hidden="false" name="OperationTypes" vbProcedure="false">#ref!</definedName>
    <definedName function="false" hidden="false" name="operator" vbProcedure="false">'[40]CPS Call Sheet'!$R$58</definedName>
    <definedName function="false" hidden="false" name="OpNo" vbProcedure="false">[74]SO!$B$23,[74]SO!$B$32,[74]SO!$B$41,[74]SO!$G$23,[74]SO!$G$32,[74]SO!$G$41,[74]SO!$L$23,[74]SO!$L$32,[74]SO!$L$41,[74]SO!$A$51:$A$58</definedName>
    <definedName function="false" hidden="false" name="OPTexponents" vbProcedure="false">"0 3 6"</definedName>
    <definedName function="false" hidden="false" name="OptimumTorquedb" vbProcedure="false">#ref!</definedName>
    <definedName function="false" hidden="false" name="OptimumTorqueslb" vbProcedure="false">#ref!</definedName>
    <definedName function="false" hidden="false" name="OptimumTorqueString" vbProcedure="false">#ref!</definedName>
    <definedName function="false" hidden="false" name="OptimumTorqueUntdb" vbProcedure="false">#ref!</definedName>
    <definedName function="false" hidden="false" name="OptimumTorqueUntslb" vbProcedure="false">#ref!</definedName>
    <definedName function="false" hidden="false" name="OPTvec" vbProcedure="false">"1 1 1 4 1 0 0 1 1 0 0 2 8 0 19 30 1 1 3 0 1 0 1 0 1 0 0 0 0 0 1 1 100 100 0 0 0 0 14 0 0 0 0"</definedName>
    <definedName function="false" hidden="false" name="OP_1" vbProcedure="false">[75]Data!$F$1:$F$3</definedName>
    <definedName function="false" hidden="false" name="OP_17" vbProcedure="false">#ref!</definedName>
    <definedName function="false" hidden="false" name="OP_26" vbProcedure="false">#ref!</definedName>
    <definedName function="false" hidden="false" name="OP_36" vbProcedure="false">#ref!</definedName>
    <definedName function="false" hidden="false" name="OP_LWD6_12" vbProcedure="false">#ref!</definedName>
    <definedName function="false" hidden="false" name="OP_LWD8_12" vbProcedure="false">#ref!</definedName>
    <definedName function="false" hidden="false" name="Order" vbProcedure="false">#ref!</definedName>
    <definedName function="false" hidden="false" name="OrderedBy" vbProcedure="false">#ref!</definedName>
    <definedName function="false" hidden="false" name="OrderedLength" vbProcedure="false">#ref!</definedName>
    <definedName function="false" hidden="false" name="Orientation" vbProcedure="false">[60]auf_screen!#ref!</definedName>
    <definedName function="false" hidden="false" name="OrificieCal" vbProcedure="false">#ref!</definedName>
    <definedName function="false" hidden="false" name="oslipjoint" vbProcedure="false">#ref!</definedName>
    <definedName function="false" hidden="false" name="Other" vbProcedure="false">#ref!</definedName>
    <definedName function="false" hidden="false" name="Other1" vbProcedure="false">#ref!</definedName>
    <definedName function="false" hidden="false" name="Other2" vbProcedure="false">#ref!</definedName>
    <definedName function="false" hidden="false" name="Overbalance" vbProcedure="false">#ref!</definedName>
    <definedName function="false" hidden="false" name="Overlap" vbProcedure="false">#ref!</definedName>
    <definedName function="false" hidden="false" name="Overlapz" vbProcedure="false">'[11]Liner Job Info'!$R$14</definedName>
    <definedName function="false" hidden="false" name="Overlap_Vol" vbProcedure="false">#ref!</definedName>
    <definedName function="false" hidden="false" name="Overlap_Volz" vbProcedure="false">'[11]Metric Conversions'!$C$84</definedName>
    <definedName function="false" hidden="false" name="Override_Figures" vbProcedure="false">[60]auf_screen!#ref!</definedName>
    <definedName function="false" hidden="true" name="P" vbProcedure="false">{#N/A,#N/A,FALSE,"Drlg Param Run 1-1";#N/A,#N/A,FALSE,"DDR (3)";#N/A,#N/A,FALSE,"BHA AT (1)";#N/A,#N/A,FALSE,"Downlinkbha";#N/A,#N/A,FALSE,"Job Status Report"}</definedName>
    <definedName function="false" hidden="false" name="Packer" vbProcedure="false">#ref!</definedName>
    <definedName function="false" hidden="false" name="PackerDepth" vbProcedure="false">#ref!</definedName>
    <definedName function="false" hidden="false" name="Packers" vbProcedure="false">'[2]Equipment Go-To Sheet'!$F$171:$F$200</definedName>
    <definedName function="false" hidden="false" name="PACKER_2" vbProcedure="false">INDEX([13]DRAW!$D$12:$E$13,MATCH(#ref!,[13]DRAW!$D$12:$D$13,0),2)</definedName>
    <definedName function="false" hidden="false" name="Packer_Body_Burst" vbProcedure="false">#ref!</definedName>
    <definedName function="false" hidden="false" name="Packer_Element_Rating" vbProcedure="false">#ref!</definedName>
    <definedName function="false" hidden="false" name="Packer_Retrieval" vbProcedure="false">'[2]Equipment Go-To Sheet'!$F$314:$F$318</definedName>
    <definedName function="false" hidden="false" name="Packer_Rotation" vbProcedure="false">#ref!</definedName>
    <definedName function="false" hidden="false" name="Packer_Set_In" vbProcedure="false">#ref!</definedName>
    <definedName function="false" hidden="false" name="Packer_Supplier" vbProcedure="false">#ref!</definedName>
    <definedName function="false" hidden="false" name="Packoff" vbProcedure="false">#ref!</definedName>
    <definedName function="false" hidden="false" name="Packofftype" vbProcedure="false">#ref!</definedName>
    <definedName function="false" hidden="false" name="PackoffXDP1_Pist_Area" vbProcedure="false">#ref!</definedName>
    <definedName function="false" hidden="false" name="PackoffXDP2_Pist_Area" vbProcedure="false">#ref!</definedName>
    <definedName function="false" hidden="false" name="PackoffXDP3_Pist_Area" vbProcedure="false">#ref!</definedName>
    <definedName function="false" hidden="false" name="PackoffXDP4_Pist_Area" vbProcedure="false">#ref!</definedName>
    <definedName function="false" hidden="false" name="PackoffXDP5_Pist_Area" vbProcedure="false">#ref!</definedName>
    <definedName function="false" hidden="false" name="Packoff_Area" vbProcedure="false">#ref!</definedName>
    <definedName function="false" hidden="false" name="Packoff_Pist_Area" vbProcedure="false">#ref!</definedName>
    <definedName function="false" hidden="false" name="Packoff_Stinger_OD" vbProcedure="false">#ref!</definedName>
    <definedName function="false" hidden="false" name="PAdd" vbProcedure="false">#ref!</definedName>
    <definedName function="false" hidden="false" name="PAdd1" vbProcedure="false">#ref!</definedName>
    <definedName function="false" hidden="false" name="PAGE13" vbProcedure="false">'[4]cumulative temp diff'!#ref!</definedName>
    <definedName function="false" hidden="false" name="PAGE14" vbProcedure="false">'[4]cumulative temp diff'!#ref!</definedName>
    <definedName function="false" hidden="false" name="PAGE15" vbProcedure="false">'[4]cumulative temp diff'!#ref!</definedName>
    <definedName function="false" hidden="false" name="pageoffset" vbProcedure="false">#ref!</definedName>
    <definedName function="false" hidden="false" name="pageoffset_1" vbProcedure="false">#ref!</definedName>
    <definedName function="false" hidden="false" name="pageoffset_10" vbProcedure="false">#ref!</definedName>
    <definedName function="false" hidden="false" name="pageoffset_11" vbProcedure="false">#ref!</definedName>
    <definedName function="false" hidden="false" name="pageoffset_12" vbProcedure="false">#ref!</definedName>
    <definedName function="false" hidden="false" name="pageoffset_2" vbProcedure="false">#ref!</definedName>
    <definedName function="false" hidden="false" name="pageoffset_3" vbProcedure="false">#ref!</definedName>
    <definedName function="false" hidden="false" name="pageoffset_4" vbProcedure="false">#ref!</definedName>
    <definedName function="false" hidden="false" name="pageoffset_5" vbProcedure="false">#ref!</definedName>
    <definedName function="false" hidden="false" name="pageoffset_6" vbProcedure="false">#ref!</definedName>
    <definedName function="false" hidden="false" name="pageoffset_7" vbProcedure="false">#ref!</definedName>
    <definedName function="false" hidden="false" name="pageoffset_8" vbProcedure="false">#ref!</definedName>
    <definedName function="false" hidden="false" name="pageoffset_9" vbProcedure="false">#ref!</definedName>
    <definedName function="false" hidden="false" name="PageTop3" vbProcedure="false">#ref!</definedName>
    <definedName function="false" hidden="false" name="PageTop4" vbProcedure="false">#ref!</definedName>
    <definedName function="false" hidden="false" name="Papel" vbProcedure="false">#ref!</definedName>
    <definedName function="false" hidden="false" name="PAR" vbProcedure="false">#ref!</definedName>
    <definedName function="false" hidden="true" name="Para3" vbProcedure="false">{#N/A,#N/A,FALSE,"Drlg Param Run 1-1";#N/A,#N/A,FALSE,"DDR (3)";#N/A,#N/A,FALSE,"BHA AT (1)";#N/A,#N/A,FALSE,"Downlinkbha";#N/A,#N/A,FALSE,"Job Status Report"}</definedName>
    <definedName function="false" hidden="false" name="Parameters" vbProcedure="false">#ref!,#ref!</definedName>
    <definedName function="false" hidden="false" name="Parish" vbProcedure="false">#ref!</definedName>
    <definedName function="false" hidden="false" name="Parish_County" vbProcedure="false">#ref!</definedName>
    <definedName function="false" hidden="false" name="Part1" vbProcedure="false">#ref!</definedName>
    <definedName function="false" hidden="false" name="Part10" vbProcedure="false">#ref!</definedName>
    <definedName function="false" hidden="false" name="Part11" vbProcedure="false">#ref!</definedName>
    <definedName function="false" hidden="false" name="Part12" vbProcedure="false">#ref!</definedName>
    <definedName function="false" hidden="false" name="Part13" vbProcedure="false">#ref!</definedName>
    <definedName function="false" hidden="false" name="Part14" vbProcedure="false">#ref!</definedName>
    <definedName function="false" hidden="false" name="Part15" vbProcedure="false">#ref!</definedName>
    <definedName function="false" hidden="false" name="Part16" vbProcedure="false">#ref!</definedName>
    <definedName function="false" hidden="false" name="Part17" vbProcedure="false">#ref!</definedName>
    <definedName function="false" hidden="false" name="Part18" vbProcedure="false">#ref!</definedName>
    <definedName function="false" hidden="false" name="Part19" vbProcedure="false">#ref!</definedName>
    <definedName function="false" hidden="false" name="Part2" vbProcedure="false">#ref!</definedName>
    <definedName function="false" hidden="false" name="Part20" vbProcedure="false">#ref!</definedName>
    <definedName function="false" hidden="false" name="Part3" vbProcedure="false">#ref!</definedName>
    <definedName function="false" hidden="false" name="Part4" vbProcedure="false">#ref!</definedName>
    <definedName function="false" hidden="false" name="Part5" vbProcedure="false">#ref!</definedName>
    <definedName function="false" hidden="false" name="Part6" vbProcedure="false">#ref!</definedName>
    <definedName function="false" hidden="false" name="Part7" vbProcedure="false">#ref!</definedName>
    <definedName function="false" hidden="false" name="Part8" vbProcedure="false">#ref!</definedName>
    <definedName function="false" hidden="false" name="Part9" vbProcedure="false">#ref!</definedName>
    <definedName function="false" hidden="false" name="Parts" vbProcedure="false">#ref!</definedName>
    <definedName function="false" hidden="false" name="Pavg3" vbProcedure="false">#ref!</definedName>
    <definedName function="false" hidden="false" name="PaycheckDate" vbProcedure="false">#ref!</definedName>
    <definedName function="false" hidden="false" name="PAYMENTS_CASHFL" vbProcedure="false">#ref!</definedName>
    <definedName function="false" hidden="false" name="PAYS" vbProcedure="false">#ref!</definedName>
    <definedName function="false" hidden="false" name="PB" vbProcedure="false">'[36]Price Book'!$A$3:$K$135</definedName>
    <definedName function="false" hidden="false" name="PBTD" vbProcedure="false">#ref!</definedName>
    <definedName function="false" hidden="false" name="PC" vbProcedure="false">#ref!</definedName>
    <definedName function="false" hidden="false" name="Pckr_Body_Bst" vbProcedure="false">#ref!</definedName>
    <definedName function="false" hidden="false" name="Pckr_Body_Bstz" vbProcedure="false">'[11]Liner Job Info'!$P$32</definedName>
    <definedName function="false" hidden="false" name="Pckr_Body_Coll" vbProcedure="false">#ref!</definedName>
    <definedName function="false" hidden="false" name="Pckr_Body_Collz" vbProcedure="false">'[11]Liner Job Info'!$P$33</definedName>
    <definedName function="false" hidden="false" name="Pckr_Body_Tens" vbProcedure="false">#ref!</definedName>
    <definedName function="false" hidden="false" name="Pckr_Body_Yield" vbProcedure="false">#ref!</definedName>
    <definedName function="false" hidden="false" name="Pckr_ID" vbProcedure="false">#ref!</definedName>
    <definedName function="false" hidden="false" name="Pckr_Max_OD" vbProcedure="false">#ref!</definedName>
    <definedName function="false" hidden="false" name="Pckr_Model" vbProcedure="false">#ref!</definedName>
    <definedName function="false" hidden="false" name="Pckr_Seal_Surf_OD" vbProcedure="false">#ref!</definedName>
    <definedName function="false" hidden="false" name="Pckr_Sett_Force" vbProcedure="false">#ref!</definedName>
    <definedName function="false" hidden="false" name="pct" vbProcedure="false">#ref!</definedName>
    <definedName function="false" hidden="false" name="PCTDepth" vbProcedure="false">#ref!</definedName>
    <definedName function="false" hidden="false" name="pcthoop" vbProcedure="false">#ref!</definedName>
    <definedName function="false" hidden="false" name="PDDD" vbProcedure="false">'[28]Ref. data1'!$F$18:$F$23</definedName>
    <definedName function="false" hidden="false" name="PDDDD" vbProcedure="false">'[28]Ref. data1'!$G$18:$G$23</definedName>
    <definedName function="false" hidden="false" name="PDFlowRestrictor" vbProcedure="false">#ref!</definedName>
    <definedName function="false" hidden="false" name="PDFlowRestrictorUnit" vbProcedure="false">#ref!</definedName>
    <definedName function="false" hidden="false" name="PDHG_2" vbProcedure="false">INDEX([13]DRAW!$A$2:$B$12,MATCH(#ref!,[13]DRAW!$A$2:$A$12,0),2)</definedName>
    <definedName function="false" hidden="false" name="Pdiff" vbProcedure="false">#ref!</definedName>
    <definedName function="false" hidden="false" name="PDM" vbProcedure="false">#ref!</definedName>
    <definedName function="false" hidden="false" name="PDM_PNO_40901" vbProcedure="false">#ref!</definedName>
    <definedName function="false" hidden="false" name="PD_PUP" vbProcedure="false">#ref!</definedName>
    <definedName function="false" hidden="false" name="PD_SOFTWARE" vbProcedure="false">[38]RSS!$J$148:$J$152</definedName>
    <definedName function="false" hidden="false" name="PD_STAB" vbProcedure="false">[38]RSS!$R$131:$R$160</definedName>
    <definedName function="false" hidden="false" name="Pe" vbProcedure="false">#ref!</definedName>
    <definedName function="false" hidden="false" name="PEIGHT_TOTAL" vbProcedure="false">#ref!</definedName>
    <definedName function="false" hidden="false" name="Percent40" vbProcedure="false">#ref!</definedName>
    <definedName function="false" hidden="false" name="PercentGas" vbProcedure="false">#ref!</definedName>
    <definedName function="false" hidden="false" name="PercentShort" vbProcedure="false">#ref!</definedName>
    <definedName function="false" hidden="false" name="Perf._Interval" vbProcedure="false">#ref!</definedName>
    <definedName function="false" hidden="false" name="Perf._Interval_2" vbProcedure="false">#ref!</definedName>
    <definedName function="false" hidden="false" name="perfbottom" vbProcedure="false">#ref!</definedName>
    <definedName function="false" hidden="false" name="PerfDepth" vbProcedure="false">#ref!</definedName>
    <definedName function="false" hidden="false" name="perffilling" vbProcedure="false">[5]WTR!$G$157</definedName>
    <definedName function="false" hidden="false" name="perftop" vbProcedure="false">#ref!</definedName>
    <definedName function="false" hidden="false" name="PERF_1" vbProcedure="false">"Group 2730,PERF"</definedName>
    <definedName function="false" hidden="false" name="PERF_BOTTOM" vbProcedure="false">#ref!</definedName>
    <definedName function="false" hidden="false" name="PERF_SLURRY" vbProcedure="false">#ref!</definedName>
    <definedName function="false" hidden="false" name="PERF_TOP" vbProcedure="false">#ref!</definedName>
    <definedName function="false" hidden="false" name="PERF_VOL" vbProcedure="false">#ref!</definedName>
    <definedName function="false" hidden="false" name="PERIODSETNAME1" vbProcedure="false">[53]CRITERIA1!$B$4</definedName>
    <definedName function="false" hidden="false" name="perm" vbProcedure="false">[19]Data!$G$56</definedName>
    <definedName function="false" hidden="false" name="perm1" vbProcedure="false">[19]Data!$G$57</definedName>
    <definedName function="false" hidden="false" name="Permanent" vbProcedure="false">[6]Sheet1!$D$10:$D$11</definedName>
    <definedName function="false" hidden="false" name="PERSONEL" vbProcedure="false">#ref!</definedName>
    <definedName function="false" hidden="false" name="Personnel1" vbProcedure="false">#N/A</definedName>
    <definedName function="false" hidden="false" name="PERSONNEL_12" vbProcedure="false">#ref!</definedName>
    <definedName function="false" hidden="false" name="PERSONNEL_17" vbProcedure="false">#ref!</definedName>
    <definedName function="false" hidden="false" name="Perv.Macro140" vbProcedure="false">[49]!Prev.Macro102</definedName>
    <definedName function="false" hidden="false" name="Per_Dist_Orient_Mode_1" vbProcedure="false">#ref!</definedName>
    <definedName function="false" hidden="false" name="Per_Dist_Orient_Mode_1_Name" vbProcedure="false">#ref!</definedName>
    <definedName function="false" hidden="false" name="Per_Dist_Orient_Mode_2" vbProcedure="false">#ref!</definedName>
    <definedName function="false" hidden="false" name="Per_Dist_Orient_Mode_2_Name" vbProcedure="false">#ref!</definedName>
    <definedName function="false" hidden="false" name="Per_Dist_Rotating" vbProcedure="false">#ref!</definedName>
    <definedName function="false" hidden="false" name="Per_Dist_Steering" vbProcedure="false">#ref!</definedName>
    <definedName function="false" hidden="false" name="Per_Rot_OD1" vbProcedure="false">#ref!</definedName>
    <definedName function="false" hidden="false" name="Per_Rot_OD1_Name" vbProcedure="false">#ref!</definedName>
    <definedName function="false" hidden="false" name="Per_Rot_OD2" vbProcedure="false">#ref!</definedName>
    <definedName function="false" hidden="false" name="Per_Rot_OD2_Name" vbProcedure="false">#ref!</definedName>
    <definedName function="false" hidden="false" name="Per_Time_Rot" vbProcedure="false">#ref!</definedName>
    <definedName function="false" hidden="false" name="Per_Time_Rot_Name" vbProcedure="false">#ref!</definedName>
    <definedName function="false" hidden="false" name="Per_Time_Steering" vbProcedure="false">#ref!</definedName>
    <definedName function="false" hidden="false" name="Per_Time_Steering_Name" vbProcedure="false">#ref!</definedName>
    <definedName function="false" hidden="false" name="Pf" vbProcedure="false">#ref!</definedName>
    <definedName function="false" hidden="false" name="PFF" vbProcedure="false">#ref!</definedName>
    <definedName function="false" hidden="false" name="PFIVE_TOTAL" vbProcedure="false">#ref!</definedName>
    <definedName function="false" hidden="false" name="PFOUR_TOTAL" vbProcedure="false">#ref!</definedName>
    <definedName function="false" hidden="false" name="PgDn_Ranges" vbProcedure="false">[60]auf_screen!#ref!</definedName>
    <definedName function="false" hidden="false" name="PgUp_Ranges" vbProcedure="false">[60]auf_screen!#ref!</definedName>
    <definedName function="false" hidden="false" name="Ph" vbProcedure="false">#ref!</definedName>
    <definedName function="false" hidden="false" name="Phase" vbProcedure="false">#ref!,#ref!,#ref!,#ref!</definedName>
    <definedName function="false" hidden="false" name="Phasing" vbProcedure="false">#ref!</definedName>
    <definedName function="false" hidden="false" name="PhCV" vbProcedure="false">#ref!</definedName>
    <definedName function="false" hidden="false" name="PhFH" vbProcedure="false">#ref!</definedName>
    <definedName function="false" hidden="false" name="PhJAR" vbProcedure="false">#ref!</definedName>
    <definedName function="false" hidden="false" name="Phone" vbProcedure="false">#ref!</definedName>
    <definedName function="false" hidden="false" name="PhOutput" vbProcedure="false">#ref!</definedName>
    <definedName function="false" hidden="false" name="PhPsk" vbProcedure="false">#ref!</definedName>
    <definedName function="false" hidden="false" name="PhPTV" vbProcedure="false">#ref!</definedName>
    <definedName function="false" hidden="false" name="PhRT" vbProcedure="false">#ref!</definedName>
    <definedName function="false" hidden="false" name="PhRV" vbProcedure="false">#ref!</definedName>
    <definedName function="false" hidden="false" name="PhSLPJ" vbProcedure="false">#ref!</definedName>
    <definedName function="false" hidden="false" name="PhTV" vbProcedure="false">#ref!</definedName>
    <definedName function="false" hidden="false" name="pi" vbProcedure="false">3.14159265</definedName>
    <definedName function="false" hidden="false" name="Piano_de_Conti" vbProcedure="false">#ref!</definedName>
    <definedName function="false" hidden="false" name="pick1_958x475_system" vbProcedure="false">#N/A</definedName>
    <definedName function="false" hidden="false" name="pick1_958x6_system" vbProcedure="false">#N/A</definedName>
    <definedName function="false" hidden="false" name="pick1_production" vbProcedure="false">#N/A</definedName>
    <definedName function="false" hidden="false" name="pick2_958x475_system" vbProcedure="false">#N/A</definedName>
    <definedName function="false" hidden="false" name="pick2_958x6_system" vbProcedure="false">#N/A</definedName>
    <definedName function="false" hidden="false" name="pick2_production" vbProcedure="false">#N/A</definedName>
    <definedName function="false" hidden="false" name="pickle" vbProcedure="false">#ref!</definedName>
    <definedName function="false" hidden="false" name="pick_512_system" vbProcedure="false">#N/A</definedName>
    <definedName function="false" hidden="false" name="pick_5_system" vbProcedure="false">#N/A</definedName>
    <definedName function="false" hidden="false" name="pick_758x314_system" vbProcedure="false">#N/A</definedName>
    <definedName function="false" hidden="false" name="pick_758x4_system" vbProcedure="false">#N/A</definedName>
    <definedName function="false" hidden="false" name="pick_7x314_system" vbProcedure="false">#N/A</definedName>
    <definedName function="false" hidden="false" name="pick_7x4_system" vbProcedure="false">#N/A</definedName>
    <definedName function="false" hidden="false" name="pick_blanks" vbProcedure="false">#N/A</definedName>
    <definedName function="false" hidden="false" name="pick_liner" vbProcedure="false">#N/A</definedName>
    <definedName function="false" hidden="false" name="pick_liner2" vbProcedure="false">#N/A</definedName>
    <definedName function="false" hidden="false" name="pick_miscellaneous" vbProcedure="false">#N/A</definedName>
    <definedName function="false" hidden="false" name="pick_quantum" vbProcedure="false">#N/A</definedName>
    <definedName function="false" hidden="false" name="pick_screens" vbProcedure="false">#N/A</definedName>
    <definedName function="false" hidden="false" name="pick_shearsubs" vbProcedure="false">#N/A</definedName>
    <definedName function="false" hidden="false" name="pick_sump" vbProcedure="false">#N/A</definedName>
    <definedName function="false" hidden="false" name="Picture_Axial_Load" vbProcedure="false">#ref!</definedName>
    <definedName function="false" hidden="false" name="Picture_BucklingAxialLoad" vbProcedure="false">#ref!</definedName>
    <definedName function="false" hidden="false" name="Picture_BucklingMargin" vbProcedure="false">#ref!</definedName>
    <definedName function="false" hidden="false" name="Picture_Displacement" vbProcedure="false">#ref!</definedName>
    <definedName function="false" hidden="false" name="Picture_GroupRotate" vbProcedure="false">#ref!</definedName>
    <definedName function="false" hidden="false" name="Picture_GroupSlide" vbProcedure="false">#ref!</definedName>
    <definedName function="false" hidden="false" name="Picture_HookLoad" vbProcedure="false">#ref!</definedName>
    <definedName function="false" hidden="false" name="Picture_SideForces" vbProcedure="false">#ref!</definedName>
    <definedName function="false" hidden="false" name="Picture_Stresses" vbProcedure="false">#ref!</definedName>
    <definedName function="false" hidden="false" name="Picture_SurfaceTorque" vbProcedure="false">#ref!</definedName>
    <definedName function="false" hidden="false" name="Picture_Torque" vbProcedure="false">#ref!</definedName>
    <definedName function="false" hidden="false" name="pilltype1" vbProcedure="false">#ref!</definedName>
    <definedName function="false" hidden="false" name="pilltype2" vbProcedure="false">#ref!</definedName>
    <definedName function="false" hidden="false" name="pilltype3" vbProcedure="false">#ref!</definedName>
    <definedName function="false" hidden="false" name="Pin" vbProcedure="false">#ref!</definedName>
    <definedName function="false" hidden="false" name="Pipe" vbProcedure="false">#ref!</definedName>
    <definedName function="false" hidden="false" name="Pipe1" vbProcedure="false">#ref!</definedName>
    <definedName function="false" hidden="false" name="PipeChart" vbProcedure="false">#ref!</definedName>
    <definedName function="false" hidden="false" name="PipeList" vbProcedure="false">#ref!</definedName>
    <definedName function="false" hidden="false" name="Pipe_Cost" vbProcedure="false">#ref!</definedName>
    <definedName function="false" hidden="false" name="Pipe_table" vbProcedure="false">#ref!</definedName>
    <definedName function="false" hidden="false" name="pird" vbProcedure="false">3.14159265/180</definedName>
    <definedName function="false" hidden="false" name="PistArea_Packoff_to_DP_OD" vbProcedure="false">#ref!</definedName>
    <definedName function="false" hidden="false" name="Piston_Disp" vbProcedure="false">#ref!</definedName>
    <definedName function="false" hidden="false" name="Pist_Area_Csg_ID_to_DP1_OD" vbProcedure="false">#ref!</definedName>
    <definedName function="false" hidden="false" name="Pist_Area_Csg_ID_to_DP2_OD" vbProcedure="false">#ref!</definedName>
    <definedName function="false" hidden="false" name="Pist_Area_Csg_ID_to_DP3_OD" vbProcedure="false">#ref!</definedName>
    <definedName function="false" hidden="false" name="Pist_Area_Csg_ID_to_DP4_OD" vbProcedure="false">#ref!</definedName>
    <definedName function="false" hidden="false" name="Pist_Area_Csg_ID_to_DP5_OD" vbProcedure="false">#ref!</definedName>
    <definedName function="false" hidden="false" name="Pist_Area_from_CsgID_to_Packoff_OD" vbProcedure="false">#ref!</definedName>
    <definedName function="false" hidden="false" name="Pist_Area_PackoffOD_DP2_OD" vbProcedure="false">#ref!</definedName>
    <definedName function="false" hidden="false" name="Pist_Area_PackoffOD_DP4_OD" vbProcedure="false">#ref!</definedName>
    <definedName function="false" hidden="false" name="Pist_Area_PackoffOD_DP5_OD" vbProcedure="false">#ref!</definedName>
    <definedName function="false" hidden="false" name="Pist_Area_PackoffOD_to_DP1_OD" vbProcedure="false">#ref!</definedName>
    <definedName function="false" hidden="false" name="Pist_Area_PackoffOD_to_DP3_OD" vbProcedure="false">#ref!</definedName>
    <definedName function="false" hidden="false" name="PitGain" vbProcedure="false">#ref!</definedName>
    <definedName function="false" hidden="false" name="PKFactor" vbProcedure="false">#ref!</definedName>
    <definedName function="false" hidden="false" name="PKRIMG" vbProcedure="false">INDEX([76]PKR!$A$2:$B$15,MATCH([76]INPUT!$H$38,[76]PKR!$A$2:$A$15,0),2)</definedName>
    <definedName function="false" hidden="false" name="Pkrs" vbProcedure="false">#ref!</definedName>
    <definedName function="false" hidden="false" name="Pkr_ID" vbProcedure="false">#ref!</definedName>
    <definedName function="false" hidden="false" name="Platform" vbProcedure="false">'[35]drop downs'!$I$3:$I$7</definedName>
    <definedName function="false" hidden="false" name="plotm" vbProcedure="false">#N/A</definedName>
    <definedName function="false" hidden="false" name="PlugMethod" vbProcedure="false">#ref!</definedName>
    <definedName function="false" hidden="false" name="Plugs" vbProcedure="false">#ref!</definedName>
    <definedName function="false" hidden="false" name="PlugSize" vbProcedure="false">#ref!</definedName>
    <definedName function="false" hidden="false" name="Plug_Bmp_Hngr_Ovr_Ld" vbProcedure="false">#ref!</definedName>
    <definedName function="false" hidden="false" name="Plug_Bmp_psi_wo_DP" vbProcedure="false">#ref!</definedName>
    <definedName function="false" hidden="false" name="Plug_Bmp_psi_w_DP" vbProcedure="false">#ref!</definedName>
    <definedName function="false" hidden="false" name="Plug_Press_Rating" vbProcedure="false">#ref!</definedName>
    <definedName function="false" hidden="false" name="Plug_Press_Ratingz" vbProcedure="false">'[11]Liner Job Info'!$D$43</definedName>
    <definedName function="false" hidden="false" name="Plug_Temp_Rating" vbProcedure="false">#ref!</definedName>
    <definedName function="false" hidden="false" name="PMfoto" vbProcedure="false">#ref!</definedName>
    <definedName function="false" hidden="false" name="PMnobj" vbProcedure="false">#ref!</definedName>
    <definedName function="false" hidden="false" name="pmp1blstk" vbProcedure="false">#ref!</definedName>
    <definedName function="false" hidden="false" name="pmp2blstk" vbProcedure="false">#ref!</definedName>
    <definedName function="false" hidden="false" name="PMproj" vbProcedure="false">#ref!</definedName>
    <definedName function="false" hidden="false" name="PMS" vbProcedure="false">'[35]drop downs'!$G$3:$G$10</definedName>
    <definedName function="false" hidden="false" name="PMtieon" vbProcedure="false">#ref!</definedName>
    <definedName function="false" hidden="false" name="PNINE_TOTAL" vbProcedure="false">#ref!</definedName>
    <definedName function="false" hidden="false" name="PNumber" vbProcedure="false">#ref!</definedName>
    <definedName function="false" hidden="false" name="PO" vbProcedure="false">#ref!</definedName>
    <definedName function="false" hidden="false" name="PoinFromBit" vbProcedure="false">#ref!</definedName>
    <definedName function="false" hidden="false" name="PONumber" vbProcedure="false">#ref!</definedName>
    <definedName function="false" hidden="false" name="port" vbProcedure="false">#ref!</definedName>
    <definedName function="false" hidden="false" name="Ported_Sub" vbProcedure="false">#ref!</definedName>
    <definedName function="false" hidden="false" name="POSITION" vbProcedure="false">#ref!</definedName>
    <definedName function="false" hidden="false" name="postbriefer" vbProcedure="false">#ref!</definedName>
    <definedName function="false" hidden="false" name="POSTERRORSTOSUSP1" vbProcedure="false">[53]CRITERIA1!$B$34</definedName>
    <definedName function="false" hidden="false" name="postgpstim" vbProcedure="false">#ref!</definedName>
    <definedName function="false" hidden="false" name="PostJob" vbProcedure="false">#ref!</definedName>
    <definedName function="false" hidden="false" name="postvriefer" vbProcedure="false">#ref!</definedName>
    <definedName function="false" hidden="false" name="Pos_of_Ball" vbProcedure="false">#ref!</definedName>
    <definedName function="false" hidden="false" name="POTENTIAL_PROBLEMS" vbProcedure="false">#ref!</definedName>
    <definedName function="false" hidden="false" name="PoundConversion" vbProcedure="false">#ref!</definedName>
    <definedName function="false" hidden="false" name="POWERV_TO" vbProcedure="false">[38]RSS!$A$206</definedName>
    <definedName function="false" hidden="false" name="Pozo" vbProcedure="false">#ref!</definedName>
    <definedName function="false" hidden="false" name="Pp" vbProcedure="false">#ref!</definedName>
    <definedName function="false" hidden="false" name="ppacidfiltered" vbProcedure="false">#ref!</definedName>
    <definedName function="false" hidden="false" name="ppacidfluid" vbProcedure="false">#ref!</definedName>
    <definedName function="false" hidden="false" name="ppacidfluid2" vbProcedure="false">#ref!</definedName>
    <definedName function="false" hidden="false" name="ppacidfluid3" vbProcedure="false">#ref!</definedName>
    <definedName function="false" hidden="false" name="ppacidfluid4" vbProcedure="false">#ref!</definedName>
    <definedName function="false" hidden="false" name="ppacidstages" vbProcedure="false">#ref!</definedName>
    <definedName function="false" hidden="false" name="ppacidtype" vbProcedure="false">#ref!</definedName>
    <definedName function="false" hidden="false" name="ppacidtype2" vbProcedure="false">#ref!</definedName>
    <definedName function="false" hidden="false" name="ppacidtype3" vbProcedure="false">#ref!</definedName>
    <definedName function="false" hidden="false" name="ppacidtype4" vbProcedure="false">#ref!</definedName>
    <definedName function="false" hidden="false" name="ppacidvolume" vbProcedure="false">#ref!</definedName>
    <definedName function="false" hidden="false" name="ppacidweight" vbProcedure="false">#ref!</definedName>
    <definedName function="false" hidden="false" name="ppacidweight2" vbProcedure="false">#ref!</definedName>
    <definedName function="false" hidden="false" name="ppacidweight3" vbProcedure="false">#ref!</definedName>
    <definedName function="false" hidden="false" name="ppacidweight4" vbProcedure="false">#ref!</definedName>
    <definedName function="false" hidden="false" name="PPF" vbProcedure="false">#ref!</definedName>
    <definedName function="false" hidden="false" name="ppgelfiltered" vbProcedure="false">#ref!</definedName>
    <definedName function="false" hidden="false" name="ppgelloading" vbProcedure="false">#ref!</definedName>
    <definedName function="false" hidden="false" name="ppgelsheared" vbProcedure="false">#ref!</definedName>
    <definedName function="false" hidden="false" name="ppgelvis" vbProcedure="false">#ref!</definedName>
    <definedName function="false" hidden="false" name="ppgelvolume" vbProcedure="false">#ref!</definedName>
    <definedName function="false" hidden="false" name="ppgsggcc" vbProcedure="false">'[11]Metric Conversions'!$B$65</definedName>
    <definedName function="false" hidden="false" name="pph" vbProcedure="false">[40]!Calculate_Pipe</definedName>
    <definedName function="false" hidden="false" name="pphours1" vbProcedure="false">#ref!</definedName>
    <definedName function="false" hidden="false" name="pphours2" vbProcedure="false">#ref!</definedName>
    <definedName function="false" hidden="false" name="pphours3" vbProcedure="false">#ref!</definedName>
    <definedName function="false" hidden="false" name="pphours4" vbProcedure="false">#ref!</definedName>
    <definedName function="false" hidden="false" name="ppp" vbProcedure="false">#ref!</definedName>
    <definedName function="false" hidden="false" name="ppppacidtype3" vbProcedure="false">#ref!</definedName>
    <definedName function="false" hidden="false" name="ppppppppppppppppppppppppppp" vbProcedure="false">[53]CRITERIA1!$B$34</definedName>
    <definedName function="false" hidden="false" name="ppsandoutpress" vbProcedure="false">#ref!</definedName>
    <definedName function="false" hidden="false" name="ppsandoutrate" vbProcedure="false">#ref!</definedName>
    <definedName function="false" hidden="false" name="ppstage1" vbProcedure="false">#ref!</definedName>
    <definedName function="false" hidden="false" name="ppstage2" vbProcedure="false">#ref!</definedName>
    <definedName function="false" hidden="false" name="ppstage3" vbProcedure="false">#ref!</definedName>
    <definedName function="false" hidden="false" name="ppstage4" vbProcedure="false">#ref!</definedName>
    <definedName function="false" hidden="false" name="PPTVDtd" vbProcedure="false">#ref!</definedName>
    <definedName function="false" hidden="false" name="PrDelay" vbProcedure="false">#ref!</definedName>
    <definedName function="false" hidden="false" name="pre.Macro220" vbProcedure="false">[49]!Prev.Macro110</definedName>
    <definedName function="false" hidden="false" name="prebriefer" vbProcedure="false">#ref!</definedName>
    <definedName function="false" hidden="false" name="PrecentTieback" vbProcedure="false">#ref!</definedName>
    <definedName function="false" hidden="false" name="pregpstim" vbProcedure="false">#ref!</definedName>
    <definedName function="false" hidden="false" name="PreJob" vbProcedure="false">#ref!</definedName>
    <definedName function="false" hidden="false" name="PREPACK_MIX_RATIO" vbProcedure="false">#ref!</definedName>
    <definedName function="false" hidden="false" name="Pres1a" vbProcedure="false">#ref!</definedName>
    <definedName function="false" hidden="false" name="Pres1b" vbProcedure="false">#ref!</definedName>
    <definedName function="false" hidden="false" name="Pres1c" vbProcedure="false">#ref!</definedName>
    <definedName function="false" hidden="false" name="Pres1d" vbProcedure="false">#ref!</definedName>
    <definedName function="false" hidden="false" name="Pres1e" vbProcedure="false">#ref!</definedName>
    <definedName function="false" hidden="false" name="PRESENCE_November_Liste" vbProcedure="false">#ref!</definedName>
    <definedName function="false" hidden="false" name="presmw" vbProcedure="false">#ref!</definedName>
    <definedName function="false" hidden="false" name="Pressure" vbProcedure="false">#ref!</definedName>
    <definedName function="false" hidden="false" name="pressure1" vbProcedure="false">[19]Data!$C$2</definedName>
    <definedName function="false" hidden="false" name="pressure10" vbProcedure="false">[19]Data!$C$11</definedName>
    <definedName function="false" hidden="false" name="pressure2" vbProcedure="false">[19]Data!$C$3</definedName>
    <definedName function="false" hidden="false" name="pressure3" vbProcedure="false">[19]Data!$C$4</definedName>
    <definedName function="false" hidden="false" name="pressure4" vbProcedure="false">[19]Data!$C$5</definedName>
    <definedName function="false" hidden="false" name="pressure5" vbProcedure="false">[19]Data!$C$6</definedName>
    <definedName function="false" hidden="false" name="pressure6" vbProcedure="false">[19]Data!$C$7</definedName>
    <definedName function="false" hidden="false" name="pressure7" vbProcedure="false">[19]Data!$C$8</definedName>
    <definedName function="false" hidden="false" name="pressure8" vbProcedure="false">[19]Data!$C$9</definedName>
    <definedName function="false" hidden="false" name="pressure9" vbProcedure="false">[19]Data!$C$10</definedName>
    <definedName function="false" hidden="false" name="pressurea" vbProcedure="false">[19]Data!$D$2</definedName>
    <definedName function="false" hidden="false" name="pressureb" vbProcedure="false">[19]Data!$D$3</definedName>
    <definedName function="false" hidden="false" name="pressurec" vbProcedure="false">[19]Data!$D$4</definedName>
    <definedName function="false" hidden="false" name="pressured" vbProcedure="false">[19]Data!$D$5</definedName>
    <definedName function="false" hidden="false" name="pressuree" vbProcedure="false">[19]Data!$D$6</definedName>
    <definedName function="false" hidden="false" name="pressuref" vbProcedure="false">[19]Data!$D$7</definedName>
    <definedName function="false" hidden="false" name="pressureg" vbProcedure="false">[19]Data!$D$8</definedName>
    <definedName function="false" hidden="false" name="pressureh" vbProcedure="false">[19]Data!$D$9</definedName>
    <definedName function="false" hidden="false" name="pressurei" vbProcedure="false">[19]Data!$D$10</definedName>
    <definedName function="false" hidden="false" name="pressurej" vbProcedure="false">[19]Data!$D$11</definedName>
    <definedName function="false" hidden="false" name="Pressures" vbProcedure="false">#ref!,#ref!,#ref!</definedName>
    <definedName function="false" hidden="false" name="PressureUnit" vbProcedure="false">#ref!</definedName>
    <definedName function="false" hidden="false" name="Pressure_1" vbProcedure="false">#ref!</definedName>
    <definedName function="false" hidden="false" name="Pressure_2" vbProcedure="false">#ref!</definedName>
    <definedName function="false" hidden="false" name="Pressure_Chart" vbProcedure="false">#ref!</definedName>
    <definedName function="false" hidden="false" name="press_weight" vbProcedure="false">'[7]Drop-Down Items'!$AC$7:$AC$8</definedName>
    <definedName function="false" hidden="false" name="PresUnit" vbProcedure="false">#ref!</definedName>
    <definedName function="false" hidden="false" name="Prev.Macro101" vbProcedure="false">[26]!Prev.Macro101</definedName>
    <definedName function="false" hidden="false" name="Prev.Macro102" vbProcedure="false">[26]!Prev.Macro102</definedName>
    <definedName function="false" hidden="false" name="Prev.Macro103" vbProcedure="false">[26]!Prev.Macro103</definedName>
    <definedName function="false" hidden="false" name="Prev.Macro104" vbProcedure="false">[26]!Prev.Macro104</definedName>
    <definedName function="false" hidden="false" name="Prev.Macro105" vbProcedure="false">[26]!Prev.Macro105</definedName>
    <definedName function="false" hidden="false" name="Prev.Macro106" vbProcedure="false">[26]!Prev.Macro106</definedName>
    <definedName function="false" hidden="false" name="Prev.Macro107" vbProcedure="false">[26]!Prev.Macro107</definedName>
    <definedName function="false" hidden="false" name="Prev.Macro108" vbProcedure="false">[26]!Prev.Macro108</definedName>
    <definedName function="false" hidden="false" name="Prev.Macro109" vbProcedure="false">[26]!Prev.Macro109</definedName>
    <definedName function="false" hidden="false" name="Prev.Macro110" vbProcedure="false">[26]!Prev.Macro110</definedName>
    <definedName function="false" hidden="false" name="Prev.Macro111" vbProcedure="false">[26]!Prev.Macro111</definedName>
    <definedName function="false" hidden="false" name="Prev.Macro112" vbProcedure="false">[26]!Prev.Macro112</definedName>
    <definedName function="false" hidden="false" name="Prev.Macro113" vbProcedure="false">[26]!Prev.Macro113</definedName>
    <definedName function="false" hidden="false" name="Prev.Macro114" vbProcedure="false">[26]!Prev.Macro114</definedName>
    <definedName function="false" hidden="false" name="Prev.Macro115" vbProcedure="false">[26]!Prev.Macro115</definedName>
    <definedName function="false" hidden="false" name="Prev.Macro116" vbProcedure="false">[26]!Prev.Macro116</definedName>
    <definedName function="false" hidden="false" name="Prev.Macro117" vbProcedure="false">[26]!Prev.Macro117</definedName>
    <definedName function="false" hidden="false" name="Prev.Macro118" vbProcedure="false">[26]!Prev.Macro118</definedName>
    <definedName function="false" hidden="false" name="Prev.Macro120" vbProcedure="false">[26]!Prev.Macro120</definedName>
    <definedName function="false" hidden="false" name="Prev.Macro121" vbProcedure="false">[26]!Prev.Macro121</definedName>
    <definedName function="false" hidden="false" name="Prev.Macro122" vbProcedure="false">[26]!Prev.Macro122</definedName>
    <definedName function="false" hidden="false" name="Prev.Macro123" vbProcedure="false">[26]!Prev.Macro123</definedName>
    <definedName function="false" hidden="false" name="Prev.Macro124" vbProcedure="false">[26]!Prev.Macro124</definedName>
    <definedName function="false" hidden="false" name="Prev.Macro125" vbProcedure="false">[26]!Prev.Macro125</definedName>
    <definedName function="false" hidden="false" name="Prev.Macro126" vbProcedure="false">[26]!Prev.Macro126</definedName>
    <definedName function="false" hidden="false" name="Prev.Macro127" vbProcedure="false">[26]!Prev.Macro127</definedName>
    <definedName function="false" hidden="false" name="Prev.Macro128" vbProcedure="false">[26]!Prev.Macro128</definedName>
    <definedName function="false" hidden="false" name="Prev.Macro129" vbProcedure="false">[26]!Prev.Macro129</definedName>
    <definedName function="false" hidden="false" name="Prev.Macro130" vbProcedure="false">[26]!Prev.Macro130</definedName>
    <definedName function="false" hidden="false" name="Prev.Macro131" vbProcedure="false">[26]!Prev.Macro131</definedName>
    <definedName function="false" hidden="false" name="prev.macro131." vbProcedure="false">[26]!prev.macro131.</definedName>
    <definedName function="false" hidden="false" name="Prev.Macro132" vbProcedure="false">[26]!Prev.Macro132</definedName>
    <definedName function="false" hidden="false" name="Prev.Macro133" vbProcedure="false">[26]!Prev.Macro133</definedName>
    <definedName function="false" hidden="false" name="Prev.Macro134" vbProcedure="false">[26]!Prev.Macro134</definedName>
    <definedName function="false" hidden="false" name="Prev.Macro135" vbProcedure="false">[26]!Prev.Macro135</definedName>
    <definedName function="false" hidden="false" name="Prev.Macro136" vbProcedure="false">[26]!Prev.Macro136</definedName>
    <definedName function="false" hidden="false" name="Prev.Macro137" vbProcedure="false">[26]!Prev.Macro137</definedName>
    <definedName function="false" hidden="false" name="Prev.Macro138" vbProcedure="false">[26]!Prev.Macro138</definedName>
    <definedName function="false" hidden="false" name="Prev.Macro139" vbProcedure="false">[26]!Prev.Macro139</definedName>
    <definedName function="false" hidden="false" name="Prev.Macro140" vbProcedure="false">[26]!Prev.Macro140</definedName>
    <definedName function="false" hidden="false" name="Prev.Macro141" vbProcedure="false">[26]!Prev.Macro141</definedName>
    <definedName function="false" hidden="false" name="Prev.Macro142" vbProcedure="false">[26]!Prev.Macro142</definedName>
    <definedName function="false" hidden="false" name="Prev.Macro143" vbProcedure="false">[26]!Prev.Macro143</definedName>
    <definedName function="false" hidden="false" name="Prev.Macro144" vbProcedure="false">[26]!Prev.Macro144</definedName>
    <definedName function="false" hidden="false" name="Prev.Macro145" vbProcedure="false">[26]!Prev.Macro145</definedName>
    <definedName function="false" hidden="false" name="Prev.Macro146" vbProcedure="false">[26]!Prev.Macro146</definedName>
    <definedName function="false" hidden="false" name="Prev.Macro147" vbProcedure="false">[26]!Prev.Macro147</definedName>
    <definedName function="false" hidden="false" name="Prev.Macro149" vbProcedure="false">[26]!Prev.Macro149</definedName>
    <definedName function="false" hidden="false" name="prev.Macro150" vbProcedure="false">[49]!Prev.Macro122</definedName>
    <definedName function="false" hidden="false" name="prev.Macro200" vbProcedure="false">[49]!Prev.Macro128</definedName>
    <definedName function="false" hidden="false" name="Prev.Macro242" vbProcedure="false">[49]!Prev.Macro106</definedName>
    <definedName function="false" hidden="false" name="Prev_Period" vbProcedure="false">#ref!</definedName>
    <definedName function="false" hidden="false" name="pricelist" vbProcedure="false">#ref!</definedName>
    <definedName function="false" hidden="false" name="priceref" vbProcedure="false">#ref!</definedName>
    <definedName function="false" hidden="false" name="PRINT" vbProcedure="false">#ref!</definedName>
    <definedName function="false" hidden="false" name="print1" vbProcedure="false">#ref!,#ref!</definedName>
    <definedName function="false" hidden="false" name="PRINTER" vbProcedure="false">#ref!</definedName>
    <definedName function="false" hidden="false" name="Print_Area_MI" vbProcedure="false">#ref!</definedName>
    <definedName function="false" hidden="false" name="Print_Area___.___mPM_Red__" vbProcedure="false">#ref!</definedName>
    <definedName function="false" hidden="false" name="Print_Area_______mPM_Red__" vbProcedure="false">#ref!</definedName>
    <definedName function="false" hidden="false" name="print_DJT" vbProcedure="false">#ref!</definedName>
    <definedName function="false" hidden="false" name="print_DTM" vbProcedure="false">#ref!</definedName>
    <definedName function="false" hidden="false" name="Print_This" vbProcedure="false">#ref!</definedName>
    <definedName function="false" hidden="false" name="Print_Titles_MI" vbProcedure="false">#ref!</definedName>
    <definedName function="false" hidden="false" name="Probability" vbProcedure="false">[18]Criteria!$G$2:$G$6</definedName>
    <definedName function="false" hidden="false" name="prod" vbProcedure="false">[77]Products!$A$4:$F$144</definedName>
    <definedName function="false" hidden="false" name="PRODPKR" vbProcedure="false">INDEX([78]PKR!$A$2:$B$15,MATCH([78]INPUT!$H$37,[78]PKR!$A$2:$A$15,0),2)</definedName>
    <definedName function="false" hidden="false" name="prodtype" vbProcedure="false">[5]Data!$F$9</definedName>
    <definedName function="false" hidden="false" name="ProductGroupUnique" vbProcedure="false">'[59]AE Database'!$B$305:INDEX('[59]AE Database'!$B$305:$B$400,'[59]AE Database'!$B$303)</definedName>
    <definedName function="false" hidden="false" name="production" vbProcedure="false">#ref!</definedName>
    <definedName function="false" hidden="false" name="Production_History_by_Well" vbProcedure="false">#ref!</definedName>
    <definedName function="false" hidden="false" name="Production_History_NG_Field" vbProcedure="false">#ref!</definedName>
    <definedName function="false" hidden="false" name="PRODUCT_DES" vbProcedure="false">#ref!</definedName>
    <definedName function="false" hidden="false" name="profitcntr1" vbProcedure="false">#N/A</definedName>
    <definedName function="false" hidden="false" name="Prog" vbProcedure="false">[65]References!$E$1:$E$4</definedName>
    <definedName function="false" hidden="false" name="PROJAZI" vbProcedure="false">#ref!</definedName>
    <definedName function="false" hidden="false" name="Project" vbProcedure="false">#ref!</definedName>
    <definedName function="false" hidden="false" name="Project_Start" vbProcedure="false">#ref!</definedName>
    <definedName function="false" hidden="false" name="PROP" vbProcedure="false">#ref!</definedName>
    <definedName function="false" hidden="false" name="ProppantName" vbProcedure="false">#ref!</definedName>
    <definedName function="false" hidden="false" name="Pro_DT" vbProcedure="false">OFFSET(#ref!,1,0,#ref!)</definedName>
    <definedName function="false" hidden="false" name="Pro_MD" vbProcedure="false">OFFSET(#ref!,1,0,#ref!)</definedName>
    <definedName function="false" hidden="false" name="Pro_PUF1" vbProcedure="false">OFFSET(#ref!,1,0,#ref!)</definedName>
    <definedName function="false" hidden="false" name="Pro_PUF2" vbProcedure="false">OFFSET(#ref!,1,0,#ref!)</definedName>
    <definedName function="false" hidden="false" name="Pro_ROT" vbProcedure="false">OFFSET(#ref!,1,0,#ref!)</definedName>
    <definedName function="false" hidden="false" name="Pro_SOF1" vbProcedure="false">OFFSET(#ref!,1,0,#ref!)</definedName>
    <definedName function="false" hidden="false" name="Pro_SOF2" vbProcedure="false">OFFSET(#ref!,1,0,#ref!)</definedName>
    <definedName function="false" hidden="false" name="Pro_Tn" vbProcedure="false">OFFSET(#ref!,1,0,#ref!)</definedName>
    <definedName function="false" hidden="false" name="Pro_Toff" vbProcedure="false">OFFSET(#ref!,1,0,#ref!)</definedName>
    <definedName function="false" hidden="false" name="Pro_WOB" vbProcedure="false">OFFSET(#ref!,1,0,#ref!)</definedName>
    <definedName function="false" hidden="false" name="PS" vbProcedure="false">[141]summary!#ref!</definedName>
    <definedName function="false" hidden="false" name="PSEVEN_TOTAL" vbProcedure="false">#ref!</definedName>
    <definedName function="false" hidden="false" name="PSI" vbProcedure="false">#ref!</definedName>
    <definedName function="false" hidden="false" name="psia_array" vbProcedure="false">{"HMR","HMR-GT","ZI Probe","Spartek","Omega SP"}</definedName>
    <definedName function="false" hidden="false" name="psibarkpa" vbProcedure="false">'[11]Metric Conversions'!$B$42</definedName>
    <definedName function="false" hidden="false" name="psig_array" vbProcedure="false">{"RPG-3","RPG-4"}</definedName>
    <definedName function="false" hidden="false" name="PSIX_TOTAL" vbProcedure="false">#ref!</definedName>
    <definedName function="false" hidden="false" name="PSK" vbProcedure="false">#ref!</definedName>
    <definedName function="false" hidden="false" name="PskDepth" vbProcedure="false">#ref!</definedName>
    <definedName function="false" hidden="false" name="psl" vbProcedure="false">#ref!</definedName>
    <definedName function="false" hidden="false" name="Pstn_Force_Actual" vbProcedure="false">#ref!</definedName>
    <definedName function="false" hidden="false" name="PS_pricelist" vbProcedure="false">#ref!</definedName>
    <definedName function="false" hidden="false" name="Pt" vbProcedure="false">#ref!</definedName>
    <definedName function="false" hidden="false" name="ptdtr" vbProcedure="false">'[16]Max-Torq'!$P$71</definedName>
    <definedName function="false" hidden="false" name="PTHREE_TOTAL" vbProcedure="false">#ref!</definedName>
    <definedName function="false" hidden="false" name="ptsv" vbProcedure="false">#ref!</definedName>
    <definedName function="false" hidden="false" name="PTV" vbProcedure="false">#ref!</definedName>
    <definedName function="false" hidden="false" name="PTVDepth" vbProcedure="false">#ref!</definedName>
    <definedName function="false" hidden="false" name="PTWO_TOTAL" vbProcedure="false">#ref!</definedName>
    <definedName function="false" hidden="false" name="PU" vbProcedure="false">#ref!</definedName>
    <definedName function="false" hidden="false" name="PUCF" vbProcedure="false">#ref!</definedName>
    <definedName function="false" hidden="false" name="PumpInput" vbProcedure="false">#ref!</definedName>
    <definedName function="false" hidden="false" name="PumpOutput" vbProcedure="false">#ref!</definedName>
    <definedName function="false" hidden="false" name="pumpq" vbProcedure="false">'[7]Drop-Down Items'!$AA$7:$AA$10</definedName>
    <definedName function="false" hidden="false" name="Pups" vbProcedure="false">#ref!</definedName>
    <definedName function="false" hidden="false" name="PUP_B" vbProcedure="false">[90]tbgtally!#ref!</definedName>
    <definedName function="false" hidden="false" name="purchasing" vbProcedure="false">'[79]Summary P+L'!$B$17</definedName>
    <definedName function="false" hidden="false" name="purpose" vbProcedure="false">#ref!</definedName>
    <definedName function="false" hidden="false" name="pushpilltype" vbProcedure="false">#ref!</definedName>
    <definedName function="false" hidden="false" name="PU_Dogs" vbProcedure="false">#ref!</definedName>
    <definedName function="false" hidden="false" name="PU_Dogsz" vbProcedure="false">'[11]Liner Job Info'!$P$47</definedName>
    <definedName function="false" hidden="false" name="PU_Packoff" vbProcedure="false">#ref!</definedName>
    <definedName function="false" hidden="false" name="PU_Packoffz" vbProcedure="false">'[11]Liner Job Info'!$P$48</definedName>
    <definedName function="false" hidden="false" name="PV" vbProcedure="false">#ref!</definedName>
    <definedName function="false" hidden="false" name="PVfoto" vbProcedure="false">#ref!</definedName>
    <definedName function="false" hidden="false" name="PVobj" vbProcedure="false">#ref!</definedName>
    <definedName function="false" hidden="false" name="PVproj" vbProcedure="false">#ref!</definedName>
    <definedName function="false" hidden="false" name="PVtieon" vbProcedure="false">#ref!</definedName>
    <definedName function="false" hidden="false" name="PWD_Ranges" vbProcedure="false">#ref!</definedName>
    <definedName function="false" hidden="false" name="PWD_Ratings" vbProcedure="false">#ref!</definedName>
    <definedName function="false" hidden="false" name="Pyp" vbProcedure="false">#ref!</definedName>
    <definedName function="false" hidden="false" name="q" vbProcedure="false">#ref!</definedName>
    <definedName function="false" hidden="false" name="qeeeeeeeeeee" vbProcedure="false">#ref!</definedName>
    <definedName function="false" hidden="false" name="QPNum" vbProcedure="false">#ref!</definedName>
    <definedName function="false" hidden="false" name="QQQ" vbProcedure="false">#ref!</definedName>
    <definedName function="false" hidden="false" name="qqqqqqqqqqqq" vbProcedure="false">#ref!</definedName>
    <definedName function="false" hidden="false" name="QTY" vbProcedure="false">'[44]7-30-04'!$A$1:$XFD$7457</definedName>
    <definedName function="false" hidden="false" name="quantum" vbProcedure="false">#ref!</definedName>
    <definedName function="false" hidden="false" name="Quarter" vbProcedure="false">[80]Criteria!$E$2:$E$7</definedName>
    <definedName function="false" hidden="false" name="Query11" vbProcedure="false">#ref!</definedName>
    <definedName function="false" hidden="false" name="QUIT" vbProcedure="false">#ref!</definedName>
    <definedName function="false" hidden="false" name="quoteprob" vbProcedure="false">#ref!</definedName>
    <definedName function="false" hidden="false" name="qw" vbProcedure="false">#ref!</definedName>
    <definedName function="false" hidden="false" name="QW182Tally" vbProcedure="false">#ref!</definedName>
    <definedName function="false" hidden="false" name="QW182Tally2" vbProcedure="false">#ref!</definedName>
    <definedName function="false" hidden="false" name="qwe" vbProcedure="false">#ref!</definedName>
    <definedName function="false" hidden="false" name="R.DLR" vbProcedure="false">#ref!</definedName>
    <definedName function="false" hidden="false" name="ra" vbProcedure="false">#ref!</definedName>
    <definedName function="false" hidden="false" name="rad" vbProcedure="false">#ref!</definedName>
    <definedName function="false" hidden="false" name="RAIOalvo" vbProcedure="false">#ref!</definedName>
    <definedName function="false" hidden="false" name="rami" vbProcedure="false">#ref!</definedName>
    <definedName function="false" hidden="false" name="Range" vbProcedure="false">#ref!</definedName>
    <definedName function="false" hidden="false" name="Range1" vbProcedure="false">OFFSET(#ref!, 1, 0,#ref!,1)</definedName>
    <definedName function="false" hidden="false" name="Range2" vbProcedure="false">#ref!</definedName>
    <definedName function="false" hidden="false" name="rate" vbProcedure="false">[19]Data!$F$7</definedName>
    <definedName function="false" hidden="false" name="rate1" vbProcedure="false">[19]Data!$A$2</definedName>
    <definedName function="false" hidden="false" name="rate10" vbProcedure="false">[19]Data!$A$11</definedName>
    <definedName function="false" hidden="false" name="rate2" vbProcedure="false">[19]Data!$A$3</definedName>
    <definedName function="false" hidden="false" name="rate3" vbProcedure="false">[19]Data!$A$4</definedName>
    <definedName function="false" hidden="false" name="rate4" vbProcedure="false">[19]Data!$A$5</definedName>
    <definedName function="false" hidden="false" name="rate5" vbProcedure="false">[19]Data!$A$6</definedName>
    <definedName function="false" hidden="false" name="rate6" vbProcedure="false">[19]Data!$A$7</definedName>
    <definedName function="false" hidden="false" name="rate7" vbProcedure="false">[19]Data!$A$8</definedName>
    <definedName function="false" hidden="false" name="rate8" vbProcedure="false">[19]Data!$A$9</definedName>
    <definedName function="false" hidden="false" name="rate9" vbProcedure="false">[19]Data!$A$10</definedName>
    <definedName function="false" hidden="false" name="ratea" vbProcedure="false">#ref!</definedName>
    <definedName function="false" hidden="false" name="rateb" vbProcedure="false">#ref!</definedName>
    <definedName function="false" hidden="false" name="ratec" vbProcedure="false">#ref!</definedName>
    <definedName function="false" hidden="false" name="rated" vbProcedure="false">#ref!</definedName>
    <definedName function="false" hidden="false" name="ratee" vbProcedure="false">#ref!</definedName>
    <definedName function="false" hidden="false" name="ratef" vbProcedure="false">#ref!</definedName>
    <definedName function="false" hidden="false" name="rateg" vbProcedure="false">#ref!</definedName>
    <definedName function="false" hidden="false" name="rateh" vbProcedure="false">#ref!</definedName>
    <definedName function="false" hidden="false" name="ratei" vbProcedure="false">#ref!</definedName>
    <definedName function="false" hidden="false" name="ratej" vbProcedure="false">#ref!</definedName>
    <definedName function="false" hidden="false" name="Rat_Hole_12.25" vbProcedure="false">#ref!</definedName>
    <definedName function="false" hidden="false" name="Rat_Hole_16" vbProcedure="false">#ref!</definedName>
    <definedName function="false" hidden="false" name="Rat_Hole_8.5" vbProcedure="false">#ref!</definedName>
    <definedName function="false" hidden="false" name="Raw_Infl." vbProcedure="false">#ref!</definedName>
    <definedName function="false" hidden="false" name="raw_tally_lower" vbProcedure="false">#N/A</definedName>
    <definedName function="false" hidden="false" name="raw_tally_upper" vbProcedure="false">#N/A</definedName>
    <definedName function="false" hidden="false" name="RA_Tag_in_Screens" vbProcedure="false">#ref!</definedName>
    <definedName function="false" hidden="false" name="rb" vbProcedure="false">#ref!</definedName>
    <definedName function="false" hidden="false" name="Rch" vbProcedure="false">#ref!</definedName>
    <definedName function="false" hidden="false" name="Rcv" vbProcedure="false">#ref!</definedName>
    <definedName function="false" hidden="false" name="RC_DROPR2" vbProcedure="false">#ref!</definedName>
    <definedName function="false" hidden="false" name="rd" vbProcedure="false">#ref!</definedName>
    <definedName function="false" hidden="false" name="rdn" vbProcedure="false">#ref!</definedName>
    <definedName function="false" hidden="false" name="reading" vbProcedure="false">#ref!</definedName>
    <definedName function="false" hidden="false" name="Ready1" vbProcedure="false">#ref!</definedName>
    <definedName function="false" hidden="false" name="ReamerNozzles" vbProcedure="false">#ref!</definedName>
    <definedName function="false" hidden="false" name="ReamerNozzleTFA" vbProcedure="false">#ref!</definedName>
    <definedName function="false" hidden="false" name="ReamerNozzleUnit" vbProcedure="false">#ref!</definedName>
    <definedName function="false" hidden="false" name="ReamerTFAUnits" vbProcedure="false">#ref!</definedName>
    <definedName function="false" hidden="false" name="Reasons" vbProcedure="false">#ref!</definedName>
    <definedName function="false" hidden="false" name="Reason_Pulled" vbProcedure="false">'[7]Drop-Down Items'!$C$34:$C$61</definedName>
    <definedName function="false" hidden="false" name="Recalc" vbProcedure="false">[115]!Recalc</definedName>
    <definedName function="false" hidden="false" name="RECEIPTS___PAYS" vbProcedure="false">#ref!</definedName>
    <definedName function="false" hidden="false" name="Recorddb" vbProcedure="false">#ref!</definedName>
    <definedName function="false" hidden="true" name="Recorder_______mPM" vbProcedure="false">#ref!</definedName>
    <definedName function="false" hidden="false" name="Recordslb" vbProcedure="false">#ref!</definedName>
    <definedName function="false" hidden="false" name="REDBASKET" vbProcedure="false">#ref!</definedName>
    <definedName function="false" hidden="false" name="REF" vbProcedure="false">'[58]7-30-04'!#ref!</definedName>
    <definedName function="false" hidden="false" name="REF.2" vbProcedure="false">'[58]7-30-04'!#ref!</definedName>
    <definedName function="false" hidden="false" name="REF.3" vbProcedure="false">'[58]7-30-04'!#ref!</definedName>
    <definedName function="false" hidden="false" name="REF.NO" vbProcedure="false">'[44]7-30-04'!$GO$7457</definedName>
    <definedName function="false" hidden="false" name="refr_test" vbProcedure="false">#ref!</definedName>
    <definedName function="false" hidden="false" name="REF_1" vbProcedure="false">'[58]7-30-04'!#ref!</definedName>
    <definedName function="false" hidden="false" name="Region" vbProcedure="false">#ref!</definedName>
    <definedName function="false" hidden="false" name="Regions" vbProcedure="false">#ref!</definedName>
    <definedName function="false" hidden="false" name="ReleaseDate" vbProcedure="false">#ref!</definedName>
    <definedName function="false" hidden="false" name="ReloadChk" vbProcedure="false">#ref!</definedName>
    <definedName function="false" hidden="false" name="REMARKS" vbProcedure="false">'[58]7-30-04'!#ref!</definedName>
    <definedName function="false" hidden="false" name="Rem_DP1_Tens" vbProcedure="false">#ref!</definedName>
    <definedName function="false" hidden="false" name="Rem_DP2_Tens" vbProcedure="false">#ref!</definedName>
    <definedName function="false" hidden="false" name="Rem_DP3_Tens" vbProcedure="false">#ref!</definedName>
    <definedName function="false" hidden="false" name="Rem_DP4_Tens" vbProcedure="false">#ref!</definedName>
    <definedName function="false" hidden="false" name="Rem_DP5_Tens" vbProcedure="false">#ref!</definedName>
    <definedName function="false" hidden="false" name="Rentalequipment" vbProcedure="false">#ref!</definedName>
    <definedName function="false" hidden="false" name="Rentalm1" vbProcedure="false">[17]scope!#ref!</definedName>
    <definedName function="false" hidden="false" name="rental_array" vbProcedure="false">#ref!</definedName>
    <definedName function="false" hidden="false" name="Rental_Tool_ID" vbProcedure="false">[11]DATA!$S$2:$S$79</definedName>
    <definedName function="false" hidden="false" name="repname" vbProcedure="false">[5]WTR!$D$5</definedName>
    <definedName function="false" hidden="false" name="REPORT" vbProcedure="false">#ref!</definedName>
    <definedName function="false" hidden="false" name="REPORT3" vbProcedure="false">'[1]run sheet'!#ref!</definedName>
    <definedName function="false" hidden="false" name="ReportApprovedBy" vbProcedure="false">#ref!</definedName>
    <definedName function="false" hidden="false" name="ReportDate" vbProcedure="false">#ref!</definedName>
    <definedName function="false" hidden="false" name="ReportDesignedBy" vbProcedure="false">#ref!</definedName>
    <definedName function="false" hidden="false" name="ReportTitle" vbProcedure="false">#ref!</definedName>
    <definedName function="false" hidden="false" name="Report_Title" vbProcedure="false">#ref!</definedName>
    <definedName function="false" hidden="false" name="rere" vbProcedure="false">#ref!</definedName>
    <definedName function="false" hidden="false" name="RESE" vbProcedure="false">#ref!</definedName>
    <definedName function="false" hidden="false" name="RESERVOIR" vbProcedure="false">#ref!</definedName>
    <definedName function="false" hidden="false" name="reservoir15" vbProcedure="false">#ref!</definedName>
    <definedName function="false" hidden="false" name="reservoir16" vbProcedure="false">#ref!</definedName>
    <definedName function="false" hidden="false" name="reservoir17" vbProcedure="false">#ref!</definedName>
    <definedName function="false" hidden="false" name="reservoir18" vbProcedure="false">#ref!</definedName>
    <definedName function="false" hidden="false" name="reservoir19" vbProcedure="false">#ref!</definedName>
    <definedName function="false" hidden="false" name="reservoir20" vbProcedure="false">#ref!</definedName>
    <definedName function="false" hidden="false" name="reservoir21" vbProcedure="false">#ref!</definedName>
    <definedName function="false" hidden="false" name="reservoir22" vbProcedure="false">#ref!</definedName>
    <definedName function="false" hidden="false" name="reservoir23" vbProcedure="false">#ref!</definedName>
    <definedName function="false" hidden="false" name="reservoir24" vbProcedure="false">#ref!</definedName>
    <definedName function="false" hidden="false" name="reservoir25" vbProcedure="false">#ref!</definedName>
    <definedName function="false" hidden="false" name="reservoir26" vbProcedure="false">#ref!</definedName>
    <definedName function="false" hidden="false" name="reservoir27" vbProcedure="false">#ref!</definedName>
    <definedName function="false" hidden="false" name="reservoir28" vbProcedure="false">#ref!</definedName>
    <definedName function="false" hidden="false" name="reservoir29" vbProcedure="false">#ref!</definedName>
    <definedName function="false" hidden="false" name="Reservoir_Pressure" vbProcedure="false">'[2]Data Go-To-Sheet'!$F$5:$F$12</definedName>
    <definedName function="false" hidden="false" name="RESET" vbProcedure="false">#ref!</definedName>
    <definedName function="false" hidden="false" name="RESPONSIBILITYAPPLICATIONID1" vbProcedure="false">[53]CRITERIA1!$B$7</definedName>
    <definedName function="false" hidden="false" name="RESPONSIBILITYID1" vbProcedure="false">[53]CRITERIA1!$B$8</definedName>
    <definedName function="false" hidden="false" name="resrevoir09" vbProcedure="false">#ref!</definedName>
    <definedName function="false" hidden="false" name="resrevoir10" vbProcedure="false">#ref!</definedName>
    <definedName function="false" hidden="false" name="resrevoir12" vbProcedure="false">#ref!</definedName>
    <definedName function="false" hidden="false" name="resrevoir13" vbProcedure="false">#ref!</definedName>
    <definedName function="false" hidden="false" name="resrevoir14" vbProcedure="false">#ref!</definedName>
    <definedName function="false" hidden="false" name="ret" vbProcedure="false">#ref!</definedName>
    <definedName function="false" hidden="false" name="Retour" vbProcedure="false">#ref!</definedName>
    <definedName function="false" hidden="false" name="Return_to_seabed" vbProcedure="false">#ref!</definedName>
    <definedName function="false" hidden="false" name="RevDate" vbProcedure="false">#ref!</definedName>
    <definedName function="false" hidden="false" name="ReviseDesign" vbProcedure="false">#ref!</definedName>
    <definedName function="false" hidden="false" name="RevNb" vbProcedure="false">#ref!</definedName>
    <definedName function="false" hidden="false" name="RevNum" vbProcedure="false">[49]Revision_History!$G$7&amp;" "&amp;[49]Revision_History!$H$7</definedName>
    <definedName function="false" hidden="false" name="Rev_XX" vbProcedure="false">#ref!</definedName>
    <definedName function="false" hidden="false" name="rho_ahead_cement" vbProcedure="false">#ref!</definedName>
    <definedName function="false" hidden="false" name="rho_chase" vbProcedure="false">#ref!</definedName>
    <definedName function="false" hidden="false" name="rho_lead" vbProcedure="false">#ref!</definedName>
    <definedName function="false" hidden="false" name="rho_tail" vbProcedure="false">#ref!</definedName>
    <definedName function="false" hidden="false" name="rhstretchz" vbProcedure="false">'[11]Metric Conversions'!$C$38</definedName>
    <definedName function="false" hidden="false" name="RH_SHEAR" vbProcedure="false">#ref!</definedName>
    <definedName function="false" hidden="false" name="RH_SHEAR_LNGTH" vbProcedure="false">#ref!</definedName>
    <definedName function="false" hidden="false" name="RH_SHEAR_LNGTHz" vbProcedure="false">'[11]Metric Conversions'!$C$37</definedName>
    <definedName function="false" hidden="false" name="Rig" vbProcedure="false">#ref!</definedName>
    <definedName function="false" hidden="false" name="rigcontractor1" vbProcedure="false">#N/A</definedName>
    <definedName function="false" hidden="false" name="RigFd" vbProcedure="false">#ref!</definedName>
    <definedName function="false" hidden="false" name="RigName" vbProcedure="false">#ref!</definedName>
    <definedName function="false" hidden="false" name="Rigname1" vbProcedure="false">#N/A</definedName>
    <definedName function="false" hidden="false" name="RigPh" vbProcedure="false">#ref!</definedName>
    <definedName function="false" hidden="false" name="Rigs" vbProcedure="false">[81]Sheet1!$G$2:$I$21</definedName>
    <definedName function="false" hidden="false" name="Rig_Name" vbProcedure="false">#ref!</definedName>
    <definedName function="false" hidden="false" name="Rig_Output" vbProcedure="false">#ref!</definedName>
    <definedName function="false" hidden="false" name="RiseID" vbProcedure="false">#ref!</definedName>
    <definedName function="false" hidden="false" name="Riser_Volume" vbProcedure="false">#ref!</definedName>
    <definedName function="false" hidden="true" name="RiskAfterRecalcMacro" vbProcedure="false">""</definedName>
    <definedName function="false" hidden="true" name="RiskAfterSimMacro" vbProcedure="false">""</definedName>
    <definedName function="false" hidden="true" name="RiskBeforeRecalcMacro" vbProcedure="false">""</definedName>
    <definedName function="false" hidden="true" name="RiskBeforeSimMacro" vbProcedure="false">""</definedName>
    <definedName function="false" hidden="true" name="RiskCollectDistributionSamples" vbProcedure="false">2</definedName>
    <definedName function="false" hidden="true" name="RiskFixedSeed" vbProcedure="false">1</definedName>
    <definedName function="false" hidden="true" name="RiskHasSettings" vbProcedure="false">5</definedName>
    <definedName function="false" hidden="false" name="RiskMatrix" vbProcedure="false">#ref!</definedName>
    <definedName function="false" hidden="true" name="RiskMinimizeOnStart" vbProcedure="false">FALSE()</definedName>
    <definedName function="false" hidden="true" name="RiskMonitorConvergence" vbProcedure="false">FALSE()</definedName>
    <definedName function="false" hidden="true" name="RiskMultipleCPUSupportEnabled" vbProcedure="false">TRUE()</definedName>
    <definedName function="false" hidden="true" name="RiskNumIterations" vbProcedure="false">500</definedName>
    <definedName function="false" hidden="true" name="RiskNumSimulations" vbProcedure="false">1</definedName>
    <definedName function="false" hidden="true" name="RiskPauseOnError" vbProcedure="false">FALSE()</definedName>
    <definedName function="false" hidden="true" name="RiskRunAfterRecalcMacro" vbProcedure="false">FALSE()</definedName>
    <definedName function="false" hidden="true" name="RiskRunAfterSimMacro" vbProcedure="false">FALSE()</definedName>
    <definedName function="false" hidden="true" name="RiskRunBeforeRecalcMacro" vbProcedure="false">FALSE()</definedName>
    <definedName function="false" hidden="true" name="RiskRunBeforeSimMacro" vbProcedure="false">FALSE()</definedName>
    <definedName function="false" hidden="true" name="RiskSamplingType" vbProcedure="false">3</definedName>
    <definedName function="false" hidden="true" name="RiskStandardRecalc" vbProcedure="false">1</definedName>
    <definedName function="false" hidden="true" name="RiskUpdateDisplay" vbProcedure="false">FALSE()</definedName>
    <definedName function="false" hidden="true" name="RiskUseDifferentSeedForEachSim" vbProcedure="false">FALSE()</definedName>
    <definedName function="false" hidden="true" name="RiskUseFixedSeed" vbProcedure="false">FALSE()</definedName>
    <definedName function="false" hidden="true" name="RiskUseMultipleCPUs" vbProcedure="false">TRUE()</definedName>
    <definedName function="false" hidden="false" name="RI_LC_Z2_ANSWERS_SCPacker1" vbProcedure="false">#ref!</definedName>
    <definedName function="false" hidden="false" name="RI_LC_Z3_ANSWERS_SCPacker1" vbProcedure="false">#ref!</definedName>
    <definedName function="false" hidden="false" name="RI_LC_Z4_ANSWERS_SCPacker1" vbProcedure="false">#ref!</definedName>
    <definedName function="false" hidden="false" name="RI_LC_Z5_ANSWERS_SCPacker1" vbProcedure="false">#ref!</definedName>
    <definedName function="false" hidden="false" name="RKB" vbProcedure="false">#ref!</definedName>
    <definedName function="false" hidden="false" name="RKB_TOP_LINER_7" vbProcedure="false">#ref!</definedName>
    <definedName function="false" hidden="false" name="ROC" vbProcedure="false">#ref!</definedName>
    <definedName function="false" hidden="false" name="Rollover" vbProcedure="false">[60]auf_screen!#ref!</definedName>
    <definedName function="false" hidden="false" name="ROMR" vbProcedure="false">[65]References!$A$1:$A$3</definedName>
    <definedName function="false" hidden="false" name="rop" vbProcedure="false">'[7]Drop-Down Items'!$V$7:$V$10</definedName>
    <definedName function="false" hidden="false" name="Rop_Orient_Mode_1" vbProcedure="false">#ref!</definedName>
    <definedName function="false" hidden="false" name="Rop_Orient_Mode_1_Name" vbProcedure="false">#ref!</definedName>
    <definedName function="false" hidden="false" name="Rop_Orient_Mode_2" vbProcedure="false">#ref!</definedName>
    <definedName function="false" hidden="false" name="Rop_Orient_Mode_2_Name" vbProcedure="false">#ref!</definedName>
    <definedName function="false" hidden="false" name="ROP_Survey" vbProcedure="false">#ref!</definedName>
    <definedName function="false" hidden="false" name="Rotary" vbProcedure="false">#ref!</definedName>
    <definedName function="false" hidden="false" name="Rotary_Table_To_Landing_Point_13.375" vbProcedure="false">#ref!</definedName>
    <definedName function="false" hidden="false" name="Rotary_Table_To_Landing_Point_9.625" vbProcedure="false">#ref!</definedName>
    <definedName function="false" hidden="false" name="Rotary_Table_to_Liner_Top" vbProcedure="false">#ref!</definedName>
    <definedName function="false" hidden="false" name="RotateOffBottomUnit" vbProcedure="false">#ref!</definedName>
    <definedName function="false" hidden="false" name="Rotation" vbProcedure="false">#ref!</definedName>
    <definedName function="false" hidden="false" name="RotorByPassNozzleTFA" vbProcedure="false">#ref!</definedName>
    <definedName function="false" hidden="false" name="RotorByPassNozzleTFAUnits" vbProcedure="false">#ref!</definedName>
    <definedName function="false" hidden="false" name="RowCount" vbProcedure="false">#ref!</definedName>
    <definedName function="false" hidden="false" name="RowPage" vbProcedure="false">#ref!</definedName>
    <definedName function="false" hidden="false" name="rowq" vbProcedure="false">#ref!</definedName>
    <definedName function="false" hidden="false" name="ROWSTOUPLOAD1" vbProcedure="false">[53]CRITERIA1!$B$20</definedName>
    <definedName function="false" hidden="false" name="RPM" vbProcedure="false">#ref!</definedName>
    <definedName function="false" hidden="false" name="Rpt_Activity_Data" vbProcedure="false">#ref!</definedName>
    <definedName function="false" hidden="false" name="Rpt_Annu_AnnulusData" vbProcedure="false">#ref!</definedName>
    <definedName function="false" hidden="false" name="Rpt_Annu_AnnulusOD_Unit" vbProcedure="false">#ref!</definedName>
    <definedName function="false" hidden="false" name="Rpt_Annu_BHA_Data" vbProcedure="false">#ref!</definedName>
    <definedName function="false" hidden="false" name="Rpt_Annu_CTR_Unit" vbProcedure="false">#ref!</definedName>
    <definedName function="false" hidden="false" name="Rpt_Annu_Date" vbProcedure="false">#ref!</definedName>
    <definedName function="false" hidden="false" name="Rpt_Annu_Flowrate" vbProcedure="false">#ref!</definedName>
    <definedName function="false" hidden="false" name="Rpt_Annu_Flowrate_Unit" vbProcedure="false">#ref!</definedName>
    <definedName function="false" hidden="false" name="Rpt_Annu_Flow_Unit" vbProcedure="false">#ref!</definedName>
    <definedName function="false" hidden="false" name="Rpt_Annu_HCI_Unit" vbProcedure="false">#ref!</definedName>
    <definedName function="false" hidden="false" name="Rpt_Annu_Incl_Unit" vbProcedure="false">#ref!</definedName>
    <definedName function="false" hidden="false" name="Rpt_Annu_Length_Unit" vbProcedure="false">#ref!</definedName>
    <definedName function="false" hidden="false" name="Rpt_Annu_MD_Unit" vbProcedure="false">#ref!</definedName>
    <definedName function="false" hidden="false" name="Rpt_Annu_StringOD_Unit" vbProcedure="false">#ref!</definedName>
    <definedName function="false" hidden="false" name="Rpt_Annu_Survey_Data" vbProcedure="false">#ref!</definedName>
    <definedName function="false" hidden="false" name="Rpt_Annu_TVD_Unit" vbProcedure="false">#ref!</definedName>
    <definedName function="false" hidden="false" name="Rpt_Annu_Velocity_Unit" vbProcedure="false">#ref!</definedName>
    <definedName function="false" hidden="false" name="Rpt_Annu_Wellbore_Data" vbProcedure="false">#ref!</definedName>
    <definedName function="false" hidden="false" name="Rpt_Ann_Back_Pres" vbProcedure="false">#ref!</definedName>
    <definedName function="false" hidden="false" name="Rpt_Ann_Back_Pres_Unit" vbProcedure="false">#ref!</definedName>
    <definedName function="false" hidden="false" name="Rpt_API_Number" vbProcedure="false">#ref!</definedName>
    <definedName function="false" hidden="false" name="Rpt_AzimIn" vbProcedure="false">#ref!</definedName>
    <definedName function="false" hidden="false" name="Rpt_AzimIn_Header" vbProcedure="false">#ref!</definedName>
    <definedName function="false" hidden="false" name="Rpt_AzimOut" vbProcedure="false">#ref!</definedName>
    <definedName function="false" hidden="false" name="Rpt_AzimOut_Header" vbProcedure="false">#ref!</definedName>
    <definedName function="false" hidden="false" name="Rpt_BHARun" vbProcedure="false">#ref!</definedName>
    <definedName function="false" hidden="false" name="Rpt_BHA_CumLen_Unit" vbProcedure="false">#ref!</definedName>
    <definedName function="false" hidden="false" name="Rpt_BHA_Data" vbProcedure="false">#ref!</definedName>
    <definedName function="false" hidden="false" name="Rpt_BHA_Desc_Data" vbProcedure="false">#ref!</definedName>
    <definedName function="false" hidden="false" name="Rpt_BHA_ID_Unit" vbProcedure="false">#ref!</definedName>
    <definedName function="false" hidden="false" name="Rpt_BHA_Length_Unit" vbProcedure="false">#ref!</definedName>
    <definedName function="false" hidden="false" name="Rpt_BHA_OD_Unit" vbProcedure="false">#ref!</definedName>
    <definedName function="false" hidden="false" name="Rpt_BHA_Picture_Start" vbProcedure="false">#ref!</definedName>
    <definedName function="false" hidden="false" name="Rpt_BHA_PressDrop_Unit" vbProcedure="false">#ref!</definedName>
    <definedName function="false" hidden="false" name="Rpt_BitBearingsIN" vbProcedure="false">#ref!</definedName>
    <definedName function="false" hidden="false" name="Rpt_BitBearingsOut" vbProcedure="false">#ref!</definedName>
    <definedName function="false" hidden="false" name="Rpt_BitDullCharIN" vbProcedure="false">#ref!</definedName>
    <definedName function="false" hidden="false" name="Rpt_BitDullCharOut" vbProcedure="false">#ref!</definedName>
    <definedName function="false" hidden="false" name="Rpt_BitGaugeIN" vbProcedure="false">#ref!</definedName>
    <definedName function="false" hidden="false" name="Rpt_BitGaugeOut" vbProcedure="false">#ref!</definedName>
    <definedName function="false" hidden="false" name="Rpt_BitIADC" vbProcedure="false">#ref!</definedName>
    <definedName function="false" hidden="false" name="Rpt_BitInRowIN" vbProcedure="false">#ref!</definedName>
    <definedName function="false" hidden="false" name="Rpt_BitLocationIN" vbProcedure="false">#ref!</definedName>
    <definedName function="false" hidden="false" name="Rpt_BitLocationOut" vbProcedure="false">#ref!</definedName>
    <definedName function="false" hidden="false" name="Rpt_BitOtherIN" vbProcedure="false">#ref!</definedName>
    <definedName function="false" hidden="false" name="Rpt_BitOtherOut" vbProcedure="false">#ref!</definedName>
    <definedName function="false" hidden="false" name="Rpt_BitOutRowIN" vbProcedure="false">#ref!</definedName>
    <definedName function="false" hidden="false" name="Rpt_BitOutRowOut" vbProcedure="false">#ref!</definedName>
    <definedName function="false" hidden="false" name="Rpt_BitReasonIN" vbProcedure="false">#ref!</definedName>
    <definedName function="false" hidden="false" name="Rpt_BitReasonOUT" vbProcedure="false">#ref!</definedName>
    <definedName function="false" hidden="false" name="Rpt_BitRun" vbProcedure="false">#ref!</definedName>
    <definedName function="false" hidden="false" name="Rpt_BitSN" vbProcedure="false">#ref!</definedName>
    <definedName function="false" hidden="false" name="Rpt_BitTFA" vbProcedure="false">#ref!</definedName>
    <definedName function="false" hidden="false" name="Rpt_BitTFA_Header" vbProcedure="false">#ref!</definedName>
    <definedName function="false" hidden="false" name="Rpt_BitTYPE" vbProcedure="false">#ref!</definedName>
    <definedName function="false" hidden="false" name="Rpt_Bit_Dia" vbProcedure="false">#ref!</definedName>
    <definedName function="false" hidden="false" name="Rpt_Bit_Dia_Unit" vbProcedure="false">#ref!</definedName>
    <definedName function="false" hidden="false" name="Rpt_Bit_FlowRate" vbProcedure="false">#ref!</definedName>
    <definedName function="false" hidden="false" name="Rpt_Bit_FlowRate_Unit" vbProcedure="false">#ref!</definedName>
    <definedName function="false" hidden="false" name="Rpt_Bit_HSI" vbProcedure="false">#ref!</definedName>
    <definedName function="false" hidden="false" name="Rpt_Bit_HSI_Unit" vbProcedure="false">#ref!</definedName>
    <definedName function="false" hidden="false" name="Rpt_Bit_Hyd_Pow" vbProcedure="false">#ref!</definedName>
    <definedName function="false" hidden="false" name="Rpt_Bit_Hyd_Pow_Unit" vbProcedure="false">#ref!</definedName>
    <definedName function="false" hidden="false" name="Rpt_Bit_JetVelocity" vbProcedure="false">#ref!</definedName>
    <definedName function="false" hidden="false" name="Rpt_Bit_JetVelocity_Unit" vbProcedure="false">#ref!</definedName>
    <definedName function="false" hidden="false" name="Rpt_Bit_Jet_Imp_Force" vbProcedure="false">#ref!</definedName>
    <definedName function="false" hidden="false" name="Rpt_Bit_Jet_Imp_Force_Unit" vbProcedure="false">#ref!</definedName>
    <definedName function="false" hidden="false" name="Rpt_Bit_Name" vbProcedure="false">#ref!</definedName>
    <definedName function="false" hidden="false" name="Rpt_Bit_Name_Duplicated" vbProcedure="false">#ref!</definedName>
    <definedName function="false" hidden="false" name="Rpt_Bit_PressureDrop" vbProcedure="false">#ref!</definedName>
    <definedName function="false" hidden="false" name="Rpt_Bit_Pressure_Drop_Unit" vbProcedure="false">#ref!</definedName>
    <definedName function="false" hidden="false" name="Rpt_Bit_TFA" vbProcedure="false">#ref!</definedName>
    <definedName function="false" hidden="false" name="Rpt_Bit_TFA_Unit" vbProcedure="false">#ref!</definedName>
    <definedName function="false" hidden="false" name="Rpt_Bit_Type" vbProcedure="false">#ref!</definedName>
    <definedName function="false" hidden="false" name="Rpt_Borehole" vbProcedure="false">#ref!</definedName>
    <definedName function="false" hidden="false" name="Rpt_BoreholeName" vbProcedure="false">#ref!</definedName>
    <definedName function="false" hidden="false" name="Rpt_Borehole_CumLen_Unit" vbProcedure="false">#ref!</definedName>
    <definedName function="false" hidden="false" name="Rpt_BoreHole_Desc_Data" vbProcedure="false">#ref!</definedName>
    <definedName function="false" hidden="false" name="Rpt_Borehole_ID_Unit" vbProcedure="false">#ref!</definedName>
    <definedName function="false" hidden="false" name="Rpt_Borehole_Length_Unit" vbProcedure="false">#ref!</definedName>
    <definedName function="false" hidden="false" name="Rpt_BRTHours" vbProcedure="false">#ref!</definedName>
    <definedName function="false" hidden="false" name="Rpt_CasingShoe" vbProcedure="false">#ref!</definedName>
    <definedName function="false" hidden="false" name="Rpt_CasingShoe_Header" vbProcedure="false">#ref!</definedName>
    <definedName function="false" hidden="false" name="Rpt_CasingSize" vbProcedure="false">#ref!</definedName>
    <definedName function="false" hidden="false" name="Rpt_CasingSize_Header" vbProcedure="false">#ref!</definedName>
    <definedName function="false" hidden="false" name="Rpt_CasingWT" vbProcedure="false">#ref!</definedName>
    <definedName function="false" hidden="false" name="Rpt_CasingWT_Header" vbProcedure="false">#ref!</definedName>
    <definedName function="false" hidden="false" name="Rpt_Client" vbProcedure="false">#ref!</definedName>
    <definedName function="false" hidden="false" name="Rpt_ClientName" vbProcedure="false">#ref!</definedName>
    <definedName function="false" hidden="false" name="Rpt_ClientRep1" vbProcedure="false">#ref!</definedName>
    <definedName function="false" hidden="false" name="Rpt_ClientRep2" vbProcedure="false">#ref!</definedName>
    <definedName function="false" hidden="false" name="Rpt_Company_Name" vbProcedure="false">#ref!</definedName>
    <definedName function="false" hidden="false" name="Rpt_CoordinateReference" vbProcedure="false">#ref!</definedName>
    <definedName function="false" hidden="false" name="Rpt_CoordinateSystem" vbProcedure="false">#ref!</definedName>
    <definedName function="false" hidden="false" name="Rpt_Cuttings_Bit_ECD_Increase" vbProcedure="false">#ref!</definedName>
    <definedName function="false" hidden="false" name="Rpt_Cuttings_Bit_ECD_Increase_Unit" vbProcedure="false">#ref!</definedName>
    <definedName function="false" hidden="false" name="Rpt_Cuttings_Concentration" vbProcedure="false">#ref!</definedName>
    <definedName function="false" hidden="false" name="Rpt_Cuttings_Density" vbProcedure="false">#ref!</definedName>
    <definedName function="false" hidden="false" name="Rpt_Cuttings_Dia" vbProcedure="false">#ref!</definedName>
    <definedName function="false" hidden="false" name="Rpt_Cuttings_Dia_Unit" vbProcedure="false">#ref!</definedName>
    <definedName function="false" hidden="false" name="Rpt_Cuttings_ROP" vbProcedure="false">#ref!</definedName>
    <definedName function="false" hidden="false" name="Rpt_Cuttings_ROP_Unit" vbProcedure="false">#ref!</definedName>
    <definedName function="false" hidden="false" name="Rpt_Cuttings_Weight" vbProcedure="false">#ref!</definedName>
    <definedName function="false" hidden="false" name="Rpt_Cuttings_Weight_Unit" vbProcedure="false">#ref!</definedName>
    <definedName function="false" hidden="false" name="Rpt_Date" vbProcedure="false">#ref!</definedName>
    <definedName function="false" hidden="false" name="Rpt_DateTD" vbProcedure="false">#ref!</definedName>
    <definedName function="false" hidden="false" name="Rpt_DepthIn" vbProcedure="false">#ref!</definedName>
    <definedName function="false" hidden="false" name="Rpt_DepthIn_Header" vbProcedure="false">#ref!</definedName>
    <definedName function="false" hidden="false" name="Rpt_DepthOut" vbProcedure="false">#ref!</definedName>
    <definedName function="false" hidden="false" name="Rpt_DepthOut_Header" vbProcedure="false">#ref!</definedName>
    <definedName function="false" hidden="false" name="Rpt_Detail_Annulus_Desc_Data" vbProcedure="false">#ref!</definedName>
    <definedName function="false" hidden="false" name="Rpt_Detail_Annulus_Strokes" vbProcedure="false">#ref!</definedName>
    <definedName function="false" hidden="false" name="Rpt_Detail_Annulus_Time" vbProcedure="false">#ref!</definedName>
    <definedName function="false" hidden="false" name="Rpt_Detail_Annulus_Volume" vbProcedure="false">#ref!</definedName>
    <definedName function="false" hidden="false" name="Rpt_Detail_Ann_Annulus_OD_Unit" vbProcedure="false">#ref!</definedName>
    <definedName function="false" hidden="false" name="Rpt_Detail_Ann_CumLen_Unit" vbProcedure="false">#ref!</definedName>
    <definedName function="false" hidden="false" name="Rpt_Detail_Ann_Length_Unit" vbProcedure="false">#ref!</definedName>
    <definedName function="false" hidden="false" name="Rpt_Detail_Ann_PressDrop_Unit" vbProcedure="false">#ref!</definedName>
    <definedName function="false" hidden="false" name="Rpt_Detail_Ann_String_OD_Unit" vbProcedure="false">#ref!</definedName>
    <definedName function="false" hidden="false" name="Rpt_Detail_Ann_Velocity_Unit" vbProcedure="false">#ref!</definedName>
    <definedName function="false" hidden="false" name="Rpt_Detail_BHA_CumLen_Unit" vbProcedure="false">#ref!</definedName>
    <definedName function="false" hidden="false" name="Rpt_Detail_BHA_Data" vbProcedure="false">#ref!</definedName>
    <definedName function="false" hidden="false" name="Rpt_Detail_BHA_Desc_Data" vbProcedure="false">#ref!</definedName>
    <definedName function="false" hidden="false" name="Rpt_Detail_BHA_ID_Unit" vbProcedure="false">#ref!</definedName>
    <definedName function="false" hidden="false" name="Rpt_Detail_BHA_Length_Unit" vbProcedure="false">#ref!</definedName>
    <definedName function="false" hidden="false" name="Rpt_Detail_BHA_PD_Unit" vbProcedure="false">#ref!</definedName>
    <definedName function="false" hidden="false" name="Rpt_Detail_BHA_Velocity_Unit" vbProcedure="false">#ref!</definedName>
    <definedName function="false" hidden="false" name="Rpt_Detail_BitNozzle_PDrop" vbProcedure="false">#ref!</definedName>
    <definedName function="false" hidden="false" name="Rpt_Detail_BitNozzle_PDrop_Unit" vbProcedure="false">#ref!</definedName>
    <definedName function="false" hidden="false" name="Rpt_Detail_BitShoe_Strokes" vbProcedure="false">#ref!</definedName>
    <definedName function="false" hidden="false" name="Rpt_Detail_BitShoe_Time" vbProcedure="false">#ref!</definedName>
    <definedName function="false" hidden="false" name="Rpt_Detail_BitShoe_Volume" vbProcedure="false">#ref!</definedName>
    <definedName function="false" hidden="false" name="Rpt_Detail_Borehole_Desc_Data" vbProcedure="false">#ref!</definedName>
    <definedName function="false" hidden="false" name="Rpt_Detail_Borehole_ID_Unit" vbProcedure="false">#ref!</definedName>
    <definedName function="false" hidden="false" name="Rpt_Detail_Borehole_Length_Unit" vbProcedure="false">#ref!</definedName>
    <definedName function="false" hidden="false" name="Rpt_Detail_Borehole_MD_Unit" vbProcedure="false">#ref!</definedName>
    <definedName function="false" hidden="false" name="Rpt_Detail_Borehole_PD_Unit" vbProcedure="false">#ref!</definedName>
    <definedName function="false" hidden="false" name="Rpt_Detail_Circulation_Strokes" vbProcedure="false">#ref!</definedName>
    <definedName function="false" hidden="false" name="Rpt_Detail_Circulation_Time" vbProcedure="false">#ref!</definedName>
    <definedName function="false" hidden="false" name="Rpt_Detail_Circulation_Volume" vbProcedure="false">#ref!</definedName>
    <definedName function="false" hidden="false" name="Rpt_Detail_Cuttings_Concentration" vbProcedure="false">#ref!</definedName>
    <definedName function="false" hidden="false" name="Rpt_Detail_Cuttings_Density" vbProcedure="false">#ref!</definedName>
    <definedName function="false" hidden="false" name="Rpt_Detail_Cuttings_Weight" vbProcedure="false">#ref!</definedName>
    <definedName function="false" hidden="false" name="Rpt_Detail_Cuttings_Weight_Unit" vbProcedure="false">#ref!</definedName>
    <definedName function="false" hidden="false" name="Rpt_Detail_Date" vbProcedure="false">#ref!</definedName>
    <definedName function="false" hidden="false" name="Rpt_Detail_DrillString_Strokes" vbProcedure="false">#ref!</definedName>
    <definedName function="false" hidden="false" name="Rpt_Detail_DrillString_Time" vbProcedure="false">#ref!</definedName>
    <definedName function="false" hidden="false" name="Rpt_Detail_DrillString_Volume" vbProcedure="false">#ref!</definedName>
    <definedName function="false" hidden="false" name="Rpt_Detail_Flowrate" vbProcedure="false">#ref!</definedName>
    <definedName function="false" hidden="false" name="Rpt_Detail_Flowrate_Unit" vbProcedure="false">#ref!</definedName>
    <definedName function="false" hidden="false" name="Rpt_Detail_FlowRestrictor_PDrop" vbProcedure="false">#ref!</definedName>
    <definedName function="false" hidden="false" name="Rpt_Detail_FlowRestrictor_PDrop_Unit" vbProcedure="false">#ref!</definedName>
    <definedName function="false" hidden="false" name="Rpt_Detail_Motor_PDrop" vbProcedure="false">#ref!</definedName>
    <definedName function="false" hidden="false" name="Rpt_Detail_Motor_PDrop_Unit" vbProcedure="false">#ref!</definedName>
    <definedName function="false" hidden="false" name="Rpt_Detail_PPower" vbProcedure="false">#ref!</definedName>
    <definedName function="false" hidden="false" name="Rpt_Detail_PPower_Unit" vbProcedure="false">#ref!</definedName>
    <definedName function="false" hidden="false" name="Rpt_Detail_Press_Drop_Header" vbProcedure="false">#ref!</definedName>
    <definedName function="false" hidden="false" name="Rpt_Detail_PSVolume" vbProcedure="false">#ref!</definedName>
    <definedName function="false" hidden="false" name="Rpt_Detail_PSVolume_Unit" vbProcedure="false">#ref!</definedName>
    <definedName function="false" hidden="false" name="Rpt_Detail_ShoeSurface_Strokes" vbProcedure="false">#ref!</definedName>
    <definedName function="false" hidden="false" name="Rpt_Detail_ShoeSurface_Time" vbProcedure="false">#ref!</definedName>
    <definedName function="false" hidden="false" name="Rpt_Detail_ShoeSurface_Volume" vbProcedure="false">#ref!</definedName>
    <definedName function="false" hidden="false" name="Rpt_Detail_SubTotal_PDrop" vbProcedure="false">#ref!</definedName>
    <definedName function="false" hidden="false" name="Rpt_Detail_SubTotal_PDrop_Unit" vbProcedure="false">#ref!</definedName>
    <definedName function="false" hidden="false" name="Rpt_Detail_Survey_Data" vbProcedure="false">#ref!</definedName>
    <definedName function="false" hidden="false" name="Rpt_Detail_Time_Unit" vbProcedure="false">#ref!</definedName>
    <definedName function="false" hidden="false" name="Rpt_Detail_TJ_Ann_PD" vbProcedure="false">#ref!</definedName>
    <definedName function="false" hidden="false" name="Rpt_Detail_TJ_Percentage" vbProcedure="false">#ref!</definedName>
    <definedName function="false" hidden="false" name="Rpt_Detail_ToolJoint_PDrop" vbProcedure="false">#ref!</definedName>
    <definedName function="false" hidden="false" name="Rpt_Detail_ToolJoint_PDrop_Unit" vbProcedure="false">#ref!</definedName>
    <definedName function="false" hidden="false" name="Rpt_Detail_Tools_PDrop" vbProcedure="false">#ref!</definedName>
    <definedName function="false" hidden="false" name="Rpt_Detail_Tools_PDrop_Unit" vbProcedure="false">#ref!</definedName>
    <definedName function="false" hidden="false" name="Rpt_Detail_Total_Ann_PD" vbProcedure="false">#ref!</definedName>
    <definedName function="false" hidden="false" name="Rpt_Detail_Total_PDrop" vbProcedure="false">#ref!</definedName>
    <definedName function="false" hidden="false" name="Rpt_Detail_Total_PDrop_Unit" vbProcedure="false">#ref!</definedName>
    <definedName function="false" hidden="false" name="Rpt_Detail_Tubular_PDrop" vbProcedure="false">#ref!</definedName>
    <definedName function="false" hidden="false" name="Rpt_Detail_Tubular_PDrop_Unit" vbProcedure="false">#ref!</definedName>
    <definedName function="false" hidden="false" name="Rpt_Detail_Volume_Unit" vbProcedure="false">#ref!</definedName>
    <definedName function="false" hidden="false" name="Rpt_Detail_Wellbore_Data" vbProcedure="false">#ref!</definedName>
    <definedName function="false" hidden="false" name="Rpt_DipAngle" vbProcedure="false">#ref!</definedName>
    <definedName function="false" hidden="false" name="Rpt_District" vbProcedure="false">#ref!</definedName>
    <definedName function="false" hidden="false" name="Rpt_DrillingHours" vbProcedure="false">#ref!</definedName>
    <definedName function="false" hidden="false" name="Rpt_Drillsheet_Data_Date" vbProcedure="false">#ref!</definedName>
    <definedName function="false" hidden="false" name="Rpt_Drillsheet_Header1_Date" vbProcedure="false">#ref!</definedName>
    <definedName function="false" hidden="false" name="Rpt_Drillsheet_Header2_Date" vbProcedure="false">#ref!</definedName>
    <definedName function="false" hidden="false" name="Rpt_DrillSiteOrWellPad" vbProcedure="false">#ref!</definedName>
    <definedName function="false" hidden="false" name="Rpt_ECD_Depth_Title" vbProcedure="false">#ref!</definedName>
    <definedName function="false" hidden="false" name="Rpt_Elevation" vbProcedure="false">#ref!</definedName>
    <definedName function="false" hidden="false" name="Rpt_ElevationReference" vbProcedure="false">#ref!</definedName>
    <definedName function="false" hidden="false" name="Rpt_EndMW" vbProcedure="false">#ref!</definedName>
    <definedName function="false" hidden="false" name="Rpt_EndMW_Header" vbProcedure="false">#ref!</definedName>
    <definedName function="false" hidden="false" name="Rpt_Fann100" vbProcedure="false">#ref!</definedName>
    <definedName function="false" hidden="false" name="Rpt_Fann100_Unit" vbProcedure="false">#ref!</definedName>
    <definedName function="false" hidden="false" name="Rpt_Fann200" vbProcedure="false">#ref!</definedName>
    <definedName function="false" hidden="false" name="Rpt_Fann200_Unit" vbProcedure="false">#ref!</definedName>
    <definedName function="false" hidden="false" name="Rpt_Fann3" vbProcedure="false">#ref!</definedName>
    <definedName function="false" hidden="false" name="Rpt_Fann300" vbProcedure="false">#ref!</definedName>
    <definedName function="false" hidden="false" name="Rpt_Fann300_Unit" vbProcedure="false">#ref!</definedName>
    <definedName function="false" hidden="false" name="Rpt_Fann3_Unit" vbProcedure="false">#ref!</definedName>
    <definedName function="false" hidden="false" name="Rpt_Fann6" vbProcedure="false">#ref!</definedName>
    <definedName function="false" hidden="false" name="Rpt_Fann600" vbProcedure="false">#ref!</definedName>
    <definedName function="false" hidden="false" name="Rpt_Fann600_Unit" vbProcedure="false">#ref!</definedName>
    <definedName function="false" hidden="false" name="Rpt_Fann6_Unit" vbProcedure="false">#ref!</definedName>
    <definedName function="false" hidden="false" name="Rpt_Field" vbProcedure="false">#ref!</definedName>
    <definedName function="false" hidden="false" name="Rpt_FieldName" vbProcedure="false">#ref!</definedName>
    <definedName function="false" hidden="false" name="Rpt_FieldStrength" vbProcedure="false">#ref!</definedName>
    <definedName function="false" hidden="false" name="Rpt_FirstDD" vbProcedure="false">#ref!</definedName>
    <definedName function="false" hidden="false" name="Rpt_Flowrate" vbProcedure="false">#ref!</definedName>
    <definedName function="false" hidden="false" name="Rpt_Flowrate_Unit" vbProcedure="false">#ref!</definedName>
    <definedName function="false" hidden="false" name="Rpt_FR_Bit_ECD" vbProcedure="false">#ref!</definedName>
    <definedName function="false" hidden="false" name="Rpt_FR_Bit_ECD_Unit" vbProcedure="false">#ref!</definedName>
    <definedName function="false" hidden="false" name="Rpt_FR_Bit_MD" vbProcedure="false">#ref!</definedName>
    <definedName function="false" hidden="false" name="Rpt_FR_Bit_MD_Unit" vbProcedure="false">#ref!</definedName>
    <definedName function="false" hidden="false" name="Rpt_FR_Bit_TVD" vbProcedure="false">#ref!</definedName>
    <definedName function="false" hidden="false" name="Rpt_FR_Bit_TVD_Unit" vbProcedure="false">#ref!</definedName>
    <definedName function="false" hidden="false" name="Rpt_FR_CasingShoe_MD" vbProcedure="false">#ref!</definedName>
    <definedName function="false" hidden="false" name="Rpt_FR_CasingShoe_MD_Unit" vbProcedure="false">#ref!</definedName>
    <definedName function="false" hidden="false" name="Rpt_FR_Depth_ECD" vbProcedure="false">#ref!</definedName>
    <definedName function="false" hidden="false" name="Rpt_FR_Depth_ECD_Unit" vbProcedure="false">#ref!</definedName>
    <definedName function="false" hidden="false" name="Rpt_FR_Depth_In" vbProcedure="false">#ref!</definedName>
    <definedName function="false" hidden="false" name="Rpt_FR_Depth_In_Unit" vbProcedure="false">#ref!</definedName>
    <definedName function="false" hidden="false" name="Rpt_FR_Depth_Out" vbProcedure="false">#ref!</definedName>
    <definedName function="false" hidden="false" name="Rpt_FR_Depth_Out_Unit" vbProcedure="false">#ref!</definedName>
    <definedName function="false" hidden="false" name="Rpt_FR_ShoeECD" vbProcedure="false">#ref!</definedName>
    <definedName function="false" hidden="false" name="Rpt_FR_ShoeECD_Unit" vbProcedure="false">#ref!</definedName>
    <definedName function="false" hidden="false" name="Rpt_GeodeticLocation" vbProcedure="false">#ref!</definedName>
    <definedName function="false" hidden="false" name="Rpt_Gravity" vbProcedure="false">#ref!</definedName>
    <definedName function="false" hidden="false" name="Rpt_GravityModel" vbProcedure="false">#ref!</definedName>
    <definedName function="false" hidden="false" name="Rpt_GridConvergence" vbProcedure="false">#ref!</definedName>
    <definedName function="false" hidden="false" name="Rpt_GridCorrection" vbProcedure="false">#ref!</definedName>
    <definedName function="false" hidden="false" name="Rpt_GridLocation" vbProcedure="false">#ref!</definedName>
    <definedName function="false" hidden="false" name="Rpt_GroundLevelElevation" vbProcedure="false">#ref!</definedName>
    <definedName function="false" hidden="false" name="Rpt_HBYS" vbProcedure="false">#ref!</definedName>
    <definedName function="false" hidden="false" name="Rpt_HBYS_Unit" vbProcedure="false">#ref!</definedName>
    <definedName function="false" hidden="false" name="Rpt_HC_Annular_Flow" vbProcedure="false">#ref!</definedName>
    <definedName function="false" hidden="false" name="Rpt_HC_Annular_Flow_Unit" vbProcedure="false">#ref!</definedName>
    <definedName function="false" hidden="false" name="Rpt_HC_Critical_MD" vbProcedure="false">#ref!</definedName>
    <definedName function="false" hidden="false" name="Rpt_HC_Critical_MD_Unit" vbProcedure="false">#ref!</definedName>
    <definedName function="false" hidden="false" name="Rpt_HC_Critical_Rate" vbProcedure="false">#ref!</definedName>
    <definedName function="false" hidden="false" name="Rpt_HC_Critical_Rate_Flag" vbProcedure="false">#ref!</definedName>
    <definedName function="false" hidden="false" name="Rpt_HC_Critical_Rate_Unit" vbProcedure="false">#ref!</definedName>
    <definedName function="false" hidden="false" name="Rpt_HC_Hole_Inclination" vbProcedure="false">#ref!</definedName>
    <definedName function="false" hidden="false" name="Rpt_HC_Hole_Inclination_Unit" vbProcedure="false">#ref!</definedName>
    <definedName function="false" hidden="false" name="Rpt_HC_Riser_Boost_Flow" vbProcedure="false">#ref!</definedName>
    <definedName function="false" hidden="false" name="Rpt_HC_Riser_Boost_Flow_Unit" vbProcedure="false">#ref!</definedName>
    <definedName function="false" hidden="false" name="Rpt_HC_RPM" vbProcedure="false">#ref!</definedName>
    <definedName function="false" hidden="false" name="Rpt_HoleSize" vbProcedure="false">#ref!</definedName>
    <definedName function="false" hidden="false" name="Rpt_HoleSize_Header" vbProcedure="false">#ref!</definedName>
    <definedName function="false" hidden="false" name="Rpt_InclIn" vbProcedure="false">#ref!</definedName>
    <definedName function="false" hidden="false" name="Rpt_InclIn_Header" vbProcedure="false">#ref!</definedName>
    <definedName function="false" hidden="false" name="Rpt_InclOut" vbProcedure="false">#ref!</definedName>
    <definedName function="false" hidden="false" name="Rpt_InclOut_Header" vbProcedure="false">#ref!</definedName>
    <definedName function="false" hidden="false" name="Rpt_InRowOut" vbProcedure="false">#ref!</definedName>
    <definedName function="false" hidden="false" name="Rpt_Jets" vbProcedure="false">#ref!</definedName>
    <definedName function="false" hidden="false" name="Rpt_Jets_Header" vbProcedure="false">#ref!</definedName>
    <definedName function="false" hidden="false" name="Rpt_K" vbProcedure="false">#ref!</definedName>
    <definedName function="false" hidden="false" name="Rpt_K_Unit" vbProcedure="false">#ref!</definedName>
    <definedName function="false" hidden="false" name="Rpt_LeftLogo" vbProcedure="false">#ref!</definedName>
    <definedName function="false" hidden="false" name="Rpt_Location" vbProcedure="false">#ref!</definedName>
    <definedName function="false" hidden="false" name="Rpt_LocationName" vbProcedure="false">#ref!</definedName>
    <definedName function="false" hidden="false" name="Rpt_MagneticDeclDate" vbProcedure="false">#ref!</definedName>
    <definedName function="false" hidden="false" name="Rpt_MagneticDeclination" vbProcedure="false">#ref!</definedName>
    <definedName function="false" hidden="false" name="Rpt_MagneticDeclModel" vbProcedure="false">#ref!</definedName>
    <definedName function="false" hidden="false" name="Rpt_Manuf" vbProcedure="false">#ref!</definedName>
    <definedName function="false" hidden="false" name="Rpt_Max_WOB" vbProcedure="false">#ref!</definedName>
    <definedName function="false" hidden="false" name="Rpt_Max_WOB_Unit" vbProcedure="false">#ref!</definedName>
    <definedName function="false" hidden="false" name="Rpt_Model" vbProcedure="false">#ref!</definedName>
    <definedName function="false" hidden="false" name="Rpt_Motor_Bearing_Comment" vbProcedure="false">#ref!</definedName>
    <definedName function="false" hidden="false" name="Rpt_Motor_Bearing_Flow" vbProcedure="false">#ref!</definedName>
    <definedName function="false" hidden="false" name="Rpt_Motor_Bearing_FlowPercent" vbProcedure="false">#ref!</definedName>
    <definedName function="false" hidden="false" name="Rpt_Motor_Bearing_Flow_Unit" vbProcedure="false">#ref!</definedName>
    <definedName function="false" hidden="false" name="Rpt_Motor_Bearing_PDrop" vbProcedure="false">#ref!</definedName>
    <definedName function="false" hidden="false" name="Rpt_Motor_Bearing_PDrop_Unit" vbProcedure="false">#ref!</definedName>
    <definedName function="false" hidden="false" name="Rpt_Motor_BHA_Data" vbProcedure="false">#ref!</definedName>
    <definedName function="false" hidden="false" name="Rpt_Motor_Date" vbProcedure="false">#ref!</definedName>
    <definedName function="false" hidden="false" name="Rpt_Motor_Flow_Max" vbProcedure="false">#ref!</definedName>
    <definedName function="false" hidden="false" name="Rpt_Motor_Flow_Max_Unit" vbProcedure="false">#ref!</definedName>
    <definedName function="false" hidden="false" name="Rpt_Motor_Flow_Min" vbProcedure="false">#ref!</definedName>
    <definedName function="false" hidden="false" name="Rpt_Motor_Flow_Min_Unit" vbProcedure="false">#ref!</definedName>
    <definedName function="false" hidden="false" name="Rpt_Motor_Flow_Nozzle" vbProcedure="false">#ref!</definedName>
    <definedName function="false" hidden="false" name="Rpt_Motor_Flow_Nozzle_Unit" vbProcedure="false">#ref!</definedName>
    <definedName function="false" hidden="false" name="Rpt_Motor_Flow_Power" vbProcedure="false">#ref!</definedName>
    <definedName function="false" hidden="false" name="Rpt_Motor_Flow_Power_Unit" vbProcedure="false">#ref!</definedName>
    <definedName function="false" hidden="false" name="Rpt_Motor_MaxEff" vbProcedure="false">#ref!</definedName>
    <definedName function="false" hidden="false" name="Rpt_Motor_MaxEff_DiffP" vbProcedure="false">#ref!</definedName>
    <definedName function="false" hidden="false" name="Rpt_Motor_MaxEff_DiffP_Unit" vbProcedure="false">#ref!</definedName>
    <definedName function="false" hidden="false" name="Rpt_Motor_MaxHP" vbProcedure="false">#ref!</definedName>
    <definedName function="false" hidden="false" name="Rpt_Motor_MaxHP_DiffP" vbProcedure="false">#ref!</definedName>
    <definedName function="false" hidden="false" name="Rpt_Motor_MaxHP_DiffP_Unit" vbProcedure="false">#ref!</definedName>
    <definedName function="false" hidden="false" name="Rpt_Motor_MaxHP_Unit" vbProcedure="false">#ref!</definedName>
    <definedName function="false" hidden="false" name="Rpt_Motor_Max_Title" vbProcedure="false">#ref!</definedName>
    <definedName function="false" hidden="false" name="Rpt_Motor_ModelName" vbProcedure="false">#ref!</definedName>
    <definedName function="false" hidden="false" name="Rpt_Motor_MotorWear" vbProcedure="false">#ref!</definedName>
    <definedName function="false" hidden="false" name="Rpt_Motor_NozzleDiameter" vbProcedure="false">#ref!</definedName>
    <definedName function="false" hidden="false" name="Rpt_Motor_NozzleDiameter_Unit" vbProcedure="false">#ref!</definedName>
    <definedName function="false" hidden="false" name="Rpt_Motor_OffBottom_NozzleFlow" vbProcedure="false">#ref!</definedName>
    <definedName function="false" hidden="false" name="Rpt_Motor_OffBottom_NozzleFlow_Unit" vbProcedure="false">#ref!</definedName>
    <definedName function="false" hidden="false" name="Rpt_Motor_OffBottom_PDrop" vbProcedure="false">#ref!</definedName>
    <definedName function="false" hidden="false" name="Rpt_Motor_OffBottom_PDrop_Unit" vbProcedure="false">#ref!</definedName>
    <definedName function="false" hidden="false" name="Rpt_Motor_OffBottom_PowerFlow" vbProcedure="false">#ref!</definedName>
    <definedName function="false" hidden="false" name="Rpt_Motor_OffBottom_PowerFlow_Unit" vbProcedure="false">#ref!</definedName>
    <definedName function="false" hidden="false" name="Rpt_Motor_OffBottom_RPM" vbProcedure="false">#ref!</definedName>
    <definedName function="false" hidden="false" name="Rpt_Motor_OnBottom_Capacity" vbProcedure="false">#ref!</definedName>
    <definedName function="false" hidden="false" name="Rpt_Motor_OnBottom_Capacity_Unit" vbProcedure="false">#ref!</definedName>
    <definedName function="false" hidden="false" name="Rpt_Motor_OnBottom_DiffP" vbProcedure="false">#ref!</definedName>
    <definedName function="false" hidden="false" name="Rpt_Motor_OnBottom_DiffP_Unit" vbProcedure="false">#ref!</definedName>
    <definedName function="false" hidden="false" name="Rpt_Motor_OnBottom_DTOR" vbProcedure="false">#ref!</definedName>
    <definedName function="false" hidden="false" name="Rpt_Motor_OnBottom_DTOR_Unit" vbProcedure="false">#ref!</definedName>
    <definedName function="false" hidden="false" name="Rpt_Motor_OnBottom_Efficiency" vbProcedure="false">#ref!</definedName>
    <definedName function="false" hidden="false" name="Rpt_Motor_OnBottom_HydHP" vbProcedure="false">#ref!</definedName>
    <definedName function="false" hidden="false" name="Rpt_Motor_OnBottom_HydHP_Unit" vbProcedure="false">#ref!</definedName>
    <definedName function="false" hidden="false" name="Rpt_Motor_OnBottom_MaxOverpull" vbProcedure="false">#ref!</definedName>
    <definedName function="false" hidden="false" name="Rpt_Motor_OnBottom_MaxOverpull_Unit" vbProcedure="false">#ref!</definedName>
    <definedName function="false" hidden="false" name="Rpt_Motor_OnBottom_MaxWOB" vbProcedure="false">#ref!</definedName>
    <definedName function="false" hidden="false" name="Rpt_Motor_OnBottom_MaxWOB_Unit" vbProcedure="false">#ref!</definedName>
    <definedName function="false" hidden="false" name="Rpt_Motor_OnBottom_MechHP" vbProcedure="false">#ref!</definedName>
    <definedName function="false" hidden="false" name="Rpt_Motor_OnBottom_MechHP_Unit" vbProcedure="false">#ref!</definedName>
    <definedName function="false" hidden="false" name="Rpt_Motor_OnBottom_PDrop" vbProcedure="false">#ref!</definedName>
    <definedName function="false" hidden="false" name="Rpt_Motor_OnBottom_PDrop_Unit" vbProcedure="false">#ref!</definedName>
    <definedName function="false" hidden="false" name="Rpt_Motor_OnBottom_RPM" vbProcedure="false">#ref!</definedName>
    <definedName function="false" hidden="false" name="Rpt_Motor_OnBottom_Thrust" vbProcedure="false">#ref!</definedName>
    <definedName function="false" hidden="false" name="Rpt_Motor_OnBottom_Thrust_Unit" vbProcedure="false">#ref!</definedName>
    <definedName function="false" hidden="false" name="Rpt_Motor_OnBottom_WOB" vbProcedure="false">#ref!</definedName>
    <definedName function="false" hidden="false" name="Rpt_Motor_OnBottom_WOB_Unit" vbProcedure="false">#ref!</definedName>
    <definedName function="false" hidden="false" name="Rpt_Motor_PumpFlowrate" vbProcedure="false">#ref!</definedName>
    <definedName function="false" hidden="false" name="Rpt_Motor_PumpFlowrate_Unit" vbProcedure="false">#ref!</definedName>
    <definedName function="false" hidden="false" name="Rpt_Motor_Stall_DiffP" vbProcedure="false">#ref!</definedName>
    <definedName function="false" hidden="false" name="Rpt_Motor_Stall_DiffP_Unit" vbProcedure="false">#ref!</definedName>
    <definedName function="false" hidden="false" name="Rpt_Motor_Stall_DTOR" vbProcedure="false">#ref!</definedName>
    <definedName function="false" hidden="false" name="Rpt_Motor_Stall_DTOR_Unit" vbProcedure="false">#ref!</definedName>
    <definedName function="false" hidden="false" name="Rpt_Motor_Stall_MaxDiffP" vbProcedure="false">#ref!</definedName>
    <definedName function="false" hidden="false" name="Rpt_Motor_Stall_MaxDiffP_Unit" vbProcedure="false">#ref!</definedName>
    <definedName function="false" hidden="false" name="Rpt_Motor_Stall_MaxTitle" vbProcedure="false">#ref!</definedName>
    <definedName function="false" hidden="false" name="Rpt_Motor_Stall_MinDiffP" vbProcedure="false">#ref!</definedName>
    <definedName function="false" hidden="false" name="Rpt_Motor_Stall_MinDiffP_Unit" vbProcedure="false">#ref!</definedName>
    <definedName function="false" hidden="false" name="Rpt_Motor_Stall_MinTitle" vbProcedure="false">#ref!</definedName>
    <definedName function="false" hidden="false" name="Rpt_Motor_Stall_NozzleFlow" vbProcedure="false">#ref!</definedName>
    <definedName function="false" hidden="false" name="Rpt_Motor_Stall_NozzleFlow_Unit" vbProcedure="false">#ref!</definedName>
    <definedName function="false" hidden="false" name="Rpt_Motor_Stall_PowerFlow" vbProcedure="false">#ref!</definedName>
    <definedName function="false" hidden="false" name="Rpt_Motor_Stall_PowerFlow_Unit" vbProcedure="false">#ref!</definedName>
    <definedName function="false" hidden="false" name="Rpt_Motor_Stall_WOB" vbProcedure="false">#ref!</definedName>
    <definedName function="false" hidden="false" name="Rpt_Motor_Stall_WOB_Unit" vbProcedure="false">#ref!</definedName>
    <definedName function="false" hidden="false" name="Rpt_Motor_Survey_Data" vbProcedure="false">#ref!</definedName>
    <definedName function="false" hidden="false" name="Rpt_Motor_Wellbore_Data" vbProcedure="false">#ref!</definedName>
    <definedName function="false" hidden="false" name="Rpt_Mot_Bearing_FR" vbProcedure="false">#ref!</definedName>
    <definedName function="false" hidden="false" name="Rpt_Mot_Bearing_FR_Unit" vbProcedure="false">#ref!</definedName>
    <definedName function="false" hidden="false" name="Rpt_Mot_DeltaP" vbProcedure="false">#ref!</definedName>
    <definedName function="false" hidden="false" name="Rpt_Mot_DeltaP_Unit" vbProcedure="false">#ref!</definedName>
    <definedName function="false" hidden="false" name="Rpt_Mot_DTOR" vbProcedure="false">#ref!</definedName>
    <definedName function="false" hidden="false" name="Rpt_Mot_DTOR_Unit" vbProcedure="false">#ref!</definedName>
    <definedName function="false" hidden="false" name="Rpt_Mot_FR" vbProcedure="false">#ref!</definedName>
    <definedName function="false" hidden="false" name="Rpt_Mot_FR_Unit" vbProcedure="false">#ref!</definedName>
    <definedName function="false" hidden="false" name="Rpt_Mot_Max_Overpull" vbProcedure="false">#ref!</definedName>
    <definedName function="false" hidden="false" name="Rpt_Mot_Max_Overpull_Unit" vbProcedure="false">#ref!</definedName>
    <definedName function="false" hidden="false" name="Rpt_Mot_Name" vbProcedure="false">#ref!</definedName>
    <definedName function="false" hidden="false" name="Rpt_Mot_Nozzle_FR" vbProcedure="false">#ref!</definedName>
    <definedName function="false" hidden="false" name="Rpt_Mot_Nozzle_FR_Unit" vbProcedure="false">#ref!</definedName>
    <definedName function="false" hidden="false" name="Rpt_Mot_OnBottom_RPM" vbProcedure="false">#ref!</definedName>
    <definedName function="false" hidden="false" name="Rpt_Mot_RSS_Act_Flow" vbProcedure="false">#ref!</definedName>
    <definedName function="false" hidden="false" name="Rpt_Mot_RSS_FR" vbProcedure="false">#ref!</definedName>
    <definedName function="false" hidden="false" name="Rpt_Mot_RSS_FR_Size" vbProcedure="false">#ref!</definedName>
    <definedName function="false" hidden="false" name="Rpt_Mot_RSS_FR_Size_Unit" vbProcedure="false">#ref!</definedName>
    <definedName function="false" hidden="false" name="Rpt_Mot_RSS_FR_Unit" vbProcedure="false">#ref!</definedName>
    <definedName function="false" hidden="false" name="Rpt_Mot_RSS_Pad_PD" vbProcedure="false">#ref!</definedName>
    <definedName function="false" hidden="false" name="Rpt_Mot_RSS_Pad_PD_Unit" vbProcedure="false">#ref!</definedName>
    <definedName function="false" hidden="false" name="Rpt_Mot_WOM" vbProcedure="false">#ref!</definedName>
    <definedName function="false" hidden="false" name="Rpt_Mot_WOM_Unit" vbProcedure="false">#ref!</definedName>
    <definedName function="false" hidden="false" name="Rpt_MudType" vbProcedure="false">#ref!</definedName>
    <definedName function="false" hidden="false" name="Rpt_Mud_Type" vbProcedure="false">#ref!</definedName>
    <definedName function="false" hidden="false" name="Rpt_Mud_wt" vbProcedure="false">#ref!</definedName>
    <definedName function="false" hidden="false" name="Rpt_Mud_Wt_Unit" vbProcedure="false">#ref!</definedName>
    <definedName function="false" hidden="false" name="Rpt_Multi_BHA_Data" vbProcedure="false">#ref!</definedName>
    <definedName function="false" hidden="false" name="Rpt_Multi_Date" vbProcedure="false">#ref!</definedName>
    <definedName function="false" hidden="false" name="Rpt_Multi_Survey_Data" vbProcedure="false">#ref!</definedName>
    <definedName function="false" hidden="false" name="Rpt_Multi_Table1A_Depth_Unit" vbProcedure="false">#ref!</definedName>
    <definedName function="false" hidden="false" name="Rpt_Multi_Table1A_FR1" vbProcedure="false">#ref!</definedName>
    <definedName function="false" hidden="false" name="Rpt_Multi_Table1A_FR1_Unit" vbProcedure="false">#ref!</definedName>
    <definedName function="false" hidden="false" name="Rpt_Multi_Table1A_FR2" vbProcedure="false">#ref!</definedName>
    <definedName function="false" hidden="false" name="Rpt_Multi_Table1A_FR2_Unit" vbProcedure="false">#ref!</definedName>
    <definedName function="false" hidden="false" name="Rpt_Multi_Table1A_FR3" vbProcedure="false">#ref!</definedName>
    <definedName function="false" hidden="false" name="Rpt_Multi_Table1A_FR3_Unit" vbProcedure="false">#ref!</definedName>
    <definedName function="false" hidden="false" name="Rpt_Multi_Table1A_FR4" vbProcedure="false">#ref!</definedName>
    <definedName function="false" hidden="false" name="Rpt_Multi_Table1A_FR4_Unit" vbProcedure="false">#ref!</definedName>
    <definedName function="false" hidden="false" name="Rpt_Multi_Table1A_FR5" vbProcedure="false">#ref!</definedName>
    <definedName function="false" hidden="false" name="Rpt_Multi_Table1A_FR5_Unit" vbProcedure="false">#ref!</definedName>
    <definedName function="false" hidden="false" name="Rpt_Multi_Table1A_FR6" vbProcedure="false">#ref!</definedName>
    <definedName function="false" hidden="false" name="Rpt_Multi_Table1A_FR6_Unit" vbProcedure="false">#ref!</definedName>
    <definedName function="false" hidden="false" name="Rpt_Multi_Table1A_Title" vbProcedure="false">#ref!</definedName>
    <definedName function="false" hidden="false" name="Rpt_Multi_Table1B_Depth_Unit" vbProcedure="false">#ref!</definedName>
    <definedName function="false" hidden="false" name="Rpt_Multi_Table1B_FR1" vbProcedure="false">#ref!</definedName>
    <definedName function="false" hidden="false" name="Rpt_Multi_Table1B_FR1_Unit" vbProcedure="false">#ref!</definedName>
    <definedName function="false" hidden="false" name="Rpt_Multi_Table1B_FR2" vbProcedure="false">#ref!</definedName>
    <definedName function="false" hidden="false" name="Rpt_Multi_Table1B_FR2_Unit" vbProcedure="false">#ref!</definedName>
    <definedName function="false" hidden="false" name="Rpt_Multi_Table1B_FR3" vbProcedure="false">#ref!</definedName>
    <definedName function="false" hidden="false" name="Rpt_Multi_Table1B_FR3_Unit" vbProcedure="false">#ref!</definedName>
    <definedName function="false" hidden="false" name="Rpt_Multi_Table1B_FR4" vbProcedure="false">#ref!</definedName>
    <definedName function="false" hidden="false" name="Rpt_Multi_Table1B_FR4_Unit" vbProcedure="false">#ref!</definedName>
    <definedName function="false" hidden="false" name="Rpt_Multi_Table1B_FR5" vbProcedure="false">#ref!</definedName>
    <definedName function="false" hidden="false" name="Rpt_Multi_Table1B_FR5_Unit" vbProcedure="false">#ref!</definedName>
    <definedName function="false" hidden="false" name="Rpt_Multi_Table1B_FR6" vbProcedure="false">#ref!</definedName>
    <definedName function="false" hidden="false" name="Rpt_Multi_Table1B_FR6_Unit" vbProcedure="false">#ref!</definedName>
    <definedName function="false" hidden="false" name="Rpt_Multi_Table1B_Title" vbProcedure="false">#ref!</definedName>
    <definedName function="false" hidden="false" name="Rpt_Multi_Table1Data" vbProcedure="false">#ref!</definedName>
    <definedName function="false" hidden="false" name="Rpt_Multi_Table2A_Depth_Unit" vbProcedure="false">#ref!</definedName>
    <definedName function="false" hidden="false" name="Rpt_Multi_Table2A_FR1" vbProcedure="false">#ref!</definedName>
    <definedName function="false" hidden="false" name="Rpt_Multi_Table2A_FR1_Unit" vbProcedure="false">#ref!</definedName>
    <definedName function="false" hidden="false" name="Rpt_Multi_Table2A_FR2" vbProcedure="false">#ref!</definedName>
    <definedName function="false" hidden="false" name="Rpt_Multi_Table2A_FR2_Unit" vbProcedure="false">#ref!</definedName>
    <definedName function="false" hidden="false" name="Rpt_Multi_Table2A_FR3" vbProcedure="false">#ref!</definedName>
    <definedName function="false" hidden="false" name="Rpt_Multi_Table2A_FR3_Unit" vbProcedure="false">#ref!</definedName>
    <definedName function="false" hidden="false" name="Rpt_Multi_Table2A_FR4" vbProcedure="false">#ref!</definedName>
    <definedName function="false" hidden="false" name="Rpt_Multi_Table2A_FR4_Unit" vbProcedure="false">#ref!</definedName>
    <definedName function="false" hidden="false" name="Rpt_Multi_Table2A_FR5" vbProcedure="false">#ref!</definedName>
    <definedName function="false" hidden="false" name="Rpt_Multi_Table2A_FR5_Unit" vbProcedure="false">#ref!</definedName>
    <definedName function="false" hidden="false" name="Rpt_Multi_Table2A_FR6" vbProcedure="false">#ref!</definedName>
    <definedName function="false" hidden="false" name="Rpt_Multi_Table2A_FR6_Unit" vbProcedure="false">#ref!</definedName>
    <definedName function="false" hidden="false" name="Rpt_Multi_Table2A_Title" vbProcedure="false">#ref!</definedName>
    <definedName function="false" hidden="false" name="Rpt_Multi_Table2B_Depth_Unit" vbProcedure="false">#ref!</definedName>
    <definedName function="false" hidden="false" name="Rpt_Multi_Table2B_FR1" vbProcedure="false">#ref!</definedName>
    <definedName function="false" hidden="false" name="Rpt_Multi_Table2B_FR1_Unit" vbProcedure="false">#ref!</definedName>
    <definedName function="false" hidden="false" name="Rpt_Multi_Table2B_FR2" vbProcedure="false">#ref!</definedName>
    <definedName function="false" hidden="false" name="Rpt_Multi_Table2B_FR2_Unit" vbProcedure="false">#ref!</definedName>
    <definedName function="false" hidden="false" name="Rpt_Multi_Table2B_FR3" vbProcedure="false">#ref!</definedName>
    <definedName function="false" hidden="false" name="Rpt_Multi_Table2B_FR3_Unit" vbProcedure="false">#ref!</definedName>
    <definedName function="false" hidden="false" name="Rpt_Multi_Table2B_FR4" vbProcedure="false">#ref!</definedName>
    <definedName function="false" hidden="false" name="Rpt_Multi_Table2B_FR4_Unit" vbProcedure="false">#ref!</definedName>
    <definedName function="false" hidden="false" name="Rpt_Multi_Table2B_FR5" vbProcedure="false">#ref!</definedName>
    <definedName function="false" hidden="false" name="Rpt_Multi_Table2B_FR5_Unit" vbProcedure="false">#ref!</definedName>
    <definedName function="false" hidden="false" name="Rpt_Multi_Table2B_FR6" vbProcedure="false">#ref!</definedName>
    <definedName function="false" hidden="false" name="Rpt_Multi_Table2B_FR6_Unit" vbProcedure="false">#ref!</definedName>
    <definedName function="false" hidden="false" name="Rpt_Multi_Table2B_Title" vbProcedure="false">#ref!</definedName>
    <definedName function="false" hidden="false" name="Rpt_Multi_Table2Data" vbProcedure="false">#ref!</definedName>
    <definedName function="false" hidden="false" name="Rpt_Multi_Wellbore_Data" vbProcedure="false">#ref!</definedName>
    <definedName function="false" hidden="false" name="Rpt_n" vbProcedure="false">#ref!</definedName>
    <definedName function="false" hidden="false" name="Rpt_NorthReference" vbProcedure="false">#ref!</definedName>
    <definedName function="false" hidden="false" name="Rpt_NoteCTR" vbProcedure="false">#ref!</definedName>
    <definedName function="false" hidden="false" name="Rpt_NoteECD" vbProcedure="false">#ref!</definedName>
    <definedName function="false" hidden="false" name="Rpt_NoteESDECD" vbProcedure="false">#ref!</definedName>
    <definedName function="false" hidden="false" name="Rpt_NoteHCI" vbProcedure="false">#ref!</definedName>
    <definedName function="false" hidden="false" name="Rpt_NoteNozzleOptimization" vbProcedure="false">#ref!</definedName>
    <definedName function="false" hidden="false" name="Rpt_NotePressureDrop" vbProcedure="false">#ref!</definedName>
    <definedName function="false" hidden="false" name="Rpt_NotePTMD" vbProcedure="false">#ref!</definedName>
    <definedName function="false" hidden="false" name="Rpt_NoteRheology" vbProcedure="false">#ref!</definedName>
    <definedName function="false" hidden="false" name="Rpt_Nozzle_Data" vbProcedure="false">#ref!</definedName>
    <definedName function="false" hidden="false" name="Rpt_Operator" vbProcedure="false">#ref!</definedName>
    <definedName function="false" hidden="false" name="RPT_Pres_Annulus" vbProcedure="false">#ref!</definedName>
    <definedName function="false" hidden="false" name="RPT_Pres_Annulus_Unit" vbProcedure="false">#ref!</definedName>
    <definedName function="false" hidden="false" name="Rpt_Pres_Bit_Nozzle" vbProcedure="false">#ref!</definedName>
    <definedName function="false" hidden="false" name="Rpt_Pres_Bit_Nozzle_Unit" vbProcedure="false">#ref!</definedName>
    <definedName function="false" hidden="false" name="Rpt_Pres_Chokeline" vbProcedure="false">#ref!</definedName>
    <definedName function="false" hidden="false" name="Rpt_Pres_Chokeline_Unit" vbProcedure="false">#ref!</definedName>
    <definedName function="false" hidden="false" name="Rpt_Pres_Flow_Restrictor" vbProcedure="false">#ref!</definedName>
    <definedName function="false" hidden="false" name="Rpt_Pres_Flow_Restrictor_Unit" vbProcedure="false">#ref!</definedName>
    <definedName function="false" hidden="false" name="Rpt_Pres_High_Imbalance" vbProcedure="false">#ref!</definedName>
    <definedName function="false" hidden="false" name="Rpt_Pres_High_Imbalance_Unit" vbProcedure="false">#ref!</definedName>
    <definedName function="false" hidden="false" name="Rpt_Pres_Inside_DrillStr" vbProcedure="false">#ref!</definedName>
    <definedName function="false" hidden="false" name="Rpt_Pres_Inside_DrillStr_Unit" vbProcedure="false">#ref!</definedName>
    <definedName function="false" hidden="false" name="Rpt_Pres_Motor" vbProcedure="false">#ref!</definedName>
    <definedName function="false" hidden="false" name="Rpt_Pres_Motor_Unit" vbProcedure="false">#ref!</definedName>
    <definedName function="false" hidden="false" name="Rpt_Pres_RSS" vbProcedure="false">#ref!</definedName>
    <definedName function="false" hidden="false" name="Rpt_Pres_RSS_Unit" vbProcedure="false">#ref!</definedName>
    <definedName function="false" hidden="false" name="Rpt_Pres_Surf_Eqpt" vbProcedure="false">#ref!</definedName>
    <definedName function="false" hidden="false" name="Rpt_Pres_Surf_Eqpt_Unit" vbProcedure="false">#ref!</definedName>
    <definedName function="false" hidden="false" name="Rpt_Pres_Tools" vbProcedure="false">#ref!</definedName>
    <definedName function="false" hidden="false" name="Rpt_Pres_Tools_Unit" vbProcedure="false">#ref!</definedName>
    <definedName function="false" hidden="false" name="Rpt_Pres_Total" vbProcedure="false">#ref!</definedName>
    <definedName function="false" hidden="false" name="RPT_Pres_Total_Flag" vbProcedure="false">#ref!</definedName>
    <definedName function="false" hidden="false" name="Rpt_Pres_Total_Unit" vbProcedure="false">#ref!</definedName>
    <definedName function="false" hidden="false" name="Rpt_PT" vbProcedure="false">#ref!</definedName>
    <definedName function="false" hidden="false" name="Rpt_PT_Actual_API_PV_Unit" vbProcedure="false">#ref!</definedName>
    <definedName function="false" hidden="false" name="Rpt_PT_Actual_API_YP_Unit" vbProcedure="false">#ref!</definedName>
    <definedName function="false" hidden="false" name="Rpt_PT_Actual_Fann100_Unit" vbProcedure="false">#ref!</definedName>
    <definedName function="false" hidden="false" name="Rpt_PT_Actual_Fann200_Unit" vbProcedure="false">#ref!</definedName>
    <definedName function="false" hidden="false" name="Rpt_PT_Actual_Fann300_Unit" vbProcedure="false">#ref!</definedName>
    <definedName function="false" hidden="false" name="Rpt_PT_Actual_Fann3_Unit" vbProcedure="false">#ref!</definedName>
    <definedName function="false" hidden="false" name="Rpt_PT_Actual_Fann600_Unit" vbProcedure="false">#ref!</definedName>
    <definedName function="false" hidden="false" name="Rpt_PT_Actual_Fann6_Unit" vbProcedure="false">#ref!</definedName>
    <definedName function="false" hidden="false" name="Rpt_PT_Actual_HBYS_Label" vbProcedure="false">#ref!</definedName>
    <definedName function="false" hidden="false" name="Rpt_PT_Actual_HBYS_Unit" vbProcedure="false">#ref!</definedName>
    <definedName function="false" hidden="false" name="Rpt_PT_Actual_K_Label" vbProcedure="false">#ref!</definedName>
    <definedName function="false" hidden="false" name="Rpt_PT_Actual_n_Label" vbProcedure="false">#ref!</definedName>
    <definedName function="false" hidden="false" name="Rpt_PT_Actual_Ref_Pres_Unit" vbProcedure="false">#ref!</definedName>
    <definedName function="false" hidden="false" name="Rpt_PT_Actual_Ref_Temp_Unit" vbProcedure="false">#ref!</definedName>
    <definedName function="false" hidden="false" name="Rpt_PT_API_PV" vbProcedure="false">#ref!</definedName>
    <definedName function="false" hidden="false" name="Rpt_PT_API_PV_Unit" vbProcedure="false">#ref!</definedName>
    <definedName function="false" hidden="false" name="Rpt_PT_API_YP" vbProcedure="false">#ref!</definedName>
    <definedName function="false" hidden="false" name="Rpt_PT_API_YP_Unit" vbProcedure="false">#ref!</definedName>
    <definedName function="false" hidden="false" name="Rpt_PT_Fann100" vbProcedure="false">#ref!</definedName>
    <definedName function="false" hidden="false" name="Rpt_PT_Fann100_Unit" vbProcedure="false">#ref!</definedName>
    <definedName function="false" hidden="false" name="Rpt_PT_Fann200" vbProcedure="false">#ref!</definedName>
    <definedName function="false" hidden="false" name="Rpt_PT_Fann200_Unit" vbProcedure="false">#ref!</definedName>
    <definedName function="false" hidden="false" name="Rpt_PT_Fann3" vbProcedure="false">#ref!</definedName>
    <definedName function="false" hidden="false" name="Rpt_PT_Fann300" vbProcedure="false">#ref!</definedName>
    <definedName function="false" hidden="false" name="Rpt_PT_Fann300_Unit" vbProcedure="false">#ref!</definedName>
    <definedName function="false" hidden="false" name="Rpt_PT_Fann3_Unit" vbProcedure="false">#ref!</definedName>
    <definedName function="false" hidden="false" name="Rpt_PT_Fann6" vbProcedure="false">#ref!</definedName>
    <definedName function="false" hidden="false" name="Rpt_PT_Fann600" vbProcedure="false">#ref!</definedName>
    <definedName function="false" hidden="false" name="Rpt_PT_Fann600_Unit" vbProcedure="false">#ref!</definedName>
    <definedName function="false" hidden="false" name="Rpt_PT_Fann6_Unit" vbProcedure="false">#ref!</definedName>
    <definedName function="false" hidden="false" name="Rpt_PT_Formation_Temp_Data" vbProcedure="false">#ref!</definedName>
    <definedName function="false" hidden="false" name="Rpt_PT_Formation_Temp_Unit" vbProcedure="false">#ref!</definedName>
    <definedName function="false" hidden="false" name="Rpt_PT_Geothermal_Gradient" vbProcedure="false">#ref!</definedName>
    <definedName function="false" hidden="false" name="Rpt_PT_Geothermal_Gradient_Unit" vbProcedure="false">#ref!</definedName>
    <definedName function="false" hidden="false" name="Rpt_PT_HBYS_Label" vbProcedure="false">#ref!</definedName>
    <definedName function="false" hidden="false" name="Rpt_PT_HB_YS" vbProcedure="false">#ref!</definedName>
    <definedName function="false" hidden="false" name="Rpt_PT_HB_YS_Unit" vbProcedure="false">#ref!</definedName>
    <definedName function="false" hidden="false" name="Rpt_PT_K" vbProcedure="false">#ref!</definedName>
    <definedName function="false" hidden="false" name="Rpt_PT_K_Label" vbProcedure="false">#ref!</definedName>
    <definedName function="false" hidden="false" name="Rpt_PT_Model_Type" vbProcedure="false">#ref!</definedName>
    <definedName function="false" hidden="false" name="Rpt_PT_Mud_Temp" vbProcedure="false">#ref!</definedName>
    <definedName function="false" hidden="false" name="Rpt_PT_Mud_Temp_Unit" vbProcedure="false">#ref!</definedName>
    <definedName function="false" hidden="false" name="Rpt_PT_Mud_Type" vbProcedure="false">#ref!</definedName>
    <definedName function="false" hidden="false" name="Rpt_PT_Mud_Weight" vbProcedure="false">#ref!</definedName>
    <definedName function="false" hidden="false" name="Rpt_PT_Mud_Weight_Unit" vbProcedure="false">#ref!</definedName>
    <definedName function="false" hidden="false" name="Rpt_PT_n" vbProcedure="false">#ref!</definedName>
    <definedName function="false" hidden="false" name="Rpt_PT_n_Label" vbProcedure="false">#ref!</definedName>
    <definedName function="false" hidden="false" name="Rpt_PT_Oil_Water_Ratio" vbProcedure="false">#ref!</definedName>
    <definedName function="false" hidden="false" name="Rpt_PT_PT_Type" vbProcedure="false">#ref!</definedName>
    <definedName function="false" hidden="false" name="Rpt_PT_Raw_Data_Label" vbProcedure="false">#ref!</definedName>
    <definedName function="false" hidden="false" name="Rpt_PT_Raw_PV" vbProcedure="false">#ref!</definedName>
    <definedName function="false" hidden="false" name="Rpt_PT_Raw_YP" vbProcedure="false">#ref!</definedName>
    <definedName function="false" hidden="false" name="Rpt_PT_Ref_Pres" vbProcedure="false">#ref!</definedName>
    <definedName function="false" hidden="false" name="Rpt_PT_Ref_Pres_Unit" vbProcedure="false">#ref!</definedName>
    <definedName function="false" hidden="false" name="Rpt_PT_Ref_Temp" vbProcedure="false">#ref!</definedName>
    <definedName function="false" hidden="false" name="Rpt_PT_Ref_Temp_Unit" vbProcedure="false">#ref!</definedName>
    <definedName function="false" hidden="false" name="Rpt_PT_Rheo_Data" vbProcedure="false">#ref!</definedName>
    <definedName function="false" hidden="false" name="Rpt_PT_Rheo_Model" vbProcedure="false">#ref!</definedName>
    <definedName function="false" hidden="false" name="Rpt_PT_Rheo_Model_Index" vbProcedure="false">#ref!</definedName>
    <definedName function="false" hidden="false" name="Rpt_PT_Rheo_Table_Title" vbProcedure="false">#ref!</definedName>
    <definedName function="false" hidden="false" name="Rpt_PT_Seafloor_Temp" vbProcedure="false">#ref!</definedName>
    <definedName function="false" hidden="false" name="Rpt_PT_Seafloor_Temp_Unit" vbProcedure="false">#ref!</definedName>
    <definedName function="false" hidden="false" name="Rpt_PT_Surface_Ambient" vbProcedure="false">#ref!</definedName>
    <definedName function="false" hidden="false" name="Rpt_PT_Surface_Ambient_Unit" vbProcedure="false">#ref!</definedName>
    <definedName function="false" hidden="false" name="Rpt_PT_Temp_Type" vbProcedure="false">#ref!</definedName>
    <definedName function="false" hidden="false" name="Rpt_PT_Thermocline_Depth" vbProcedure="false">#ref!</definedName>
    <definedName function="false" hidden="false" name="Rpt_PT_Thermocline_Depth_Unit" vbProcedure="false">#ref!</definedName>
    <definedName function="false" hidden="false" name="Rpt_PT_Thermocline_Temp" vbProcedure="false">#ref!</definedName>
    <definedName function="false" hidden="false" name="Rpt_PT_Thermocline_Temp_Unit" vbProcedure="false">#ref!</definedName>
    <definedName function="false" hidden="false" name="Rpt_PT_TVD_Unit" vbProcedure="false">#ref!</definedName>
    <definedName function="false" hidden="false" name="Rpt_PumpingHours" vbProcedure="false">#ref!</definedName>
    <definedName function="false" hidden="false" name="Rpt_PV" vbProcedure="false">#ref!</definedName>
    <definedName function="false" hidden="false" name="Rpt_PV_Unit" vbProcedure="false">#ref!</definedName>
    <definedName function="false" hidden="false" name="Rpt_Reamer0_Dia" vbProcedure="false">#ref!</definedName>
    <definedName function="false" hidden="false" name="Rpt_Reamer0_Flowrate" vbProcedure="false">#ref!</definedName>
    <definedName function="false" hidden="false" name="Rpt_Reamer0_HSI" vbProcedure="false">#ref!</definedName>
    <definedName function="false" hidden="false" name="Rpt_Reamer0_Hyd_Pow" vbProcedure="false">#ref!</definedName>
    <definedName function="false" hidden="false" name="Rpt_Reamer0_JetVelocity" vbProcedure="false">#ref!</definedName>
    <definedName function="false" hidden="false" name="Rpt_Reamer0_Jet_Imp_Force" vbProcedure="false">#ref!</definedName>
    <definedName function="false" hidden="false" name="Rpt_Reamer0_Name" vbProcedure="false">#ref!</definedName>
    <definedName function="false" hidden="false" name="Rpt_Reamer0_Name_Duplicated" vbProcedure="false">#ref!</definedName>
    <definedName function="false" hidden="false" name="Rpt_Reamer0_PressureDrop" vbProcedure="false">#ref!</definedName>
    <definedName function="false" hidden="false" name="Rpt_Reamer0_TFA" vbProcedure="false">#ref!</definedName>
    <definedName function="false" hidden="false" name="Rpt_Reamer0_Type" vbProcedure="false">#ref!</definedName>
    <definedName function="false" hidden="false" name="Rpt_Reamer1_Dia" vbProcedure="false">#ref!</definedName>
    <definedName function="false" hidden="false" name="Rpt_Reamer1_Flowrate" vbProcedure="false">#ref!</definedName>
    <definedName function="false" hidden="false" name="Rpt_Reamer1_HSI" vbProcedure="false">#ref!</definedName>
    <definedName function="false" hidden="false" name="Rpt_Reamer1_Hyd_Pow" vbProcedure="false">#ref!</definedName>
    <definedName function="false" hidden="false" name="Rpt_Reamer1_JetVelocity" vbProcedure="false">#ref!</definedName>
    <definedName function="false" hidden="false" name="Rpt_Reamer1_Jet_Imp_Force" vbProcedure="false">#ref!</definedName>
    <definedName function="false" hidden="false" name="Rpt_Reamer1_Name" vbProcedure="false">#ref!</definedName>
    <definedName function="false" hidden="false" name="Rpt_Reamer1_Name_Duplicated" vbProcedure="false">#ref!</definedName>
    <definedName function="false" hidden="false" name="Rpt_Reamer1_PressureDrop" vbProcedure="false">#ref!</definedName>
    <definedName function="false" hidden="false" name="Rpt_Reamer1_TFA" vbProcedure="false">#ref!</definedName>
    <definedName function="false" hidden="false" name="Rpt_Reamer1_Type" vbProcedure="false">#ref!</definedName>
    <definedName function="false" hidden="false" name="Rpt_Reamer2_Dia" vbProcedure="false">#ref!</definedName>
    <definedName function="false" hidden="false" name="Rpt_Reamer2_Flowrate" vbProcedure="false">#ref!</definedName>
    <definedName function="false" hidden="false" name="Rpt_Reamer2_HSI" vbProcedure="false">#ref!</definedName>
    <definedName function="false" hidden="false" name="Rpt_Reamer2_Hyd_Pow" vbProcedure="false">#ref!</definedName>
    <definedName function="false" hidden="false" name="Rpt_Reamer2_JetVelocity" vbProcedure="false">#ref!</definedName>
    <definedName function="false" hidden="false" name="Rpt_Reamer2_Jet_Imp_Force" vbProcedure="false">#ref!</definedName>
    <definedName function="false" hidden="false" name="Rpt_Reamer2_Name" vbProcedure="false">#ref!</definedName>
    <definedName function="false" hidden="false" name="Rpt_Reamer2_Name_Duplicated" vbProcedure="false">#ref!</definedName>
    <definedName function="false" hidden="false" name="Rpt_Reamer2_PressureDrop" vbProcedure="false">#ref!</definedName>
    <definedName function="false" hidden="false" name="Rpt_Reamer2_TFA" vbProcedure="false">#ref!</definedName>
    <definedName function="false" hidden="false" name="Rpt_Reamer2_Type" vbProcedure="false">#ref!</definedName>
    <definedName function="false" hidden="false" name="Rpt_Rheo_API_PV_Unit" vbProcedure="false">#ref!</definedName>
    <definedName function="false" hidden="false" name="Rpt_Rheo_API_YP_Unit" vbProcedure="false">#ref!</definedName>
    <definedName function="false" hidden="false" name="Rpt_Rheo_BHA_Data" vbProcedure="false">#ref!</definedName>
    <definedName function="false" hidden="false" name="Rpt_Rheo_Date" vbProcedure="false">#ref!</definedName>
    <definedName function="false" hidden="false" name="Rpt_Rheo_ECD_Unit" vbProcedure="false">#ref!</definedName>
    <definedName function="false" hidden="false" name="Rpt_Rheo_ESD_Unit" vbProcedure="false">#ref!</definedName>
    <definedName function="false" hidden="false" name="Rpt_Rheo_Flowrate" vbProcedure="false">#ref!</definedName>
    <definedName function="false" hidden="false" name="Rpt_Rheo_Flowrate_Unit" vbProcedure="false">#ref!</definedName>
    <definedName function="false" hidden="false" name="Rpt_Rheo_HBYS_Unit" vbProcedure="false">#ref!</definedName>
    <definedName function="false" hidden="false" name="Rpt_Rheo_Index_Unit" vbProcedure="false">#ref!</definedName>
    <definedName function="false" hidden="false" name="Rpt_Rheo_K_Unit" vbProcedure="false">#ref!</definedName>
    <definedName function="false" hidden="false" name="Rpt_Rheo_MD_Unit" vbProcedure="false">#ref!</definedName>
    <definedName function="false" hidden="false" name="Rpt_Rheo_MudWeight_Unit" vbProcedure="false">#ref!</definedName>
    <definedName function="false" hidden="false" name="Rpt_Rheo_N_Unit" vbProcedure="false">#ref!</definedName>
    <definedName function="false" hidden="false" name="Rpt_Rheo_Pressure_Unit" vbProcedure="false">#ref!</definedName>
    <definedName function="false" hidden="false" name="Rpt_Rheo_RheologyData_Ann" vbProcedure="false">#ref!</definedName>
    <definedName function="false" hidden="false" name="Rpt_Rheo_RheologyData_BHA" vbProcedure="false">#ref!</definedName>
    <definedName function="false" hidden="false" name="Rpt_Rheo_Survey_Data" vbProcedure="false">#ref!</definedName>
    <definedName function="false" hidden="false" name="Rpt_Rheo_Temperature_Unit" vbProcedure="false">#ref!</definedName>
    <definedName function="false" hidden="false" name="Rpt_Rheo_Wellbore_Data" vbProcedure="false">#ref!</definedName>
    <definedName function="false" hidden="false" name="Rpt_RightLogo" vbProcedure="false">#ref!</definedName>
    <definedName function="false" hidden="false" name="Rpt_RigName" vbProcedure="false">#ref!</definedName>
    <definedName function="false" hidden="false" name="Rpt_RSS_Name" vbProcedure="false">#ref!</definedName>
    <definedName function="false" hidden="false" name="Rpt_ScaleFactor" vbProcedure="false">#ref!</definedName>
    <definedName function="false" hidden="false" name="Rpt_SecondDD" vbProcedure="false">#ref!</definedName>
    <definedName function="false" hidden="false" name="Rpt_Sens_ActualHSI_BO0" vbProcedure="false">#ref!</definedName>
    <definedName function="false" hidden="false" name="Rpt_Sens_ActualHSI_BO1" vbProcedure="false">#ref!</definedName>
    <definedName function="false" hidden="false" name="Rpt_Sens_ActualHSI_BO10" vbProcedure="false">#ref!</definedName>
    <definedName function="false" hidden="false" name="Rpt_Sens_ActualHSI_BO2" vbProcedure="false">#ref!</definedName>
    <definedName function="false" hidden="false" name="Rpt_Sens_ActualHSI_BO3" vbProcedure="false">#ref!</definedName>
    <definedName function="false" hidden="false" name="Rpt_Sens_ActualHSI_BO4" vbProcedure="false">#ref!</definedName>
    <definedName function="false" hidden="false" name="Rpt_Sens_ActualHSI_BO5" vbProcedure="false">#ref!</definedName>
    <definedName function="false" hidden="false" name="Rpt_Sens_ActualHSI_BO6" vbProcedure="false">#ref!</definedName>
    <definedName function="false" hidden="false" name="Rpt_Sens_ActualHSI_BO7" vbProcedure="false">#ref!</definedName>
    <definedName function="false" hidden="false" name="Rpt_Sens_ActualHSI_BO8" vbProcedure="false">#ref!</definedName>
    <definedName function="false" hidden="false" name="Rpt_Sens_ActualHSI_BO9" vbProcedure="false">#ref!</definedName>
    <definedName function="false" hidden="false" name="Rpt_Sens_ActualHSI_BO_Current" vbProcedure="false">#ref!</definedName>
    <definedName function="false" hidden="false" name="Rpt_Sens_ActualHSI_BO_Unit" vbProcedure="false">#ref!</definedName>
    <definedName function="false" hidden="false" name="Rpt_Sens_ActualJIF_BO0" vbProcedure="false">#ref!</definedName>
    <definedName function="false" hidden="false" name="Rpt_Sens_ActualJIF_BO1" vbProcedure="false">#ref!</definedName>
    <definedName function="false" hidden="false" name="Rpt_Sens_ActualJIF_BO10" vbProcedure="false">#ref!</definedName>
    <definedName function="false" hidden="false" name="Rpt_Sens_ActualJIF_BO2" vbProcedure="false">#ref!</definedName>
    <definedName function="false" hidden="false" name="Rpt_Sens_ActualJIF_BO3" vbProcedure="false">#ref!</definedName>
    <definedName function="false" hidden="false" name="Rpt_Sens_ActualJIF_BO4" vbProcedure="false">#ref!</definedName>
    <definedName function="false" hidden="false" name="Rpt_Sens_ActualJIF_BO5" vbProcedure="false">#ref!</definedName>
    <definedName function="false" hidden="false" name="Rpt_Sens_ActualJIF_BO6" vbProcedure="false">#ref!</definedName>
    <definedName function="false" hidden="false" name="Rpt_Sens_ActualJIF_BO7" vbProcedure="false">#ref!</definedName>
    <definedName function="false" hidden="false" name="Rpt_Sens_ActualJIF_BO8" vbProcedure="false">#ref!</definedName>
    <definedName function="false" hidden="false" name="Rpt_Sens_ActualJIF_BO9" vbProcedure="false">#ref!</definedName>
    <definedName function="false" hidden="false" name="Rpt_Sens_ActualJIF_BO_Current" vbProcedure="false">#ref!</definedName>
    <definedName function="false" hidden="false" name="Rpt_Sens_ActualJIF_BO_Unit" vbProcedure="false">#ref!</definedName>
    <definedName function="false" hidden="false" name="Rpt_Sens_Annulus_PDrop0" vbProcedure="false">#ref!</definedName>
    <definedName function="false" hidden="false" name="Rpt_Sens_Annulus_PDrop1" vbProcedure="false">#ref!</definedName>
    <definedName function="false" hidden="false" name="Rpt_Sens_Annulus_PDrop10" vbProcedure="false">#ref!</definedName>
    <definedName function="false" hidden="false" name="Rpt_Sens_Annulus_PDrop2" vbProcedure="false">#ref!</definedName>
    <definedName function="false" hidden="false" name="Rpt_Sens_Annulus_PDrop3" vbProcedure="false">#ref!</definedName>
    <definedName function="false" hidden="false" name="Rpt_Sens_Annulus_PDrop4" vbProcedure="false">#ref!</definedName>
    <definedName function="false" hidden="false" name="Rpt_Sens_Annulus_PDrop5" vbProcedure="false">#ref!</definedName>
    <definedName function="false" hidden="false" name="Rpt_Sens_Annulus_PDrop6" vbProcedure="false">#ref!</definedName>
    <definedName function="false" hidden="false" name="Rpt_Sens_Annulus_PDrop7" vbProcedure="false">#ref!</definedName>
    <definedName function="false" hidden="false" name="Rpt_Sens_Annulus_PDrop8" vbProcedure="false">#ref!</definedName>
    <definedName function="false" hidden="false" name="Rpt_Sens_Annulus_PDrop9" vbProcedure="false">#ref!</definedName>
    <definedName function="false" hidden="false" name="Rpt_Sens_Annulus_PDrop_Current" vbProcedure="false">#ref!</definedName>
    <definedName function="false" hidden="false" name="Rpt_Sens_Annulus_PDrop_Unit" vbProcedure="false">#ref!</definedName>
    <definedName function="false" hidden="false" name="Rpt_Sens_BHA_Data" vbProcedure="false">#ref!</definedName>
    <definedName function="false" hidden="false" name="Rpt_Sens_BitFlowRes_PDrop0" vbProcedure="false">#ref!</definedName>
    <definedName function="false" hidden="false" name="Rpt_Sens_BitFlowRes_PDrop1" vbProcedure="false">#ref!</definedName>
    <definedName function="false" hidden="false" name="Rpt_Sens_BitFlowRes_PDrop10" vbProcedure="false">#ref!</definedName>
    <definedName function="false" hidden="false" name="Rpt_Sens_BitFlowRes_PDrop2" vbProcedure="false">#ref!</definedName>
    <definedName function="false" hidden="false" name="Rpt_Sens_BitFlowRes_PDrop3" vbProcedure="false">#ref!</definedName>
    <definedName function="false" hidden="false" name="Rpt_Sens_BitFlowRes_PDrop4" vbProcedure="false">#ref!</definedName>
    <definedName function="false" hidden="false" name="Rpt_Sens_BitFlowRes_PDrop5" vbProcedure="false">#ref!</definedName>
    <definedName function="false" hidden="false" name="Rpt_Sens_BitFlowRes_PDrop6" vbProcedure="false">#ref!</definedName>
    <definedName function="false" hidden="false" name="Rpt_Sens_BitFlowRes_PDrop7" vbProcedure="false">#ref!</definedName>
    <definedName function="false" hidden="false" name="Rpt_Sens_BitFlowRes_PDrop8" vbProcedure="false">#ref!</definedName>
    <definedName function="false" hidden="false" name="Rpt_Sens_BitFlowRes_PDrop9" vbProcedure="false">#ref!</definedName>
    <definedName function="false" hidden="false" name="Rpt_Sens_BitFlowRes_PDrop_Current" vbProcedure="false">#ref!</definedName>
    <definedName function="false" hidden="false" name="Rpt_Sens_BitFlowRes_PDrop_Unit" vbProcedure="false">#ref!</definedName>
    <definedName function="false" hidden="false" name="Rpt_Sens_BitNozzle_PDrop0" vbProcedure="false">#ref!</definedName>
    <definedName function="false" hidden="false" name="Rpt_Sens_BitNozzle_PDrop1" vbProcedure="false">#ref!</definedName>
    <definedName function="false" hidden="false" name="Rpt_Sens_BitNozzle_PDrop10" vbProcedure="false">#ref!</definedName>
    <definedName function="false" hidden="false" name="Rpt_Sens_BitNozzle_PDrop2" vbProcedure="false">#ref!</definedName>
    <definedName function="false" hidden="false" name="Rpt_Sens_BitNozzle_PDrop3" vbProcedure="false">#ref!</definedName>
    <definedName function="false" hidden="false" name="Rpt_Sens_BitNozzle_PDrop4" vbProcedure="false">#ref!</definedName>
    <definedName function="false" hidden="false" name="Rpt_Sens_BitNozzle_PDrop5" vbProcedure="false">#ref!</definedName>
    <definedName function="false" hidden="false" name="Rpt_Sens_BitNozzle_PDrop6" vbProcedure="false">#ref!</definedName>
    <definedName function="false" hidden="false" name="Rpt_Sens_BitNozzle_PDrop7" vbProcedure="false">#ref!</definedName>
    <definedName function="false" hidden="false" name="Rpt_Sens_BitNozzle_PDrop8" vbProcedure="false">#ref!</definedName>
    <definedName function="false" hidden="false" name="Rpt_Sens_BitNozzle_PDrop9" vbProcedure="false">#ref!</definedName>
    <definedName function="false" hidden="false" name="Rpt_Sens_BitNozzle_PDrop_Current" vbProcedure="false">#ref!</definedName>
    <definedName function="false" hidden="false" name="Rpt_Sens_BitNozzle_PDrop_Unit" vbProcedure="false">#ref!</definedName>
    <definedName function="false" hidden="false" name="Rpt_Sens_Bit_ECD0" vbProcedure="false">#ref!</definedName>
    <definedName function="false" hidden="false" name="Rpt_Sens_Bit_ECD1" vbProcedure="false">#ref!</definedName>
    <definedName function="false" hidden="false" name="Rpt_Sens_Bit_ECD10" vbProcedure="false">#ref!</definedName>
    <definedName function="false" hidden="false" name="Rpt_Sens_Bit_ECD2" vbProcedure="false">#ref!</definedName>
    <definedName function="false" hidden="false" name="Rpt_Sens_Bit_ECD3" vbProcedure="false">#ref!</definedName>
    <definedName function="false" hidden="false" name="Rpt_Sens_Bit_ECD4" vbProcedure="false">#ref!</definedName>
    <definedName function="false" hidden="false" name="Rpt_Sens_Bit_ECD5" vbProcedure="false">#ref!</definedName>
    <definedName function="false" hidden="false" name="Rpt_Sens_Bit_ECD6" vbProcedure="false">#ref!</definedName>
    <definedName function="false" hidden="false" name="Rpt_Sens_Bit_ECD7" vbProcedure="false">#ref!</definedName>
    <definedName function="false" hidden="false" name="Rpt_Sens_Bit_ECD8" vbProcedure="false">#ref!</definedName>
    <definedName function="false" hidden="false" name="Rpt_Sens_Bit_ECD9" vbProcedure="false">#ref!</definedName>
    <definedName function="false" hidden="false" name="Rpt_Sens_Bit_ECD_Current" vbProcedure="false">#ref!</definedName>
    <definedName function="false" hidden="false" name="Rpt_Sens_Bit_ECD_Unit" vbProcedure="false">#ref!</definedName>
    <definedName function="false" hidden="false" name="Rpt_Sens_Bit_Flowrate0" vbProcedure="false">#ref!</definedName>
    <definedName function="false" hidden="false" name="Rpt_Sens_Bit_Flowrate1" vbProcedure="false">#ref!</definedName>
    <definedName function="false" hidden="false" name="Rpt_Sens_Bit_Flowrate10" vbProcedure="false">#ref!</definedName>
    <definedName function="false" hidden="false" name="Rpt_Sens_Bit_Flowrate2" vbProcedure="false">#ref!</definedName>
    <definedName function="false" hidden="false" name="Rpt_Sens_Bit_Flowrate3" vbProcedure="false">#ref!</definedName>
    <definedName function="false" hidden="false" name="Rpt_Sens_Bit_Flowrate4" vbProcedure="false">#ref!</definedName>
    <definedName function="false" hidden="false" name="Rpt_Sens_Bit_Flowrate5" vbProcedure="false">#ref!</definedName>
    <definedName function="false" hidden="false" name="Rpt_Sens_Bit_Flowrate6" vbProcedure="false">#ref!</definedName>
    <definedName function="false" hidden="false" name="Rpt_Sens_Bit_Flowrate7" vbProcedure="false">#ref!</definedName>
    <definedName function="false" hidden="false" name="Rpt_Sens_Bit_Flowrate8" vbProcedure="false">#ref!</definedName>
    <definedName function="false" hidden="false" name="Rpt_Sens_Bit_Flowrate9" vbProcedure="false">#ref!</definedName>
    <definedName function="false" hidden="false" name="Rpt_Sens_Bit_Flowrate_Current" vbProcedure="false">#ref!</definedName>
    <definedName function="false" hidden="false" name="Rpt_Sens_Bit_Flowrate_Unit" vbProcedure="false">#ref!</definedName>
    <definedName function="false" hidden="false" name="Rpt_Sens_Chokeline_PDrop0" vbProcedure="false">#ref!</definedName>
    <definedName function="false" hidden="false" name="Rpt_Sens_Chokeline_PDrop1" vbProcedure="false">#ref!</definedName>
    <definedName function="false" hidden="false" name="Rpt_Sens_Chokeline_PDrop10" vbProcedure="false">#ref!</definedName>
    <definedName function="false" hidden="false" name="Rpt_Sens_Chokeline_PDrop2" vbProcedure="false">#ref!</definedName>
    <definedName function="false" hidden="false" name="Rpt_Sens_Chokeline_PDrop3" vbProcedure="false">#ref!</definedName>
    <definedName function="false" hidden="false" name="Rpt_Sens_Chokeline_PDrop4" vbProcedure="false">#ref!</definedName>
    <definedName function="false" hidden="false" name="Rpt_Sens_Chokeline_PDrop5" vbProcedure="false">#ref!</definedName>
    <definedName function="false" hidden="false" name="Rpt_Sens_Chokeline_PDrop6" vbProcedure="false">#ref!</definedName>
    <definedName function="false" hidden="false" name="Rpt_Sens_Chokeline_PDrop7" vbProcedure="false">#ref!</definedName>
    <definedName function="false" hidden="false" name="Rpt_Sens_Chokeline_PDrop8" vbProcedure="false">#ref!</definedName>
    <definedName function="false" hidden="false" name="Rpt_Sens_Chokeline_PDrop9" vbProcedure="false">#ref!</definedName>
    <definedName function="false" hidden="false" name="Rpt_Sens_Chokeline_PDrop_Current" vbProcedure="false">#ref!</definedName>
    <definedName function="false" hidden="false" name="Rpt_Sens_Chokeline_PDrop_Unit" vbProcedure="false">#ref!</definedName>
    <definedName function="false" hidden="false" name="Rpt_Sens_Date" vbProcedure="false">#ref!</definedName>
    <definedName function="false" hidden="false" name="Rpt_Sens_Depth_ECD0" vbProcedure="false">#ref!</definedName>
    <definedName function="false" hidden="false" name="Rpt_Sens_Depth_ECD1" vbProcedure="false">#ref!</definedName>
    <definedName function="false" hidden="false" name="Rpt_Sens_Depth_ECD10" vbProcedure="false">#ref!</definedName>
    <definedName function="false" hidden="false" name="Rpt_Sens_Depth_ECD2" vbProcedure="false">#ref!</definedName>
    <definedName function="false" hidden="false" name="Rpt_Sens_Depth_ECD3" vbProcedure="false">#ref!</definedName>
    <definedName function="false" hidden="false" name="Rpt_Sens_Depth_ECD4" vbProcedure="false">#ref!</definedName>
    <definedName function="false" hidden="false" name="Rpt_Sens_Depth_ECD5" vbProcedure="false">#ref!</definedName>
    <definedName function="false" hidden="false" name="Rpt_Sens_Depth_ECD6" vbProcedure="false">#ref!</definedName>
    <definedName function="false" hidden="false" name="Rpt_Sens_Depth_ECD7" vbProcedure="false">#ref!</definedName>
    <definedName function="false" hidden="false" name="Rpt_Sens_Depth_ECD8" vbProcedure="false">#ref!</definedName>
    <definedName function="false" hidden="false" name="Rpt_Sens_Depth_ECD9" vbProcedure="false">#ref!</definedName>
    <definedName function="false" hidden="false" name="Rpt_Sens_Depth_ECD_Current" vbProcedure="false">#ref!</definedName>
    <definedName function="false" hidden="false" name="Rpt_Sens_Depth_ECD_Label" vbProcedure="false">#ref!</definedName>
    <definedName function="false" hidden="false" name="Rpt_Sens_Depth_ECD_Unit" vbProcedure="false">#ref!</definedName>
    <definedName function="false" hidden="false" name="Rpt_Sens_DrillString_PDrop0" vbProcedure="false">#ref!</definedName>
    <definedName function="false" hidden="false" name="Rpt_Sens_DrillString_PDrop1" vbProcedure="false">#ref!</definedName>
    <definedName function="false" hidden="false" name="Rpt_Sens_DrillString_PDrop10" vbProcedure="false">#ref!</definedName>
    <definedName function="false" hidden="false" name="Rpt_Sens_DrillString_PDrop2" vbProcedure="false">#ref!</definedName>
    <definedName function="false" hidden="false" name="Rpt_Sens_DrillString_PDrop3" vbProcedure="false">#ref!</definedName>
    <definedName function="false" hidden="false" name="Rpt_Sens_DrillString_PDrop4" vbProcedure="false">#ref!</definedName>
    <definedName function="false" hidden="false" name="Rpt_Sens_DrillString_PDrop5" vbProcedure="false">#ref!</definedName>
    <definedName function="false" hidden="false" name="Rpt_Sens_DrillString_PDrop6" vbProcedure="false">#ref!</definedName>
    <definedName function="false" hidden="false" name="Rpt_Sens_DrillString_PDrop7" vbProcedure="false">#ref!</definedName>
    <definedName function="false" hidden="false" name="Rpt_Sens_DrillString_PDrop8" vbProcedure="false">#ref!</definedName>
    <definedName function="false" hidden="false" name="Rpt_Sens_DrillString_PDrop9" vbProcedure="false">#ref!</definedName>
    <definedName function="false" hidden="false" name="Rpt_Sens_DrillString_PDrop_Current" vbProcedure="false">#ref!</definedName>
    <definedName function="false" hidden="false" name="Rpt_Sens_DrillString_PDrop_Unit" vbProcedure="false">#ref!</definedName>
    <definedName function="false" hidden="false" name="Rpt_Sens_FlowPerc_Reamer0" vbProcedure="false">#ref!</definedName>
    <definedName function="false" hidden="false" name="Rpt_Sens_FlowPerc_Reamer1" vbProcedure="false">#ref!</definedName>
    <definedName function="false" hidden="false" name="Rpt_Sens_FlowPerc_Reamer10" vbProcedure="false">#ref!</definedName>
    <definedName function="false" hidden="false" name="Rpt_Sens_FlowPerc_Reamer2" vbProcedure="false">#ref!</definedName>
    <definedName function="false" hidden="false" name="Rpt_Sens_FlowPerc_Reamer3" vbProcedure="false">#ref!</definedName>
    <definedName function="false" hidden="false" name="Rpt_Sens_FlowPerc_Reamer4" vbProcedure="false">#ref!</definedName>
    <definedName function="false" hidden="false" name="Rpt_Sens_FlowPerc_Reamer5" vbProcedure="false">#ref!</definedName>
    <definedName function="false" hidden="false" name="Rpt_Sens_FlowPerc_Reamer6" vbProcedure="false">#ref!</definedName>
    <definedName function="false" hidden="false" name="Rpt_Sens_FlowPerc_Reamer7" vbProcedure="false">#ref!</definedName>
    <definedName function="false" hidden="false" name="Rpt_Sens_FlowPerc_Reamer8" vbProcedure="false">#ref!</definedName>
    <definedName function="false" hidden="false" name="Rpt_Sens_FlowPerc_Reamer9" vbProcedure="false">#ref!</definedName>
    <definedName function="false" hidden="false" name="Rpt_Sens_FlowPerc_Reamer_Current" vbProcedure="false">#ref!</definedName>
    <definedName function="false" hidden="false" name="Rpt_Sens_Flowrate_BO0" vbProcedure="false">#ref!</definedName>
    <definedName function="false" hidden="false" name="Rpt_Sens_Flowrate_BO1" vbProcedure="false">#ref!</definedName>
    <definedName function="false" hidden="false" name="Rpt_Sens_Flowrate_BO10" vbProcedure="false">#ref!</definedName>
    <definedName function="false" hidden="false" name="Rpt_Sens_Flowrate_BO2" vbProcedure="false">#ref!</definedName>
    <definedName function="false" hidden="false" name="Rpt_Sens_Flowrate_BO3" vbProcedure="false">#ref!</definedName>
    <definedName function="false" hidden="false" name="Rpt_Sens_Flowrate_BO4" vbProcedure="false">#ref!</definedName>
    <definedName function="false" hidden="false" name="Rpt_Sens_Flowrate_BO5" vbProcedure="false">#ref!</definedName>
    <definedName function="false" hidden="false" name="Rpt_Sens_Flowrate_BO6" vbProcedure="false">#ref!</definedName>
    <definedName function="false" hidden="false" name="Rpt_Sens_Flowrate_BO7" vbProcedure="false">#ref!</definedName>
    <definedName function="false" hidden="false" name="Rpt_Sens_Flowrate_BO8" vbProcedure="false">#ref!</definedName>
    <definedName function="false" hidden="false" name="Rpt_Sens_Flowrate_BO9" vbProcedure="false">#ref!</definedName>
    <definedName function="false" hidden="false" name="Rpt_Sens_Flowrate_BO_Current" vbProcedure="false">#ref!</definedName>
    <definedName function="false" hidden="false" name="Rpt_Sens_Flowrate_BO_Unit" vbProcedure="false">#ref!</definedName>
    <definedName function="false" hidden="false" name="Rpt_Sens_Flowrate_Reamer0" vbProcedure="false">#ref!</definedName>
    <definedName function="false" hidden="false" name="Rpt_Sens_Flowrate_Reamer1" vbProcedure="false">#ref!</definedName>
    <definedName function="false" hidden="false" name="Rpt_Sens_Flowrate_Reamer10" vbProcedure="false">#ref!</definedName>
    <definedName function="false" hidden="false" name="Rpt_Sens_Flowrate_Reamer2" vbProcedure="false">#ref!</definedName>
    <definedName function="false" hidden="false" name="Rpt_Sens_Flowrate_Reamer3" vbProcedure="false">#ref!</definedName>
    <definedName function="false" hidden="false" name="Rpt_Sens_Flowrate_Reamer4" vbProcedure="false">#ref!</definedName>
    <definedName function="false" hidden="false" name="Rpt_Sens_Flowrate_Reamer5" vbProcedure="false">#ref!</definedName>
    <definedName function="false" hidden="false" name="Rpt_Sens_Flowrate_Reamer6" vbProcedure="false">#ref!</definedName>
    <definedName function="false" hidden="false" name="Rpt_Sens_Flowrate_Reamer7" vbProcedure="false">#ref!</definedName>
    <definedName function="false" hidden="false" name="Rpt_Sens_Flowrate_Reamer8" vbProcedure="false">#ref!</definedName>
    <definedName function="false" hidden="false" name="Rpt_Sens_Flowrate_Reamer9" vbProcedure="false">#ref!</definedName>
    <definedName function="false" hidden="false" name="Rpt_Sens_Flowrate_Reamer_Current" vbProcedure="false">#ref!</definedName>
    <definedName function="false" hidden="false" name="Rpt_Sens_Flowrate_Reamer_Unit" vbProcedure="false">#ref!</definedName>
    <definedName function="false" hidden="false" name="Rpt_Sens_FlowRes_PDrop0" vbProcedure="false">#ref!</definedName>
    <definedName function="false" hidden="false" name="Rpt_Sens_FlowRes_PDrop1" vbProcedure="false">#ref!</definedName>
    <definedName function="false" hidden="false" name="Rpt_Sens_FlowRes_PDrop10" vbProcedure="false">#ref!</definedName>
    <definedName function="false" hidden="false" name="Rpt_Sens_FlowRes_PDrop2" vbProcedure="false">#ref!</definedName>
    <definedName function="false" hidden="false" name="Rpt_Sens_FlowRes_PDrop3" vbProcedure="false">#ref!</definedName>
    <definedName function="false" hidden="false" name="Rpt_Sens_FlowRes_PDrop4" vbProcedure="false">#ref!</definedName>
    <definedName function="false" hidden="false" name="Rpt_Sens_FlowRes_PDrop5" vbProcedure="false">#ref!</definedName>
    <definedName function="false" hidden="false" name="Rpt_Sens_FlowRes_PDrop6" vbProcedure="false">#ref!</definedName>
    <definedName function="false" hidden="false" name="Rpt_Sens_FlowRes_PDrop7" vbProcedure="false">#ref!</definedName>
    <definedName function="false" hidden="false" name="Rpt_Sens_FlowRes_PDrop8" vbProcedure="false">#ref!</definedName>
    <definedName function="false" hidden="false" name="Rpt_Sens_FlowRes_PDrop9" vbProcedure="false">#ref!</definedName>
    <definedName function="false" hidden="false" name="Rpt_Sens_FlowRes_PDrop_Current" vbProcedure="false">#ref!</definedName>
    <definedName function="false" hidden="false" name="Rpt_Sens_FlowRes_PDrop_Unit" vbProcedure="false">#ref!</definedName>
    <definedName function="false" hidden="false" name="Rpt_Sens_HPSI_BO0" vbProcedure="false">#ref!</definedName>
    <definedName function="false" hidden="false" name="Rpt_Sens_HPSI_BO1" vbProcedure="false">#ref!</definedName>
    <definedName function="false" hidden="false" name="Rpt_Sens_HPSI_BO10" vbProcedure="false">#ref!</definedName>
    <definedName function="false" hidden="false" name="Rpt_Sens_HPSI_BO2" vbProcedure="false">#ref!</definedName>
    <definedName function="false" hidden="false" name="Rpt_Sens_HPSI_BO3" vbProcedure="false">#ref!</definedName>
    <definedName function="false" hidden="false" name="Rpt_Sens_HPSI_BO4" vbProcedure="false">#ref!</definedName>
    <definedName function="false" hidden="false" name="Rpt_Sens_HPSI_BO5" vbProcedure="false">#ref!</definedName>
    <definedName function="false" hidden="false" name="Rpt_Sens_HPSI_BO6" vbProcedure="false">#ref!</definedName>
    <definedName function="false" hidden="false" name="Rpt_Sens_HPSI_BO7" vbProcedure="false">#ref!</definedName>
    <definedName function="false" hidden="false" name="Rpt_Sens_HPSI_BO8" vbProcedure="false">#ref!</definedName>
    <definedName function="false" hidden="false" name="Rpt_Sens_HPSI_BO9" vbProcedure="false">#ref!</definedName>
    <definedName function="false" hidden="false" name="Rpt_Sens_HPSI_BO_Current" vbProcedure="false">#ref!</definedName>
    <definedName function="false" hidden="false" name="Rpt_Sens_HPSI_BO_Unit" vbProcedure="false">#ref!</definedName>
    <definedName function="false" hidden="false" name="Rpt_Sens_HydPow_BO0" vbProcedure="false">#ref!</definedName>
    <definedName function="false" hidden="false" name="Rpt_Sens_HydPow_BO1" vbProcedure="false">#ref!</definedName>
    <definedName function="false" hidden="false" name="Rpt_Sens_HydPow_BO10" vbProcedure="false">#ref!</definedName>
    <definedName function="false" hidden="false" name="Rpt_Sens_HydPow_BO2" vbProcedure="false">#ref!</definedName>
    <definedName function="false" hidden="false" name="Rpt_Sens_HydPow_BO3" vbProcedure="false">#ref!</definedName>
    <definedName function="false" hidden="false" name="Rpt_Sens_HydPow_BO4" vbProcedure="false">#ref!</definedName>
    <definedName function="false" hidden="false" name="Rpt_Sens_HydPow_BO5" vbProcedure="false">#ref!</definedName>
    <definedName function="false" hidden="false" name="Rpt_Sens_HydPow_BO6" vbProcedure="false">#ref!</definedName>
    <definedName function="false" hidden="false" name="Rpt_Sens_HydPow_BO7" vbProcedure="false">#ref!</definedName>
    <definedName function="false" hidden="false" name="Rpt_Sens_HydPow_BO8" vbProcedure="false">#ref!</definedName>
    <definedName function="false" hidden="false" name="Rpt_Sens_HydPow_BO9" vbProcedure="false">#ref!</definedName>
    <definedName function="false" hidden="false" name="Rpt_Sens_HydPow_BO_Current" vbProcedure="false">#ref!</definedName>
    <definedName function="false" hidden="false" name="Rpt_Sens_HydPow_BO_Unit" vbProcedure="false">#ref!</definedName>
    <definedName function="false" hidden="false" name="Rpt_Sens_HydPow_Reamer0" vbProcedure="false">#ref!</definedName>
    <definedName function="false" hidden="false" name="Rpt_Sens_HydPow_Reamer1" vbProcedure="false">#ref!</definedName>
    <definedName function="false" hidden="false" name="Rpt_Sens_HydPow_Reamer10" vbProcedure="false">#ref!</definedName>
    <definedName function="false" hidden="false" name="Rpt_Sens_HydPow_Reamer2" vbProcedure="false">#ref!</definedName>
    <definedName function="false" hidden="false" name="Rpt_Sens_HydPow_Reamer3" vbProcedure="false">#ref!</definedName>
    <definedName function="false" hidden="false" name="Rpt_Sens_HydPow_Reamer4" vbProcedure="false">#ref!</definedName>
    <definedName function="false" hidden="false" name="Rpt_Sens_HydPow_Reamer5" vbProcedure="false">#ref!</definedName>
    <definedName function="false" hidden="false" name="Rpt_Sens_HydPow_Reamer6" vbProcedure="false">#ref!</definedName>
    <definedName function="false" hidden="false" name="Rpt_Sens_HydPow_Reamer7" vbProcedure="false">#ref!</definedName>
    <definedName function="false" hidden="false" name="Rpt_Sens_HydPow_Reamer8" vbProcedure="false">#ref!</definedName>
    <definedName function="false" hidden="false" name="Rpt_Sens_HydPow_Reamer9" vbProcedure="false">#ref!</definedName>
    <definedName function="false" hidden="false" name="Rpt_Sens_HydPow_Reamer_Current" vbProcedure="false">#ref!</definedName>
    <definedName function="false" hidden="false" name="Rpt_Sens_HydPow_Reamer_Unit" vbProcedure="false">#ref!</definedName>
    <definedName function="false" hidden="false" name="Rpt_Sens_Imbalance_PDrop0" vbProcedure="false">#ref!</definedName>
    <definedName function="false" hidden="false" name="Rpt_Sens_Imbalance_PDrop1" vbProcedure="false">#ref!</definedName>
    <definedName function="false" hidden="false" name="Rpt_Sens_Imbalance_PDrop10" vbProcedure="false">#ref!</definedName>
    <definedName function="false" hidden="false" name="Rpt_Sens_Imbalance_PDrop2" vbProcedure="false">#ref!</definedName>
    <definedName function="false" hidden="false" name="Rpt_Sens_Imbalance_PDrop3" vbProcedure="false">#ref!</definedName>
    <definedName function="false" hidden="false" name="Rpt_Sens_Imbalance_PDrop4" vbProcedure="false">#ref!</definedName>
    <definedName function="false" hidden="false" name="Rpt_Sens_Imbalance_PDrop5" vbProcedure="false">#ref!</definedName>
    <definedName function="false" hidden="false" name="Rpt_Sens_Imbalance_PDrop6" vbProcedure="false">#ref!</definedName>
    <definedName function="false" hidden="false" name="Rpt_Sens_Imbalance_PDrop7" vbProcedure="false">#ref!</definedName>
    <definedName function="false" hidden="false" name="Rpt_Sens_Imbalance_PDrop8" vbProcedure="false">#ref!</definedName>
    <definedName function="false" hidden="false" name="Rpt_Sens_Imbalance_PDrop9" vbProcedure="false">#ref!</definedName>
    <definedName function="false" hidden="false" name="Rpt_Sens_Imbalance_PDrop_Current" vbProcedure="false">#ref!</definedName>
    <definedName function="false" hidden="false" name="Rpt_Sens_Imbalance_PDrop_Unit" vbProcedure="false">#ref!</definedName>
    <definedName function="false" hidden="false" name="Rpt_Sens_JetVelocity_BO0" vbProcedure="false">#ref!</definedName>
    <definedName function="false" hidden="false" name="Rpt_Sens_JetVelocity_BO1" vbProcedure="false">#ref!</definedName>
    <definedName function="false" hidden="false" name="Rpt_Sens_JetVelocity_BO10" vbProcedure="false">#ref!</definedName>
    <definedName function="false" hidden="false" name="Rpt_Sens_JetVelocity_BO2" vbProcedure="false">#ref!</definedName>
    <definedName function="false" hidden="false" name="Rpt_Sens_JetVelocity_BO3" vbProcedure="false">#ref!</definedName>
    <definedName function="false" hidden="false" name="Rpt_Sens_JetVelocity_BO4" vbProcedure="false">#ref!</definedName>
    <definedName function="false" hidden="false" name="Rpt_Sens_JetVelocity_BO5" vbProcedure="false">#ref!</definedName>
    <definedName function="false" hidden="false" name="Rpt_Sens_JetVelocity_BO6" vbProcedure="false">#ref!</definedName>
    <definedName function="false" hidden="false" name="Rpt_Sens_JetVelocity_BO7" vbProcedure="false">#ref!</definedName>
    <definedName function="false" hidden="false" name="Rpt_Sens_JetVelocity_BO8" vbProcedure="false">#ref!</definedName>
    <definedName function="false" hidden="false" name="Rpt_Sens_JetVelocity_BO9" vbProcedure="false">#ref!</definedName>
    <definedName function="false" hidden="false" name="Rpt_Sens_JetVelocity_BO_Current" vbProcedure="false">#ref!</definedName>
    <definedName function="false" hidden="false" name="Rpt_Sens_JetVelocity_BO_Unit" vbProcedure="false">#ref!</definedName>
    <definedName function="false" hidden="false" name="Rpt_Sens_JetVelocity_Reamer0" vbProcedure="false">#ref!</definedName>
    <definedName function="false" hidden="false" name="Rpt_Sens_JetVelocity_Reamer1" vbProcedure="false">#ref!</definedName>
    <definedName function="false" hidden="false" name="Rpt_Sens_JetVelocity_Reamer10" vbProcedure="false">#ref!</definedName>
    <definedName function="false" hidden="false" name="Rpt_Sens_JetVelocity_Reamer2" vbProcedure="false">#ref!</definedName>
    <definedName function="false" hidden="false" name="Rpt_Sens_JetVelocity_Reamer3" vbProcedure="false">#ref!</definedName>
    <definedName function="false" hidden="false" name="Rpt_Sens_JetVelocity_Reamer4" vbProcedure="false">#ref!</definedName>
    <definedName function="false" hidden="false" name="Rpt_Sens_JetVelocity_Reamer5" vbProcedure="false">#ref!</definedName>
    <definedName function="false" hidden="false" name="Rpt_Sens_JetVelocity_Reamer6" vbProcedure="false">#ref!</definedName>
    <definedName function="false" hidden="false" name="Rpt_Sens_JetVelocity_Reamer7" vbProcedure="false">#ref!</definedName>
    <definedName function="false" hidden="false" name="Rpt_Sens_JetVelocity_Reamer8" vbProcedure="false">#ref!</definedName>
    <definedName function="false" hidden="false" name="Rpt_Sens_JetVelocity_Reamer9" vbProcedure="false">#ref!</definedName>
    <definedName function="false" hidden="false" name="Rpt_Sens_JetVelocity_Reamer_Current" vbProcedure="false">#ref!</definedName>
    <definedName function="false" hidden="false" name="Rpt_Sens_JetVelocity_Reamer_Unit" vbProcedure="false">#ref!</definedName>
    <definedName function="false" hidden="false" name="Rpt_Sens_JIF_BO0" vbProcedure="false">#ref!</definedName>
    <definedName function="false" hidden="false" name="Rpt_Sens_JIF_BO1" vbProcedure="false">#ref!</definedName>
    <definedName function="false" hidden="false" name="Rpt_Sens_JIF_BO10" vbProcedure="false">#ref!</definedName>
    <definedName function="false" hidden="false" name="Rpt_Sens_JIF_BO2" vbProcedure="false">#ref!</definedName>
    <definedName function="false" hidden="false" name="Rpt_Sens_JIF_BO3" vbProcedure="false">#ref!</definedName>
    <definedName function="false" hidden="false" name="Rpt_Sens_JIF_BO4" vbProcedure="false">#ref!</definedName>
    <definedName function="false" hidden="false" name="Rpt_Sens_JIF_BO5" vbProcedure="false">#ref!</definedName>
    <definedName function="false" hidden="false" name="Rpt_Sens_JIF_BO6" vbProcedure="false">#ref!</definedName>
    <definedName function="false" hidden="false" name="Rpt_Sens_JIF_BO7" vbProcedure="false">#ref!</definedName>
    <definedName function="false" hidden="false" name="Rpt_Sens_JIF_BO8" vbProcedure="false">#ref!</definedName>
    <definedName function="false" hidden="false" name="Rpt_Sens_JIF_BO9" vbProcedure="false">#ref!</definedName>
    <definedName function="false" hidden="false" name="Rpt_Sens_JIF_BO_Current" vbProcedure="false">#ref!</definedName>
    <definedName function="false" hidden="false" name="Rpt_Sens_JIF_BO_Unit" vbProcedure="false">#ref!</definedName>
    <definedName function="false" hidden="false" name="Rpt_Sens_MotorBearing_Flowrate0" vbProcedure="false">#ref!</definedName>
    <definedName function="false" hidden="false" name="Rpt_Sens_MotorBearing_Flowrate1" vbProcedure="false">#ref!</definedName>
    <definedName function="false" hidden="false" name="Rpt_Sens_MotorBearing_Flowrate10" vbProcedure="false">#ref!</definedName>
    <definedName function="false" hidden="false" name="Rpt_Sens_MotorBearing_Flowrate2" vbProcedure="false">#ref!</definedName>
    <definedName function="false" hidden="false" name="Rpt_Sens_MotorBearing_Flowrate3" vbProcedure="false">#ref!</definedName>
    <definedName function="false" hidden="false" name="Rpt_Sens_MotorBearing_Flowrate4" vbProcedure="false">#ref!</definedName>
    <definedName function="false" hidden="false" name="Rpt_Sens_MotorBearing_Flowrate5" vbProcedure="false">#ref!</definedName>
    <definedName function="false" hidden="false" name="Rpt_Sens_MotorBearing_Flowrate6" vbProcedure="false">#ref!</definedName>
    <definedName function="false" hidden="false" name="Rpt_Sens_MotorBearing_Flowrate7" vbProcedure="false">#ref!</definedName>
    <definedName function="false" hidden="false" name="Rpt_Sens_MotorBearing_Flowrate8" vbProcedure="false">#ref!</definedName>
    <definedName function="false" hidden="false" name="Rpt_Sens_MotorBearing_Flowrate9" vbProcedure="false">#ref!</definedName>
    <definedName function="false" hidden="false" name="Rpt_Sens_MotorBearing_Flowrate_Current" vbProcedure="false">#ref!</definedName>
    <definedName function="false" hidden="false" name="Rpt_Sens_MotorBearing_Flowrate_Unit" vbProcedure="false">#ref!</definedName>
    <definedName function="false" hidden="false" name="Rpt_Sens_MotorPower_Flowrate0" vbProcedure="false">#ref!</definedName>
    <definedName function="false" hidden="false" name="Rpt_Sens_MotorPower_Flowrate1" vbProcedure="false">#ref!</definedName>
    <definedName function="false" hidden="false" name="Rpt_Sens_MotorPower_Flowrate10" vbProcedure="false">#ref!</definedName>
    <definedName function="false" hidden="false" name="Rpt_Sens_MotorPower_Flowrate2" vbProcedure="false">#ref!</definedName>
    <definedName function="false" hidden="false" name="Rpt_Sens_MotorPower_Flowrate3" vbProcedure="false">#ref!</definedName>
    <definedName function="false" hidden="false" name="Rpt_Sens_MotorPower_Flowrate4" vbProcedure="false">#ref!</definedName>
    <definedName function="false" hidden="false" name="Rpt_Sens_MotorPower_Flowrate5" vbProcedure="false">#ref!</definedName>
    <definedName function="false" hidden="false" name="Rpt_Sens_MotorPower_Flowrate6" vbProcedure="false">#ref!</definedName>
    <definedName function="false" hidden="false" name="Rpt_Sens_MotorPower_Flowrate7" vbProcedure="false">#ref!</definedName>
    <definedName function="false" hidden="false" name="Rpt_Sens_MotorPower_Flowrate8" vbProcedure="false">#ref!</definedName>
    <definedName function="false" hidden="false" name="Rpt_Sens_MotorPower_Flowrate9" vbProcedure="false">#ref!</definedName>
    <definedName function="false" hidden="false" name="Rpt_Sens_MotorPower_Flowrate_Current" vbProcedure="false">#ref!</definedName>
    <definedName function="false" hidden="false" name="Rpt_Sens_MotorPower_Flowrate_Unit" vbProcedure="false">#ref!</definedName>
    <definedName function="false" hidden="false" name="Rpt_Sens_MotorRSS_PDrop0" vbProcedure="false">#ref!</definedName>
    <definedName function="false" hidden="false" name="Rpt_Sens_MotorRSS_PDrop1" vbProcedure="false">#ref!</definedName>
    <definedName function="false" hidden="false" name="Rpt_Sens_MotorRSS_PDrop10" vbProcedure="false">#ref!</definedName>
    <definedName function="false" hidden="false" name="Rpt_Sens_MotorRSS_PDrop2" vbProcedure="false">#ref!</definedName>
    <definedName function="false" hidden="false" name="Rpt_Sens_MotorRSS_PDrop3" vbProcedure="false">#ref!</definedName>
    <definedName function="false" hidden="false" name="Rpt_Sens_MotorRSS_PDrop4" vbProcedure="false">#ref!</definedName>
    <definedName function="false" hidden="false" name="Rpt_Sens_MotorRSS_PDrop5" vbProcedure="false">#ref!</definedName>
    <definedName function="false" hidden="false" name="Rpt_Sens_MotorRSS_PDrop6" vbProcedure="false">#ref!</definedName>
    <definedName function="false" hidden="false" name="Rpt_Sens_MotorRSS_PDrop7" vbProcedure="false">#ref!</definedName>
    <definedName function="false" hidden="false" name="Rpt_Sens_MotorRSS_PDrop8" vbProcedure="false">#ref!</definedName>
    <definedName function="false" hidden="false" name="Rpt_Sens_MotorRSS_PDrop9" vbProcedure="false">#ref!</definedName>
    <definedName function="false" hidden="false" name="Rpt_Sens_MotorRSS_PDrop_Current" vbProcedure="false">#ref!</definedName>
    <definedName function="false" hidden="false" name="Rpt_Sens_MotorRSS_PDrop_Unit" vbProcedure="false">#ref!</definedName>
    <definedName function="false" hidden="false" name="Rpt_Sens_PLoss_Reamer0" vbProcedure="false">#ref!</definedName>
    <definedName function="false" hidden="false" name="Rpt_Sens_PLoss_Reamer1" vbProcedure="false">#ref!</definedName>
    <definedName function="false" hidden="false" name="Rpt_Sens_PLoss_Reamer10" vbProcedure="false">#ref!</definedName>
    <definedName function="false" hidden="false" name="Rpt_Sens_PLoss_Reamer2" vbProcedure="false">#ref!</definedName>
    <definedName function="false" hidden="false" name="Rpt_Sens_PLoss_Reamer3" vbProcedure="false">#ref!</definedName>
    <definedName function="false" hidden="false" name="Rpt_Sens_PLoss_Reamer4" vbProcedure="false">#ref!</definedName>
    <definedName function="false" hidden="false" name="Rpt_Sens_PLoss_Reamer5" vbProcedure="false">#ref!</definedName>
    <definedName function="false" hidden="false" name="Rpt_Sens_PLoss_Reamer6" vbProcedure="false">#ref!</definedName>
    <definedName function="false" hidden="false" name="Rpt_Sens_PLoss_Reamer7" vbProcedure="false">#ref!</definedName>
    <definedName function="false" hidden="false" name="Rpt_Sens_PLoss_Reamer8" vbProcedure="false">#ref!</definedName>
    <definedName function="false" hidden="false" name="Rpt_Sens_PLoss_Reamer9" vbProcedure="false">#ref!</definedName>
    <definedName function="false" hidden="false" name="Rpt_Sens_PLoss_Reamer_Current" vbProcedure="false">#ref!</definedName>
    <definedName function="false" hidden="false" name="Rpt_Sens_PLoss_Reamer_Unit" vbProcedure="false">#ref!</definedName>
    <definedName function="false" hidden="false" name="Rpt_Sens_Pump_Flowrate0" vbProcedure="false">#ref!</definedName>
    <definedName function="false" hidden="false" name="Rpt_Sens_Pump_Flowrate1" vbProcedure="false">#ref!</definedName>
    <definedName function="false" hidden="false" name="Rpt_Sens_Pump_Flowrate10" vbProcedure="false">#ref!</definedName>
    <definedName function="false" hidden="false" name="Rpt_Sens_Pump_Flowrate2" vbProcedure="false">#ref!</definedName>
    <definedName function="false" hidden="false" name="Rpt_Sens_Pump_Flowrate3" vbProcedure="false">#ref!</definedName>
    <definedName function="false" hidden="false" name="Rpt_Sens_Pump_Flowrate4" vbProcedure="false">#ref!</definedName>
    <definedName function="false" hidden="false" name="Rpt_Sens_Pump_Flowrate5" vbProcedure="false">#ref!</definedName>
    <definedName function="false" hidden="false" name="Rpt_Sens_Pump_Flowrate6" vbProcedure="false">#ref!</definedName>
    <definedName function="false" hidden="false" name="Rpt_Sens_Pump_Flowrate7" vbProcedure="false">#ref!</definedName>
    <definedName function="false" hidden="false" name="Rpt_Sens_Pump_Flowrate8" vbProcedure="false">#ref!</definedName>
    <definedName function="false" hidden="false" name="Rpt_Sens_Pump_Flowrate9" vbProcedure="false">#ref!</definedName>
    <definedName function="false" hidden="false" name="Rpt_Sens_Pump_Flowrate_Current" vbProcedure="false">#ref!</definedName>
    <definedName function="false" hidden="false" name="Rpt_Sens_Pump_Flowrate_Unit" vbProcedure="false">#ref!</definedName>
    <definedName function="false" hidden="false" name="Rpt_Sens_Reamer_Flowrate0" vbProcedure="false">#ref!</definedName>
    <definedName function="false" hidden="false" name="Rpt_Sens_Reamer_Flowrate1" vbProcedure="false">#ref!</definedName>
    <definedName function="false" hidden="false" name="Rpt_Sens_Reamer_Flowrate10" vbProcedure="false">#ref!</definedName>
    <definedName function="false" hidden="false" name="Rpt_Sens_Reamer_Flowrate2" vbProcedure="false">#ref!</definedName>
    <definedName function="false" hidden="false" name="Rpt_Sens_Reamer_Flowrate3" vbProcedure="false">#ref!</definedName>
    <definedName function="false" hidden="false" name="Rpt_Sens_Reamer_Flowrate4" vbProcedure="false">#ref!</definedName>
    <definedName function="false" hidden="false" name="Rpt_Sens_Reamer_Flowrate5" vbProcedure="false">#ref!</definedName>
    <definedName function="false" hidden="false" name="Rpt_Sens_Reamer_Flowrate6" vbProcedure="false">#ref!</definedName>
    <definedName function="false" hidden="false" name="Rpt_Sens_Reamer_Flowrate7" vbProcedure="false">#ref!</definedName>
    <definedName function="false" hidden="false" name="Rpt_Sens_Reamer_Flowrate8" vbProcedure="false">#ref!</definedName>
    <definedName function="false" hidden="false" name="Rpt_Sens_Reamer_Flowrate9" vbProcedure="false">#ref!</definedName>
    <definedName function="false" hidden="false" name="Rpt_Sens_Reamer_Flowrate_Current" vbProcedure="false">#ref!</definedName>
    <definedName function="false" hidden="false" name="Rpt_Sens_Reamer_Flowrate_Unit" vbProcedure="false">#ref!</definedName>
    <definedName function="false" hidden="false" name="Rpt_Sens_Shoe_ECD0" vbProcedure="false">#ref!</definedName>
    <definedName function="false" hidden="false" name="Rpt_Sens_Shoe_ECD1" vbProcedure="false">#ref!</definedName>
    <definedName function="false" hidden="false" name="Rpt_Sens_Shoe_ECD10" vbProcedure="false">#ref!</definedName>
    <definedName function="false" hidden="false" name="Rpt_Sens_Shoe_ECD2" vbProcedure="false">#ref!</definedName>
    <definedName function="false" hidden="false" name="Rpt_Sens_Shoe_ECD3" vbProcedure="false">#ref!</definedName>
    <definedName function="false" hidden="false" name="Rpt_Sens_Shoe_ECD4" vbProcedure="false">#ref!</definedName>
    <definedName function="false" hidden="false" name="Rpt_Sens_Shoe_ECD5" vbProcedure="false">#ref!</definedName>
    <definedName function="false" hidden="false" name="Rpt_Sens_Shoe_ECD6" vbProcedure="false">#ref!</definedName>
    <definedName function="false" hidden="false" name="Rpt_Sens_Shoe_ECD7" vbProcedure="false">#ref!</definedName>
    <definedName function="false" hidden="false" name="Rpt_Sens_Shoe_ECD8" vbProcedure="false">#ref!</definedName>
    <definedName function="false" hidden="false" name="Rpt_Sens_Shoe_ECD9" vbProcedure="false">#ref!</definedName>
    <definedName function="false" hidden="false" name="Rpt_Sens_Shoe_ECD_Current" vbProcedure="false">#ref!</definedName>
    <definedName function="false" hidden="false" name="Rpt_Sens_Shoe_ECD_Unit" vbProcedure="false">#ref!</definedName>
    <definedName function="false" hidden="false" name="Rpt_Sens_SurEquip_PDrop0" vbProcedure="false">#ref!</definedName>
    <definedName function="false" hidden="false" name="Rpt_Sens_SurEquip_PDrop1" vbProcedure="false">#ref!</definedName>
    <definedName function="false" hidden="false" name="Rpt_Sens_SurEquip_PDrop10" vbProcedure="false">#ref!</definedName>
    <definedName function="false" hidden="false" name="Rpt_Sens_SurEquip_PDrop2" vbProcedure="false">#ref!</definedName>
    <definedName function="false" hidden="false" name="Rpt_Sens_SurEquip_PDrop3" vbProcedure="false">#ref!</definedName>
    <definedName function="false" hidden="false" name="Rpt_Sens_SurEquip_PDrop4" vbProcedure="false">#ref!</definedName>
    <definedName function="false" hidden="false" name="Rpt_Sens_SurEquip_PDrop5" vbProcedure="false">#ref!</definedName>
    <definedName function="false" hidden="false" name="Rpt_Sens_SurEquip_PDrop6" vbProcedure="false">#ref!</definedName>
    <definedName function="false" hidden="false" name="Rpt_Sens_SurEquip_PDrop7" vbProcedure="false">#ref!</definedName>
    <definedName function="false" hidden="false" name="Rpt_Sens_SurEquip_PDrop8" vbProcedure="false">#ref!</definedName>
    <definedName function="false" hidden="false" name="Rpt_Sens_SurEquip_PDrop9" vbProcedure="false">#ref!</definedName>
    <definedName function="false" hidden="false" name="Rpt_Sens_SurEquip_PDrop_Current" vbProcedure="false">#ref!</definedName>
    <definedName function="false" hidden="false" name="Rpt_Sens_SurEquip_PDrop_Unit" vbProcedure="false">#ref!</definedName>
    <definedName function="false" hidden="false" name="Rpt_Sens_Survey_Data" vbProcedure="false">#ref!</definedName>
    <definedName function="false" hidden="false" name="Rpt_Sens_Tool_PDrop0" vbProcedure="false">#ref!</definedName>
    <definedName function="false" hidden="false" name="Rpt_Sens_Tool_PDrop1" vbProcedure="false">#ref!</definedName>
    <definedName function="false" hidden="false" name="Rpt_Sens_Tool_PDrop10" vbProcedure="false">#ref!</definedName>
    <definedName function="false" hidden="false" name="Rpt_Sens_Tool_PDrop2" vbProcedure="false">#ref!</definedName>
    <definedName function="false" hidden="false" name="Rpt_Sens_Tool_PDrop3" vbProcedure="false">#ref!</definedName>
    <definedName function="false" hidden="false" name="Rpt_Sens_Tool_PDrop4" vbProcedure="false">#ref!</definedName>
    <definedName function="false" hidden="false" name="Rpt_Sens_Tool_PDrop5" vbProcedure="false">#ref!</definedName>
    <definedName function="false" hidden="false" name="Rpt_Sens_Tool_PDrop6" vbProcedure="false">#ref!</definedName>
    <definedName function="false" hidden="false" name="Rpt_Sens_Tool_PDrop7" vbProcedure="false">#ref!</definedName>
    <definedName function="false" hidden="false" name="Rpt_Sens_Tool_PDrop8" vbProcedure="false">#ref!</definedName>
    <definedName function="false" hidden="false" name="Rpt_Sens_Tool_PDrop9" vbProcedure="false">#ref!</definedName>
    <definedName function="false" hidden="false" name="Rpt_Sens_Tool_PDrop_Current" vbProcedure="false">#ref!</definedName>
    <definedName function="false" hidden="false" name="Rpt_Sens_Tool_PDrop_Unit" vbProcedure="false">#ref!</definedName>
    <definedName function="false" hidden="false" name="Rpt_Sens_Total_PDrop0" vbProcedure="false">#ref!</definedName>
    <definedName function="false" hidden="false" name="Rpt_Sens_Total_PDrop1" vbProcedure="false">#ref!</definedName>
    <definedName function="false" hidden="false" name="Rpt_Sens_Total_PDrop10" vbProcedure="false">#ref!</definedName>
    <definedName function="false" hidden="false" name="Rpt_Sens_Total_PDrop2" vbProcedure="false">#ref!</definedName>
    <definedName function="false" hidden="false" name="Rpt_Sens_Total_PDrop3" vbProcedure="false">#ref!</definedName>
    <definedName function="false" hidden="false" name="Rpt_Sens_Total_PDrop4" vbProcedure="false">#ref!</definedName>
    <definedName function="false" hidden="false" name="Rpt_Sens_Total_PDrop5" vbProcedure="false">#ref!</definedName>
    <definedName function="false" hidden="false" name="Rpt_Sens_Total_PDrop6" vbProcedure="false">#ref!</definedName>
    <definedName function="false" hidden="false" name="Rpt_Sens_Total_PDrop7" vbProcedure="false">#ref!</definedName>
    <definedName function="false" hidden="false" name="Rpt_Sens_Total_PDrop8" vbProcedure="false">#ref!</definedName>
    <definedName function="false" hidden="false" name="Rpt_Sens_Total_PDrop9" vbProcedure="false">#ref!</definedName>
    <definedName function="false" hidden="false" name="Rpt_Sens_Total_PDrop_Current" vbProcedure="false">#ref!</definedName>
    <definedName function="false" hidden="false" name="Rpt_Sens_Total_PDrop_Unit" vbProcedure="false">#ref!</definedName>
    <definedName function="false" hidden="false" name="Rpt_Sens_Wellbore_Data" vbProcedure="false">#ref!</definedName>
    <definedName function="false" hidden="false" name="Rpt_Structure" vbProcedure="false">#ref!</definedName>
    <definedName function="false" hidden="false" name="Rpt_SurveyCompMethod" vbProcedure="false">#ref!</definedName>
    <definedName function="false" hidden="false" name="Rpt_SurveyDate" vbProcedure="false">#ref!</definedName>
    <definedName function="false" hidden="false" name="Rpt_SurveyName" vbProcedure="false">#ref!</definedName>
    <definedName function="false" hidden="false" name="Rpt_SurveyStats" vbProcedure="false">#ref!</definedName>
    <definedName function="false" hidden="false" name="Rpt_Survey_Data" vbProcedure="false">#ref!</definedName>
    <definedName function="false" hidden="false" name="rpt_TestSheet2" vbProcedure="false">#ref!</definedName>
    <definedName function="false" hidden="false" name="Rpt_TimeIn" vbProcedure="false">#ref!</definedName>
    <definedName function="false" hidden="false" name="Rpt_TimeOut" vbProcedure="false">#ref!</definedName>
    <definedName function="false" hidden="false" name="Rpt_Title" vbProcedure="false">#ref!</definedName>
    <definedName function="false" hidden="false" name="Rpt_Title2" vbProcedure="false">#ref!</definedName>
    <definedName function="false" hidden="false" name="Rpt_Tool_Joint_Percentage" vbProcedure="false">#ref!</definedName>
    <definedName function="false" hidden="false" name="Rpt_Tool_Joint_Percentage_Header" vbProcedure="false">#ref!</definedName>
    <definedName function="false" hidden="false" name="Rpt_Tool_Joint_Percentage_Unit" vbProcedure="false">#ref!</definedName>
    <definedName function="false" hidden="false" name="Rpt_TotalCorrection" vbProcedure="false">#ref!</definedName>
    <definedName function="false" hidden="false" name="Rpt_TotalCorrectionLabel" vbProcedure="false">#ref!</definedName>
    <definedName function="false" hidden="false" name="Rpt_Version" vbProcedure="false">#ref!</definedName>
    <definedName function="false" hidden="false" name="Rpt_VSEC_Azim" vbProcedure="false">#ref!</definedName>
    <definedName function="false" hidden="false" name="Rpt_VSEC_Origin" vbProcedure="false">#ref!</definedName>
    <definedName function="false" hidden="false" name="Rpt_Well" vbProcedure="false">#ref!</definedName>
    <definedName function="false" hidden="false" name="Rpt_Wellbore_Data" vbProcedure="false">#ref!</definedName>
    <definedName function="false" hidden="false" name="Rpt_WellName" vbProcedure="false">#ref!</definedName>
    <definedName function="false" hidden="false" name="Rpt_YP" vbProcedure="false">#ref!</definedName>
    <definedName function="false" hidden="false" name="Rpt_YP_Unit" vbProcedure="false">#ref!</definedName>
    <definedName function="false" hidden="false" name="RQC" vbProcedure="false">#ref!</definedName>
    <definedName function="false" hidden="true" name="rrr" vbProcedure="false">{#N/A,#N/A,FALSE,"Sheet1"}</definedName>
    <definedName function="false" hidden="true" name="rrrrrrrrrrrrrr" vbProcedure="false">#ref!</definedName>
    <definedName function="false" hidden="false" name="rshdsrhj" vbProcedure="false">#ref!</definedName>
    <definedName function="false" hidden="false" name="RSS_TO_COMPLETE" vbProcedure="false">[38]RSS!$K$197</definedName>
    <definedName function="false" hidden="false" name="RT" vbProcedure="false">#ref!</definedName>
    <definedName function="false" hidden="false" name="rtb" vbProcedure="false">'[16]Max-Torq'!$P$61</definedName>
    <definedName function="false" hidden="false" name="RTDepth" vbProcedure="false">#ref!</definedName>
    <definedName function="false" hidden="false" name="RthLth" vbProcedure="false">#ref!</definedName>
    <definedName function="false" hidden="false" name="run" vbProcedure="false">#N/A</definedName>
    <definedName function="false" hidden="false" name="RunFd" vbProcedure="false">#ref!</definedName>
    <definedName function="false" hidden="false" name="Running" vbProcedure="false">#ref!</definedName>
    <definedName function="false" hidden="false" name="Runningtool" vbProcedure="false">#ref!</definedName>
    <definedName function="false" hidden="false" name="Runs" vbProcedure="false">#ref!</definedName>
    <definedName function="false" hidden="false" name="runtool" vbProcedure="false">#ref!</definedName>
    <definedName function="false" hidden="false" name="Run_Statistics_Name" vbProcedure="false">#ref!</definedName>
    <definedName function="false" hidden="false" name="Rupees" vbProcedure="false">#ref!</definedName>
    <definedName function="false" hidden="false" name="Rus" vbProcedure="false">#ref!</definedName>
    <definedName function="false" hidden="false" name="Ruwaydha" vbProcedure="false">#ref!</definedName>
    <definedName function="false" hidden="false" name="RV" vbProcedure="false">#ref!</definedName>
    <definedName function="false" hidden="false" name="RVDepth" vbProcedure="false">#ref!</definedName>
    <definedName function="false" hidden="false" name="R_Group_ID" vbProcedure="false">[11]DATA!$T$2:$T$79</definedName>
    <definedName function="false" hidden="false" name="R____rig" vbProcedure="false">#ref!</definedName>
    <definedName function="false" hidden="false" name="s" vbProcedure="false">#ref!</definedName>
    <definedName function="false" hidden="false" name="SA" vbProcedure="false">#ref!</definedName>
    <definedName function="false" hidden="false" name="Saeed" vbProcedure="false">#ref!</definedName>
    <definedName function="false" hidden="false" name="safetyjtdepth" vbProcedure="false">#ref!</definedName>
    <definedName function="false" hidden="false" name="SafetySpace" vbProcedure="false">#ref!</definedName>
    <definedName function="false" hidden="false" name="SafetySpacer" vbProcedure="false">#ref!</definedName>
    <definedName function="false" hidden="false" name="salbesa" vbProcedure="false">#ref!</definedName>
    <definedName function="false" hidden="false" name="Sales" vbProcedure="false">#ref!</definedName>
    <definedName function="false" hidden="false" name="Salesequipment" vbProcedure="false">#ref!</definedName>
    <definedName function="false" hidden="false" name="Salesman" vbProcedure="false">#ref!</definedName>
    <definedName function="false" hidden="false" name="SALESRECORD" vbProcedure="false">'[44]7-30-04'!$GO$7457</definedName>
    <definedName function="false" hidden="false" name="Sales_Contacts" vbProcedure="false">#ref!</definedName>
    <definedName function="false" hidden="false" name="SALES_CUST" vbProcedure="false">'[44]7-30-04'!$GO$7457</definedName>
    <definedName function="false" hidden="false" name="Sales_Explosive_Type" vbProcedure="false">#ref!</definedName>
    <definedName function="false" hidden="false" name="Sales_Gun_Size" vbProcedure="false">#ref!</definedName>
    <definedName function="false" hidden="false" name="Sales_Lease" vbProcedure="false">#ref!</definedName>
    <definedName function="false" hidden="false" name="SALES_QTY" vbProcedure="false">'[44]7-30-04'!$GO$7457</definedName>
    <definedName function="false" hidden="false" name="Sales_Reps" vbProcedure="false">#ref!</definedName>
    <definedName function="false" hidden="false" name="Sales_SPF" vbProcedure="false">#ref!</definedName>
    <definedName function="false" hidden="false" name="Sales_Ticket_Number" vbProcedure="false">#ref!</definedName>
    <definedName function="false" hidden="false" name="Sales_Underbalance" vbProcedure="false">#ref!</definedName>
    <definedName function="false" hidden="false" name="Sales_Well_Name" vbProcedure="false">#ref!</definedName>
    <definedName function="false" hidden="false" name="SALE_1" vbProcedure="false">'[58]7-30-04'!#ref!</definedName>
    <definedName function="false" hidden="false" name="SALE_2" vbProcedure="false">'[58]7-30-04'!#ref!</definedName>
    <definedName function="false" hidden="false" name="sale_array" vbProcedure="false">#ref!</definedName>
    <definedName function="false" hidden="false" name="salinity" vbProcedure="false">'[94]well test sheet'!#ref!</definedName>
    <definedName function="false" hidden="false" name="SANDOUT_PRESSURE" vbProcedure="false">#ref!</definedName>
    <definedName function="false" hidden="false" name="SAND_ABOVE_PERFS_PREPACK" vbProcedure="false">#ref!</definedName>
    <definedName function="false" hidden="false" name="SAND_DIVERTER" vbProcedure="false">#ref!</definedName>
    <definedName function="false" hidden="false" name="SAND_GP" vbProcedure="false">#ref!</definedName>
    <definedName function="false" hidden="false" name="SAND_IN_CAS_BLNK" vbProcedure="false">#ref!</definedName>
    <definedName function="false" hidden="false" name="SAND_IN_CAS_BLNK_1" vbProcedure="false">'[6]#ref'!#ref!</definedName>
    <definedName function="false" hidden="false" name="SAND_IN_CAS_BLNK_10" vbProcedure="false">'[6]#ref'!#ref!</definedName>
    <definedName function="false" hidden="false" name="SAND_IN_CAS_BLNK_11" vbProcedure="false">'[6]#ref'!#ref!</definedName>
    <definedName function="false" hidden="false" name="SAND_IN_CAS_BLNK_2" vbProcedure="false">'[6]#ref'!#ref!</definedName>
    <definedName function="false" hidden="false" name="SAND_IN_CAS_BLNK_3" vbProcedure="false">'[6]#ref'!#ref!</definedName>
    <definedName function="false" hidden="false" name="SAND_IN_CAS_BLNK_4" vbProcedure="false">'[6]#ref'!#ref!</definedName>
    <definedName function="false" hidden="false" name="SAND_IN_CAS_BLNK_5" vbProcedure="false">'[6]#ref'!#ref!</definedName>
    <definedName function="false" hidden="false" name="SAND_IN_CAS_BLNK_6" vbProcedure="false">'[6]#ref'!#ref!</definedName>
    <definedName function="false" hidden="false" name="SAND_IN_CAS_BLNK_7" vbProcedure="false">'[6]#ref'!#ref!</definedName>
    <definedName function="false" hidden="false" name="SAND_IN_CAS_BLNK_8" vbProcedure="false">'[6]#ref'!#ref!</definedName>
    <definedName function="false" hidden="false" name="SAND_IN_CAS_BLNK_9" vbProcedure="false">'[6]#ref'!#ref!</definedName>
    <definedName function="false" hidden="false" name="SAND_IN_CAS_EXT" vbProcedure="false">#ref!</definedName>
    <definedName function="false" hidden="false" name="SAND_IN_CAS_EXT_1" vbProcedure="false">'[6]#ref'!#ref!</definedName>
    <definedName function="false" hidden="false" name="SAND_IN_CAS_EXT_10" vbProcedure="false">'[6]#ref'!#ref!</definedName>
    <definedName function="false" hidden="false" name="SAND_IN_CAS_EXT_11" vbProcedure="false">'[6]#ref'!#ref!</definedName>
    <definedName function="false" hidden="false" name="SAND_IN_CAS_EXT_2" vbProcedure="false">'[6]#ref'!#ref!</definedName>
    <definedName function="false" hidden="false" name="SAND_IN_CAS_EXT_3" vbProcedure="false">'[6]#ref'!#ref!</definedName>
    <definedName function="false" hidden="false" name="SAND_IN_CAS_EXT_4" vbProcedure="false">'[6]#ref'!#ref!</definedName>
    <definedName function="false" hidden="false" name="SAND_IN_CAS_EXT_5" vbProcedure="false">'[6]#ref'!#ref!</definedName>
    <definedName function="false" hidden="false" name="SAND_IN_CAS_EXT_6" vbProcedure="false">'[6]#ref'!#ref!</definedName>
    <definedName function="false" hidden="false" name="SAND_IN_CAS_EXT_7" vbProcedure="false">'[6]#ref'!#ref!</definedName>
    <definedName function="false" hidden="false" name="SAND_IN_CAS_EXT_8" vbProcedure="false">'[6]#ref'!#ref!</definedName>
    <definedName function="false" hidden="false" name="SAND_IN_CAS_EXT_9" vbProcedure="false">'[6]#ref'!#ref!</definedName>
    <definedName function="false" hidden="false" name="SAND_IN_CAS_PREPACK" vbProcedure="false">#ref!</definedName>
    <definedName function="false" hidden="false" name="SAND_IN_CAS_SCR" vbProcedure="false">#ref!</definedName>
    <definedName function="false" hidden="false" name="SAND_IN_CAS_SCR_1" vbProcedure="false">'[6]#ref'!#ref!</definedName>
    <definedName function="false" hidden="false" name="SAND_IN_CAS_SCR_10" vbProcedure="false">'[6]#ref'!#ref!</definedName>
    <definedName function="false" hidden="false" name="SAND_IN_CAS_SCR_11" vbProcedure="false">'[6]#ref'!#ref!</definedName>
    <definedName function="false" hidden="false" name="SAND_IN_CAS_SCR_2" vbProcedure="false">'[6]#ref'!#ref!</definedName>
    <definedName function="false" hidden="false" name="SAND_IN_CAS_SCR_3" vbProcedure="false">'[6]#ref'!#ref!</definedName>
    <definedName function="false" hidden="false" name="SAND_IN_CAS_SCR_4" vbProcedure="false">'[6]#ref'!#ref!</definedName>
    <definedName function="false" hidden="false" name="SAND_IN_CAS_SCR_5" vbProcedure="false">'[6]#ref'!#ref!</definedName>
    <definedName function="false" hidden="false" name="SAND_IN_CAS_SCR_6" vbProcedure="false">'[6]#ref'!#ref!</definedName>
    <definedName function="false" hidden="false" name="SAND_IN_CAS_SCR_7" vbProcedure="false">'[6]#ref'!#ref!</definedName>
    <definedName function="false" hidden="false" name="SAND_IN_CAS_SCR_8" vbProcedure="false">'[6]#ref'!#ref!</definedName>
    <definedName function="false" hidden="false" name="SAND_IN_CAS_SCR_9" vbProcedure="false">'[6]#ref'!#ref!</definedName>
    <definedName function="false" hidden="false" name="SAND_IN_PERFS" vbProcedure="false">#ref!</definedName>
    <definedName function="false" hidden="false" name="SAND_IN_PERFS_PP" vbProcedure="false">#ref!</definedName>
    <definedName function="false" hidden="false" name="SAND_PASS_XO_PORT" vbProcedure="false">#ref!</definedName>
    <definedName function="false" hidden="false" name="SAND_PERMEABILITY" vbProcedure="false">#ref!</definedName>
    <definedName function="false" hidden="false" name="SAND_PLACED_GP" vbProcedure="false">#ref!</definedName>
    <definedName function="false" hidden="false" name="SAND_PREPACK" vbProcedure="false">#ref!</definedName>
    <definedName function="false" hidden="false" name="SAND_PUMPED_GP" vbProcedure="false">#ref!</definedName>
    <definedName function="false" hidden="false" name="SAND_PUMPED_PREPACK" vbProcedure="false">#ref!</definedName>
    <definedName function="false" hidden="false" name="SAND_REVOUT_GP" vbProcedure="false">#ref!</definedName>
    <definedName function="false" hidden="false" name="SAND_REVOUT_PREPACK" vbProcedure="false">#ref!</definedName>
    <definedName function="false" hidden="true" name="SAPBEXrevision" vbProcedure="false">1</definedName>
    <definedName function="false" hidden="true" name="SAPBEXsysID" vbProcedure="false">"PC6"</definedName>
    <definedName function="false" hidden="true" name="SAPBEXwbID" vbProcedure="false">"3TT5CSIDBQS4W9STQ52L47NUV"</definedName>
    <definedName function="false" hidden="false" name="SAVE" vbProcedure="false">#ref!</definedName>
    <definedName function="false" hidden="false" name="Save_Document" vbProcedure="false">#ref!</definedName>
    <definedName function="false" hidden="false" name="Save_Document_1" vbProcedure="false">Save_Document</definedName>
    <definedName function="false" hidden="false" name="Save_Document_10" vbProcedure="false">Save_Document</definedName>
    <definedName function="false" hidden="false" name="Save_Document_11" vbProcedure="false">Save_Document</definedName>
    <definedName function="false" hidden="false" name="Save_Document_2" vbProcedure="false">Save_Document</definedName>
    <definedName function="false" hidden="false" name="Save_Document_3" vbProcedure="false">Save_Document</definedName>
    <definedName function="false" hidden="false" name="Save_Document_4" vbProcedure="false">Save_Document</definedName>
    <definedName function="false" hidden="false" name="Save_Document_5" vbProcedure="false">Save_Document</definedName>
    <definedName function="false" hidden="false" name="Save_Document_6" vbProcedure="false">Save_Document</definedName>
    <definedName function="false" hidden="false" name="Save_Document_7" vbProcedure="false">Save_Document</definedName>
    <definedName function="false" hidden="false" name="Save_Document_8" vbProcedure="false">Save_Document</definedName>
    <definedName function="false" hidden="false" name="Save_Document_9" vbProcedure="false">Save_Document</definedName>
    <definedName function="false" hidden="false" name="SBE" vbProcedure="false">#ref!</definedName>
    <definedName function="false" hidden="false" name="sbsv" vbProcedure="false">#ref!</definedName>
    <definedName function="false" hidden="false" name="ScaleFactor" vbProcedure="false">#ref!</definedName>
    <definedName function="false" hidden="false" name="SCB" vbProcedure="false">[38]RSS!$B$136:$B$144</definedName>
    <definedName function="false" hidden="false" name="ScenarioInputSummaryDTORUnit" vbProcedure="false">#ref!</definedName>
    <definedName function="false" hidden="false" name="ScenarioInputSummaryDWOBUnit" vbProcedure="false">#ref!</definedName>
    <definedName function="false" hidden="false" name="ScenarioInputSummaryOverpullUnit" vbProcedure="false">#ref!</definedName>
    <definedName function="false" hidden="false" name="ScenarioName" vbProcedure="false">#ref!</definedName>
    <definedName function="false" hidden="true" name="scen_result" vbProcedure="false">#VALUE!</definedName>
    <definedName function="false" hidden="false" name="SCHE" vbProcedure="false">[16]!Macro1</definedName>
    <definedName function="false" hidden="true"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SCHETCH" vbProcedure="false">#ref!</definedName>
    <definedName function="false" hidden="true" name="screeensss" vbProcedure="false">#ref!</definedName>
    <definedName function="false" hidden="false" name="SCREEN" vbProcedure="false">#ref!</definedName>
    <definedName function="false" hidden="false" name="screengauge2" vbProcedure="false">#ref!</definedName>
    <definedName function="false" hidden="false" name="screengauge3" vbProcedure="false">#ref!</definedName>
    <definedName function="false" hidden="false" name="screenguage" vbProcedure="false">#ref!</definedName>
    <definedName function="false" hidden="false" name="screenidlist" vbProcedure="false">[19]Data!$E$79:$F$127</definedName>
    <definedName function="false" hidden="false" name="screenlength" vbProcedure="false">#ref!</definedName>
    <definedName function="false" hidden="false" name="screenlength2" vbProcedure="false">#ref!</definedName>
    <definedName function="false" hidden="false" name="screenlength3" vbProcedure="false">#ref!</definedName>
    <definedName function="false" hidden="false" name="screenod" vbProcedure="false">#ref!</definedName>
    <definedName function="false" hidden="false" name="screenod2" vbProcedure="false">#ref!</definedName>
    <definedName function="false" hidden="false" name="screenod3" vbProcedure="false">#ref!</definedName>
    <definedName function="false" hidden="false" name="Screens" vbProcedure="false">#ref!</definedName>
    <definedName function="false" hidden="false" name="screentype" vbProcedure="false">#ref!</definedName>
    <definedName function="false" hidden="false" name="screentype2" vbProcedure="false">#ref!</definedName>
    <definedName function="false" hidden="false" name="screentype3" vbProcedure="false">#ref!</definedName>
    <definedName function="false" hidden="false" name="SCREEN_LENGTH" vbProcedure="false">#ref!</definedName>
    <definedName function="false" hidden="false" name="SCREEN_OD" vbProcedure="false">#ref!</definedName>
    <definedName function="false" hidden="false" name="Scrolling_Increment" vbProcedure="false">#ref!</definedName>
    <definedName function="false" hidden="false" name="sd" vbProcedure="false">#ref!</definedName>
    <definedName function="false" hidden="false" name="sdadad" vbProcedure="false">#ref!</definedName>
    <definedName function="false" hidden="false" name="sdagd" vbProcedure="false">#ref!</definedName>
    <definedName function="false" hidden="false" name="SDE_23" vbProcedure="false">[72]!Calculate_Pipe</definedName>
    <definedName function="false" hidden="false" name="SDrag" vbProcedure="false">#ref!</definedName>
    <definedName function="false" hidden="false" name="Seals" vbProcedure="false">#ref!</definedName>
    <definedName function="false" hidden="false" name="SeatID" vbProcedure="false">#ref!</definedName>
    <definedName function="false" hidden="false" name="SeatNumber" vbProcedure="false">#ref!</definedName>
    <definedName function="false" hidden="false" name="SeatShear" vbProcedure="false">#ref!</definedName>
    <definedName function="false" hidden="false" name="SeatType" vbProcedure="false">#ref!</definedName>
    <definedName function="false" hidden="false" name="sea_bed" vbProcedure="false">#ref!</definedName>
    <definedName function="false" hidden="false" name="SECTION" vbProcedure="false">#ref!</definedName>
    <definedName function="false" hidden="false" name="SeDelay" vbProcedure="false">#ref!</definedName>
    <definedName function="false" hidden="false" name="semilife" vbProcedure="false">#ref!</definedName>
    <definedName function="false" hidden="false" name="SensorDistanceToBit" vbProcedure="false">#ref!</definedName>
    <definedName function="false" hidden="false" name="SensorDistanceToBitUnit" vbProcedure="false">#ref!</definedName>
    <definedName function="false" hidden="false" name="Sensors" vbProcedure="false">#ref!</definedName>
    <definedName function="false" hidden="false" name="SensorType" vbProcedure="false">#ref!</definedName>
    <definedName function="false" hidden="false" name="SENTTO" vbProcedure="false">#ref!</definedName>
    <definedName function="false" hidden="false" name="sep_press" vbProcedure="false">'[94]well test sheet'!#ref!</definedName>
    <definedName function="false" hidden="false" name="sep_temp" vbProcedure="false">'[94]well test sheet'!#ref!</definedName>
    <definedName function="false" hidden="false" name="SeqEvents" vbProcedure="false">#ref!</definedName>
    <definedName function="false" hidden="false" name="SeqEventTotalPages" vbProcedure="false">1</definedName>
    <definedName function="false" hidden="false" name="Sequence" vbProcedure="false">'[3]DWS Wells'!$C$1:$C$1048576</definedName>
    <definedName function="false" hidden="false" name="ser" vbProcedure="false">#N/A</definedName>
    <definedName function="false" hidden="false" name="Serial1" vbProcedure="false">#ref!</definedName>
    <definedName function="false" hidden="false" name="Serial10" vbProcedure="false">#ref!</definedName>
    <definedName function="false" hidden="false" name="Serial11" vbProcedure="false">#ref!</definedName>
    <definedName function="false" hidden="false" name="Serial12" vbProcedure="false">#ref!</definedName>
    <definedName function="false" hidden="false" name="Serial13" vbProcedure="false">#ref!</definedName>
    <definedName function="false" hidden="false" name="Serial14" vbProcedure="false">#ref!</definedName>
    <definedName function="false" hidden="false" name="Serial15" vbProcedure="false">#ref!</definedName>
    <definedName function="false" hidden="false" name="Serial16" vbProcedure="false">#ref!</definedName>
    <definedName function="false" hidden="false" name="Serial17" vbProcedure="false">#ref!</definedName>
    <definedName function="false" hidden="false" name="Serial18" vbProcedure="false">#ref!</definedName>
    <definedName function="false" hidden="false" name="Serial19" vbProcedure="false">#ref!</definedName>
    <definedName function="false" hidden="false" name="Serial2" vbProcedure="false">#ref!</definedName>
    <definedName function="false" hidden="false" name="Serial20" vbProcedure="false">#ref!</definedName>
    <definedName function="false" hidden="false" name="Serial3" vbProcedure="false">#ref!</definedName>
    <definedName function="false" hidden="false" name="Serial4" vbProcedure="false">#ref!</definedName>
    <definedName function="false" hidden="false" name="Serial5" vbProcedure="false">#ref!</definedName>
    <definedName function="false" hidden="false" name="Serial6" vbProcedure="false">#ref!</definedName>
    <definedName function="false" hidden="false" name="Serial7" vbProcedure="false">#ref!</definedName>
    <definedName function="false" hidden="false" name="Serial8" vbProcedure="false">#ref!</definedName>
    <definedName function="false" hidden="false" name="Serial9" vbProcedure="false">#ref!</definedName>
    <definedName function="false" hidden="false" name="SerialNumber" vbProcedure="false">#ref!</definedName>
    <definedName function="false" hidden="false" name="SerialNumberdb" vbProcedure="false">#ref!</definedName>
    <definedName function="false" hidden="false" name="SerialNumberslb" vbProcedure="false">#ref!</definedName>
    <definedName function="false" hidden="false" name="SerialNumberTb" vbProcedure="false">#ref!</definedName>
    <definedName function="false" hidden="false" name="serialselect1" vbProcedure="false">#N/A</definedName>
    <definedName function="false" hidden="false" name="serialselect2" vbProcedure="false">#N/A</definedName>
    <definedName function="false" hidden="false" name="serialselect3" vbProcedure="false">#N/A</definedName>
    <definedName function="false" hidden="false" name="serialselect4" vbProcedure="false">#N/A</definedName>
    <definedName function="false" hidden="false" name="Service" vbProcedure="false">[17]scope!#ref!</definedName>
    <definedName function="false" hidden="false" name="ServiceCenter" vbProcedure="false">#ref!</definedName>
    <definedName function="false" hidden="false" name="ServiceCompanies" vbProcedure="false">#ref!</definedName>
    <definedName function="false" hidden="false" name="SERVICECOMPANY" vbProcedure="false">#ref!</definedName>
    <definedName function="false" hidden="false" name="ServiceOperator" vbProcedure="false">#ref!</definedName>
    <definedName function="false" hidden="false" name="ServiceTicketTotalPages" vbProcedure="false">1</definedName>
    <definedName function="false" hidden="false" name="ServiceTypes" vbProcedure="false">#ref!</definedName>
    <definedName function="false" hidden="false" name="Service_Rep" vbProcedure="false">#ref!</definedName>
    <definedName function="false" hidden="false" name="Service_Ticket_Number" vbProcedure="false">#ref!</definedName>
    <definedName function="false" hidden="false" name="ServRep" vbProcedure="false">#ref!</definedName>
    <definedName function="false" hidden="false" name="set" vbProcedure="false">'[181]1pcbud'!#ref!</definedName>
    <definedName function="false" hidden="false" name="Set1InUnit" vbProcedure="false">#ref!</definedName>
    <definedName function="false" hidden="false" name="Set1Name" vbProcedure="false">#ref!</definedName>
    <definedName function="false" hidden="false" name="Set1OutUnit" vbProcedure="false">#ref!</definedName>
    <definedName function="false" hidden="false" name="Set2InUnit" vbProcedure="false">#ref!</definedName>
    <definedName function="false" hidden="false" name="Set2Name" vbProcedure="false">#ref!</definedName>
    <definedName function="false" hidden="false" name="Set2OutUnit" vbProcedure="false">#ref!</definedName>
    <definedName function="false" hidden="false" name="Set3InUnit" vbProcedure="false">#ref!</definedName>
    <definedName function="false" hidden="false" name="Set3Name" vbProcedure="false">#ref!</definedName>
    <definedName function="false" hidden="false" name="Set3OutUnit" vbProcedure="false">#ref!</definedName>
    <definedName function="false" hidden="false" name="Set4InUnit" vbProcedure="false">#ref!</definedName>
    <definedName function="false" hidden="false" name="Set4Name" vbProcedure="false">#ref!</definedName>
    <definedName function="false" hidden="false" name="Set4OutUnit" vbProcedure="false">#ref!</definedName>
    <definedName function="false" hidden="false" name="SETOFBOOKSID1" vbProcedure="false">[53]CRITERIA1!$B$1</definedName>
    <definedName function="false" hidden="false" name="SETTINGTOOL" vbProcedure="false">#ref!</definedName>
    <definedName function="false" hidden="false" name="SETTLEMENT_RATE" vbProcedure="false">#ref!</definedName>
    <definedName function="false" hidden="false" name="Sett_Tool_Tens" vbProcedure="false">#ref!</definedName>
    <definedName function="false" hidden="false" name="Sett_Tool_Torsion_Limit" vbProcedure="false">#ref!</definedName>
    <definedName function="false" hidden="false" name="Setup" vbProcedure="false">[60]auf_screen!#ref!</definedName>
    <definedName function="false" hidden="false" name="SEVEN" vbProcedure="false">#ref!</definedName>
    <definedName function="false" hidden="false" name="SEÇÃOfoto" vbProcedure="false">#ref!</definedName>
    <definedName function="false" hidden="false" name="SEÇÃOtieon" vbProcedure="false">#ref!</definedName>
    <definedName function="false" hidden="false" name="SGA" vbProcedure="false">#ref!</definedName>
    <definedName function="false" hidden="false" name="sga_pcent" vbProcedure="false">#ref!</definedName>
    <definedName function="false" hidden="false" name="sgdfg" vbProcedure="false">#ref!</definedName>
    <definedName function="false" hidden="false" name="SGgas" vbProcedure="false">#ref!</definedName>
    <definedName function="false" hidden="false" name="sheared" vbProcedure="false">#ref!</definedName>
    <definedName function="false" hidden="false" name="ShearPinbyHand" vbProcedure="false">#ref!</definedName>
    <definedName function="false" hidden="false" name="ShearPinElect" vbProcedure="false">#ref!</definedName>
    <definedName function="false" hidden="false" name="Shear_HR_Mech_Release" vbProcedure="false">#ref!</definedName>
    <definedName function="false" hidden="false" name="SHEET" vbProcedure="false">#ref!</definedName>
    <definedName function="false" hidden="false" name="SHEET_1" vbProcedure="false">#ref!</definedName>
    <definedName function="false" hidden="false" name="SHEET_10" vbProcedure="false">#ref!</definedName>
    <definedName function="false" hidden="false" name="SHEET_11" vbProcedure="false">#ref!</definedName>
    <definedName function="false" hidden="false" name="SHEET_12" vbProcedure="false">#ref!</definedName>
    <definedName function="false" hidden="false" name="SHEET_2" vbProcedure="false">#ref!</definedName>
    <definedName function="false" hidden="false" name="SHEET_3" vbProcedure="false">#ref!</definedName>
    <definedName function="false" hidden="false" name="SHEET_4" vbProcedure="false">#ref!</definedName>
    <definedName function="false" hidden="false" name="SHEET_5" vbProcedure="false">#ref!</definedName>
    <definedName function="false" hidden="false" name="SHEET_6" vbProcedure="false">#ref!</definedName>
    <definedName function="false" hidden="false" name="SHEET_7" vbProcedure="false">#ref!</definedName>
    <definedName function="false" hidden="false" name="SHEET_8" vbProcedure="false">#ref!</definedName>
    <definedName function="false" hidden="false" name="SHEET_9" vbProcedure="false">#ref!</definedName>
    <definedName function="false" hidden="false" name="SHER" vbProcedure="false">#ref!</definedName>
    <definedName function="false" hidden="false" name="Sher_for_HR_Mech_Release" vbProcedure="false">#ref!</definedName>
    <definedName function="false" hidden="false" name="shet" vbProcedure="false">#ref!</definedName>
    <definedName function="false" hidden="false" name="ShiftHOver" vbProcedure="false">#ref!</definedName>
    <definedName function="false" hidden="false" name="Shilaif" vbProcedure="false">#ref!</definedName>
    <definedName function="false" hidden="false" name="ShipDate" vbProcedure="false">#ref!</definedName>
    <definedName function="false" hidden="false" name="shippedvia" vbProcedure="false">#ref!</definedName>
    <definedName function="false" hidden="false" name="ShipTo" vbProcedure="false">#ref!</definedName>
    <definedName function="false" hidden="false" name="ShipToAddress" vbProcedure="false">#ref!</definedName>
    <definedName function="false" hidden="false" name="ShipToCityCounty" vbProcedure="false">#ref!</definedName>
    <definedName function="false" hidden="false" name="ShipToState" vbProcedure="false">#ref!</definedName>
    <definedName function="false" hidden="false" name="ShipToZip" vbProcedure="false">#ref!</definedName>
    <definedName function="false" hidden="true" name="shit" vbProcedure="false">{#N/A,#N/A,FALSE,"Sheet1"}</definedName>
    <definedName function="false" hidden="false" name="SHO" vbProcedure="false">#ref!</definedName>
    <definedName function="false" hidden="false" name="Shoe" vbProcedure="false">#ref!</definedName>
    <definedName function="false" hidden="false" name="shoe1" vbProcedure="false">#ref!</definedName>
    <definedName function="false" hidden="false" name="ShoeLeakoffMudWt" vbProcedure="false">#ref!</definedName>
    <definedName function="false" hidden="false" name="shoes" vbProcedure="false">#ref!</definedName>
    <definedName function="false" hidden="false" name="ShoeTrack_Vol" vbProcedure="false">#ref!</definedName>
    <definedName function="false" hidden="false" name="ShoeTrack_Volz" vbProcedure="false">'[11]Metric Conversions'!$C$76</definedName>
    <definedName function="false" hidden="false" name="shoe_height" vbProcedure="false">#ref!</definedName>
    <definedName function="false" hidden="false" name="Shoe_Track_Length" vbProcedure="false">#ref!</definedName>
    <definedName function="false" hidden="false" name="Shoe_Track_Lengthz" vbProcedure="false">'[11]Liner Job Info'!$D$19</definedName>
    <definedName function="false" hidden="false" name="short" vbProcedure="false">#ref!</definedName>
    <definedName function="false" hidden="false" name="Shot1" vbProcedure="false">#ref!</definedName>
    <definedName function="false" hidden="false" name="Shot2" vbProcedure="false">#ref!</definedName>
    <definedName function="false" hidden="false" name="Shot3" vbProcedure="false">#ref!</definedName>
    <definedName function="false" hidden="false" name="Shot4" vbProcedure="false">#ref!</definedName>
    <definedName function="false" hidden="false" name="Shot5" vbProcedure="false">#ref!</definedName>
    <definedName function="false" hidden="false" name="Shot6" vbProcedure="false">#ref!</definedName>
    <definedName function="false" hidden="false" name="Shot7" vbProcedure="false">#ref!</definedName>
    <definedName function="false" hidden="false" name="Shot8" vbProcedure="false">#ref!</definedName>
    <definedName function="false" hidden="false" name="Show_1" vbProcedure="false">#ref!</definedName>
    <definedName function="false" hidden="false" name="Show_1_1" vbProcedure="false">[74]!Show_1</definedName>
    <definedName function="false" hidden="false" name="Show_1_10" vbProcedure="false">[74]!Show_1</definedName>
    <definedName function="false" hidden="false" name="Show_1_11" vbProcedure="false">[74]!Show_1</definedName>
    <definedName function="false" hidden="false" name="Show_1_2" vbProcedure="false">[74]!Show_1</definedName>
    <definedName function="false" hidden="false" name="Show_1_3" vbProcedure="false">[74]!Show_1</definedName>
    <definedName function="false" hidden="false" name="Show_1_4" vbProcedure="false">[74]!Show_1</definedName>
    <definedName function="false" hidden="false" name="Show_1_5" vbProcedure="false">[74]!Show_1</definedName>
    <definedName function="false" hidden="false" name="Show_1_6" vbProcedure="false">[74]!Show_1</definedName>
    <definedName function="false" hidden="false" name="Show_1_7" vbProcedure="false">[74]!Show_1</definedName>
    <definedName function="false" hidden="false" name="Show_1_8" vbProcedure="false">[74]!Show_1</definedName>
    <definedName function="false" hidden="false" name="Show_1_9" vbProcedure="false">[74]!Show_1</definedName>
    <definedName function="false" hidden="false" name="Show_2" vbProcedure="false">#ref!</definedName>
    <definedName function="false" hidden="false" name="Show_2_1" vbProcedure="false">[74]!Show_2</definedName>
    <definedName function="false" hidden="false" name="Show_2_10" vbProcedure="false">[74]!Show_2</definedName>
    <definedName function="false" hidden="false" name="Show_2_11" vbProcedure="false">[74]!Show_2</definedName>
    <definedName function="false" hidden="false" name="Show_2_2" vbProcedure="false">[74]!Show_2</definedName>
    <definedName function="false" hidden="false" name="Show_2_3" vbProcedure="false">[74]!Show_2</definedName>
    <definedName function="false" hidden="false" name="Show_2_4" vbProcedure="false">[74]!Show_2</definedName>
    <definedName function="false" hidden="false" name="Show_2_5" vbProcedure="false">[74]!Show_2</definedName>
    <definedName function="false" hidden="false" name="Show_2_6" vbProcedure="false">[74]!Show_2</definedName>
    <definedName function="false" hidden="false" name="Show_2_7" vbProcedure="false">[74]!Show_2</definedName>
    <definedName function="false" hidden="false" name="Show_2_8" vbProcedure="false">[74]!Show_2</definedName>
    <definedName function="false" hidden="false" name="Show_2_9" vbProcedure="false">[74]!Show_2</definedName>
    <definedName function="false" hidden="false" name="SHPD_1_QTY" vbProcedure="false">'[58]7-30-04'!#ref!</definedName>
    <definedName function="false" hidden="false" name="SHPD_2_QTY" vbProcedure="false">'[58]7-30-04'!#ref!</definedName>
    <definedName function="false" hidden="false" name="SHPD_3_QTY" vbProcedure="false">'[58]7-30-04'!#ref!</definedName>
    <definedName function="false" hidden="false" name="SICP" vbProcedure="false">#ref!</definedName>
    <definedName function="false" hidden="false" name="SIDP" vbProcedure="false">#ref!</definedName>
    <definedName function="false" hidden="false" name="Simsima" vbProcedure="false">#ref!</definedName>
    <definedName function="false" hidden="false" name="SinBucklingUnit" vbProcedure="false">#ref!</definedName>
    <definedName function="false" hidden="false" name="SinglePointDepth" vbProcedure="false">#ref!</definedName>
    <definedName function="false" hidden="false" name="size" vbProcedure="false">[82]Control!$D$7</definedName>
    <definedName function="false" hidden="false" name="SizeColumn" vbProcedure="false">#ref!</definedName>
    <definedName function="false" hidden="false" name="SizeList" vbProcedure="false">#ref!</definedName>
    <definedName function="false" hidden="false" name="SizeStart" vbProcedure="false">#ref!</definedName>
    <definedName function="false" hidden="false" name="sjm" vbProcedure="false">#ref!</definedName>
    <definedName function="false" hidden="false" name="sjoint" vbProcedure="false">#ref!</definedName>
    <definedName function="false" hidden="false" name="SJT_DEPTH" vbProcedure="false">#ref!</definedName>
    <definedName function="false" hidden="false" name="SJ_DEPTH" vbProcedure="false">#ref!</definedName>
    <definedName function="false" hidden="false" name="SKFactor" vbProcedure="false">#ref!</definedName>
    <definedName function="false" hidden="false" name="SL" vbProcedure="false">#ref!</definedName>
    <definedName function="false" hidden="false" name="SLC" vbProcedure="false">#ref!</definedName>
    <definedName function="false" hidden="false" name="sld" vbProcedure="false">#N/A</definedName>
    <definedName function="false" hidden="false" name="SleeveLength" vbProcedure="false">#ref!</definedName>
    <definedName function="false" hidden="false" name="Slickline" vbProcedure="false">'[12]JCSI 12'!$AY$29:$AY$42</definedName>
    <definedName function="false" hidden="false" name="SlipClosed" vbProcedure="false">#ref!</definedName>
    <definedName function="false" hidden="false" name="SlipOpen" vbProcedure="false">#ref!</definedName>
    <definedName function="false" hidden="false" name="SLPJ" vbProcedure="false">#ref!</definedName>
    <definedName function="false" hidden="false" name="SLPJDepth" vbProcedure="false">#ref!</definedName>
    <definedName function="false" hidden="false" name="SLS" vbProcedure="false">#ref!</definedName>
    <definedName function="false" hidden="false" name="SLURRY_DENSITY" vbProcedure="false">#ref!</definedName>
    <definedName function="false" hidden="false" name="SLURRY_VOL_PREPACK" vbProcedure="false">#ref!</definedName>
    <definedName function="false" hidden="false" name="SL_Index" vbProcedure="false">'[12]JCSI 12'!$AY$26</definedName>
    <definedName function="false" hidden="false" name="SM" vbProcedure="false">#ref!</definedName>
    <definedName function="false" hidden="false" name="SML_PROJ" vbProcedure="false">#ref!</definedName>
    <definedName function="false" hidden="false" name="SO" vbProcedure="false">#ref!</definedName>
    <definedName function="false" hidden="false" name="SOE" vbProcedure="false">'[10]data sheet'!$D$2:$D$4</definedName>
    <definedName function="false" hidden="false" name="soldto" vbProcedure="false">'[34]Call Sheet'!$AL$3</definedName>
    <definedName function="false" hidden="true" name="solver_adj" vbProcedure="false">#ref!</definedName>
    <definedName function="false" hidden="true" name="solver_lin" vbProcedure="false">0</definedName>
    <definedName function="false" hidden="true" name="solver_num" vbProcedure="false">0</definedName>
    <definedName function="false" hidden="true" name="solver_opt" vbProcedure="false">#ref!</definedName>
    <definedName function="false" hidden="true" name="solver_typ" vbProcedure="false">3</definedName>
    <definedName function="false" hidden="true" name="solver_val" vbProcedure="false">20</definedName>
    <definedName function="false" hidden="false" name="SONumber" vbProcedure="false">#ref!</definedName>
    <definedName function="false" hidden="false" name="SORT" vbProcedure="false">#ref!</definedName>
    <definedName function="false" hidden="false" name="SORT_AREA" vbProcedure="false">#ref!</definedName>
    <definedName function="false" hidden="false" name="Source_1" vbProcedure="false">'[12]JCSI 12'!$AS$26</definedName>
    <definedName function="false" hidden="false" name="Source_2" vbProcedure="false">'[12]JCSI 12'!$AT$26</definedName>
    <definedName function="false" hidden="false" name="Source_3" vbProcedure="false">'[12]JCSI 12'!$AU$26</definedName>
    <definedName function="false" hidden="false" name="Source_4" vbProcedure="false">'[12]JCSI 12'!$AV$26</definedName>
    <definedName function="false" hidden="false" name="Source_5" vbProcedure="false">'[12]JCSI 12'!$AW$26</definedName>
    <definedName function="false" hidden="false" name="Source_entities" vbProcedure="false">'[35]drop downs'!$E$3:$E$11</definedName>
    <definedName function="false" hidden="true" name="Spacedout" vbProcedure="false">{#N/A,#N/A,FALSE,"Drlg Param Run 1-1";#N/A,#N/A,FALSE,"DDR (3)";#N/A,#N/A,FALSE,"BHA AT (1)";#N/A,#N/A,FALSE,"Downlinkbha";#N/A,#N/A,FALSE,"Job Status Report"}</definedName>
    <definedName function="false" hidden="false" name="SpacerType" vbProcedure="false">#ref!</definedName>
    <definedName function="false" hidden="false" name="Spacer_Wt" vbProcedure="false">#ref!</definedName>
    <definedName function="false" hidden="false" name="Spare" vbProcedure="false">[60]auf_screen!#ref!</definedName>
    <definedName function="false" hidden="false" name="SPCL" vbProcedure="false">'[58]7-30-04'!#ref!</definedName>
    <definedName function="false" hidden="false" name="Specialist" vbProcedure="false">#ref!</definedName>
    <definedName function="false" hidden="false" name="spf" vbProcedure="false">#ref!</definedName>
    <definedName function="false" hidden="false" name="SpiralType" vbProcedure="false">#ref!</definedName>
    <definedName function="false" hidden="false" name="Spiral_Type" vbProcedure="false">#ref!</definedName>
    <definedName function="false" hidden="false" name="SPM" vbProcedure="false">#ref!</definedName>
    <definedName function="false" hidden="false" name="SPP" vbProcedure="false">#ref!</definedName>
    <definedName function="false" hidden="false" name="SPS" vbProcedure="false">#ref!</definedName>
    <definedName function="false" hidden="false" name="SpudDate" vbProcedure="false">'[3]DWS Wells'!$G$1:$G$1048576</definedName>
    <definedName function="false" hidden="false" name="Sr.No" vbProcedure="false">#ref!</definedName>
    <definedName function="false" hidden="false" name="SSDHGR" vbProcedure="false">#ref!</definedName>
    <definedName function="false" hidden="false" name="ssdsd" vbProcedure="false">#ref!</definedName>
    <definedName function="false" hidden="false" name="SSID" vbProcedure="false">'[11]Liner Job Info'!$O$6</definedName>
    <definedName function="false" hidden="false" name="SSS" vbProcedure="false">#ref!</definedName>
    <definedName function="false" hidden="false" name="SSSV" vbProcedure="false">#ref!</definedName>
    <definedName function="false" hidden="false" name="ssweoctober" vbProcedure="false">#ref!</definedName>
    <definedName function="false" hidden="false" name="SSWEOCTOBERMARGIN" vbProcedure="false">#ref!</definedName>
    <definedName function="false" hidden="false" name="StabilizerBladeLengthUnits" vbProcedure="false">#ref!</definedName>
    <definedName function="false" hidden="false" name="StabilizerMidPtToBitUnits" vbProcedure="false">#ref!</definedName>
    <definedName function="false" hidden="false" name="StabilizerSummary" vbProcedure="false">#ref!</definedName>
    <definedName function="false" hidden="false" name="stages" vbProcedure="false">#ref!</definedName>
    <definedName function="false" hidden="false" name="Stage_Number" vbProcedure="false">#ref!</definedName>
    <definedName function="false" hidden="false" name="StartDepthMulti" vbProcedure="false">#ref!</definedName>
    <definedName function="false" hidden="false" name="StartingSunday" vbProcedure="false">#ref!</definedName>
    <definedName function="false" hidden="false" name="STARTJOURNALIMPORT1" vbProcedure="false">[53]CRITERIA1!$B$21</definedName>
    <definedName function="false" hidden="false" name="Start_Here" vbProcedure="false">'[83]9.625 TCP String'!$B$10</definedName>
    <definedName function="false" hidden="false" name="Start_Time" vbProcedure="false">#ref!</definedName>
    <definedName function="false" hidden="false" name="State" vbProcedure="false">#ref!</definedName>
    <definedName function="false" hidden="false" name="StateProvince" vbProcedure="false">#ref!</definedName>
    <definedName function="false" hidden="false" name="States" vbProcedure="false">#ref!</definedName>
    <definedName function="false" hidden="false" name="status" vbProcedure="false">#ref!</definedName>
    <definedName function="false" hidden="false" name="STB_17" vbProcedure="false">#ref!</definedName>
    <definedName function="false" hidden="false" name="STB_26" vbProcedure="false">#ref!</definedName>
    <definedName function="false" hidden="false" name="STB_36" vbProcedure="false">#ref!</definedName>
    <definedName function="false" hidden="false" name="STB_CDN8_12" vbProcedure="false">#ref!</definedName>
    <definedName function="false" hidden="false" name="STB_DRL8_12" vbProcedure="false">#ref!</definedName>
    <definedName function="false" hidden="false" name="STB_LWD6_12" vbProcedure="false">#ref!</definedName>
    <definedName function="false" hidden="false" name="STB_LWD8_12" vbProcedure="false">#ref!</definedName>
    <definedName function="false" hidden="false" name="STE_Specialist" vbProcedure="false">'[27]Name Range'!$P$2:$P$6</definedName>
    <definedName function="false" hidden="false" name="Stickup" vbProcedure="false">#ref!</definedName>
    <definedName function="false" hidden="false" name="Stick_up_above_rotary_13.375" vbProcedure="false">#ref!</definedName>
    <definedName function="false" hidden="false" name="Stick_up_above_rotary_7" vbProcedure="false">#ref!</definedName>
    <definedName function="false" hidden="false" name="Stick_up_above_rotary_9.625" vbProcedure="false">#ref!</definedName>
    <definedName function="false" hidden="false" name="Stimulation_Items" vbProcedure="false">'[2]Data Go-To-Sheet'!$D$4:$D$21</definedName>
    <definedName function="false" hidden="false" name="Stim_Lower_Schedule" vbProcedure="false">'[2]8 Acid Pumping Schedule(s)'!$B$6:$S$52</definedName>
    <definedName function="false" hidden="false" name="Stock" vbProcedure="false">#ref!</definedName>
    <definedName function="false" hidden="false" name="StrengthUnit" vbProcedure="false">#ref!</definedName>
    <definedName function="false" hidden="false" name="Stretch" vbProcedure="false">#ref!</definedName>
    <definedName function="false" hidden="false" name="Stretch_DP1_Lnr_Wt" vbProcedure="false">'[11]Metric Conversions'!$B$30</definedName>
    <definedName function="false" hidden="false" name="Stretch_DP1_Lnr_Wtz" vbProcedure="false">'[11]Metric Conversions'!$C$30</definedName>
    <definedName function="false" hidden="false" name="Stretch_DP2_Lnr_Wt" vbProcedure="false">'[11]Metric Conversions'!$B$31</definedName>
    <definedName function="false" hidden="false" name="Stretch_DP2_Lnr_Wtz" vbProcedure="false">'[11]Metric Conversions'!$C$31</definedName>
    <definedName function="false" hidden="false" name="Stretch_DP3_Lnr_Wt" vbProcedure="false">'[11]Metric Conversions'!$B$32</definedName>
    <definedName function="false" hidden="false" name="Stretch_DP3_Lnr_Wtz" vbProcedure="false">'[11]Metric Conversions'!$C$32</definedName>
    <definedName function="false" hidden="false" name="Stretch_DP4_Lnr_Wt" vbProcedure="false">'[11]Metric Conversions'!$B$33</definedName>
    <definedName function="false" hidden="false" name="Stretch_DP4_Lnr_Wtz" vbProcedure="false">'[11]Metric Conversions'!$C$33</definedName>
    <definedName function="false" hidden="false" name="Stretch_DP5_Lnr_Wt" vbProcedure="false">'[11]Metric Conversions'!$B$34</definedName>
    <definedName function="false" hidden="false" name="Stretch_DP5_Lnr_Wtz" vbProcedure="false">'[11]Metric Conversions'!$C$34</definedName>
    <definedName function="false" hidden="false" name="Stretch_TTL_Lnr_Wt" vbProcedure="false">#ref!</definedName>
    <definedName function="false" hidden="false" name="Stretch_TTL_Lnr_Wtz" vbProcedure="false">'[11]Metric Conversions'!$C$36</definedName>
    <definedName function="false" hidden="false" name="STREW" vbProcedure="false">#ref!</definedName>
    <definedName function="false" hidden="false" name="String1" vbProcedure="false">#ref!</definedName>
    <definedName function="false" hidden="false" name="String2" vbProcedure="false">#ref!</definedName>
    <definedName function="false" hidden="false" name="String3" vbProcedure="false">#ref!</definedName>
    <definedName function="false" hidden="false" name="StringBot1" vbProcedure="false">#ref!</definedName>
    <definedName function="false" hidden="false" name="StringBot2" vbProcedure="false">#ref!</definedName>
    <definedName function="false" hidden="false" name="StringBot3" vbProcedure="false">#ref!</definedName>
    <definedName function="false" hidden="false" name="StringDiag" vbProcedure="false">#ref!</definedName>
    <definedName function="false" hidden="false" name="StringTable" vbProcedure="false">#ref!</definedName>
    <definedName function="false" hidden="false" name="StringTop1" vbProcedure="false">#ref!</definedName>
    <definedName function="false" hidden="false" name="StringTop2" vbProcedure="false">#ref!</definedName>
    <definedName function="false" hidden="false" name="StringTop3" vbProcedure="false">#ref!</definedName>
    <definedName function="false" hidden="false" name="StringVolToEOB" vbProcedure="false">#ref!</definedName>
    <definedName function="false" hidden="false" name="StringVolToKOP" vbProcedure="false">#ref!</definedName>
    <definedName function="false" hidden="false" name="strlen" vbProcedure="false">#ref!</definedName>
    <definedName function="false" hidden="false" name="strlen1" vbProcedure="false">#ref!</definedName>
    <definedName function="false" hidden="false" name="STRNS" vbProcedure="false">#ref!</definedName>
    <definedName function="false" hidden="false" name="StrokesToBit" vbProcedure="false">#ref!</definedName>
    <definedName function="false" hidden="false" name="StrokesToEOB" vbProcedure="false">#ref!</definedName>
    <definedName function="false" hidden="false" name="StrokesToKOP" vbProcedure="false">#ref!</definedName>
    <definedName function="false" hidden="false" name="STRTVD" vbProcedure="false">#ref!</definedName>
    <definedName function="false" hidden="false" name="Structure" vbProcedure="false">#ref!</definedName>
    <definedName function="false" hidden="false" name="StructureName" vbProcedure="false">#ref!</definedName>
    <definedName function="false" hidden="false" name="STV" vbProcedure="false">#ref!</definedName>
    <definedName function="false" hidden="false" name="STVCor" vbProcedure="false">#ref!</definedName>
    <definedName function="false" hidden="false" name="SubGroupdb" vbProcedure="false">#ref!</definedName>
    <definedName function="false" hidden="false" name="SubGroupslb" vbProcedure="false">#ref!</definedName>
    <definedName function="false" hidden="false" name="subinvol" vbProcedure="false">'[181]1pcbud'!#ref!</definedName>
    <definedName function="false" hidden="false" name="SUBJECT" vbProcedure="false">[65]References!$B$1:$B$15</definedName>
    <definedName function="false" hidden="false" name="SubSeaTVD_Column" vbProcedure="false">null</definedName>
    <definedName function="false" hidden="false" name="SubSeaTVD_Unit" vbProcedure="false">null</definedName>
    <definedName function="false" hidden="false" name="subtransit" vbProcedure="false">'[181]1pcbud'!#ref!</definedName>
    <definedName function="false" hidden="false" name="subvar1" vbProcedure="false">'[181]1pcbud'!#ref!</definedName>
    <definedName function="false" hidden="false" name="subvar2" vbProcedure="false">'[181]1pcbud'!#ref!</definedName>
    <definedName function="false" hidden="false" name="subvar3" vbProcedure="false">'[181]1pcbud'!#ref!</definedName>
    <definedName function="false" hidden="false" name="Sub_Segment" vbProcedure="false">#ref!</definedName>
    <definedName function="false" hidden="false" name="SUM" vbProcedure="false">#ref!</definedName>
    <definedName function="false" hidden="false" name="Summary" vbProcedure="false">#ref!</definedName>
    <definedName function="false" hidden="false" name="SUMP" vbProcedure="false">#N/A</definedName>
    <definedName function="false" hidden="false" name="sumppacker" vbProcedure="false">#ref!</definedName>
    <definedName function="false" hidden="false" name="SUMP_DEPTH" vbProcedure="false">#ref!</definedName>
    <definedName function="false" hidden="false" name="Supplier" vbProcedure="false">#ref!</definedName>
    <definedName function="false" hidden="false" name="Surfaceequipment" vbProcedure="false">#ref!</definedName>
    <definedName function="false" hidden="false" name="surfacefracpressure" vbProcedure="false">[19]Data!$F$4</definedName>
    <definedName function="false" hidden="false" name="SurfaceTorqueUnit" vbProcedure="false">#ref!</definedName>
    <definedName function="false" hidden="false" name="Surf_Equip_Model" vbProcedure="false">#ref!</definedName>
    <definedName function="false" hidden="false" name="Surf_Equip_Tens" vbProcedure="false">#ref!</definedName>
    <definedName function="false" hidden="false" name="SURVEY" vbProcedure="false">#ref!</definedName>
    <definedName function="false" hidden="false" name="SURVEY1" vbProcedure="false">#ref!</definedName>
    <definedName function="false" hidden="false" name="survey1b" vbProcedure="false">#ref!</definedName>
    <definedName function="false" hidden="false" name="SURVEY2" vbProcedure="false">#ref!</definedName>
    <definedName function="false" hidden="false" name="survey3b" vbProcedure="false">#ref!</definedName>
    <definedName function="false" hidden="false" name="SURVEY4" vbProcedure="false">#ref!</definedName>
    <definedName function="false" hidden="false" name="SURVEY5" vbProcedure="false">#ref!</definedName>
    <definedName function="false" hidden="false" name="SurveyCompMethod" vbProcedure="false">#ref!</definedName>
    <definedName function="false" hidden="false" name="SurveyDate" vbProcedure="false">#ref!</definedName>
    <definedName function="false" hidden="false" name="SurveyName" vbProcedure="false">#ref!</definedName>
    <definedName function="false" hidden="false" name="SurveyProgram" vbProcedure="false">!#ref!</definedName>
    <definedName function="false" hidden="false" name="SurveyProgramFormatA" vbProcedure="false">#ref!</definedName>
    <definedName function="false" hidden="false" name="SurveyProgramFormatB" vbProcedure="false">#ref!</definedName>
    <definedName function="false" hidden="false" name="SurveyProgramHeader" vbProcedure="false">#ref!</definedName>
    <definedName function="false" hidden="false" name="SurveyStats" vbProcedure="false">#ref!</definedName>
    <definedName function="false" hidden="false" name="SvyDLSCompMethod" vbProcedure="false">#ref!</definedName>
    <definedName function="false" hidden="false" name="SVY_OFF" vbProcedure="false">#ref!</definedName>
    <definedName function="false" hidden="false" name="Svy_Print_Area" vbProcedure="false">'[83]9.625 TCP String'!$B$12:$I$3772</definedName>
    <definedName function="false" hidden="false" name="swd" vbProcedure="false">#ref!</definedName>
    <definedName function="false" hidden="false" name="SWELL_PKR" vbProcedure="false">INDEX([13]PKR!$F$2:$G$10,MATCH([13]PKR!$H$1,[13]PKR!$F$2:$F$10,0),2)</definedName>
    <definedName function="false" hidden="false" name="Sy" vbProcedure="false">#ref!</definedName>
    <definedName function="false" hidden="false" name="S___sick" vbProcedure="false">#ref!</definedName>
    <definedName function="false" hidden="false" name="T" vbProcedure="false">#ref!</definedName>
    <definedName function="false" hidden="false" name="t." vbProcedure="false">[49]!Prev.Macro102</definedName>
    <definedName function="false" hidden="false" name="T10Crtl" vbProcedure="false">#ref!</definedName>
    <definedName function="false" hidden="false" name="T1a" vbProcedure="false">#ref!</definedName>
    <definedName function="false" hidden="false" name="T1b" vbProcedure="false">#ref!</definedName>
    <definedName function="false" hidden="false" name="T1c" vbProcedure="false">#ref!</definedName>
    <definedName function="false" hidden="false" name="T1cCell" vbProcedure="false">#ref!</definedName>
    <definedName function="false" hidden="false" name="T1d" vbProcedure="false">#ref!</definedName>
    <definedName function="false" hidden="false" name="T1DCell" vbProcedure="false">#ref!</definedName>
    <definedName function="false" hidden="false" name="T1e" vbProcedure="false">#ref!</definedName>
    <definedName function="false" hidden="false" name="T1ECell" vbProcedure="false">#ref!</definedName>
    <definedName function="false" hidden="false" name="TABLE" vbProcedure="false">#ref!</definedName>
    <definedName function="false" hidden="false" name="TABLE2_LIV_TFE_31102003" vbProcedure="false">#ref!</definedName>
    <definedName function="false" hidden="false" name="TableHeaderCenter" vbProcedure="false">#ref!</definedName>
    <definedName function="false" hidden="false" name="TableHeaderCrossCenter" vbProcedure="false">#ref!</definedName>
    <definedName function="false" hidden="false" name="TableHeaderCrossRight" vbProcedure="false">#ref!</definedName>
    <definedName function="false" hidden="false" name="TableHeaderLeft" vbProcedure="false">#ref!</definedName>
    <definedName function="false" hidden="false" name="TableHeaderRight" vbProcedure="false">#ref!</definedName>
    <definedName function="false" hidden="false" name="TabSlurry" vbProcedure="false">#ref!</definedName>
    <definedName function="false" hidden="false" name="TAD" vbProcedure="false">#ref!</definedName>
    <definedName function="false" hidden="false" name="TAD_SUMURY" vbProcedure="false">#ref!</definedName>
    <definedName function="false" hidden="false" name="taggedsand" vbProcedure="false">#ref!</definedName>
    <definedName function="false" hidden="false" name="TailPipeWeight" vbProcedure="false">#ref!</definedName>
    <definedName function="false" hidden="false" name="Tail_Cmt_Wt" vbProcedure="false">#ref!</definedName>
    <definedName function="false" hidden="false" name="Taladro" vbProcedure="false">#ref!</definedName>
    <definedName function="false" hidden="false" name="Tally" vbProcedure="false">#ref!</definedName>
    <definedName function="false" hidden="false" name="tallyc" vbProcedure="false">'[2]run sheet'!#ref!</definedName>
    <definedName function="false" hidden="false" name="TallyCumLengthUnit" vbProcedure="false">#ref!</definedName>
    <definedName function="false" hidden="false" name="TallyDepthUnit" vbProcedure="false">#ref!</definedName>
    <definedName function="false" hidden="false" name="TallyLength" vbProcedure="false">#ref!</definedName>
    <definedName function="false" hidden="false" name="TallyLengthUnit" vbProcedure="false">#ref!</definedName>
    <definedName function="false" hidden="false" name="TALLY_1" vbProcedure="false">[84]Tally!$A$5:$C$1004</definedName>
    <definedName function="false" hidden="false" name="Tally_2" vbProcedure="false">[85]Tally!$E$5:$G$1004</definedName>
    <definedName function="false" hidden="false" name="Tally_3" vbProcedure="false">[85]Tally!$I$5:$K$1004</definedName>
    <definedName function="false" hidden="false" name="TANQUES" vbProcedure="false">#ref!</definedName>
    <definedName function="false" hidden="false" name="Taper_String_Grade" vbProcedure="false">#ref!</definedName>
    <definedName function="false" hidden="false" name="Taper_String_Size" vbProcedure="false">#ref!</definedName>
    <definedName function="false" hidden="false" name="Taper_String_Type" vbProcedure="false">#ref!</definedName>
    <definedName function="false" hidden="false" name="Taper_String_Wt._Ft." vbProcedure="false">#ref!</definedName>
    <definedName function="false" hidden="false" name="TAR" vbProcedure="false">#ref!</definedName>
    <definedName function="false" hidden="false" name="TarBTM" vbProcedure="false">#ref!</definedName>
    <definedName function="false" hidden="true"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Target" vbProcedure="false">#ref!</definedName>
    <definedName function="false" hidden="false" name="TargetE" vbProcedure="false">#ref!</definedName>
    <definedName function="false" hidden="false" name="TargetN" vbProcedure="false">#ref!</definedName>
    <definedName function="false" hidden="false" name="TarINC" vbProcedure="false">#ref!</definedName>
    <definedName function="false" hidden="false" name="TARIQ" vbProcedure="false">[145]!Calculate_Pipe</definedName>
    <definedName function="false" hidden="false" name="TarTOP" vbProcedure="false">#ref!</definedName>
    <definedName function="false" hidden="false" name="TarTVD" vbProcedure="false">#ref!</definedName>
    <definedName function="false" hidden="false" name="TarVS" vbProcedure="false">#ref!</definedName>
    <definedName function="false" hidden="false" name="TAX" vbProcedure="false">#ref!</definedName>
    <definedName function="false" hidden="false" name="Taxable" vbProcedure="false">#ref!</definedName>
    <definedName function="false" hidden="false" name="Tbg" vbProcedure="false">#ref!</definedName>
    <definedName function="false" hidden="false" name="TbgDrift1" vbProcedure="false">#ref!</definedName>
    <definedName function="false" hidden="false" name="TbgDrift2" vbProcedure="false">#ref!</definedName>
    <definedName function="false" hidden="false" name="TbgDrift3" vbProcedure="false">#ref!</definedName>
    <definedName function="false" hidden="false" name="TbgDrift4" vbProcedure="false">#ref!</definedName>
    <definedName function="false" hidden="false" name="TbgGrade" vbProcedure="false">[86]MUT!$O$3:$O$4</definedName>
    <definedName function="false" hidden="false" name="TbgGrd1" vbProcedure="false">#ref!</definedName>
    <definedName function="false" hidden="false" name="TbgGrd2" vbProcedure="false">#ref!</definedName>
    <definedName function="false" hidden="false" name="TbgGrd3" vbProcedure="false">#ref!</definedName>
    <definedName function="false" hidden="false" name="TbgGrd4" vbProcedure="false">#ref!</definedName>
    <definedName function="false" hidden="false" name="TbgID1" vbProcedure="false">#ref!</definedName>
    <definedName function="false" hidden="false" name="TbgID2" vbProcedure="false">#ref!</definedName>
    <definedName function="false" hidden="false" name="TbgID3" vbProcedure="false">#ref!</definedName>
    <definedName function="false" hidden="false" name="TbgID4" vbProcedure="false">#ref!</definedName>
    <definedName function="false" hidden="false" name="TbgPt" vbProcedure="false">#ref!</definedName>
    <definedName function="false" hidden="false" name="TbgSize" vbProcedure="false">[87]MUT!$L$3:$L$8</definedName>
    <definedName function="false" hidden="false" name="TbgSz1" vbProcedure="false">#ref!</definedName>
    <definedName function="false" hidden="false" name="TbgSz2" vbProcedure="false">#ref!</definedName>
    <definedName function="false" hidden="false" name="TbgSz3" vbProcedure="false">#ref!</definedName>
    <definedName function="false" hidden="false" name="TbgSz4" vbProcedure="false">#ref!</definedName>
    <definedName function="false" hidden="false" name="tbgthd" vbProcedure="false">#ref!</definedName>
    <definedName function="false" hidden="false" name="TbgThd1" vbProcedure="false">#ref!</definedName>
    <definedName function="false" hidden="false" name="TbgThd2" vbProcedure="false">#ref!</definedName>
    <definedName function="false" hidden="false" name="TbgThd3" vbProcedure="false">#ref!</definedName>
    <definedName function="false" hidden="false" name="TbgThd4" vbProcedure="false">#ref!</definedName>
    <definedName function="false" hidden="false" name="TbgWt1" vbProcedure="false">#ref!</definedName>
    <definedName function="false" hidden="false" name="TbgWt2" vbProcedure="false">#ref!</definedName>
    <definedName function="false" hidden="false" name="TbgWt3" vbProcedure="false">#ref!</definedName>
    <definedName function="false" hidden="false" name="TbgWt4" vbProcedure="false">#ref!</definedName>
    <definedName function="false" hidden="false" name="tbgys" vbProcedure="false">#ref!</definedName>
    <definedName function="false" hidden="false" name="TBG_2" vbProcedure="false">"Group 3471,Group 3472,Group 3473"</definedName>
    <definedName function="false" hidden="false" name="tblAcct" vbProcedure="false">#ref!</definedName>
    <definedName function="false" hidden="false" name="tblAcctKey" vbProcedure="false">#ref!</definedName>
    <definedName function="false" hidden="false" name="tblEntity" vbProcedure="false">#ref!</definedName>
    <definedName function="false" hidden="false" name="tblEntityEssSel" vbProcedure="false">#ref!</definedName>
    <definedName function="false" hidden="false" name="tblEntityLBox" vbProcedure="false">#ref!</definedName>
    <definedName function="false" hidden="false" name="tblEntitySel" vbProcedure="false">#ref!</definedName>
    <definedName function="false" hidden="false" name="tblEntitySelDesc" vbProcedure="false">#ref!</definedName>
    <definedName function="false" hidden="false" name="tblICAcct" vbProcedure="false">#ref!</definedName>
    <definedName function="false" hidden="false" name="tblICAcctIdx" vbProcedure="false">#ref!</definedName>
    <definedName function="false" hidden="false" name="tblICAcctSel" vbProcedure="false">#ref!</definedName>
    <definedName function="false" hidden="false" name="tblICAcctSelDesc" vbProcedure="false">#ref!</definedName>
    <definedName function="false" hidden="false" name="tblMonth" vbProcedure="false">#ref!</definedName>
    <definedName function="false" hidden="false" name="tblPeriod" vbProcedure="false">#ref!</definedName>
    <definedName function="false" hidden="false" name="tblPeriodIdx" vbProcedure="false">#ref!</definedName>
    <definedName function="false" hidden="false" name="tblPeriodLBox" vbProcedure="false">#ref!</definedName>
    <definedName function="false" hidden="false" name="tblPeriodSel" vbProcedure="false">#ref!</definedName>
    <definedName function="false" hidden="false" name="tblValue" vbProcedure="false">#ref!</definedName>
    <definedName function="false" hidden="false" name="tblValueEssSel" vbProcedure="false">#ref!</definedName>
    <definedName function="false" hidden="false" name="tblValueIdx" vbProcedure="false">#ref!</definedName>
    <definedName function="false" hidden="false" name="tblValueSel" vbProcedure="false">#ref!</definedName>
    <definedName function="false" hidden="false" name="tblValueSelDesc" vbProcedure="false">#ref!</definedName>
    <definedName function="false" hidden="false" name="tblYear" vbProcedure="false">#ref!</definedName>
    <definedName function="false" hidden="false" name="tblYearEssSel" vbProcedure="false">#ref!</definedName>
    <definedName function="false" hidden="false" name="tblYearIdx" vbProcedure="false">#ref!</definedName>
    <definedName function="false" hidden="false" name="tblYearLBox" vbProcedure="false">#ref!</definedName>
    <definedName function="false" hidden="false" name="TBR" vbProcedure="false">[25]Data!$R$3:$R$12</definedName>
    <definedName function="false" hidden="false" name="TB_Extension_API_Collapse" vbProcedure="false">#ref!</definedName>
    <definedName function="false" hidden="false" name="TB_Extension_Burst" vbProcedure="false">#ref!</definedName>
    <definedName function="false" hidden="false" name="TB_Ext_API_Coll" vbProcedure="false">#ref!</definedName>
    <definedName function="false" hidden="false" name="TB_Ext_API_Collz" vbProcedure="false">'[11]Liner Job Info'!$P$37</definedName>
    <definedName function="false" hidden="false" name="TB_Ext_Bst" vbProcedure="false">#ref!</definedName>
    <definedName function="false" hidden="false" name="TB_Ext_Bstz" vbProcedure="false">'[11]Liner Job Info'!$P$36</definedName>
    <definedName function="false" hidden="false" name="TB_EXT_ID" vbProcedure="false">#ref!</definedName>
    <definedName function="false" hidden="false" name="Tb_Ext_OD" vbProcedure="false">#ref!</definedName>
    <definedName function="false" hidden="false" name="TB_Ext_Yield_Coll" vbProcedure="false">#ref!</definedName>
    <definedName function="false" hidden="false" name="TB_Ext_Yield_Collz" vbProcedure="false">'[11]Liner Job Info'!$P$38</definedName>
    <definedName function="false" hidden="false" name="TB_Ext_Yld" vbProcedure="false">#ref!</definedName>
    <definedName function="false" hidden="false" name="TCosts" vbProcedure="false">#ref!</definedName>
    <definedName function="false" hidden="false" name="TCP_Specialist" vbProcedure="false">'[27]Name Range'!$N$2:$N$5</definedName>
    <definedName function="false" hidden="false" name="TD" vbProcedure="false">#ref!</definedName>
    <definedName function="false" hidden="false" name="TDH" vbProcedure="false">#ref!</definedName>
    <definedName function="false" hidden="false" name="TD_Depth_md" vbProcedure="false">#ref!</definedName>
    <definedName function="false" hidden="false" name="TD_md" vbProcedure="false">#ref!</definedName>
    <definedName function="false" hidden="false" name="Tecnico" vbProcedure="false">#ref!</definedName>
    <definedName function="false" hidden="false" name="tecnio" vbProcedure="false">#ref!</definedName>
    <definedName function="false" hidden="false" name="tedtr" vbProcedure="false">'[16]Max-Torq'!$P$72</definedName>
    <definedName function="false" hidden="true"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TELY" vbProcedure="false">#ref!</definedName>
    <definedName function="false" hidden="false" name="TEM" vbProcedure="false">#ref!</definedName>
    <definedName function="false" hidden="false" name="Temp" vbProcedure="false">#ref!</definedName>
    <definedName function="false" hidden="false" name="Temperature" vbProcedure="false">#ref!</definedName>
    <definedName function="false" hidden="false" name="TempF" vbProcedure="false">#ref!</definedName>
    <definedName function="false" hidden="false" name="TempFac" vbProcedure="false">#ref!</definedName>
    <definedName function="false" hidden="false" name="TempFd" vbProcedure="false">#ref!</definedName>
    <definedName function="false" hidden="false" name="TempInput" vbProcedure="false">#ref!</definedName>
    <definedName function="false" hidden="false" name="TEMPLATENUMBER1" vbProcedure="false">[53]CRITERIA1!$B$32</definedName>
    <definedName function="false" hidden="false" name="TEMPLATESTYLE1" vbProcedure="false">[53]CRITERIA1!$B$31</definedName>
    <definedName function="false" hidden="false" name="TEMPLATETYPE1" vbProcedure="false">[53]CRITERIA1!$B$30</definedName>
    <definedName function="false" hidden="false" name="TempMax" vbProcedure="false">#ref!</definedName>
    <definedName function="false" hidden="false" name="TempTable" vbProcedure="false">#ref!</definedName>
    <definedName function="false" hidden="false" name="TempU" vbProcedure="false">#ref!</definedName>
    <definedName function="false" hidden="false" name="TempUnit" vbProcedure="false">#ref!</definedName>
    <definedName function="false" hidden="false" name="TempUnitFd" vbProcedure="false">#ref!</definedName>
    <definedName function="false" hidden="false" name="TENDER" vbProcedure="false">'[88]Report Long(Esso)'!$E$4</definedName>
    <definedName function="false" hidden="false" name="TENDER_PROFILE" vbProcedure="false">#ref!</definedName>
    <definedName function="false" hidden="false" name="tens" vbProcedure="false">'[16]Max-Torq'!$N$58</definedName>
    <definedName function="false" hidden="false" name="Tensiledb" vbProcedure="false">#ref!</definedName>
    <definedName function="false" hidden="false" name="Tensileslb" vbProcedure="false">#ref!</definedName>
    <definedName function="false" hidden="false" name="tensilestring" vbProcedure="false">#ref!</definedName>
    <definedName function="false" hidden="true" name="terry1" vbProcedure="false">{#N/A,#N/A,FALSE,"Volume"}</definedName>
    <definedName function="false" hidden="true" name="terry2" vbProcedure="false">{#N/A,#N/A,FALSE,"Volume"}</definedName>
    <definedName function="false" hidden="true" name="terry3" vbProcedure="false">{#N/A,#N/A,FALSE,"Volume"}</definedName>
    <definedName function="false" hidden="true" name="terry4" vbProcedure="false">{#N/A,#N/A,FALSE,"Volume"}</definedName>
    <definedName function="false" hidden="true" name="terry5" vbProcedure="false">{#N/A,#N/A,FALSE,"Volume"}</definedName>
    <definedName function="false" hidden="false" name="test" vbProcedure="false">4</definedName>
    <definedName function="false" hidden="false" name="TEST.XLS" vbProcedure="false">#ref!</definedName>
    <definedName function="false" hidden="false" name="TEST0" vbProcedure="false">#ref!</definedName>
    <definedName function="false" hidden="false" name="test1" vbProcedure="false">#ref!</definedName>
    <definedName function="false" hidden="false" name="TEST10" vbProcedure="false">#ref!</definedName>
    <definedName function="false" hidden="false" name="TEST11" vbProcedure="false">#ref!</definedName>
    <definedName function="false" hidden="false" name="TEST2" vbProcedure="false">#ref!</definedName>
    <definedName function="false" hidden="false" name="TEST3" vbProcedure="false">#ref!</definedName>
    <definedName function="false" hidden="false" name="TEST4" vbProcedure="false">#ref!</definedName>
    <definedName function="false" hidden="false" name="TEST5" vbProcedure="false">#ref!</definedName>
    <definedName function="false" hidden="false" name="TEST6" vbProcedure="false">#ref!</definedName>
    <definedName function="false" hidden="false" name="TEST7" vbProcedure="false">#ref!</definedName>
    <definedName function="false" hidden="false" name="TEST8" vbProcedure="false">#ref!</definedName>
    <definedName function="false" hidden="false" name="TEST9" vbProcedure="false">#ref!</definedName>
    <definedName function="false" hidden="false" name="TESTHKEY" vbProcedure="false">#ref!</definedName>
    <definedName function="false" hidden="false" name="TESTKEYS" vbProcedure="false">#ref!</definedName>
    <definedName function="false" hidden="false" name="TESTVKEY" vbProcedure="false">#ref!</definedName>
    <definedName function="false" hidden="false" name="TEST_IMG" vbProcedure="false">INDEX(#ref!,MATCH(#ref!,#ref!,0),2)</definedName>
    <definedName function="false" hidden="false" name="Test_Index" vbProcedure="false">'[12]JCSI 12'!$X$26</definedName>
    <definedName function="false" hidden="false" name="Test_po_out_1" vbProcedure="false">#ref!</definedName>
    <definedName function="false" hidden="false" name="Test_po_out_2" vbProcedure="false">#ref!</definedName>
    <definedName function="false" hidden="false" name="Test_Type" vbProcedure="false">'[12]JCSI 12'!$X$29:$X$42</definedName>
    <definedName function="false" hidden="false" name="Text38" vbProcedure="false">#ref!</definedName>
    <definedName function="false" hidden="false" name="textfive" vbProcedure="false">#N/A</definedName>
    <definedName function="false" hidden="false" name="textfivehalf" vbProcedure="false">#N/A</definedName>
    <definedName function="false" hidden="false" name="textninefiveeightfourfirst" vbProcedure="false">#N/A</definedName>
    <definedName function="false" hidden="false" name="textninefiveeightfoursecond" vbProcedure="false">#N/A</definedName>
    <definedName function="false" hidden="false" name="textninefiveeightsixfirst" vbProcedure="false">#N/A</definedName>
    <definedName function="false" hidden="false" name="textninefiveeightsixsecond" vbProcedure="false">#N/A</definedName>
    <definedName function="false" hidden="false" name="textsevenfiveeightfour" vbProcedure="false">#N/A</definedName>
    <definedName function="false" hidden="false" name="textsevenfiveeightthree" vbProcedure="false">#N/A</definedName>
    <definedName function="false" hidden="false" name="textsevenfour" vbProcedure="false">#N/A</definedName>
    <definedName function="false" hidden="false" name="textseventhree" vbProcedure="false">#N/A</definedName>
    <definedName function="false" hidden="false" name="text_five" vbProcedure="false">#N/A</definedName>
    <definedName function="false" hidden="false" name="text_fivehalf" vbProcedure="false">#N/A</definedName>
    <definedName function="false" hidden="false" name="text_ninefiveeightfourfirst" vbProcedure="false">#N/A</definedName>
    <definedName function="false" hidden="false" name="text_ninefiveeightfoursecond" vbProcedure="false">#N/A</definedName>
    <definedName function="false" hidden="false" name="text_ninefiveeightsixfirst" vbProcedure="false">#N/A</definedName>
    <definedName function="false" hidden="false" name="text_ninefiveeightsixsecond" vbProcedure="false">#N/A</definedName>
    <definedName function="false" hidden="false" name="text_sevenfiveeightfour" vbProcedure="false">#N/A</definedName>
    <definedName function="false" hidden="false" name="text_sevenfiveeightthree" vbProcedure="false">#N/A</definedName>
    <definedName function="false" hidden="false" name="text_sevenfour" vbProcedure="false">#N/A</definedName>
    <definedName function="false" hidden="false" name="text_seventhree" vbProcedure="false">#N/A</definedName>
    <definedName function="false" hidden="false" name="TFactor" vbProcedure="false">#ref!</definedName>
    <definedName function="false" hidden="false" name="TFactorOutput" vbProcedure="false">#ref!</definedName>
    <definedName function="false" hidden="false" name="tftf" vbProcedure="false">#ref!</definedName>
    <definedName function="false" hidden="false" name="tftv" vbProcedure="false">#ref!</definedName>
    <definedName function="false" hidden="false" name="TF_Column" vbProcedure="false">#ref!</definedName>
    <definedName function="false" hidden="false" name="TF_Unit" vbProcedure="false">#ref!</definedName>
    <definedName function="false" hidden="false" name="tgrade" vbProcedure="false">[73]Control!$D$9</definedName>
    <definedName function="false" hidden="false" name="TGW" vbProcedure="false">#ref!</definedName>
    <definedName function="false" hidden="false" name="Thread" vbProcedure="false">[25]Data!$P$3:$P$54</definedName>
    <definedName function="false" hidden="false" name="ThreadCon" vbProcedure="false">[89]MUT!$R$3:$R$9</definedName>
    <definedName function="false" hidden="false" name="Threads" vbProcedure="false">'[2]Data Go-To-Sheet'!$H$29:$H$74</definedName>
    <definedName function="false" hidden="false" name="THREADTYPES" vbProcedure="false">#ref!</definedName>
    <definedName function="false" hidden="false" name="Thread_DP" vbProcedure="false">[25]Data!$K$3:$K$30</definedName>
    <definedName function="false" hidden="false" name="TICKET" vbProcedure="false">#ref!</definedName>
    <definedName function="false" hidden="false" name="ticketdate" vbProcedure="false">'[34]Call Sheet'!$AH$1</definedName>
    <definedName function="false" hidden="false" name="tickettype" vbProcedure="false">#ref!</definedName>
    <definedName function="false" hidden="false" name="TICKIT" vbProcedure="false">#ref!</definedName>
    <definedName function="false" hidden="false" name="Tight_Hole" vbProcedure="false">'[7]Drop-Down Items'!$G$43:$G$45</definedName>
    <definedName function="false" hidden="false" name="TIL" vbProcedure="false">#ref!</definedName>
    <definedName function="false" hidden="false" name="TIM" vbProcedure="false">#ref!</definedName>
    <definedName function="false" hidden="false" name="TIME" vbProcedure="false">#ref!</definedName>
    <definedName function="false" hidden="true" name="Time2" vbProcedure="false">{#N/A,#N/A,FALSE,"Volume"}</definedName>
    <definedName function="false" hidden="false" name="TimeT1a" vbProcedure="false">#ref!</definedName>
    <definedName function="false" hidden="false" name="TimeT1b" vbProcedure="false">#ref!</definedName>
    <definedName function="false" hidden="false" name="TimeT1c" vbProcedure="false">#ref!</definedName>
    <definedName function="false" hidden="false" name="TimeT1d" vbProcedure="false">#ref!</definedName>
    <definedName function="false" hidden="false" name="TimeT1e" vbProcedure="false">#ref!</definedName>
    <definedName function="false" hidden="false" name="Time_1" vbProcedure="false">#ref!</definedName>
    <definedName function="false" hidden="false" name="Time_2" vbProcedure="false">#ref!</definedName>
    <definedName function="false" hidden="false" name="Time_Orient_Mode_1" vbProcedure="false">#ref!</definedName>
    <definedName function="false" hidden="false" name="Time_Orient_Mode_1_Name" vbProcedure="false">#ref!</definedName>
    <definedName function="false" hidden="false" name="Time_Orient_Mode_2" vbProcedure="false">#ref!</definedName>
    <definedName function="false" hidden="false" name="Time_Orient_Mode_2_Name" vbProcedure="false">#ref!</definedName>
    <definedName function="false" hidden="false" name="Time_Rot" vbProcedure="false">#ref!</definedName>
    <definedName function="false" hidden="false" name="Time_Rot_Name" vbProcedure="false">#ref!</definedName>
    <definedName function="false" hidden="false" name="Time_Steering" vbProcedure="false">#ref!</definedName>
    <definedName function="false" hidden="false" name="Time_Steering_Name" vbProcedure="false">#ref!</definedName>
    <definedName function="false" hidden="false" name="Time_Step" vbProcedure="false">#ref!</definedName>
    <definedName function="false" hidden="false" name="Time_Step__minutes" vbProcedure="false">#ref!</definedName>
    <definedName function="false" hidden="false" name="TIPE" vbProcedure="false">#ref!</definedName>
    <definedName function="false" hidden="false" name="TIPN" vbProcedure="false">#ref!</definedName>
    <definedName function="false" hidden="false" name="TITLE" vbProcedure="false">#ref!</definedName>
    <definedName function="false" hidden="false" name="TJ" vbProcedure="false">#ref!</definedName>
    <definedName function="false" hidden="false" name="TJt" vbProcedure="false">#ref!</definedName>
    <definedName function="false" hidden="false" name="TLCENG" vbProcedure="false">[24]Reference!$D$2</definedName>
    <definedName function="false" hidden="false" name="TLDENG" vbProcedure="false">[24]Reference!$C$2</definedName>
    <definedName function="false" hidden="false" name="TLDOPS" vbProcedure="false">[24]Reference!$E$2</definedName>
    <definedName function="false" hidden="false" name="TMD" vbProcedure="false">#ref!</definedName>
    <definedName function="false" hidden="false" name="Today1" vbProcedure="false">#ref!</definedName>
    <definedName function="false" hidden="false" name="Today2" vbProcedure="false">#ref!</definedName>
    <definedName function="false" hidden="false" name="TOL" vbProcedure="false">#ref!</definedName>
    <definedName function="false" hidden="false" name="TOLz" vbProcedure="false">'[11]Liner Job Info'!$I$19</definedName>
    <definedName function="false" hidden="false" name="Tool" vbProcedure="false">#ref!</definedName>
    <definedName function="false" hidden="false" name="ToolAboveSurvey" vbProcedure="false">#ref!</definedName>
    <definedName function="false" hidden="false" name="ToolBelowSurvey" vbProcedure="false">#ref!</definedName>
    <definedName function="false" hidden="false" name="toolImage1" vbProcedure="false">#ref!</definedName>
    <definedName function="false" hidden="false" name="Tooling" vbProcedure="false">[141]summary!#ref!</definedName>
    <definedName function="false" hidden="false" name="ToolMaterial" vbProcedure="false">[11]DATA!$BN$2:$BN$8</definedName>
    <definedName function="false" hidden="false" name="ToolName" vbProcedure="false">#ref!</definedName>
    <definedName function="false" hidden="false" name="ToolPos" vbProcedure="false">#ref!</definedName>
    <definedName function="false" hidden="false" name="Tools" vbProcedure="false">#ref!</definedName>
    <definedName function="false" hidden="false" name="ToolType" vbProcedure="false">#ref!</definedName>
    <definedName function="false" hidden="false" name="ToolWeightAirString" vbProcedure="false">#ref!</definedName>
    <definedName function="false" hidden="false" name="ToolWeightCshString" vbProcedure="false">#ref!</definedName>
    <definedName function="false" hidden="false" name="ToolWeightdb" vbProcedure="false">#ref!</definedName>
    <definedName function="false" hidden="false" name="ToolWeightMudString" vbProcedure="false">#ref!</definedName>
    <definedName function="false" hidden="false" name="ToolWeightslb" vbProcedure="false">#ref!</definedName>
    <definedName function="false" hidden="false" name="ToolWeightString" vbProcedure="false">#ref!</definedName>
    <definedName function="false" hidden="false" name="ToolWeightString2" vbProcedure="false">#ref!</definedName>
    <definedName function="false" hidden="false" name="ToolWeightUntdb" vbProcedure="false">#ref!</definedName>
    <definedName function="false" hidden="false" name="ToolWeightUntslb" vbProcedure="false">#ref!</definedName>
    <definedName function="false" hidden="false" name="ToolWeightUntString" vbProcedure="false">#ref!</definedName>
    <definedName function="false" hidden="false" name="Tool_ID" vbProcedure="false">[11]DATA!$P$2:$P$268</definedName>
    <definedName function="false" hidden="false" name="topdepthstring" vbProcedure="false">#ref!</definedName>
    <definedName function="false" hidden="false" name="topPinBoxdb" vbProcedure="false">#ref!</definedName>
    <definedName function="false" hidden="false" name="toppinboxslb" vbProcedure="false">#ref!</definedName>
    <definedName function="false" hidden="false" name="TOPPKRIMG" vbProcedure="false">INDEX([90]PKR!$A$16:$B$17,MATCH([90]INPUT!$G$56,[90]PKR!$A$16:$A$17,0),2)</definedName>
    <definedName function="false" hidden="false" name="TOPPKRIMG_1" vbProcedure="false">INDEX([78]PKR!$A$16:$B$18,MATCH([78]INPUT!$G$56,[78]PKR!$A$16:$A$18,0),2)</definedName>
    <definedName function="false" hidden="false" name="topthreadstring" vbProcedure="false">#ref!</definedName>
    <definedName function="false" hidden="false" name="topTypedb" vbProcedure="false">#ref!</definedName>
    <definedName function="false" hidden="false" name="toptypelocdb" vbProcedure="false">#ref!</definedName>
    <definedName function="false" hidden="false" name="toptypeslb" vbProcedure="false">#ref!</definedName>
    <definedName function="false" hidden="false" name="Top_Drive_y_n" vbProcedure="false">#ref!</definedName>
    <definedName function="false" hidden="false" name="Top_Packer_to_Top_7__Liner" vbProcedure="false">#ref!</definedName>
    <definedName function="false" hidden="false" name="Top_Perf._TVD" vbProcedure="false">#ref!</definedName>
    <definedName function="false" hidden="false" name="Top_Perforation" vbProcedure="false">#ref!</definedName>
    <definedName function="false" hidden="false" name="Top_Shot" vbProcedure="false">#ref!</definedName>
    <definedName function="false" hidden="false" name="Torque" vbProcedure="false">#ref!</definedName>
    <definedName function="false" hidden="false" name="torque1" vbProcedure="false">'[7]Drop-Down Items'!$Y$7:$Y$9</definedName>
    <definedName function="false" hidden="false" name="TorqUnit" vbProcedure="false">#ref!</definedName>
    <definedName function="false" hidden="false" name="TorsionalStressUnit" vbProcedure="false">#ref!</definedName>
    <definedName function="false" hidden="false" name="TortuosityPeriodUnit" vbProcedure="false">#ref!</definedName>
    <definedName function="false" hidden="false" name="TortuositySeed" vbProcedure="false">#ref!</definedName>
    <definedName function="false" hidden="false" name="TortuosityStartDepthUnit" vbProcedure="false">#ref!</definedName>
    <definedName function="false" hidden="false" name="TorutuosityEndDepthUnit" vbProcedure="false">#ref!</definedName>
    <definedName function="false" hidden="false" name="TorutuosityMagUnit" vbProcedure="false">#ref!</definedName>
    <definedName function="false" hidden="false" name="TorutuosityName" vbProcedure="false">#ref!</definedName>
    <definedName function="false" hidden="false" name="TOServiceTypes" vbProcedure="false">#ref!</definedName>
    <definedName function="false" hidden="false" name="TOTAL" vbProcedure="false">#ref!</definedName>
    <definedName function="false" hidden="false" name="TotalBitsLabel" vbProcedure="false">"Label 203"</definedName>
    <definedName function="false" hidden="false" name="TotalBuoyantWeight" vbProcedure="false">#ref!</definedName>
    <definedName function="false" hidden="false" name="TotalBuoyantWeightUnits" vbProcedure="false">#ref!</definedName>
    <definedName function="false" hidden="false" name="TotalCirculation" vbProcedure="false">#ref!</definedName>
    <definedName function="false" hidden="false" name="TotalCorrection" vbProcedure="false">#ref!</definedName>
    <definedName function="false" hidden="false" name="TotalCorrectionLbl" vbProcedure="false">#ref!</definedName>
    <definedName function="false" hidden="false" name="TotalCsg" vbProcedure="false">#ref!</definedName>
    <definedName function="false" hidden="false" name="TotalCsga" vbProcedure="false">#ref!</definedName>
    <definedName function="false" hidden="false" name="TotalCum" vbProcedure="false">#ref!</definedName>
    <definedName function="false" hidden="false" name="TotalDepth" vbProcedure="false">#ref!</definedName>
    <definedName function="false" hidden="false" name="Totale" vbProcedure="false">#ref!</definedName>
    <definedName function="false" hidden="false" name="TotalLength" vbProcedure="false">#ref!</definedName>
    <definedName function="false" hidden="false" name="TotalLengthUnits" vbProcedure="false">#ref!</definedName>
    <definedName function="false" hidden="false" name="TotalPipeSpent" vbProcedure="false">#ref!</definedName>
    <definedName function="false" hidden="false" name="totalplaced" vbProcedure="false">[5]WTR!$G$153</definedName>
    <definedName function="false" hidden="false" name="TotalPresOutput" vbProcedure="false">#ref!</definedName>
    <definedName function="false" hidden="false" name="TotalTime" vbProcedure="false">#ref!</definedName>
    <definedName function="false" hidden="false" name="TotalWeightInAir" vbProcedure="false">#ref!</definedName>
    <definedName function="false" hidden="false" name="TotalWeightInAirUnits" vbProcedure="false">#ref!</definedName>
    <definedName function="false" hidden="false" name="Total_Actual_Lease_Charges" vbProcedure="false">#ref!</definedName>
    <definedName function="false" hidden="false" name="Total_DP_Wt" vbProcedure="false">#ref!</definedName>
    <definedName function="false" hidden="false" name="Total_Length_of_BHA" vbProcedure="false">#ref!</definedName>
    <definedName function="false" hidden="false" name="totCubGas" vbProcedure="false">'[181]1pcbud'!#ref!</definedName>
    <definedName function="false" hidden="false" name="totGen" vbProcedure="false">'[181]1pcbud'!#ref!</definedName>
    <definedName function="false" hidden="false" name="totgravelinperfs" vbProcedure="false">[5]WTR!$G$156</definedName>
    <definedName function="false" hidden="false" name="totPCalde" vbProcedure="false">'[181]1pcbud'!#ref!</definedName>
    <definedName function="false" hidden="false" name="TOT_ANN_CAP" vbProcedure="false">#ref!</definedName>
    <definedName function="false" hidden="false" name="Tot_Bottoms_Up" vbProcedure="false">#ref!</definedName>
    <definedName function="false" hidden="false" name="Tot_Bottoms_Upz" vbProcedure="false">'[11]Metric Conversions'!$C$90</definedName>
    <definedName function="false" hidden="false" name="TOT_CAP_HOLE" vbProcedure="false">#ref!</definedName>
    <definedName function="false" hidden="false" name="Tot_Distance" vbProcedure="false">#ref!</definedName>
    <definedName function="false" hidden="false" name="Tot_DP_Length" vbProcedure="false">#ref!</definedName>
    <definedName function="false" hidden="false" name="Tot_DP_Vol" vbProcedure="false">#ref!</definedName>
    <definedName function="false" hidden="false" name="Tot_DP_Volz" vbProcedure="false">'[11]Metric Conversions'!$C$75</definedName>
    <definedName function="false" hidden="false" name="Tot_Liner_Wt" vbProcedure="false">#ref!</definedName>
    <definedName function="false" hidden="false" name="Tot_Lnr_Vol_to_LC" vbProcedure="false">#ref!</definedName>
    <definedName function="false" hidden="false" name="Tot_Lnr_Vol_to_LCz" vbProcedure="false">'[11]Metric Conversions'!$C$79</definedName>
    <definedName function="false" hidden="false" name="Tot_Rop" vbProcedure="false">#ref!</definedName>
    <definedName function="false" hidden="false" name="Tot_Rop_Name" vbProcedure="false">#ref!</definedName>
    <definedName function="false" hidden="false" name="TOT_SAND_2B_PUMPED" vbProcedure="false">#ref!</definedName>
    <definedName function="false" hidden="false" name="TOT_SAND_2B_PUMPED_1" vbProcedure="false">'[6]#ref'!#ref!</definedName>
    <definedName function="false" hidden="false" name="TOT_SAND_2B_PUMPED_10" vbProcedure="false">'[6]#ref'!#ref!</definedName>
    <definedName function="false" hidden="false" name="TOT_SAND_2B_PUMPED_11" vbProcedure="false">'[6]#ref'!#ref!</definedName>
    <definedName function="false" hidden="false" name="TOT_SAND_2B_PUMPED_2" vbProcedure="false">'[6]#ref'!#ref!</definedName>
    <definedName function="false" hidden="false" name="TOT_SAND_2B_PUMPED_3" vbProcedure="false">'[6]#ref'!#ref!</definedName>
    <definedName function="false" hidden="false" name="TOT_SAND_2B_PUMPED_4" vbProcedure="false">'[6]#ref'!#ref!</definedName>
    <definedName function="false" hidden="false" name="TOT_SAND_2B_PUMPED_5" vbProcedure="false">'[6]#ref'!#ref!</definedName>
    <definedName function="false" hidden="false" name="TOT_SAND_2B_PUMPED_6" vbProcedure="false">'[6]#ref'!#ref!</definedName>
    <definedName function="false" hidden="false" name="TOT_SAND_2B_PUMPED_7" vbProcedure="false">'[6]#ref'!#ref!</definedName>
    <definedName function="false" hidden="false" name="TOT_SAND_2B_PUMPED_8" vbProcedure="false">'[6]#ref'!#ref!</definedName>
    <definedName function="false" hidden="false" name="TOT_SAND_2B_PUMPED_9" vbProcedure="false">'[6]#ref'!#ref!</definedName>
    <definedName function="false" hidden="false" name="TOT_SAND_COV_BLANK" vbProcedure="false">#ref!</definedName>
    <definedName function="false" hidden="false" name="TOT_SAND_COV_SCREEN" vbProcedure="false">#ref!</definedName>
    <definedName function="false" hidden="false" name="TOT_SAND_IN_PERFS" vbProcedure="false">#ref!</definedName>
    <definedName function="false" hidden="false" name="TOT_SAND_PLACED" vbProcedure="false">#ref!</definedName>
    <definedName function="false" hidden="false" name="TOT_SAND_REVOUT" vbProcedure="false">#ref!</definedName>
    <definedName function="false" hidden="false" name="TOT_SAND_REVOUT_1" vbProcedure="false">'[6]#ref'!#ref!</definedName>
    <definedName function="false" hidden="false" name="TOT_SAND_REVOUT_10" vbProcedure="false">'[6]#ref'!#ref!</definedName>
    <definedName function="false" hidden="false" name="TOT_SAND_REVOUT_11" vbProcedure="false">'[6]#ref'!#ref!</definedName>
    <definedName function="false" hidden="false" name="TOT_SAND_REVOUT_2" vbProcedure="false">'[6]#ref'!#ref!</definedName>
    <definedName function="false" hidden="false" name="TOT_SAND_REVOUT_3" vbProcedure="false">'[6]#ref'!#ref!</definedName>
    <definedName function="false" hidden="false" name="TOT_SAND_REVOUT_4" vbProcedure="false">'[6]#ref'!#ref!</definedName>
    <definedName function="false" hidden="false" name="TOT_SAND_REVOUT_5" vbProcedure="false">'[6]#ref'!#ref!</definedName>
    <definedName function="false" hidden="false" name="TOT_SAND_REVOUT_6" vbProcedure="false">'[6]#ref'!#ref!</definedName>
    <definedName function="false" hidden="false" name="TOT_SAND_REVOUT_7" vbProcedure="false">'[6]#ref'!#ref!</definedName>
    <definedName function="false" hidden="false" name="TOT_SAND_REVOUT_8" vbProcedure="false">'[6]#ref'!#ref!</definedName>
    <definedName function="false" hidden="false" name="TOT_SAND_REVOUT_9" vbProcedure="false">'[6]#ref'!#ref!</definedName>
    <definedName function="false" hidden="false" name="Tot_Time" vbProcedure="false">#ref!</definedName>
    <definedName function="false" hidden="false" name="Tot_Time_Name" vbProcedure="false">#ref!</definedName>
    <definedName function="false" hidden="false" name="Tot_Vol_to_Bump_Plugs" vbProcedure="false">#ref!</definedName>
    <definedName function="false" hidden="false" name="Tot_Vol_to_Bump_Plugsz" vbProcedure="false">'[11]Metric Conversions'!$C$80</definedName>
    <definedName function="false" hidden="false" name="Tot_Vol_to_Shoe" vbProcedure="false">#ref!</definedName>
    <definedName function="false" hidden="false" name="Tot_Vol_to_Shoez" vbProcedure="false">'[11]Metric Conversions'!$C$81</definedName>
    <definedName function="false" hidden="false" name="TP" vbProcedure="false">#ref!</definedName>
    <definedName function="false" hidden="false" name="tpermit" vbProcedure="false">[73]Control!$D$5</definedName>
    <definedName function="false" hidden="false" name="TQW" vbProcedure="false">#ref!</definedName>
    <definedName function="false" hidden="false" name="TR" vbProcedure="false">#ref!</definedName>
    <definedName function="false" hidden="false" name="Trajectory" vbProcedure="false">#ref!</definedName>
    <definedName function="false" hidden="false" name="transport" vbProcedure="false">#ref!</definedName>
    <definedName function="false" hidden="false" name="tre" vbProcedure="false">#ref!</definedName>
    <definedName function="false" hidden="false" name="treatment" vbProcedure="false">#ref!</definedName>
    <definedName function="false" hidden="false" name="TripInSet1Name" vbProcedure="false">#ref!</definedName>
    <definedName function="false" hidden="false" name="TripInSet2Name" vbProcedure="false">#ref!</definedName>
    <definedName function="false" hidden="false" name="TripInSet3Name" vbProcedure="false">#ref!</definedName>
    <definedName function="false" hidden="false" name="TripInSet4Name" vbProcedure="false">#ref!</definedName>
    <definedName function="false" hidden="false" name="Triplex" vbProcedure="false">[6]Sheet1!$D$14:$D$15</definedName>
    <definedName function="false" hidden="false" name="TripOutSet1Name" vbProcedure="false">#ref!</definedName>
    <definedName function="false" hidden="false" name="TripOutSet2Name" vbProcedure="false">#ref!</definedName>
    <definedName function="false" hidden="false" name="TripOutSet3Name" vbProcedure="false">#ref!</definedName>
    <definedName function="false" hidden="false" name="TripOutSet4Name" vbProcedure="false">#ref!</definedName>
    <definedName function="false" hidden="false" name="TrippingDepthRange" vbProcedure="false">#ref!</definedName>
    <definedName function="false" hidden="false" name="TrippingLoadOutputDepth" vbProcedure="false">#ref!</definedName>
    <definedName function="false" hidden="false" name="TrippingLoadOutputDepthUnit" vbProcedure="false">#ref!</definedName>
    <definedName function="false" hidden="false" name="TRSSV2" vbProcedure="false">'[2]Equipment Go-To Sheet'!$D$140:$L$170</definedName>
    <definedName function="false" hidden="false" name="try" vbProcedure="false">#ref!</definedName>
    <definedName function="false" hidden="false" name="TR_Column" vbProcedure="false">null</definedName>
    <definedName function="false" hidden="false" name="TR_Unit" vbProcedure="false">null</definedName>
    <definedName function="false" hidden="false" name="tshoe" vbProcedure="false">[73]Drillers!$Q$20</definedName>
    <definedName function="false" hidden="false" name="tsize" vbProcedure="false">[73]Control!$D$7</definedName>
    <definedName function="false" hidden="false" name="TST" vbProcedure="false">#ref!</definedName>
    <definedName function="false" hidden="false" name="tstickup" vbProcedure="false">[73]Drillers!$O$20</definedName>
    <definedName function="false" hidden="false" name="TStringW" vbProcedure="false">#ref!</definedName>
    <definedName function="false" hidden="false" name="TS_pricelist" vbProcedure="false">#ref!</definedName>
    <definedName function="false" hidden="false" name="TTARGET" vbProcedure="false">#ref!</definedName>
    <definedName function="false" hidden="false" name="TU" vbProcedure="false">#ref!</definedName>
    <definedName function="false" hidden="false" name="TUB" vbProcedure="false">[91]CODE!$J$1:$P$4</definedName>
    <definedName function="false" hidden="false" name="tubing" vbProcedure="false">#ref!</definedName>
    <definedName function="false" hidden="false" name="TubingAverage" vbProcedure="false">((SUM(NosOfTubing))-(MakeupLoss*COUNT(NosOfTubing)))/COUNT(NosOfTubing)</definedName>
    <definedName function="false" hidden="false" name="TUBINGDRIFTS" vbProcedure="false">#ref!</definedName>
    <definedName function="false" hidden="false" name="tubingInfo" vbProcedure="false">#ref!</definedName>
    <definedName function="false" hidden="false" name="TubingLength" vbProcedure="false">#ref!</definedName>
    <definedName function="false" hidden="false" name="tubingmat" vbProcedure="false">#ref!</definedName>
    <definedName function="false" hidden="false" name="TubingOD" vbProcedure="false">#ref!</definedName>
    <definedName function="false" hidden="false" name="tubingSG" vbProcedure="false">#ref!</definedName>
    <definedName function="false" hidden="false" name="TubingSize" vbProcedure="false">#ref!</definedName>
    <definedName function="false" hidden="false" name="TubingSizes" vbProcedure="false">#ref!</definedName>
    <definedName function="false" hidden="false" name="tubingtype" vbProcedure="false">#ref!</definedName>
    <definedName function="false" hidden="false" name="tubingW" vbProcedure="false">#ref!</definedName>
    <definedName function="false" hidden="false" name="tubingweight" vbProcedure="false">#ref!</definedName>
    <definedName function="false" hidden="false" name="Tubingweights" vbProcedure="false">#ref!</definedName>
    <definedName function="false" hidden="false" name="tubingweigth" vbProcedure="false">#ref!</definedName>
    <definedName function="false" hidden="false" name="Tubing_Hanger" vbProcedure="false">[92]Data!$AH$2:$AH$5</definedName>
    <definedName function="false" hidden="false" name="Tubing_Head_Spool" vbProcedure="false">[21]Data!$AI$2:$AI$4</definedName>
    <definedName function="false" hidden="false" name="tubulars" vbProcedure="false">#ref!</definedName>
    <definedName function="false" hidden="false" name="TUCF" vbProcedure="false">#ref!</definedName>
    <definedName function="false" hidden="false" name="TURN" vbProcedure="false">#ref!</definedName>
    <definedName function="false" hidden="false" name="TURNAHEAD" vbProcedure="false">#ref!</definedName>
    <definedName function="false" hidden="false" name="TURNBOH" vbProcedure="false">#ref!</definedName>
    <definedName function="false" hidden="false" name="Tuwaiq" vbProcedure="false">#ref!</definedName>
    <definedName function="false" hidden="false" name="Tuwayil" vbProcedure="false">#ref!</definedName>
    <definedName function="false" hidden="false" name="TV" vbProcedure="false">#ref!</definedName>
    <definedName function="false" hidden="false" name="TVD" vbProcedure="false">#ref!</definedName>
    <definedName function="false" hidden="false" name="TVD." vbProcedure="false">'[93]#REF'!$C$34</definedName>
    <definedName function="false" hidden="false" name="TVDadj" vbProcedure="false">#ref!</definedName>
    <definedName function="false" hidden="false" name="TVDAHEAD" vbProcedure="false">#ref!</definedName>
    <definedName function="false" hidden="false" name="TVDBOH" vbProcedure="false">#ref!</definedName>
    <definedName function="false" hidden="false" name="TVDCV" vbProcedure="false">#ref!</definedName>
    <definedName function="false" hidden="false" name="TVDRV" vbProcedure="false">#ref!</definedName>
    <definedName function="false" hidden="false" name="TVDSLPJ" vbProcedure="false">#ref!</definedName>
    <definedName function="false" hidden="false" name="TVDtd" vbProcedure="false">#ref!</definedName>
    <definedName function="false" hidden="false" name="TVD_Column" vbProcedure="false">!#ref!</definedName>
    <definedName function="false" hidden="false" name="TVD_MID_PERF" vbProcedure="false">#ref!</definedName>
    <definedName function="false" hidden="false" name="TVD_Reference" vbProcedure="false">#ref!</definedName>
    <definedName function="false" hidden="false" name="TVD_ReferenceValue" vbProcedure="false">#ref!</definedName>
    <definedName function="false" hidden="false" name="TVD_Unit" vbProcedure="false">#ref!</definedName>
    <definedName function="false" hidden="false" name="TV_TVD" vbProcedure="false">#ref!</definedName>
    <definedName function="false" hidden="false" name="TV_Vol" vbProcedure="false">#ref!</definedName>
    <definedName function="false" hidden="false" name="tweight" vbProcedure="false">[73]Control!$D$8</definedName>
    <definedName function="false" hidden="false" name="twell" vbProcedure="false">[73]Control!$D$4</definedName>
    <definedName function="false" hidden="true"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TW_bhaA" vbProcedure="false">[139]tonmiles!#ref!</definedName>
    <definedName function="false" hidden="false" name="ty" vbProcedure="false">#ref!</definedName>
    <definedName function="false" hidden="false" name="TYJEJE" vbProcedure="false">#ref!</definedName>
    <definedName function="false" hidden="false" name="TYPE" vbProcedure="false">[65]References!$F$1:$F$2</definedName>
    <definedName function="false" hidden="false" name="type1" vbProcedure="false">[5]WTR!$M$48</definedName>
    <definedName function="false" hidden="false" name="type2" vbProcedure="false">[5]WTR!$M$49</definedName>
    <definedName function="false" hidden="false" name="type3" vbProcedure="false">[5]WTR!$M$50</definedName>
    <definedName function="false" hidden="false" name="type4" vbProcedure="false">[5]WTR!$M$51</definedName>
    <definedName function="false" hidden="false" name="type5" vbProcedure="false">[5]WTR!$M$52</definedName>
    <definedName function="false" hidden="false" name="type6" vbProcedure="false">#ref!</definedName>
    <definedName function="false" hidden="false" name="TypeColumn" vbProcedure="false">#ref!</definedName>
    <definedName function="false" hidden="false" name="TYPEOFPLUG" vbProcedure="false">#N/A</definedName>
    <definedName function="false" hidden="false" name="TypeStart" vbProcedure="false">#ref!</definedName>
    <definedName function="false" hidden="false" name="type_of_job" vbProcedure="false">'[7]Drop-Down Items'!$I$7:$I$10</definedName>
    <definedName function="false" hidden="false" name="T_ABOP" vbProcedure="false">#ref!</definedName>
    <definedName function="false" hidden="false" name="T_AccumulatedLength" vbProcedure="false">#ref!</definedName>
    <definedName function="false" hidden="false" name="T_BFluidColumn" vbProcedure="false">#ref!</definedName>
    <definedName function="false" hidden="false" name="T_BHFieldRep" vbProcedure="false">#ref!</definedName>
    <definedName function="false" hidden="false" name="T_BHP" vbProcedure="false">#ref!</definedName>
    <definedName function="false" hidden="false" name="T_BHRepNamePrinted" vbProcedure="false">#ref!</definedName>
    <definedName function="false" hidden="false" name="T_BHRepSignatureJobLog" vbProcedure="false">#ref!</definedName>
    <definedName function="false" hidden="false" name="T_BHT" vbProcedure="false">#ref!</definedName>
    <definedName function="false" hidden="false" name="T_Casing1" vbProcedure="false">#ref!</definedName>
    <definedName function="false" hidden="false" name="T_Casing2" vbProcedure="false">#ref!</definedName>
    <definedName function="false" hidden="false" name="T_Casing3" vbProcedure="false">#ref!</definedName>
    <definedName function="false" hidden="false" name="T_Casing4" vbProcedure="false">#ref!</definedName>
    <definedName function="false" hidden="false" name="T_Ccasing" vbProcedure="false">#ref!</definedName>
    <definedName function="false" hidden="false" name="T_Comments" vbProcedure="false">[94]Schematic!$L$12</definedName>
    <definedName function="false" hidden="false" name="T_Customer" vbProcedure="false">#ref!</definedName>
    <definedName function="false" hidden="false" name="T_CustomerNamePrinted" vbProcedure="false">#ref!</definedName>
    <definedName function="false" hidden="false" name="T_CustomerProject" vbProcedure="false">#ref!</definedName>
    <definedName function="false" hidden="false" name="T_CustomerRep" vbProcedure="false">#ref!</definedName>
    <definedName function="false" hidden="false" name="T_CustomerSignatureJobLog" vbProcedure="false">#ref!</definedName>
    <definedName function="false" hidden="false" name="T_C_H" vbProcedure="false">#ref!</definedName>
    <definedName function="false" hidden="false" name="T_Date" vbProcedure="false">#ref!</definedName>
    <definedName function="false" hidden="false" name="T_DateSubmitted" vbProcedure="false">#ref!</definedName>
    <definedName function="false" hidden="false" name="T_Depth" vbProcedure="false">[94]Schematic!$N$31</definedName>
    <definedName function="false" hidden="false" name="T_Description" vbProcedure="false">#ref!</definedName>
    <definedName function="false" hidden="false" name="T_District" vbProcedure="false">#ref!</definedName>
    <definedName function="false" hidden="false" name="T_DistrictPh" vbProcedure="false">#ref!</definedName>
    <definedName function="false" hidden="false" name="T_DProductionPacker" vbProcedure="false">#ref!</definedName>
    <definedName function="false" hidden="false" name="T_Drift" vbProcedure="false">#ref!</definedName>
    <definedName function="false" hidden="false" name="T_Dual" vbProcedure="false">#ref!</definedName>
    <definedName function="false" hidden="false" name="T_DUEL" vbProcedure="false">#ref!</definedName>
    <definedName function="false" hidden="false" name="T_EBridgePlug" vbProcedure="false">#ref!</definedName>
    <definedName function="false" hidden="false" name="T_FluidType" vbProcedure="false">#ref!</definedName>
    <definedName function="false" hidden="false" name="T_FluidWeight" vbProcedure="false">#ref!</definedName>
    <definedName function="false" hidden="false" name="T_FOtherBarriers" vbProcedure="false">#ref!</definedName>
    <definedName function="false" hidden="false" name="T_Grade" vbProcedure="false">#ref!</definedName>
    <definedName function="false" hidden="false" name="T_ID" vbProcedure="false">#ref!</definedName>
    <definedName function="false" hidden="false" name="T_ItemNumber" vbProcedure="false">#ref!</definedName>
    <definedName function="false" hidden="false" name="T_JCID" vbProcedure="false">#ref!</definedName>
    <definedName function="false" hidden="false" name="T_JobLog" vbProcedure="false">#ref!</definedName>
    <definedName function="false" hidden="false" name="T_Length" vbProcedure="false">#ref!</definedName>
    <definedName function="false" hidden="false" name="T_Liner1" vbProcedure="false">#ref!</definedName>
    <definedName function="false" hidden="false" name="T_Liner2" vbProcedure="false">#ref!</definedName>
    <definedName function="false" hidden="false" name="T_MaxDev" vbProcedure="false">#ref!</definedName>
    <definedName function="false" hidden="false" name="T_No" vbProcedure="false">#ref!</definedName>
    <definedName function="false" hidden="false" name="T_Notes" vbProcedure="false">#ref!</definedName>
    <definedName function="false" hidden="false" name="T_OD" vbProcedure="false">#ref!</definedName>
    <definedName function="false" hidden="false" name="T_OperationsRemarks" vbProcedure="false">#ref!</definedName>
    <definedName function="false" hidden="false" name="T_Project" vbProcedure="false">#ref!</definedName>
    <definedName function="false" hidden="false" name="T_Rig" vbProcedure="false">#ref!</definedName>
    <definedName function="false" hidden="false" name="T_SDC" vbProcedure="false">#ref!</definedName>
    <definedName function="false" hidden="false" name="T_StandNumber" vbProcedure="false">#ref!</definedName>
    <definedName function="false" hidden="false" name="T_TallySheet" vbProcedure="false">#ref!</definedName>
    <definedName function="false" hidden="false" name="T_Thread" vbProcedure="false">#ref!</definedName>
    <definedName function="false" hidden="false" name="T_Time" vbProcedure="false">#ref!</definedName>
    <definedName function="false" hidden="false" name="T_Tubing1" vbProcedure="false">#ref!</definedName>
    <definedName function="false" hidden="false" name="T_Tubing2" vbProcedure="false">#ref!</definedName>
    <definedName function="false" hidden="false" name="T_Tubing3" vbProcedure="false">#ref!</definedName>
    <definedName function="false" hidden="false" name="T_Tubing4" vbProcedure="false">#ref!</definedName>
    <definedName function="false" hidden="false" name="T_Tubulars" vbProcedure="false">#ref!</definedName>
    <definedName function="false" hidden="false" name="T_Weight" vbProcedure="false">#ref!</definedName>
    <definedName function="false" hidden="false" name="T_Well" vbProcedure="false">#ref!</definedName>
    <definedName function="false" hidden="false" name="T_Workstring1" vbProcedure="false">#ref!</definedName>
    <definedName function="false" hidden="false" name="T_Workstring2" vbProcedure="false">#ref!</definedName>
    <definedName function="false" hidden="false" name="T_Workstring3" vbProcedure="false">#ref!</definedName>
    <definedName function="false" hidden="false" name="T_Workstring4" vbProcedure="false">#ref!</definedName>
    <definedName function="false" hidden="false" name="T____training" vbProcedure="false">#ref!</definedName>
    <definedName function="false" hidden="false" name="Técnico" vbProcedure="false">#ref!</definedName>
    <definedName function="false" hidden="false" name="U" vbProcedure="false">#ref!</definedName>
    <definedName function="false" hidden="false" name="U.E.R._Basal_Shale" vbProcedure="false">#ref!</definedName>
    <definedName function="false" hidden="false" name="UB" vbProcedure="false">#ref!</definedName>
    <definedName function="false" hidden="false" name="UBDpDw" vbProcedure="false">#ref!</definedName>
    <definedName function="false" hidden="false" name="UBPressure" vbProcedure="false">#ref!</definedName>
    <definedName function="false" hidden="false" name="UI" vbProcedure="false">#ref!</definedName>
    <definedName function="false" hidden="false" name="uk" vbProcedure="false">#ref!</definedName>
    <definedName function="false" hidden="false" name="Umm_El_Radhuma" vbProcedure="false">#ref!</definedName>
    <definedName function="false" hidden="false" name="Underbalance" vbProcedure="false">#ref!</definedName>
    <definedName function="false" hidden="false" name="UnitDb" vbProcedure="false">#ref!</definedName>
    <definedName function="false" hidden="false" name="UnitLength" vbProcedure="false">#ref!</definedName>
    <definedName function="false" hidden="false" name="UnitPressure" vbProcedure="false">#ref!</definedName>
    <definedName function="false" hidden="false" name="units" vbProcedure="false">'[7]Drop-Down Items'!$J$7:$J$9</definedName>
    <definedName function="false" hidden="false" name="UnitTemp" vbProcedure="false">#ref!</definedName>
    <definedName function="false" hidden="false" name="UnitTemperature" vbProcedure="false">#ref!</definedName>
    <definedName function="false" hidden="false" name="UnitWeigth" vbProcedure="false">#ref!</definedName>
    <definedName function="false" hidden="false" name="Unit_11" vbProcedure="false">#ref!</definedName>
    <definedName function="false" hidden="false" name="Unit_12" vbProcedure="false">#ref!</definedName>
    <definedName function="false" hidden="false" name="Unit_13" vbProcedure="false">#ref!</definedName>
    <definedName function="false" hidden="false" name="Unit_14" vbProcedure="false">#ref!</definedName>
    <definedName function="false" hidden="false" name="Unit_15" vbProcedure="false">#ref!</definedName>
    <definedName function="false" hidden="false" name="Unit_17" vbProcedure="false">#ref!</definedName>
    <definedName function="false" hidden="false" name="Unit_18" vbProcedure="false">#ref!</definedName>
    <definedName function="false" hidden="false" name="Unit_6" vbProcedure="false">#ref!</definedName>
    <definedName function="false" hidden="false" name="Unit_7" vbProcedure="false">#ref!</definedName>
    <definedName function="false" hidden="false" name="Unit_8" vbProcedure="false">#ref!</definedName>
    <definedName function="false" hidden="false" name="Unit_9" vbProcedure="false">#ref!</definedName>
    <definedName function="false" hidden="false" name="unit_weight" vbProcedure="false">'[7]Drop-Down Items'!$N$7:$N$8</definedName>
    <definedName function="false" hidden="true" name="UNI_AA_VERSION" vbProcedure="false">"320.1.0"</definedName>
    <definedName function="false" hidden="true" name="UNI_FILT_OFFSPEC" vbProcedure="false">2</definedName>
    <definedName function="false" hidden="true" name="UNI_FILT_ONSPEC" vbProcedure="false">1</definedName>
    <definedName function="false" hidden="true" name="UNI_NOTHING" vbProcedure="false">0</definedName>
    <definedName function="false" hidden="true" name="UNI_PRES_CLOSEST" vbProcedure="false">512</definedName>
    <definedName function="false" hidden="true" name="UNI_PRES_FILTER" vbProcedure="false">1</definedName>
    <definedName function="false" hidden="true" name="UNI_PRES_HEADINGS" vbProcedure="false">16</definedName>
    <definedName function="false" hidden="true" name="UNI_PRES_INVERT" vbProcedure="false">2</definedName>
    <definedName function="false" hidden="true" name="UNI_PRES_MATRIX" vbProcedure="false">4</definedName>
    <definedName function="false" hidden="true" name="UNI_PRES_MERGED" vbProcedure="false">8</definedName>
    <definedName function="false" hidden="true" name="UNI_PRES_MRECORD" vbProcedure="false">64</definedName>
    <definedName function="false" hidden="true" name="UNI_PRES_MSTIME" vbProcedure="false">8192</definedName>
    <definedName function="false" hidden="true" name="UNI_PRES_OUTLIERS" vbProcedure="false">32</definedName>
    <definedName function="false" hidden="true" name="UNI_PRES_POST" vbProcedure="false">256</definedName>
    <definedName function="false" hidden="true" name="UNI_PRES_PRIOR" vbProcedure="false">2048</definedName>
    <definedName function="false" hidden="true" name="UNI_PRES_RECENT" vbProcedure="false">1024</definedName>
    <definedName function="false" hidden="true" name="UNI_PRES_STATIC" vbProcedure="false">128</definedName>
    <definedName function="false" hidden="true" name="UNI_PRES_TRANSPOSE" vbProcedure="false">4096</definedName>
    <definedName function="false" hidden="true" name="UNI_RET_ATTRIB" vbProcedure="false">64</definedName>
    <definedName function="false" hidden="true" name="UNI_RET_CONF" vbProcedure="false">32</definedName>
    <definedName function="false" hidden="true" name="UNI_RET_DESC" vbProcedure="false">4</definedName>
    <definedName function="false" hidden="true" name="UNI_RET_EQUIP" vbProcedure="false">1</definedName>
    <definedName function="false" hidden="true" name="UNI_RET_OFFSPEC" vbProcedure="false">512</definedName>
    <definedName function="false" hidden="true" name="UNI_RET_ONSPEC" vbProcedure="false">256</definedName>
    <definedName function="false" hidden="true" name="UNI_RET_PROP" vbProcedure="false">32</definedName>
    <definedName function="false" hidden="true" name="UNI_RET_PROPDESC" vbProcedure="false">64</definedName>
    <definedName function="false" hidden="true" name="UNI_RET_SMPLPNT" vbProcedure="false">4</definedName>
    <definedName function="false" hidden="true" name="UNI_RET_SPECMAX" vbProcedure="false">2048</definedName>
    <definedName function="false" hidden="true" name="UNI_RET_SPECMIN" vbProcedure="false">1024</definedName>
    <definedName function="false" hidden="true" name="UNI_RET_TAG" vbProcedure="false">1</definedName>
    <definedName function="false" hidden="true" name="UNI_RET_TESTTIME" vbProcedure="false">128</definedName>
    <definedName function="false" hidden="true" name="UNI_RET_TIME" vbProcedure="false">8</definedName>
    <definedName function="false" hidden="true" name="UNI_RET_UNIT" vbProcedure="false">2</definedName>
    <definedName function="false" hidden="true" name="UNI_RET_VALUE" vbProcedure="false">16</definedName>
    <definedName function="false" hidden="false" name="Update" vbProcedure="false">#ref!</definedName>
    <definedName function="false" hidden="false" name="UpdateCrtl" vbProcedure="false">#ref!</definedName>
    <definedName function="false" hidden="false" name="UpdateFlag" vbProcedure="false">#ref!</definedName>
    <definedName function="false" hidden="false" name="upsTDATAMAP" vbProcedure="false">#ref!</definedName>
    <definedName function="false" hidden="false" name="Urutan" vbProcedure="false">#ref!</definedName>
    <definedName function="false" hidden="false" name="Used" vbProcedure="false">#ref!</definedName>
    <definedName function="false" hidden="false" name="Using_Hanger" vbProcedure="false">'[11]Liner Job Info'!$D$38</definedName>
    <definedName function="false" hidden="false" name="Using_Packer" vbProcedure="false">'[11]Liner Job Info'!$P$30</definedName>
    <definedName function="false" hidden="false" name="UZI" vbProcedure="false">#ref!</definedName>
    <definedName function="false" hidden="false" name="UZ_380" vbProcedure="false">[90]tbgtally!#ref!</definedName>
    <definedName function="false" hidden="false" name="V0" vbProcedure="false">'[95]MACRO125 '!$G$6</definedName>
    <definedName function="false" hidden="false" name="VAL" vbProcedure="false">#ref!</definedName>
    <definedName function="false" hidden="false" name="valeuro" vbProcedure="false">#ref!</definedName>
    <definedName function="false" hidden="false" name="VALIDCURR" vbProcedure="false">#ref!</definedName>
    <definedName function="false" hidden="false" name="validcurr2" vbProcedure="false">[96]Currency!$A$1:$A$170</definedName>
    <definedName function="false" hidden="false" name="Vallist" vbProcedure="false">#ref!</definedName>
    <definedName function="false" hidden="false" name="vallist2" vbProcedure="false">OFFSET(INDIRECT(ADDRESS(MATCH(Liner1_OD,Objects,0)+1,2,,,"Casing Info")),0,1,COUNTIF(Objects,Liner1_OD),1)</definedName>
    <definedName function="false" hidden="false" name="ValName" vbProcedure="false">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function="false" hidden="false" name="ValName11" vbProcedure="false">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function="false" hidden="false" name="ValName12" vbProcedure="false">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function="false" hidden="false" name="VARdir" vbProcedure="false">#ref!</definedName>
    <definedName function="false" hidden="false" name="VARincl" vbProcedure="false">#ref!</definedName>
    <definedName function="false" hidden="false" name="VASSA" vbProcedure="false">#ref!</definedName>
    <definedName function="false" hidden="false" name="vbcode.draw_blanks" vbProcedure="false">#N/A</definedName>
    <definedName function="false" hidden="false" name="vbcode.draw_linerfirst" vbProcedure="false">#N/A</definedName>
    <definedName function="false" hidden="false" name="vbcode.draw_linersecond" vbProcedure="false">#N/A</definedName>
    <definedName function="false" hidden="false" name="vbcode.draw_miscellaneous" vbProcedure="false">#N/A</definedName>
    <definedName function="false" hidden="false" name="vbcode.draw_productionfirst" vbProcedure="false">#N/A</definedName>
    <definedName function="false" hidden="false" name="vbcode.draw_productionsecond" vbProcedure="false">#N/A</definedName>
    <definedName function="false" hidden="false" name="vbcode.draw_quantum" vbProcedure="false">#N/A</definedName>
    <definedName function="false" hidden="false" name="vbcode.draw_screens" vbProcedure="false">#N/A</definedName>
    <definedName function="false" hidden="false" name="vbcode.draw_shearsubs" vbProcedure="false">#N/A</definedName>
    <definedName function="false" hidden="false" name="vbcode.draw_sump" vbProcedure="false">#N/A</definedName>
    <definedName function="false" hidden="false" name="vbcode.text_five" vbProcedure="false">#N/A</definedName>
    <definedName function="false" hidden="false" name="vbcode.text_fivehalf" vbProcedure="false">#N/A</definedName>
    <definedName function="false" hidden="false" name="vbcode.text_ninefiveeightfourfirst" vbProcedure="false">#N/A</definedName>
    <definedName function="false" hidden="false" name="vbcode.text_ninefiveeightfoursecond" vbProcedure="false">#N/A</definedName>
    <definedName function="false" hidden="false" name="vbcode.text_ninefiveeightsixfirst" vbProcedure="false">#N/A</definedName>
    <definedName function="false" hidden="false" name="vbcode.text_ninefiveeightsixsecond" vbProcedure="false">#N/A</definedName>
    <definedName function="false" hidden="false" name="vbcode.text_sevenfiveeightfour" vbProcedure="false">#N/A</definedName>
    <definedName function="false" hidden="false" name="vbcode.text_sevenfiveeightthree" vbProcedure="false">#N/A</definedName>
    <definedName function="false" hidden="false" name="vbcode.text_sevenfour" vbProcedure="false">#N/A</definedName>
    <definedName function="false" hidden="false" name="vbcode.text_seventhree" vbProcedure="false">#N/A</definedName>
    <definedName function="false" hidden="false" name="Version" vbProcedure="false">[60]auf_screen!#ref!</definedName>
    <definedName function="false" hidden="false" name="Verticaldepth" vbProcedure="false">'[38]Front Page Info'!$C$18</definedName>
    <definedName function="false" hidden="false" name="VETCO" vbProcedure="false">#ref!</definedName>
    <definedName function="false" hidden="false" name="vfdvf" vbProcedure="false">[174]!Macro61</definedName>
    <definedName function="false" hidden="false" name="vfr" vbProcedure="false">#ref!</definedName>
    <definedName function="false" hidden="false" name="vgy" vbProcedure="false">#ref!</definedName>
    <definedName function="false" hidden="false" name="VirginSheet" vbProcedure="false">#ref!</definedName>
    <definedName function="false" hidden="false" name="VIS" vbProcedure="false">#ref!</definedName>
    <definedName function="false" hidden="false" name="VOI5XG" vbProcedure="false">#ref!</definedName>
    <definedName function="false" hidden="false" name="Volume" vbProcedure="false">#ref!</definedName>
    <definedName function="false" hidden="true" name="volume1" vbProcedure="false">{#N/A,#N/A,FALSE,"Volume"}</definedName>
    <definedName function="false" hidden="false" name="volumemixed1" vbProcedure="false">#ref!</definedName>
    <definedName function="false" hidden="false" name="volumemixed2" vbProcedure="false">#ref!</definedName>
    <definedName function="false" hidden="false" name="volumemixed3" vbProcedure="false">#ref!</definedName>
    <definedName function="false" hidden="false" name="volumepumped1" vbProcedure="false">#ref!</definedName>
    <definedName function="false" hidden="false" name="volumepumped2" vbProcedure="false">#ref!</definedName>
    <definedName function="false" hidden="false" name="volumepumped3" vbProcedure="false">#ref!</definedName>
    <definedName function="false" hidden="false" name="volumesstringlbl" vbProcedure="false">#ref!</definedName>
    <definedName function="false" hidden="false" name="VolUnit" vbProcedure="false">#ref!</definedName>
    <definedName function="false" hidden="false" name="VOL_MULE_SHOE" vbProcedure="false">#ref!</definedName>
    <definedName function="false" hidden="false" name="VonMisesStressUnit" vbProcedure="false">#ref!</definedName>
    <definedName function="false" hidden="false" name="VS" vbProcedure="false">#ref!</definedName>
    <definedName function="false" hidden="false" name="VSAHEAD" vbProcedure="false">#ref!</definedName>
    <definedName function="false" hidden="false" name="VSBOH" vbProcedure="false">#ref!</definedName>
    <definedName function="false" hidden="false" name="VSEC_Azim" vbProcedure="false">#ref!</definedName>
    <definedName function="false" hidden="false" name="VSEC_Column" vbProcedure="false">!#ref!</definedName>
    <definedName function="false" hidden="false" name="VSEC_Origin" vbProcedure="false">#ref!</definedName>
    <definedName function="false" hidden="false" name="VSEC_Unit" vbProcedure="false">#ref!</definedName>
    <definedName function="false" hidden="false" name="VUSD" vbProcedure="false">#ref!</definedName>
    <definedName function="false" hidden="false" name="VUSL" vbProcedure="false">#ref!</definedName>
    <definedName function="false" hidden="true" name="vv" vbProcedure="false">#ref!</definedName>
    <definedName function="false" hidden="false" name="vvv" vbProcedure="false">#ref!</definedName>
    <definedName function="false" hidden="false" name="vvvdf" vbProcedure="false">#ref!</definedName>
    <definedName function="false" hidden="false" name="vvvvv" vbProcedure="false">[79]!Macro60</definedName>
    <definedName function="false" hidden="false" name="w" vbProcedure="false">#N/A</definedName>
    <definedName function="false" hidden="false" name="water" vbProcedure="false">#ref!</definedName>
    <definedName function="false" hidden="false" name="Water_Depth" vbProcedure="false">#ref!</definedName>
    <definedName function="false" hidden="false" name="WBJobRev" vbProcedure="false">#ref!</definedName>
    <definedName function="false" hidden="false" name="WCTRep" vbProcedure="false">#ref!</definedName>
    <definedName function="false" hidden="false" name="WD" vbProcedure="false">#ref!</definedName>
    <definedName function="false" hidden="false" name="we" vbProcedure="false">#ref!</definedName>
    <definedName function="false" hidden="false" name="Weak_DP" vbProcedure="false">#ref!</definedName>
    <definedName function="false" hidden="false" name="Weak_link" vbProcedure="false">#ref!</definedName>
    <definedName function="false" hidden="false" name="Wear" vbProcedure="false">[6]Sheet1!$F$14:$F$22</definedName>
    <definedName function="false" hidden="false" name="Wear_Grade" vbProcedure="false">'[7]Drop-Down Items'!$A$75:$A$84</definedName>
    <definedName function="false" hidden="false" name="wedx" vbProcedure="false">#ref!</definedName>
    <definedName function="false" hidden="false" name="week" vbProcedure="false">#ref!</definedName>
    <definedName function="false" hidden="false" name="Weight" vbProcedure="false">#ref!</definedName>
    <definedName function="false" hidden="false" name="weight10" vbProcedure="false">#ref!</definedName>
    <definedName function="false" hidden="false" name="weight11" vbProcedure="false">#ref!</definedName>
    <definedName function="false" hidden="false" name="weight7.5" vbProcedure="false">#ref!</definedName>
    <definedName function="false" hidden="false" name="WeightColumn" vbProcedure="false">#ref!</definedName>
    <definedName function="false" hidden="false" name="WeightDP" vbProcedure="false">#ref!</definedName>
    <definedName function="false" hidden="false" name="WeightInAirBelowJar" vbProcedure="false">#ref!</definedName>
    <definedName function="false" hidden="false" name="WeightInAirBelowJarUnits" vbProcedure="false">#ref!</definedName>
    <definedName function="false" hidden="false" name="WeightUni" vbProcedure="false">#ref!</definedName>
    <definedName function="false" hidden="false" name="WeightUnit" vbProcedure="false">#ref!</definedName>
    <definedName function="false" hidden="false" name="WeigthInput" vbProcedure="false">#ref!</definedName>
    <definedName function="false" hidden="false" name="Weld_Cost" vbProcedure="false">#ref!</definedName>
    <definedName function="false" hidden="false" name="Well" vbProcedure="false">#ref!</definedName>
    <definedName function="false" hidden="true"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name="WellAngle" vbProcedure="false">#ref!</definedName>
    <definedName function="false" hidden="false" name="WellboreName" vbProcedure="false">#ref!</definedName>
    <definedName function="false" hidden="false" name="wellborevol" vbProcedure="false">#ref!</definedName>
    <definedName function="false" hidden="false" name="wellcategory1" vbProcedure="false">#N/A</definedName>
    <definedName function="false" hidden="false" name="WellDegree" vbProcedure="false">#ref!</definedName>
    <definedName function="false" hidden="false" name="WellFd" vbProcedure="false">#ref!</definedName>
    <definedName function="false" hidden="false" name="Wellhead_Manufacturer" vbProcedure="false">[20]Data!$AC$2:$AC$6</definedName>
    <definedName function="false" hidden="false" name="Welllocation1" vbProcedure="false">#N/A</definedName>
    <definedName function="false" hidden="false" name="WellMD" vbProcedure="false">#ref!</definedName>
    <definedName function="false" hidden="false" name="WellName" vbProcedure="false">#ref!</definedName>
    <definedName function="false" hidden="false" name="wellno" vbProcedure="false">#ref!</definedName>
    <definedName function="false" hidden="false" name="wellnum" vbProcedure="false">'[40]CPS Call Sheet'!$AH$4</definedName>
    <definedName function="false" hidden="false" name="WellNumber" vbProcedure="false">#ref!</definedName>
    <definedName function="false" hidden="false" name="Wells" vbProcedure="false">#ref!</definedName>
    <definedName function="false" hidden="false" name="WellSequence" vbProcedure="false">#ref!</definedName>
    <definedName function="false" hidden="false" name="WellTVD" vbProcedure="false">#ref!</definedName>
    <definedName function="false" hidden="false" name="welltype" vbProcedure="false">#ref!</definedName>
    <definedName function="false" hidden="false" name="Welltype2" vbProcedure="false">#ref!</definedName>
    <definedName function="false" hidden="false" name="Well_changes_approver" vbProcedure="false">#ref!</definedName>
    <definedName function="false" hidden="false" name="Well_code" vbProcedure="false">[20]Data!$E$2:$E$94</definedName>
    <definedName function="false" hidden="false" name="well_direction" vbProcedure="false">'[7]Drop-Down Items'!$F$43:$F$47</definedName>
    <definedName function="false" hidden="false" name="Well_Index" vbProcedure="false">'[12]JCSI 12'!$U$26</definedName>
    <definedName function="false" hidden="false" name="Well_Name" vbProcedure="false">#ref!</definedName>
    <definedName function="false" hidden="false" name="Well_Number" vbProcedure="false">#ref!</definedName>
    <definedName function="false" hidden="false" name="Well_objectives_approver" vbProcedure="false">#ref!</definedName>
    <definedName function="false" hidden="false" name="Well_plan_approver" vbProcedure="false">#ref!</definedName>
    <definedName function="false" hidden="false" name="well_target" vbProcedure="false">'[7]Drop-Down Items'!$E$43:$E$50</definedName>
    <definedName function="false" hidden="false" name="WELL_TD_12.25" vbProcedure="false">#ref!</definedName>
    <definedName function="false" hidden="false" name="WELL_TD_16" vbProcedure="false">#ref!</definedName>
    <definedName function="false" hidden="false" name="WELL_TD_8.5" vbProcedure="false">#ref!</definedName>
    <definedName function="false" hidden="false" name="Well_Type" vbProcedure="false">'[12]JCSI 12'!$U$29:$U$42</definedName>
    <definedName function="false" hidden="false" name="Well_Type__Oil_Gas" vbProcedure="false">#ref!</definedName>
    <definedName function="false" hidden="false" name="werty" vbProcedure="false">#ref!</definedName>
    <definedName function="false" hidden="false" name="wewe2" vbProcedure="false">#N/A</definedName>
    <definedName function="false" hidden="false" name="WH" vbProcedure="false">'[28]Ref. data2'!$C$27:$C$29</definedName>
    <definedName function="false" hidden="false" name="when1" vbProcedure="false">#ref!</definedName>
    <definedName function="false" hidden="false" name="when2" vbProcedure="false">#ref!</definedName>
    <definedName function="false" hidden="false" name="when3" vbProcedure="false">#ref!</definedName>
    <definedName function="false" hidden="false" name="Whipstock_Retrieval_Method" vbProcedure="false">'[7]Drop-Down Items'!$E$34:$E$37</definedName>
    <definedName function="false" hidden="false" name="whipstock_size" vbProcedure="false">'[7]Drop-Down Items'!$B$53:$B$64</definedName>
    <definedName function="false" hidden="false" name="Whipstock_Type" vbProcedure="false">'[7]Drop-Down Items'!$B$4:$B$16</definedName>
    <definedName function="false" hidden="false" name="whp" vbProcedure="false">'[94]well test sheet'!#ref!</definedName>
    <definedName function="false" hidden="false" name="wht" vbProcedure="false">'[94]well test sheet'!#ref!</definedName>
    <definedName function="false" hidden="false" name="WHTFlow" vbProcedure="false">#ref!</definedName>
    <definedName function="false" hidden="false" name="WHTStatic" vbProcedure="false">#ref!</definedName>
    <definedName function="false" hidden="false" name="wiperplugunity" vbProcedure="false">[11]Test!$G$18</definedName>
    <definedName function="false" hidden="false" name="WIP_REPORT" vbProcedure="false">#ref!</definedName>
    <definedName function="false" hidden="false" name="Withinlimit" vbProcedure="false">#ref!</definedName>
    <definedName function="false" hidden="false" name="WIV?" vbProcedure="false">'[43]Multi Stage Info'!$D$37</definedName>
    <definedName function="false" hidden="false" name="WkstrDrift1" vbProcedure="false">#ref!</definedName>
    <definedName function="false" hidden="false" name="WkstrDrift2" vbProcedure="false">#ref!</definedName>
    <definedName function="false" hidden="false" name="WkstrDrift3" vbProcedure="false">#ref!</definedName>
    <definedName function="false" hidden="false" name="WkstrDrift4" vbProcedure="false">#ref!</definedName>
    <definedName function="false" hidden="false" name="WkstrGrd1" vbProcedure="false">#ref!</definedName>
    <definedName function="false" hidden="false" name="WkstrGrd2" vbProcedure="false">#ref!</definedName>
    <definedName function="false" hidden="false" name="WkstrGrd3" vbProcedure="false">#ref!</definedName>
    <definedName function="false" hidden="false" name="WkstrGrd4" vbProcedure="false">#ref!</definedName>
    <definedName function="false" hidden="false" name="WkstrID1" vbProcedure="false">#ref!</definedName>
    <definedName function="false" hidden="false" name="WkstrID2" vbProcedure="false">#ref!</definedName>
    <definedName function="false" hidden="false" name="WkstrID3" vbProcedure="false">#ref!</definedName>
    <definedName function="false" hidden="false" name="WkstrID4" vbProcedure="false">#ref!</definedName>
    <definedName function="false" hidden="false" name="WkstrSz1" vbProcedure="false">#ref!</definedName>
    <definedName function="false" hidden="false" name="WkstrSz2" vbProcedure="false">#ref!</definedName>
    <definedName function="false" hidden="false" name="WkstrSz3" vbProcedure="false">#ref!</definedName>
    <definedName function="false" hidden="false" name="WkstrSz4" vbProcedure="false">#ref!</definedName>
    <definedName function="false" hidden="false" name="WkstrThd1" vbProcedure="false">#ref!</definedName>
    <definedName function="false" hidden="false" name="WkstrThd2" vbProcedure="false">#ref!</definedName>
    <definedName function="false" hidden="false" name="WkstrThd3" vbProcedure="false">#ref!</definedName>
    <definedName function="false" hidden="false" name="WkstrThd4" vbProcedure="false">#ref!</definedName>
    <definedName function="false" hidden="false" name="WkstrWt1" vbProcedure="false">#ref!</definedName>
    <definedName function="false" hidden="false" name="WkstrWt2" vbProcedure="false">#ref!</definedName>
    <definedName function="false" hidden="false" name="WkstrWt3" vbProcedure="false">#ref!</definedName>
    <definedName function="false" hidden="false" name="WkstrWt4" vbProcedure="false">#ref!</definedName>
    <definedName function="false" hidden="false" name="WL" vbProcedure="false">'[28]Ref. data2'!$C$34:$C$36</definedName>
    <definedName function="false" hidden="false" name="WOB" vbProcedure="false">#ref!</definedName>
    <definedName function="false" hidden="false" name="Woodside" vbProcedure="false">"Picture 4"</definedName>
    <definedName function="false" hidden="false" name="workstringid" vbProcedure="false">#ref!</definedName>
    <definedName function="false" hidden="false" name="workstringid2" vbProcedure="false">#ref!</definedName>
    <definedName function="false" hidden="false" name="workstringid3" vbProcedure="false">#ref!</definedName>
    <definedName function="false" hidden="false" name="workstringid4" vbProcedure="false">#ref!</definedName>
    <definedName function="false" hidden="false" name="workstringidref" vbProcedure="false">[19]Data!$GC$3</definedName>
    <definedName function="false" hidden="false" name="workstringlength" vbProcedure="false">#ref!</definedName>
    <definedName function="false" hidden="false" name="workstringlength2" vbProcedure="false">#ref!</definedName>
    <definedName function="false" hidden="false" name="workstringlength3" vbProcedure="false">#ref!</definedName>
    <definedName function="false" hidden="false" name="workstringlength4" vbProcedure="false">#ref!</definedName>
    <definedName function="false" hidden="false" name="workstringod" vbProcedure="false">#ref!</definedName>
    <definedName function="false" hidden="false" name="workstringod2" vbProcedure="false">#ref!</definedName>
    <definedName function="false" hidden="false" name="workstringod3" vbProcedure="false">#ref!</definedName>
    <definedName function="false" hidden="false" name="workstringod4" vbProcedure="false">#ref!</definedName>
    <definedName function="false" hidden="false" name="workstringtable" vbProcedure="false">#ref!</definedName>
    <definedName function="false" hidden="false" name="workstringwt" vbProcedure="false">#ref!</definedName>
    <definedName function="false" hidden="false" name="workstringwt2" vbProcedure="false">#ref!</definedName>
    <definedName function="false" hidden="false" name="workstringwt3" vbProcedure="false">#ref!</definedName>
    <definedName function="false" hidden="false" name="workstringwt4" vbProcedure="false">#ref!</definedName>
    <definedName function="false" hidden="false" name="Workstring_Grade" vbProcedure="false">#ref!</definedName>
    <definedName function="false" hidden="false" name="Workstring_ID" vbProcedure="false">#ref!</definedName>
    <definedName function="false" hidden="false" name="Workstring_Length" vbProcedure="false">#ref!</definedName>
    <definedName function="false" hidden="false" name="Workstring_Size" vbProcedure="false">#ref!</definedName>
    <definedName function="false" hidden="false" name="Workstring_Type" vbProcedure="false">#ref!</definedName>
    <definedName function="false" hidden="false" name="Workstring_Wt._Ft." vbProcedure="false">#ref!</definedName>
    <definedName function="false" hidden="false" name="WorkTime" vbProcedure="false">#ref!</definedName>
    <definedName function="false" hidden="false" name="WPsk" vbProcedure="false">#ref!</definedName>
    <definedName function="false" hidden="false" name="WP_Tally" vbProcedure="false">#ref!</definedName>
    <definedName function="false" hidden="false" name="wqe" vbProcedure="false">#ref!</definedName>
    <definedName function="false" hidden="true" name="wrn.1999._.DIRECT._.PLAN." vbProcedure="false">{#N/A,#N/A,TRUE,"TOTAL";#N/A,#N/A,TRUE,"AGIBA ";#N/A,#N/A,TRUE,"AMOCO";#N/A,#N/A,TRUE,"BAPETCO";#N/A,#N/A,TRUE,"GUPCO";#N/A,#N/A,TRUE,"KHALDA";#N/A,#N/A,TRUE,"SUCO";#N/A,#N/A,TRUE,"PETROBEL";#N/A,#N/A,TRUE,"ZAFCO";#N/A,#N/A,TRUE,"TULLOW";#N/A,#N/A,TRUE,"HBS";#N/A,#N/A,TRUE,"QARUN";#N/A,#N/A,TRUE,"MISC"}</definedName>
    <definedName function="false" hidden="true" name="wrn.ASDF." vbProcedure="false">{#N/A,#N/A,FALSE,"SHEET 1";#N/A,#N/A,FALSE,"Sheet4"}</definedName>
    <definedName function="false" hidden="true" name="wrn.AT._.Reports." vbProcedure="false">{#N/A,#N/A,FALSE,"Drlg Param Run 1-1";#N/A,#N/A,FALSE,"DDR (3)";#N/A,#N/A,FALSE,"BHA AT (1)";#N/A,#N/A,FALSE,"Downlinkbha";#N/A,#N/A,FALSE,"Job Status Report"}</definedName>
    <definedName function="false" hidden="true" name="wrn.CD_MST." vbProcedure="false">{#N/A,#N/A,FALSE,"Sheet1"}</definedName>
    <definedName function="false" hidden="true" name="wrn.Closing._.P14Q5FY98." vbProcedure="false">{#N/A,#N/A,TRUE,"P14 Summary";#N/A,#N/A,TRUE,"ACT_PLAN";#N/A,#N/A,TRUE,"BESA P14";#N/A,#N/A,TRUE,"Drexel P14";#N/A,#N/A,TRUE,"BSC P14";#N/A,#N/A,TRUE,"DIRECT-P14"}</definedName>
    <definedName function="false" hidden="true" name="wrn.DST_TCP." vbProcedure="false">{#N/A,#N/A,FALSE,"INFO";#N/A,#N/A,FALSE,"PCT";#N/A,#N/A,FALSE,"DISCS";#N/A,#N/A,FALSE,"DISC TABLE";#N/A,#N/A,FALSE,"CUSHION";#N/A,#N/A,FALSE,"HYDRAULICS";#N/A,#N/A,FALSE,"MCCV";#N/A,#N/A,FALSE,"HDF";#N/A,#N/A,FALSE,"GUNS";#N/A,#N/A,FALSE,"GUNDATA"}</definedName>
    <definedName function="false" hidden="true" name="wrn.FULL._.DTL." vbProcedure="false">{"CF",#N/A,FALSE,"FULL COST";"MANUFACT",#N/A,FALSE,"FULL COST";"PAYNMENT",#N/A,FALSE,"FULL COST"}</definedName>
    <definedName function="false" hidden="true" name="wrn.FULLSUM." vbProcedure="false">{#N/A,#N/A,FALSE,"SUM-1";#N/A,#N/A,FALSE,"SUM-2";#N/A,#N/A,FALSE,"TENDER"}</definedName>
    <definedName function="false" hidden="true" name="wrn.FY99._.LOCAL._.PLAN." vbProcedure="false">{#N/A,#N/A,TRUE,"TOTAL";#N/A,#N/A,TRUE,"AGIBA ";#N/A,#N/A,TRUE,"AMOCO";#N/A,#N/A,TRUE,"BAPETCO";#N/A,#N/A,TRUE,"ERITREA";#N/A,#N/A,TRUE,"GUPCO";#N/A,#N/A,TRUE,"I.E.O.C.";#N/A,#N/A,TRUE,"KHALDA";#N/A,#N/A,TRUE,"PETROBEL";#N/A,#N/A,TRUE,"QARUN";#N/A,#N/A,TRUE,"ZAFCO";#N/A,#N/A,TRUE,"TULLOW";#N/A,#N/A,TRUE,"MISC"}</definedName>
    <definedName function="false" hidden="true" name="wrn.ratios." vbProcedure="false">{"raatios",#N/A,FALSE,"A";"ratios",#N/A,FALSE,"B";"ratios",#N/A,FALSE,"C";"ratios",#N/A,FALSE,"D";"ratios",#N/A,FALSE,"F"}</definedName>
    <definedName function="false" hidden="true" name="wrn.SUMMARY." vbProcedure="false">{#N/A,#N/A,FALSE,"JUNK"}</definedName>
    <definedName function="false" hidden="true" name="wrn.VOLUME." vbProcedure="false">{#N/A,#N/A,FALSE,"Volume"}</definedName>
    <definedName function="false" hidden="true" name="wrn.volume.2" vbProcedure="false">{#N/A,#N/A,FALSE,"Volume"}</definedName>
    <definedName function="false" hidden="false" name="wrn.volume.2_1" vbProcedure="false">{#N/A,#N/A,FALSE,"Volume"}</definedName>
    <definedName function="false" hidden="false" name="wrn.volume.2_2" vbProcedure="false">{#N/A,#N/A,FALSE,"Volume"}</definedName>
    <definedName function="false" hidden="false" name="wrn.volume.2_3" vbProcedure="false">{#N/A,#N/A,FALSE,"Volume"}</definedName>
    <definedName function="false" hidden="false" name="wrn.volume.2_4" vbProcedure="false">{#N/A,#N/A,FALSE,"Volume"}</definedName>
    <definedName function="false" hidden="false" name="wrn.volume.2_5" vbProcedure="false">{#N/A,#N/A,FALSE,"Volume"}</definedName>
    <definedName function="false" hidden="true" name="wrn.volume.3" vbProcedure="false">{#N/A,#N/A,FALSE,"Volume"}</definedName>
    <definedName function="false" hidden="false" name="wrn.volume.3_1" vbProcedure="false">{#N/A,#N/A,FALSE,"Volume"}</definedName>
    <definedName function="false" hidden="false" name="wrn.volume.3_2" vbProcedure="false">{#N/A,#N/A,FALSE,"Volume"}</definedName>
    <definedName function="false" hidden="false" name="wrn.volume.3_3" vbProcedure="false">{#N/A,#N/A,FALSE,"Volume"}</definedName>
    <definedName function="false" hidden="false" name="wrn.volume.3_4" vbProcedure="false">{#N/A,#N/A,FALSE,"Volume"}</definedName>
    <definedName function="false" hidden="false" name="wrn.volume.3_5" vbProcedure="false">{#N/A,#N/A,FALSE,"Volume"}</definedName>
    <definedName function="false" hidden="false" name="wrn.VOLUME._1" vbProcedure="false">{#N/A,#N/A,FALSE,"Volume"}</definedName>
    <definedName function="false" hidden="false" name="wrn.VOLUME._2" vbProcedure="false">{#N/A,#N/A,FALSE,"Volume"}</definedName>
    <definedName function="false" hidden="false" name="wrn.VOLUME._3" vbProcedure="false">{#N/A,#N/A,FALSE,"Volume"}</definedName>
    <definedName function="false" hidden="false" name="wrn.VOLUME._4" vbProcedure="false">{#N/A,#N/A,FALSE,"Volume"}</definedName>
    <definedName function="false" hidden="false" name="wrn.VOLUME._5" vbProcedure="false">{#N/A,#N/A,FALSE,"Volume"}</definedName>
    <definedName function="false" hidden="true" name="WRN.VULUME" vbProcedure="false">{#N/A,#N/A,FALSE,"Volume"}</definedName>
    <definedName function="false" hidden="true"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name="wrn2.asdf" vbProcedure="false">{#N/A,#N/A,FALSE,"SHEET 1";#N/A,#N/A,FALSE,"Sheet4"}</definedName>
    <definedName function="false" hidden="false" name="wscolumn" vbProcedure="false">[19]Data!$W$19</definedName>
    <definedName function="false" hidden="false" name="WS_ID" vbProcedure="false">#ref!</definedName>
    <definedName function="false" hidden="false" name="WS_LENGTH" vbProcedure="false">#ref!</definedName>
    <definedName function="false" hidden="false" name="WS_OD" vbProcedure="false">#ref!</definedName>
    <definedName function="false" hidden="false" name="wt" vbProcedure="false">'[16]Max-Torq'!$P$64</definedName>
    <definedName function="false" hidden="false" name="wtcasing" vbProcedure="false">[19]Data!$J$19</definedName>
    <definedName function="false" hidden="false" name="wtr_cumm" vbProcedure="false">'[94]well test sheet'!#ref!</definedName>
    <definedName function="false" hidden="false" name="wtr_rate" vbProcedure="false">'[94]well test sheet'!#ref!</definedName>
    <definedName function="false" hidden="false" name="wtworkstring" vbProcedure="false">[19]Data!$W$21</definedName>
    <definedName function="false" hidden="false" name="Wtype" vbProcedure="false">'[11]Liner Job Info'!$E$9</definedName>
    <definedName function="false" hidden="false" name="Wt_Bouyant" vbProcedure="false">#ref!</definedName>
    <definedName function="false" hidden="false" name="Wt_w_Cmt" vbProcedure="false">#ref!</definedName>
    <definedName function="false" hidden="false" name="Wt_W_Pkr_Tst" vbProcedure="false">#ref!</definedName>
    <definedName function="false" hidden="false" name="WUnit" vbProcedure="false">#ref!</definedName>
    <definedName function="false" hidden="false" name="WWW" vbProcedure="false">#ref!</definedName>
    <definedName function="false" hidden="false" name="W_mA" vbProcedure="false">[139]tonmiles!#ref!</definedName>
    <definedName function="false" hidden="true" name="x" vbProcedure="false">{#N/A,#N/A,FALSE,"Drlg Param Run 1-1";#N/A,#N/A,FALSE,"DDR (3)";#N/A,#N/A,FALSE,"BHA AT (1)";#N/A,#N/A,FALSE,"Downlinkbha";#N/A,#N/A,FALSE,"Job Status Report"}</definedName>
    <definedName function="false" hidden="false" name="X5_TO" vbProcedure="false">[38]RSS!$C$197</definedName>
    <definedName function="false" hidden="false" name="XCEED_TO" vbProcedure="false">[38]RSS!$G$201</definedName>
    <definedName function="false" hidden="false" name="xdd" vbProcedure="false">'[7]Drop-Down Items'!$Z$7</definedName>
    <definedName function="false" hidden="false" name="XdryCG" vbProcedure="false">'[48]Item Listings'!$AV$46</definedName>
    <definedName function="false" hidden="false" name="Xfoto" vbProcedure="false">#ref!</definedName>
    <definedName function="false" hidden="false" name="XfutopCG" vbProcedure="false">'[48]Wt Rpt'!$O$76</definedName>
    <definedName function="false" hidden="false" name="xls" vbProcedure="false">#ref!</definedName>
    <definedName function="false" hidden="false" name="Xmas_Tree" vbProcedure="false">[92]Data!$AG$2:$AG$6</definedName>
    <definedName function="false" hidden="false" name="Xnobj" vbProcedure="false">#ref!</definedName>
    <definedName function="false" hidden="false" name="XO" vbProcedure="false">#ref!</definedName>
    <definedName function="false" hidden="false" name="Xobj" vbProcedure="false">#ref!</definedName>
    <definedName function="false" hidden="false" name="XopCG" vbProcedure="false">'[48]Wt Rpt'!$E$76</definedName>
    <definedName function="false" hidden="false" name="xoportdepth" vbProcedure="false">#ref!</definedName>
    <definedName function="false" hidden="false" name="XO_DEPTH" vbProcedure="false">#ref!</definedName>
    <definedName function="false" hidden="false" name="XO_PORT_DEPTH" vbProcedure="false">#ref!</definedName>
    <definedName function="false" hidden="false" name="Xproj" vbProcedure="false">#ref!</definedName>
    <definedName function="false" hidden="false" name="XRID" vbProcedure="false">#ref!</definedName>
    <definedName function="false" hidden="false" name="XSHHS" vbProcedure="false">#ref!</definedName>
    <definedName function="false" hidden="false" name="Xsonda" vbProcedure="false">#ref!</definedName>
    <definedName function="false" hidden="false" name="Xtieon" vbProcedure="false">#ref!</definedName>
    <definedName function="false" hidden="false" name="XTRA_TO" vbProcedure="false">[38]RSS!$E$201</definedName>
    <definedName function="false" hidden="false" name="xx" vbProcedure="false">#ref!</definedName>
    <definedName function="false" hidden="true" name="xxx" vbProcedure="false">{#N/A,#N/A,FALSE,"Sheet1"}</definedName>
    <definedName function="false" hidden="false" name="xyc" vbProcedure="false">'[2]run sheet'!#ref!</definedName>
    <definedName function="false" hidden="false" name="X_O" vbProcedure="false">[90]tbgtally!#ref!</definedName>
    <definedName function="false" hidden="false" name="y" vbProcedure="false">#ref!</definedName>
    <definedName function="false" hidden="false" name="YdryCG" vbProcedure="false">'[48]Item Listings'!$AW$46</definedName>
    <definedName function="false" hidden="false" name="year" vbProcedure="false">#ref!</definedName>
    <definedName function="false" hidden="false" name="YesNo" vbProcedure="false">#ref!</definedName>
    <definedName function="false" hidden="false" name="Yes_No" vbProcedure="false">'[27]Name Range'!$K$2:$K$4</definedName>
    <definedName function="false" hidden="false" name="Yfoto" vbProcedure="false">#ref!</definedName>
    <definedName function="false" hidden="false" name="YfutopCG" vbProcedure="false">'[48]Wt Rpt'!$P$76</definedName>
    <definedName function="false" hidden="false" name="YJEJD" vbProcedure="false">#ref!</definedName>
    <definedName function="false" hidden="false" name="YN" vbProcedure="false">#ref!</definedName>
    <definedName function="false" hidden="false" name="Ynobj" vbProcedure="false">#ref!</definedName>
    <definedName function="false" hidden="false" name="ynu" vbProcedure="false">'[7]Drop-Down Items'!$B$24:$B$26</definedName>
    <definedName function="false" hidden="false" name="Yobj" vbProcedure="false">#ref!</definedName>
    <definedName function="false" hidden="false" name="YopCG" vbProcedure="false">'[48]Wt Rpt'!$F$76</definedName>
    <definedName function="false" hidden="false" name="YP" vbProcedure="false">#ref!</definedName>
    <definedName function="false" hidden="false" name="ypa" vbProcedure="false">'[16]Max-Torq'!$P$63</definedName>
    <definedName function="false" hidden="false" name="ypdtr" vbProcedure="false">'[16]Max-Torq'!$P$70</definedName>
    <definedName function="false" hidden="false" name="Yproj" vbProcedure="false">#ref!</definedName>
    <definedName function="false" hidden="false" name="Ysonda" vbProcedure="false">#ref!</definedName>
    <definedName function="false" hidden="false" name="Ytieon" vbProcedure="false">#ref!</definedName>
    <definedName function="false" hidden="true" name="yyyyyyyyyyyy" vbProcedure="false">{"raatios",#N/A,FALSE,"A";"ratios",#N/A,FALSE,"B";"ratios",#N/A,FALSE,"C";"ratios",#N/A,FALSE,"D";"ratios",#N/A,FALSE,"F"}</definedName>
    <definedName function="false" hidden="false" name="Z" vbProcedure="false">#ref!</definedName>
    <definedName function="false" hidden="false" name="zdc" vbProcedure="false">#ref!</definedName>
    <definedName function="false" hidden="false" name="ZdryCG" vbProcedure="false">'[48]Item Listings'!$AX$46</definedName>
    <definedName function="false" hidden="false" name="ZfutopCG" vbProcedure="false">'[48]Wt Rpt'!$Q$76</definedName>
    <definedName function="false" hidden="false" name="zhang" vbProcedure="false">#ref!</definedName>
    <definedName function="false" hidden="false" name="Zip" vbProcedure="false">#ref!</definedName>
    <definedName function="false" hidden="false" name="ZonaNascosta" vbProcedure="false">#ref!</definedName>
    <definedName function="false" hidden="false" name="zone" vbProcedure="false">#ref!</definedName>
    <definedName function="false" hidden="false" name="Zone1BHP" vbProcedure="false">#ref!</definedName>
    <definedName function="false" hidden="false" name="Zone1BHT" vbProcedure="false">#ref!</definedName>
    <definedName function="false" hidden="false" name="Zone1Bottom" vbProcedure="false">#ref!</definedName>
    <definedName function="false" hidden="false" name="Zone1Dev" vbProcedure="false">#ref!</definedName>
    <definedName function="false" hidden="false" name="Zone1FluidType" vbProcedure="false">#ref!</definedName>
    <definedName function="false" hidden="false" name="Zone1FluidWt" vbProcedure="false">#ref!</definedName>
    <definedName function="false" hidden="false" name="Zone1Name" vbProcedure="false">#ref!</definedName>
    <definedName function="false" hidden="false" name="Zone1Top" vbProcedure="false">#ref!</definedName>
    <definedName function="false" hidden="false" name="Zone2BHP" vbProcedure="false">#ref!</definedName>
    <definedName function="false" hidden="false" name="Zone2BHT" vbProcedure="false">#ref!</definedName>
    <definedName function="false" hidden="false" name="Zone2Bottom" vbProcedure="false">#ref!</definedName>
    <definedName function="false" hidden="false" name="Zone2Dev" vbProcedure="false">#ref!</definedName>
    <definedName function="false" hidden="false" name="Zone2FluidType" vbProcedure="false">#ref!</definedName>
    <definedName function="false" hidden="false" name="Zone2FluidWt" vbProcedure="false">#ref!</definedName>
    <definedName function="false" hidden="false" name="Zone2Name" vbProcedure="false">#ref!</definedName>
    <definedName function="false" hidden="false" name="Zone2Top" vbProcedure="false">#ref!</definedName>
    <definedName function="false" hidden="false" name="Zone3BHP" vbProcedure="false">#ref!</definedName>
    <definedName function="false" hidden="false" name="Zone3BHT" vbProcedure="false">#ref!</definedName>
    <definedName function="false" hidden="false" name="Zone3Bottom" vbProcedure="false">#ref!</definedName>
    <definedName function="false" hidden="false" name="Zone3Dev" vbProcedure="false">#ref!</definedName>
    <definedName function="false" hidden="false" name="Zone3FluidType" vbProcedure="false">#ref!</definedName>
    <definedName function="false" hidden="false" name="Zone3FluidWt" vbProcedure="false">#ref!</definedName>
    <definedName function="false" hidden="false" name="Zone3Name" vbProcedure="false">#ref!</definedName>
    <definedName function="false" hidden="false" name="Zone3Top" vbProcedure="false">#ref!</definedName>
    <definedName function="false" hidden="false" name="Zone4BHP" vbProcedure="false">#ref!</definedName>
    <definedName function="false" hidden="false" name="Zone4BHT" vbProcedure="false">#ref!</definedName>
    <definedName function="false" hidden="false" name="Zone4Bottom" vbProcedure="false">#ref!</definedName>
    <definedName function="false" hidden="false" name="Zone4Dev" vbProcedure="false">#ref!</definedName>
    <definedName function="false" hidden="false" name="Zone4FluidType" vbProcedure="false">#ref!</definedName>
    <definedName function="false" hidden="false" name="Zone4FluidWt" vbProcedure="false">#ref!</definedName>
    <definedName function="false" hidden="false" name="Zone4Name" vbProcedure="false">#ref!</definedName>
    <definedName function="false" hidden="false" name="Zone4Top" vbProcedure="false">#ref!</definedName>
    <definedName function="false" hidden="false" name="Zone5BHP" vbProcedure="false">#ref!</definedName>
    <definedName function="false" hidden="false" name="Zone5BHT" vbProcedure="false">#ref!</definedName>
    <definedName function="false" hidden="false" name="Zone5Bottom" vbProcedure="false">#ref!</definedName>
    <definedName function="false" hidden="false" name="Zone5Dev" vbProcedure="false">#ref!</definedName>
    <definedName function="false" hidden="false" name="Zone5FluidType" vbProcedure="false">#ref!</definedName>
    <definedName function="false" hidden="false" name="Zone5FluidWt" vbProcedure="false">#ref!</definedName>
    <definedName function="false" hidden="false" name="Zone5Name" vbProcedure="false">#ref!</definedName>
    <definedName function="false" hidden="false" name="Zone5Top" vbProcedure="false">#ref!</definedName>
    <definedName function="false" hidden="false" name="zonename" vbProcedure="false">[5]WTR!$L$5</definedName>
    <definedName function="false" hidden="false" name="Zone_A" vbProcedure="false">#ref!</definedName>
    <definedName function="false" hidden="false" name="Zone_B" vbProcedure="false">#ref!</definedName>
    <definedName function="false" hidden="false" name="Zone_C" vbProcedure="false">#ref!</definedName>
    <definedName function="false" hidden="false" name="Zone_D" vbProcedure="false">#ref!</definedName>
    <definedName function="false" hidden="false" name="Zone_d_impression" vbProcedure="false">#ref!</definedName>
    <definedName function="false" hidden="false" name="Zone_E" vbProcedure="false">#ref!</definedName>
    <definedName function="false" hidden="false" name="Zone_F" vbProcedure="false">#ref!</definedName>
    <definedName function="false" hidden="false" name="Zone_G" vbProcedure="false">#ref!</definedName>
    <definedName function="false" hidden="false" name="Zone_H" vbProcedure="false">#ref!</definedName>
    <definedName function="false" hidden="false" name="Zone_impres_MI" vbProcedure="false">'[99]Com OldNom'!$A$1:$M$62</definedName>
    <definedName function="false" hidden="false" name="ZopCG" vbProcedure="false">'[48]Wt Rpt'!$G$76</definedName>
    <definedName function="false" hidden="false" name="ZXPSLEEVE" vbProcedure="false">#ref!</definedName>
    <definedName function="false" hidden="false" name="ZXP_Seal_Area" vbProcedure="false">#ref!</definedName>
    <definedName function="false" hidden="false" name="ZYX" vbProcedure="false">#ref!</definedName>
    <definedName function="false" hidden="false" name="ZZZ" vbProcedure="false">#ref!</definedName>
    <definedName function="false" hidden="false" name="Z_Fact_DH" vbProcedure="false">#ref!</definedName>
    <definedName function="false" hidden="false" name="Z_Fact_Surf" vbProcedure="false">#ref!</definedName>
    <definedName function="false" hidden="false" name="_" vbProcedure="false">#ref!</definedName>
    <definedName function="false" hidden="false" name="_0" vbProcedure="false">#ref!</definedName>
    <definedName function="false" hidden="true" name="_1" vbProcedure="false">{#N/A,#N/A,FALSE,"Volume"}</definedName>
    <definedName function="false" hidden="false" name="_10Module2__2__.serialselect4" vbProcedure="false">#N/A</definedName>
    <definedName function="false" hidden="false" name="_10SecGELS" vbProcedure="false">#ref!</definedName>
    <definedName function="false" hidden="true" name="_10__123Graph_BCHART_2" vbProcedure="false">'[20]case sjac 19'!#ref!</definedName>
    <definedName function="false" hidden="true" name="_10__123Graph_CCHART_2" vbProcedure="false">'[20]case sjac 19'!#ref!</definedName>
    <definedName function="false" hidden="true" name="_10__123Graph_XCHART_2" vbProcedure="false">'[20]case sjac 19'!#ref!</definedName>
    <definedName function="false" hidden="false" name="_11Druckbereich" vbProcedure="false">#N/A</definedName>
    <definedName function="false" hidden="true" name="_11__123Graph_BCHART_1" vbProcedure="false">[32]mkn06!#ref!</definedName>
    <definedName function="false" hidden="true" name="_11__123Graph_CCHART_2" vbProcedure="false">'[20]case sjac 19'!#ref!</definedName>
    <definedName function="false" hidden="true" name="_1234GRAPH_G" vbProcedure="false">[100]Run!$F$16:$F$514</definedName>
    <definedName function="false" hidden="true" name="_12__123Graph_BCHART_2" vbProcedure="false">'[20]case sjac 19'!#ref!</definedName>
    <definedName function="false" hidden="true" name="_12__123Graph_CCHART_2" vbProcedure="false">'[20]case sjac 19'!#ref!</definedName>
    <definedName function="false" hidden="true" name="_12__123Graph_XCHART_1" vbProcedure="false">[35]mkn06!#ref!</definedName>
    <definedName function="false" hidden="false" name="_13.3_8_casing" vbProcedure="false">#ref!</definedName>
    <definedName function="false" hidden="false" name="_13.3_8__casing" vbProcedure="false">#ref!</definedName>
    <definedName function="false" hidden="true" name="_13__123Graph_CCHART_2" vbProcedure="false">'[20]case sjac 19'!#ref!</definedName>
    <definedName function="false" hidden="true" name="_14__123Graph_XCHART_2" vbProcedure="false">'[20]case sjac 19'!#ref!</definedName>
    <definedName function="false" hidden="true" name="_15__123Graph_XCHART_1" vbProcedure="false">[35]mkn06!#ref!</definedName>
    <definedName function="false" hidden="true" name="_16__123Graph_XCHART_2" vbProcedure="false">'[20]case sjac 19'!#ref!</definedName>
    <definedName function="false" hidden="true" name="_17__123Graph_XCHART_2" vbProcedure="false">'[20]case sjac 19'!#ref!</definedName>
    <definedName function="false" hidden="true" name="_18__123Graph_XCHART_1" vbProcedure="false">[32]mkn06!#ref!</definedName>
    <definedName function="false" hidden="true" name="_19__123Graph_XCHART_2" vbProcedure="false">'[20]case sjac 19'!#ref!</definedName>
    <definedName function="false" hidden="false" name="_1Druckbereich" vbProcedure="false">#ref!</definedName>
    <definedName function="false" hidden="false" name="_1Module1__2__.impdwg" vbProcedure="false">NA()</definedName>
    <definedName function="false" hidden="false" name="_1Module1__2__.impdwg_1" vbProcedure="false">NA()</definedName>
    <definedName function="false" hidden="false" name="_1Module1__2__.impdwg_10" vbProcedure="false">NA()</definedName>
    <definedName function="false" hidden="false" name="_1Module1__2__.impdwg_11" vbProcedure="false">NA()</definedName>
    <definedName function="false" hidden="false" name="_1Module1__2__.impdwg_2" vbProcedure="false">NA()</definedName>
    <definedName function="false" hidden="false" name="_1Module1__2__.impdwg_3" vbProcedure="false">NA()</definedName>
    <definedName function="false" hidden="false" name="_1Module1__2__.impdwg_4" vbProcedure="false">NA()</definedName>
    <definedName function="false" hidden="false" name="_1Module1__2__.impdwg_5" vbProcedure="false">NA()</definedName>
    <definedName function="false" hidden="false" name="_1Module1__2__.impdwg_6" vbProcedure="false">NA()</definedName>
    <definedName function="false" hidden="false" name="_1Module1__2__.impdwg_7" vbProcedure="false">NA()</definedName>
    <definedName function="false" hidden="false" name="_1Module1__2__.impdwg_8" vbProcedure="false">NA()</definedName>
    <definedName function="false" hidden="false" name="_1Module1__2__.impdwg_9" vbProcedure="false">NA()</definedName>
    <definedName function="false" hidden="false" name="_1Module2__2__.gaugeconok2" vbProcedure="false">#N/A</definedName>
    <definedName function="false" hidden="false" name="_1_" vbProcedure="false">#ref!</definedName>
    <definedName function="false" hidden="false" name="_1_of_4" vbProcedure="false">5</definedName>
    <definedName function="false" hidden="true" name="_1__123Graph_ACHART_1" vbProcedure="false">[19]mkn06!#ref!</definedName>
    <definedName function="false" hidden="true" name="_2" vbProcedure="false">{#N/A,#N/A,FALSE,"Volume"}</definedName>
    <definedName function="false" hidden="false" name="_2Module2__2__.gaugeconok2" vbProcedure="false">#N/A</definedName>
    <definedName function="false" hidden="false" name="_2Module2__2__.gaugeok2" vbProcedure="false">[26]!_2Module2__2__.gaugeok2</definedName>
    <definedName function="false" hidden="true" name="_2__123Graph_ACHART_1" vbProcedure="false">[22]mkn06!#ref!</definedName>
    <definedName function="false" hidden="true" name="_2__123Graph_BCHART_1" vbProcedure="false">[19]mkn06!#ref!</definedName>
    <definedName function="false" hidden="false" name="_3Module1__2__.impdwg" vbProcedure="false">NA()</definedName>
    <definedName function="false" hidden="false" name="_3Module1__2__.impdwg_1" vbProcedure="false">NA()</definedName>
    <definedName function="false" hidden="false" name="_3Module1__2__.impdwg_10" vbProcedure="false">NA()</definedName>
    <definedName function="false" hidden="false" name="_3Module1__2__.impdwg_11" vbProcedure="false">NA()</definedName>
    <definedName function="false" hidden="false" name="_3Module1__2__.impdwg_2" vbProcedure="false">NA()</definedName>
    <definedName function="false" hidden="false" name="_3Module1__2__.impdwg_3" vbProcedure="false">NA()</definedName>
    <definedName function="false" hidden="false" name="_3Module1__2__.impdwg_4" vbProcedure="false">NA()</definedName>
    <definedName function="false" hidden="false" name="_3Module1__2__.impdwg_5" vbProcedure="false">NA()</definedName>
    <definedName function="false" hidden="false" name="_3Module1__2__.impdwg_6" vbProcedure="false">NA()</definedName>
    <definedName function="false" hidden="false" name="_3Module1__2__.impdwg_7" vbProcedure="false">NA()</definedName>
    <definedName function="false" hidden="false" name="_3Module1__2__.impdwg_8" vbProcedure="false">NA()</definedName>
    <definedName function="false" hidden="false" name="_3Module1__2__.impdwg_9" vbProcedure="false">NA()</definedName>
    <definedName function="false" hidden="false" name="_3Module2__2__.gaugeok2" vbProcedure="false">#N/A</definedName>
    <definedName function="false" hidden="false" name="_3Module2__2__.gaugeselect2" vbProcedure="false">[26]!_3Module2__2__.gaugeselect2</definedName>
    <definedName function="false" hidden="false" name="_3Module4_Formula_.Macro1" vbProcedure="false">[26]!_3Module4_Formula_.Macro1</definedName>
    <definedName function="false" hidden="false" name="_3SecGELS" vbProcedure="false">#ref!</definedName>
    <definedName function="false" hidden="true" name="_3__123Graph_ACHART_1" vbProcedure="false">[35]mkn06!#ref!</definedName>
    <definedName function="false" hidden="true" name="_3__123Graph_ACHART_2" vbProcedure="false">'[20]case sjac 19'!#ref!</definedName>
    <definedName function="false" hidden="true" name="_3__123Graph_XCHART_1" vbProcedure="false">[19]mkn06!#ref!</definedName>
    <definedName function="false" hidden="false" name="_4Module2__2__.gaugeok2" vbProcedure="false">#N/A</definedName>
    <definedName function="false" hidden="false" name="_4Module2__2__.serialselect3" vbProcedure="false">[26]!_4Module2__2__.serialselect3</definedName>
    <definedName function="false" hidden="true" name="_4__123Graph_ACHART_1" vbProcedure="false">[32]mkn06!#ref!</definedName>
    <definedName function="false" hidden="true" name="_4__123Graph_ACHART_2" vbProcedure="false">'[20]case sjac 19'!#ref!</definedName>
    <definedName function="false" hidden="true" name="_4__123Graph_BCHART_1" vbProcedure="false">[22]mkn06!#ref!</definedName>
    <definedName function="false" hidden="true" name="_5" vbProcedure="false">{#N/A,#N/A,FALSE,"Volume"}</definedName>
    <definedName function="false" hidden="false" name="_5Module2__2__.gaugeselect2" vbProcedure="false">#N/A</definedName>
    <definedName function="false" hidden="false" name="_5Module2__2__.serialselect4" vbProcedure="false">[26]!_5Module2__2__.serialselect4</definedName>
    <definedName function="false" hidden="true" name="_5__123Graph_ACHART_1" vbProcedure="false">[32]mkn06!#ref!</definedName>
    <definedName function="false" hidden="true" name="_5__123Graph_ACHART_2" vbProcedure="false">'[20]case sjac 19'!#ref!</definedName>
    <definedName function="false" hidden="true" name="_5__123Graph_BCHART_1" vbProcedure="false">[25]mkn06!#ref!</definedName>
    <definedName function="false" hidden="false" name="_6Module2__2__.gaugeselect2" vbProcedure="false">#N/A</definedName>
    <definedName function="false" hidden="true" name="_6__123Graph_ACHART_2" vbProcedure="false">'[20]case sjac 19'!#ref!</definedName>
    <definedName function="false" hidden="true" name="_6__123Graph_BCHART_1" vbProcedure="false">[35]mkn06!#ref!</definedName>
    <definedName function="false" hidden="true" name="_6__123Graph_BCHART_2" vbProcedure="false">'[20]case sjac 19'!#ref!</definedName>
    <definedName function="false" hidden="true" name="_6__123Graph_XCHART_1" vbProcedure="false">[22]mkn06!#ref!</definedName>
    <definedName function="false" hidden="false" name="_7Module2__2__.serialselect3" vbProcedure="false">#N/A</definedName>
    <definedName function="false" hidden="true" name="_7__123Graph_CCHART_2" vbProcedure="false">'[20]case sjac 19'!#ref!</definedName>
    <definedName function="false" hidden="false" name="_8Module2__2__.serialselect3" vbProcedure="false">#N/A</definedName>
    <definedName function="false" hidden="true" name="_8__123Graph_BCHART_1" vbProcedure="false">[35]mkn06!#ref!</definedName>
    <definedName function="false" hidden="true" name="_8__123Graph_BCHART_2" vbProcedure="false">'[20]case sjac 19'!#ref!</definedName>
    <definedName function="false" hidden="false" name="_9Module2__2__.serialselect4" vbProcedure="false">#N/A</definedName>
    <definedName function="false" hidden="false" name="_9_5_8__Csg_OD" vbProcedure="false">#ref!</definedName>
    <definedName function="false" hidden="true" name="_9__123Graph_BCHART_1" vbProcedure="false">[32]mkn06!#ref!</definedName>
    <definedName function="false" hidden="true" name="_9__123Graph_XCHART_1" vbProcedure="false">[25]mkn06!#ref!</definedName>
    <definedName function="false" hidden="false" name="_A" vbProcedure="false">#ref!</definedName>
    <definedName function="false" hidden="false" name="_a1" vbProcedure="false">#ref!</definedName>
    <definedName function="false" hidden="true" name="_a2" vbProcedure="false">{#N/A,#N/A,FALSE,"Volume"}</definedName>
    <definedName function="false" hidden="true" name="_a3" vbProcedure="false">{#N/A,#N/A,FALSE,"Volume"}</definedName>
    <definedName function="false" hidden="true" name="_a4" vbProcedure="false">{#N/A,#N/A,FALSE,"Volume"}</definedName>
    <definedName function="false" hidden="true" name="_aa" vbProcedure="false">{#N/A,#N/A,FALSE,"Volume"}</definedName>
    <definedName function="false" hidden="true" name="_aaa" vbProcedure="false">{#N/A,#N/A,FALSE,"Volume"}</definedName>
    <definedName function="false" hidden="true" name="_aaaaa" vbProcedure="false">{#N/A,#N/A,FALSE,"Volume"}</definedName>
    <definedName function="false" hidden="true" name="_aaaaaa" vbProcedure="false">{#N/A,#N/A,FALSE,"Volume"}</definedName>
    <definedName function="false" hidden="true" name="_ab" vbProcedure="false">{#N/A,#N/A,FALSE,"Volume"}</definedName>
    <definedName function="false" hidden="true" name="_ac" vbProcedure="false">{#N/A,#N/A,FALSE,"Volume"}</definedName>
    <definedName function="false" hidden="true" name="_acasdf" vbProcedure="false">{#N/A,#N/A,FALSE,"Volume"}</definedName>
    <definedName function="false" hidden="true" name="_acc" vbProcedure="false">{#N/A,#N/A,FALSE,"Volume"}</definedName>
    <definedName function="false" hidden="false" name="_add1" vbProcedure="false">#ref!</definedName>
    <definedName function="false" hidden="false" name="_add2" vbProcedure="false">#ref!</definedName>
    <definedName function="false" hidden="false" name="_add3" vbProcedure="false">#ref!</definedName>
    <definedName function="false" hidden="false" name="_ANC2" vbProcedure="false">[18]sheet1!#ref!</definedName>
    <definedName function="false" hidden="true" name="_ap1" vbProcedure="false">{#N/A,#N/A,FALSE,"Volume"}</definedName>
    <definedName function="false" hidden="true" name="_ap2" vbProcedure="false">{#N/A,#N/A,FALSE,"Volume"}</definedName>
    <definedName function="false" hidden="true" name="_ap3" vbProcedure="false">{#N/A,#N/A,FALSE,"Volume"}</definedName>
    <definedName function="false" hidden="true" name="_app1" vbProcedure="false">{#N/A,#N/A,FALSE,"Volume"}</definedName>
    <definedName function="false" hidden="true" name="_app2" vbProcedure="false">{#N/A,#N/A,FALSE,"Volume"}</definedName>
    <definedName function="false" hidden="true" name="_app3" vbProcedure="false">{#N/A,#N/A,FALSE,"Volume"}</definedName>
    <definedName function="false" hidden="true" name="_app4" vbProcedure="false">{#N/A,#N/A,FALSE,"Volume"}</definedName>
    <definedName function="false" hidden="true" name="_app5" vbProcedure="false">{#N/A,#N/A,FALSE,"Volume"}</definedName>
    <definedName function="false" hidden="true" name="_asdfas" vbProcedure="false">{#N/A,#N/A,FALSE,"Volume"}</definedName>
    <definedName function="false" hidden="true" name="_AtRisk_SimSetting_AutomaticallyGenerateReports" vbProcedure="false">FALSE()</definedName>
    <definedName function="false" hidden="true" name="_AtRisk_SimSetting_AutomaticResultsDisplayMode" vbProcedure="false">0</definedName>
    <definedName function="false" hidden="true" name="_AtRisk_SimSetting_ConvergenceConfidenceLevel" vbProcedure="false">0.95</definedName>
    <definedName function="false" hidden="true" name="_AtRisk_SimSetting_ConvergencePercentileToTest" vbProcedure="false">0.9</definedName>
    <definedName function="false" hidden="true" name="_AtRisk_SimSetting_ConvergencePerformMeanTest" vbProcedure="false">TRUE()</definedName>
    <definedName function="false" hidden="true" name="_AtRisk_SimSetting_ConvergencePerformPercentileTest" vbProcedure="false">FALSE()</definedName>
    <definedName function="false" hidden="true" name="_AtRisk_SimSetting_ConvergencePerformStdDeviationTest" vbProcedure="false">FALSE()</definedName>
    <definedName function="false" hidden="true" name="_AtRisk_SimSetting_ConvergenceTestAllOutputs" vbProcedure="false">TRUE()</definedName>
    <definedName function="false" hidden="true" name="_AtRisk_SimSetting_ConvergenceTestingPeriod" vbProcedure="false">100</definedName>
    <definedName function="false" hidden="true" name="_AtRisk_SimSetting_ConvergenceTolerance" vbProcedure="false">0.03</definedName>
    <definedName function="false" hidden="true" name="_AtRisk_SimSetting_LiveUpdate" vbProcedure="false">TRUE()</definedName>
    <definedName function="false" hidden="true" name="_AtRisk_SimSetting_LiveUpdatePeriod" vbProcedure="false">-1</definedName>
    <definedName function="false" hidden="true" name="_AtRisk_SimSetting_RandomNumberGenerator" vbProcedure="false">7</definedName>
    <definedName function="false" hidden="true" name="_AtRisk_SimSetting_ReportsList" vbProcedure="false">0</definedName>
    <definedName function="false" hidden="true" name="_AtRisk_SimSetting_SimNameCount" vbProcedure="false">0</definedName>
    <definedName function="false" hidden="true" name="_AtRisk_SimSetting_SmartSensitivityAnalysisEnabled" vbProcedure="false">TRUE()</definedName>
    <definedName function="false" hidden="true" name="_AtRisk_SimSetting_StatisticFunctionUpdating" vbProcedure="false">0</definedName>
    <definedName function="false" hidden="true" name="_AtRisk_SimSetting_StdRecalcBehavior" vbProcedure="false">0</definedName>
    <definedName function="false" hidden="true" name="_AtRisk_SimSetting_StdRecalcWithoutRiskStatic" vbProcedure="false">0</definedName>
    <definedName function="false" hidden="true" name="_AtRisk_SimSetting_StdRecalcWithoutRiskStaticPercentile" vbProcedure="false">0.5</definedName>
    <definedName function="false" hidden="true" name="_a_0" vbProcedure="false">{#N/A,#N/A,FALSE,"Volume"}</definedName>
    <definedName function="false" hidden="false" name="_B" vbProcedure="false">#ref!</definedName>
    <definedName function="false" hidden="true" name="_b1" vbProcedure="false">{#N/A,#N/A,FALSE,"Volume"}</definedName>
    <definedName function="false" hidden="true" name="_b2" vbProcedure="false">{#N/A,#N/A,FALSE,"Volume"}</definedName>
    <definedName function="false" hidden="true" name="_b3" vbProcedure="false">{#N/A,#N/A,FALSE,"Volume"}</definedName>
    <definedName function="false" hidden="true" name="_b4" vbProcedure="false">{#N/A,#N/A,FALSE,"Volume"}</definedName>
    <definedName function="false" hidden="true" name="_b5" vbProcedure="false">{#N/A,#N/A,FALSE,"Volume"}</definedName>
    <definedName function="false" hidden="false" name="_bb2789" vbProcedure="false">[9]!Calculate_Pipe</definedName>
    <definedName function="false" hidden="true" name="_bgn1" vbProcedure="false">{#N/A,#N/A,FALSE,"Sheet1"}</definedName>
    <definedName function="false" hidden="false" name="_BHA1" vbProcedure="false">#ref!</definedName>
    <definedName function="false" hidden="false" name="_bhp2" vbProcedure="false">#ref!</definedName>
    <definedName function="false" hidden="true" name="_b_0" vbProcedure="false">{#N/A,#N/A,FALSE,"Volume"}</definedName>
    <definedName function="false" hidden="false" name="_C" vbProcedure="false">#ref!</definedName>
    <definedName function="false" hidden="true" name="_c1" vbProcedure="false">{#N/A,#N/A,FALSE,"Volume"}</definedName>
    <definedName function="false" hidden="true" name="_c2" vbProcedure="false">{#N/A,#N/A,FALSE,"Volume"}</definedName>
    <definedName function="false" hidden="true" name="_c3" vbProcedure="false">{#N/A,#N/A,FALSE,"Volume"}</definedName>
    <definedName function="false" hidden="true" name="_c4" vbProcedure="false">{#N/A,#N/A,FALSE,"Volume"}</definedName>
    <definedName function="false" hidden="true" name="_cd1" vbProcedure="false">{#N/A,#N/A,FALSE,"Sheet1"}</definedName>
    <definedName function="false" hidden="true" name="_cf1" vbProcedure="false">{#N/A,#N/A,FALSE,"Sheet1"}</definedName>
    <definedName function="false" hidden="false" name="_Col1" vbProcedure="false">#ref!</definedName>
    <definedName function="false" hidden="false" name="_Col10" vbProcedure="false">#ref!</definedName>
    <definedName function="false" hidden="false" name="_Col11" vbProcedure="false">#ref!</definedName>
    <definedName function="false" hidden="false" name="_Col12" vbProcedure="false">#ref!</definedName>
    <definedName function="false" hidden="false" name="_Col13" vbProcedure="false">#ref!</definedName>
    <definedName function="false" hidden="false" name="_Col14" vbProcedure="false">#ref!</definedName>
    <definedName function="false" hidden="false" name="_Col15" vbProcedure="false">#ref!</definedName>
    <definedName function="false" hidden="false" name="_Col16" vbProcedure="false">#ref!</definedName>
    <definedName function="false" hidden="false" name="_Col17" vbProcedure="false">#ref!</definedName>
    <definedName function="false" hidden="false" name="_Col18" vbProcedure="false">#ref!</definedName>
    <definedName function="false" hidden="false" name="_Col19" vbProcedure="false">#ref!</definedName>
    <definedName function="false" hidden="false" name="_Col2" vbProcedure="false">#ref!</definedName>
    <definedName function="false" hidden="false" name="_Col20" vbProcedure="false">#ref!</definedName>
    <definedName function="false" hidden="false" name="_Col21" vbProcedure="false">#ref!</definedName>
    <definedName function="false" hidden="false" name="_Col22" vbProcedure="false">#ref!</definedName>
    <definedName function="false" hidden="false" name="_Col23" vbProcedure="false">#ref!</definedName>
    <definedName function="false" hidden="false" name="_Col24" vbProcedure="false">#ref!</definedName>
    <definedName function="false" hidden="false" name="_Col25" vbProcedure="false">#ref!</definedName>
    <definedName function="false" hidden="false" name="_Col26" vbProcedure="false">#ref!</definedName>
    <definedName function="false" hidden="false" name="_Col27" vbProcedure="false">#ref!</definedName>
    <definedName function="false" hidden="false" name="_Col28" vbProcedure="false">#ref!</definedName>
    <definedName function="false" hidden="false" name="_Col29" vbProcedure="false">#ref!</definedName>
    <definedName function="false" hidden="false" name="_Col3" vbProcedure="false">#ref!</definedName>
    <definedName function="false" hidden="false" name="_Col30" vbProcedure="false">#ref!</definedName>
    <definedName function="false" hidden="false" name="_Col4" vbProcedure="false">#ref!</definedName>
    <definedName function="false" hidden="false" name="_Col5" vbProcedure="false">#ref!</definedName>
    <definedName function="false" hidden="false" name="_Col6" vbProcedure="false">#ref!</definedName>
    <definedName function="false" hidden="false" name="_Col7" vbProcedure="false">#ref!</definedName>
    <definedName function="false" hidden="false" name="_Col8" vbProcedure="false">#ref!</definedName>
    <definedName function="false" hidden="false" name="_Col9" vbProcedure="false">#ref!</definedName>
    <definedName function="false" hidden="false" name="_Csg1" vbProcedure="false">#ref!</definedName>
    <definedName function="false" hidden="false" name="_Csg2" vbProcedure="false">#ref!</definedName>
    <definedName function="false" hidden="false" name="_Csg3" vbProcedure="false">#ref!</definedName>
    <definedName function="false" hidden="false" name="_CX2" vbProcedure="false">#ref!</definedName>
    <definedName function="false" hidden="false" name="_CX3" vbProcedure="false">#ref!</definedName>
    <definedName function="false" hidden="false" name="_CX4" vbProcedure="false">#ref!</definedName>
    <definedName function="false" hidden="false" name="_CX6" vbProcedure="false">#ref!</definedName>
    <definedName function="false" hidden="true" name="_c_0" vbProcedure="false">{#N/A,#N/A,FALSE,"Volume"}</definedName>
    <definedName function="false" hidden="false" name="_D" vbProcedure="false">#ref!</definedName>
    <definedName function="false" hidden="true" name="_d1" vbProcedure="false">{#N/A,#N/A,FALSE,"Volume"}</definedName>
    <definedName function="false" hidden="true" name="_d2_" vbProcedure="false">{#N/A,#N/A,FALSE,"Volume"}</definedName>
    <definedName function="false" hidden="true" name="_d3" vbProcedure="false">{#N/A,#N/A,FALSE,"Volume"}</definedName>
    <definedName function="false" hidden="true" name="_d4" vbProcedure="false">{#N/A,#N/A,FALSE,"Volume"}</definedName>
    <definedName function="false" hidden="false" name="_DAT1" vbProcedure="false">#ref!</definedName>
    <definedName function="false" hidden="false" name="_DAT10" vbProcedure="false">#ref!</definedName>
    <definedName function="false" hidden="false" name="_DAT11" vbProcedure="false">#ref!</definedName>
    <definedName function="false" hidden="false" name="_DAT12" vbProcedure="false">#ref!</definedName>
    <definedName function="false" hidden="false" name="_DAT13" vbProcedure="false">#ref!</definedName>
    <definedName function="false" hidden="false" name="_DAT14" vbProcedure="false">#ref!</definedName>
    <definedName function="false" hidden="false" name="_DAT15" vbProcedure="false">#ref!</definedName>
    <definedName function="false" hidden="false" name="_DAT16" vbProcedure="false">'[38]sap serv 06-02'!#ref!</definedName>
    <definedName function="false" hidden="false" name="_DAT17" vbProcedure="false">'[38]sap serv 06-02'!#ref!</definedName>
    <definedName function="false" hidden="false" name="_DAT19" vbProcedure="false">'[38]sap serv 06-02'!#ref!</definedName>
    <definedName function="false" hidden="false" name="_DAT2" vbProcedure="false">#ref!</definedName>
    <definedName function="false" hidden="false" name="_DAT20" vbProcedure="false">'[38]sap serv 06-02'!#ref!</definedName>
    <definedName function="false" hidden="false" name="_DAT25" vbProcedure="false">'[38]sap serv 06-02'!#ref!</definedName>
    <definedName function="false" hidden="false" name="_DAT26" vbProcedure="false">'[38]sap serv 06-02'!#ref!</definedName>
    <definedName function="false" hidden="false" name="_DAT27" vbProcedure="false">'[38]sap serv 06-02'!#ref!</definedName>
    <definedName function="false" hidden="false" name="_DAT28" vbProcedure="false">'[38]sap serv 06-02'!#ref!</definedName>
    <definedName function="false" hidden="false" name="_DAT29" vbProcedure="false">'[38]sap serv 06-02'!#ref!</definedName>
    <definedName function="false" hidden="false" name="_DAT3" vbProcedure="false">#ref!</definedName>
    <definedName function="false" hidden="false" name="_DAT31" vbProcedure="false">'[38]sap serv 06-02'!#ref!</definedName>
    <definedName function="false" hidden="false" name="_DAT32" vbProcedure="false">'[38]sap serv 06-02'!#ref!</definedName>
    <definedName function="false" hidden="false" name="_DAT34" vbProcedure="false">'[38]sap serv 06-02'!#ref!</definedName>
    <definedName function="false" hidden="false" name="_DAT35" vbProcedure="false">'[38]sap serv 06-02'!#ref!</definedName>
    <definedName function="false" hidden="false" name="_DAT36" vbProcedure="false">'[38]sap serv 06-02'!#ref!</definedName>
    <definedName function="false" hidden="false" name="_DAT4" vbProcedure="false">#ref!</definedName>
    <definedName function="false" hidden="false" name="_DAT40" vbProcedure="false">'[38]sap serv 06-02'!#ref!</definedName>
    <definedName function="false" hidden="false" name="_DAT41" vbProcedure="false">'[38]sap serv 06-02'!#ref!</definedName>
    <definedName function="false" hidden="false" name="_DAT42" vbProcedure="false">'[38]sap serv 06-02'!#ref!</definedName>
    <definedName function="false" hidden="false" name="_DAT44" vbProcedure="false">'[38]sap serv 06-02'!#ref!</definedName>
    <definedName function="false" hidden="false" name="_DAT45" vbProcedure="false">'[38]sap serv 06-02'!#ref!</definedName>
    <definedName function="false" hidden="false" name="_DAT46" vbProcedure="false">'[38]sap serv 06-02'!#ref!</definedName>
    <definedName function="false" hidden="false" name="_DAT47" vbProcedure="false">'[38]sap serv 06-02'!#ref!</definedName>
    <definedName function="false" hidden="false" name="_DAT48" vbProcedure="false">'[38]sap serv 06-02'!#ref!</definedName>
    <definedName function="false" hidden="false" name="_DAT49" vbProcedure="false">'[38]sap serv 06-02'!#ref!</definedName>
    <definedName function="false" hidden="false" name="_DAT5" vbProcedure="false">#ref!</definedName>
    <definedName function="false" hidden="false" name="_DAT50" vbProcedure="false">'[38]sap serv 06-02'!#ref!</definedName>
    <definedName function="false" hidden="false" name="_DAT52" vbProcedure="false">'[38]sap serv 06-02'!#ref!</definedName>
    <definedName function="false" hidden="false" name="_DAT53" vbProcedure="false">'[38]sap serv 06-02'!#ref!</definedName>
    <definedName function="false" hidden="false" name="_DAT54" vbProcedure="false">'[38]sap serv 06-02'!#ref!</definedName>
    <definedName function="false" hidden="false" name="_DAT56" vbProcedure="false">'[38]sap serv 06-02'!#ref!</definedName>
    <definedName function="false" hidden="false" name="_DAT57" vbProcedure="false">'[38]sap serv 06-02'!#ref!</definedName>
    <definedName function="false" hidden="false" name="_DAT6" vbProcedure="false">#ref!</definedName>
    <definedName function="false" hidden="false" name="_DAT62" vbProcedure="false">'[38]sap serv 06-02'!#ref!</definedName>
    <definedName function="false" hidden="false" name="_DAT63" vbProcedure="false">'[38]sap serv 06-02'!#ref!</definedName>
    <definedName function="false" hidden="false" name="_DAT7" vbProcedure="false">#ref!</definedName>
    <definedName function="false" hidden="false" name="_DAT8" vbProcedure="false">#ref!</definedName>
    <definedName function="false" hidden="false" name="_DAT9" vbProcedure="false">#ref!</definedName>
    <definedName function="false" hidden="false" name="_D_0" vbProcedure="false">#ref!</definedName>
    <definedName function="false" hidden="false" name="_E" vbProcedure="false">#ref!</definedName>
    <definedName function="false" hidden="true" name="_e1" vbProcedure="false">{#N/A,#N/A,FALSE,"Volume"}</definedName>
    <definedName function="false" hidden="true" name="_e2" vbProcedure="false">{#N/A,#N/A,FALSE,"Volume"}</definedName>
    <definedName function="false" hidden="true" name="_e3" vbProcedure="false">{#N/A,#N/A,FALSE,"Volume"}</definedName>
    <definedName function="false" hidden="true" name="_e4" vbProcedure="false">{#N/A,#N/A,FALSE,"Volume"}</definedName>
    <definedName function="false" hidden="false" name="_E_0" vbProcedure="false">#ref!</definedName>
    <definedName function="false" hidden="false" name="_F" vbProcedure="false">#ref!</definedName>
    <definedName function="false" hidden="true" name="_f1" vbProcedure="false">{#N/A,#N/A,FALSE,"Volume"}</definedName>
    <definedName function="false" hidden="true" name="_f2" vbProcedure="false">{#N/A,#N/A,FALSE,"Volume"}</definedName>
    <definedName function="false" hidden="true" name="_f3" vbProcedure="false">{#N/A,#N/A,FALSE,"Volume"}</definedName>
    <definedName function="false" hidden="true" name="_f4" vbProcedure="false">{#N/A,#N/A,FALSE,"Volume"}</definedName>
    <definedName function="false" hidden="true" name="_f5" vbProcedure="false">{#N/A,#N/A,FALSE,"Volume"}</definedName>
    <definedName function="false" hidden="true" name="_f6" vbProcedure="false">{#N/A,#N/A,FALSE,"Volume"}</definedName>
    <definedName function="false" hidden="true" name="_f7" vbProcedure="false">{#N/A,#N/A,FALSE,"Volume"}</definedName>
    <definedName function="false" hidden="true" name="_Fill" vbProcedure="false">#ref!</definedName>
    <definedName function="false" hidden="false" name="_F_0" vbProcedure="false">#ref!</definedName>
    <definedName function="false" hidden="false" name="_G" vbProcedure="false">#ref!</definedName>
    <definedName function="false" hidden="false" name="_gas1013" vbProcedure="false">'[28]calculo de gas total'!#ref!</definedName>
    <definedName function="false" hidden="false" name="_GAS1016" vbProcedure="false">'[29]calculo de gas total'!#ref!</definedName>
    <definedName function="false" hidden="false" name="_GAS1017" vbProcedure="false">'[29]calculo de gas total'!#ref!</definedName>
    <definedName function="false" hidden="false" name="_GAS1101" vbProcedure="false">'[29]calculo de gas total'!#ref!</definedName>
    <definedName function="false" hidden="false" name="_GAS1102" vbProcedure="false">'[29]calculo de gas total'!#ref!</definedName>
    <definedName function="false" hidden="false" name="_GAS1200" vbProcedure="false">'[29]calculo de gas total'!#ref!</definedName>
    <definedName function="false" hidden="false" name="_GAS1201" vbProcedure="false">'[29]calculo de gas total'!#ref!</definedName>
    <definedName function="false" hidden="false" name="_GAS1401" vbProcedure="false">'[29]calculo de gas total'!#ref!</definedName>
    <definedName function="false" hidden="false" name="_GAS1611" vbProcedure="false">'[29]calculo de gas total'!#ref!</definedName>
    <definedName function="false" hidden="false" name="_GAS1612" vbProcedure="false">'[29]calculo de gas total'!#ref!</definedName>
    <definedName function="false" hidden="false" name="_GAS1706" vbProcedure="false">'[29]calculo de gas total'!#ref!</definedName>
    <definedName function="false" hidden="false" name="_GAS1707" vbProcedure="false">'[29]calculo de gas total'!#ref!</definedName>
    <definedName function="false" hidden="false" name="_GAS1751" vbProcedure="false">'[29]calculo de gas total'!#ref!</definedName>
    <definedName function="false" hidden="false" name="_GAS1773" vbProcedure="false">'[29]calculo de gas total'!#ref!</definedName>
    <definedName function="false" hidden="false" name="_gas2020" vbProcedure="false">'[28]calculo de gas total'!#ref!</definedName>
    <definedName function="false" hidden="false" name="_gas6969" vbProcedure="false">'[28]calculo de gas total'!#ref!</definedName>
    <definedName function="false" hidden="false" name="_GAS7117" vbProcedure="false">'[29]calculo de gas total'!#ref!</definedName>
    <definedName function="false" hidden="false" name="_GAS7118" vbProcedure="false">'[29]calculo de gas total'!#ref!</definedName>
    <definedName function="false" hidden="true" name="_gmh1" vbProcedure="false">{#N/A,#N/A,FALSE,"Sheet1"}</definedName>
    <definedName function="false" hidden="false" name="_gs243" vbProcedure="false">'[30]calculo de gas total'!#ref!</definedName>
    <definedName function="false" hidden="true" name="_g_0" vbProcedure="false">{#N/A,#N/A,FALSE,"Volume"}</definedName>
    <definedName function="false" hidden="false" name="_H" vbProcedure="false">#ref!</definedName>
    <definedName function="false" hidden="true" name="_h_0" vbProcedure="false">{#N/A,#N/A,FALSE,"Volume"}</definedName>
    <definedName function="false" hidden="false" name="_I" vbProcedure="false">#ref!</definedName>
    <definedName function="false" hidden="true" name="_iw" vbProcedure="false">[22]mkn06!#ref!</definedName>
    <definedName function="false" hidden="true" name="_i_0" vbProcedure="false">{#N/A,#N/A,FALSE,"Volume"}</definedName>
    <definedName function="false" hidden="false" name="_J" vbProcedure="false">'[1]run sheet'!#ref!</definedName>
    <definedName function="false" hidden="false" name="_JE" vbProcedure="false">#ref!</definedName>
    <definedName function="false" hidden="false" name="_JE1" vbProcedure="false">'[4]cumulative temp diff'!#ref!</definedName>
    <definedName function="false" hidden="false" name="_JE2" vbProcedure="false">'[4]cumulative temp diff'!#ref!</definedName>
    <definedName function="false" hidden="false" name="_JK" vbProcedure="false">#ref!</definedName>
    <definedName function="false" hidden="false" name="_J_0" vbProcedure="false">#ref!</definedName>
    <definedName function="false" hidden="true" name="_Key1" vbProcedure="false">#ref!</definedName>
    <definedName function="false" hidden="false" name="_L" vbProcedure="false">#ref!</definedName>
    <definedName function="false" hidden="false" name="_lyc1" vbProcedure="false">#ref!</definedName>
    <definedName function="false" hidden="false" name="_lyc2" vbProcedure="false">#ref!</definedName>
    <definedName function="false" hidden="false" name="_lyc3" vbProcedure="false">#ref!</definedName>
    <definedName function="false" hidden="false" name="_lyc5" vbProcedure="false">#ref!</definedName>
    <definedName function="false" hidden="false" name="_lyc7" vbProcedure="false">#ref!</definedName>
    <definedName function="false" hidden="false" name="_M" vbProcedure="false">#ref!</definedName>
    <definedName function="false" hidden="false" name="_Mes1" vbProcedure="false">#ref!</definedName>
    <definedName function="false" hidden="false" name="_Mes2" vbProcedure="false">#ref!</definedName>
    <definedName function="false" hidden="false" name="_Mes3" vbProcedure="false">#ref!</definedName>
    <definedName function="false" hidden="false" name="_Mes4" vbProcedure="false">#ref!</definedName>
    <definedName function="false" hidden="false" name="_Mo2" vbProcedure="false">#ref!</definedName>
    <definedName function="false" hidden="false" name="_Mo3" vbProcedure="false">#ref!</definedName>
    <definedName function="false" hidden="false" name="_mo4" vbProcedure="false">#ref!</definedName>
    <definedName function="false" hidden="false" name="_ms6" vbProcedure="false">[17]milestone!#ref!</definedName>
    <definedName function="false" hidden="false" name="_ms7" vbProcedure="false">[17]milestone!#ref!</definedName>
    <definedName function="false" hidden="false" name="_MudVol" vbProcedure="false">#ref!,#ref!,#ref!,#ref!,#ref!</definedName>
    <definedName function="false" hidden="false" name="_N" vbProcedure="false">#ref!</definedName>
    <definedName function="false" hidden="false" name="_num15" vbProcedure="false">#ref!</definedName>
    <definedName function="false" hidden="false" name="_O" vbProcedure="false">#ref!</definedName>
    <definedName function="false" hidden="false" name="_OD1" vbProcedure="false">#ref!</definedName>
    <definedName function="false" hidden="false" name="_OD2" vbProcedure="false">#ref!</definedName>
    <definedName function="false" hidden="true" name="_Order1" vbProcedure="false">255</definedName>
    <definedName function="false" hidden="true" name="_Order2" vbProcedure="false">0</definedName>
    <definedName function="false" hidden="false" name="_p" vbProcedure="false">#ref!</definedName>
    <definedName function="false" hidden="true" name="_P1" vbProcedure="false">{#N/A,#N/A,FALSE,"Volume"}</definedName>
    <definedName function="false" hidden="true" name="_P2" vbProcedure="false">{#N/A,#N/A,FALSE,"Volume"}</definedName>
    <definedName function="false" hidden="true" name="_P3" vbProcedure="false">{#N/A,#N/A,FALSE,"Volume"}</definedName>
    <definedName function="false" hidden="true" name="_P4" vbProcedure="false">{#N/A,#N/A,FALSE,"Volume"}</definedName>
    <definedName function="false" hidden="true" name="_pap1" vbProcedure="false">{#N/A,#N/A,FALSE,"Volume"}</definedName>
    <definedName function="false" hidden="true" name="_pap2" vbProcedure="false">{#N/A,#N/A,FALSE,"Volume"}</definedName>
    <definedName function="false" hidden="true" name="_pap3" vbProcedure="false">{#N/A,#N/A,FALSE,"Volume"}</definedName>
    <definedName function="false" hidden="true" name="_pap4" vbProcedure="false">{#N/A,#N/A,FALSE,"Volume"}</definedName>
    <definedName function="false" hidden="true" name="_pap5" vbProcedure="false">{#N/A,#N/A,FALSE,"Volume"}</definedName>
    <definedName function="false" hidden="false" name="_PET1" vbProcedure="false">#ref!</definedName>
    <definedName function="false" hidden="false" name="_pg10" vbProcedure="false">#ref!</definedName>
    <definedName function="false" hidden="false" name="_Pg2" vbProcedure="false">#ref!</definedName>
    <definedName function="false" hidden="false" name="_Pg3" vbProcedure="false">#ref!</definedName>
    <definedName function="false" hidden="false" name="_Pg4" vbProcedure="false">#ref!</definedName>
    <definedName function="false" hidden="false" name="_Pg5" vbProcedure="false">#ref!</definedName>
    <definedName function="false" hidden="false" name="_Pg6" vbProcedure="false">#ref!</definedName>
    <definedName function="false" hidden="false" name="_Pg7" vbProcedure="false">#ref!</definedName>
    <definedName function="false" hidden="false" name="_Pg8" vbProcedure="false">#ref!</definedName>
    <definedName function="false" hidden="false" name="_Pg9" vbProcedure="false">#ref!</definedName>
    <definedName function="false" hidden="false" name="_PM1" vbProcedure="false">#ref!</definedName>
    <definedName function="false" hidden="false" name="_PM2" vbProcedure="false">#ref!</definedName>
    <definedName function="false" hidden="false" name="_pm4" vbProcedure="false">#ref!</definedName>
    <definedName function="false" hidden="false" name="_pm5" vbProcedure="false">#ref!</definedName>
    <definedName function="false" hidden="false" name="_pm6" vbProcedure="false">#ref!</definedName>
    <definedName function="false" hidden="false" name="_PMS2" vbProcedure="false">#ref!</definedName>
    <definedName function="false" hidden="false" name="_PMS3" vbProcedure="false">#ref!</definedName>
    <definedName function="false" hidden="false" name="_PMS4" vbProcedure="false">#ref!</definedName>
    <definedName function="false" hidden="false" name="_pms7" vbProcedure="false">#ref!</definedName>
    <definedName function="false" hidden="false" name="_pp1" vbProcedure="false">#N/A</definedName>
    <definedName function="false" hidden="false" name="_PPH1" vbProcedure="false">[40]!Calculate_Pipe</definedName>
    <definedName function="false" hidden="false" name="_PR1" vbProcedure="false">#ref!</definedName>
    <definedName function="false" hidden="false" name="_PR2" vbProcedure="false">#ref!</definedName>
    <definedName function="false" hidden="true" name="_P_0" vbProcedure="false">{#N/A,#N/A,FALSE,"Volume"}</definedName>
    <definedName function="false" hidden="false" name="_Q" vbProcedure="false">#ref!</definedName>
    <definedName function="false" hidden="false" name="_R" vbProcedure="false">#ref!</definedName>
    <definedName function="false" hidden="false" name="_r06" vbProcedure="false">[42]!AutoCAD</definedName>
    <definedName function="false" hidden="false" name="_REG1773" vbProcedure="false">'[29]calculo de gas total'!#ref!</definedName>
    <definedName function="false" hidden="true" name="_Regression_Out" vbProcedure="false">#ref!</definedName>
    <definedName function="false" hidden="true" name="_Regression_X" vbProcedure="false">#ref!</definedName>
    <definedName function="false" hidden="true" name="_Regression_Y" vbProcedure="false">#ref!</definedName>
    <definedName function="false" hidden="false" name="_Rmk1" vbProcedure="false">#ref!</definedName>
    <definedName function="false" hidden="false" name="_Rmk11" vbProcedure="false">#ref!</definedName>
    <definedName function="false" hidden="false" name="_Rmk12" vbProcedure="false">#ref!</definedName>
    <definedName function="false" hidden="false" name="_Rmk13" vbProcedure="false">#ref!</definedName>
    <definedName function="false" hidden="false" name="_Rmk14" vbProcedure="false">#ref!</definedName>
    <definedName function="false" hidden="false" name="_Rmk15" vbProcedure="false">#ref!</definedName>
    <definedName function="false" hidden="false" name="_Rmk16" vbProcedure="false">#ref!</definedName>
    <definedName function="false" hidden="false" name="_Rmk17" vbProcedure="false">#ref!</definedName>
    <definedName function="false" hidden="false" name="_Rmk18" vbProcedure="false">#ref!</definedName>
    <definedName function="false" hidden="false" name="_Rmk19" vbProcedure="false">#ref!</definedName>
    <definedName function="false" hidden="false" name="_Rmk2" vbProcedure="false">#ref!</definedName>
    <definedName function="false" hidden="false" name="_Rmk3" vbProcedure="false">#ref!</definedName>
    <definedName function="false" hidden="false" name="_Rmk4" vbProcedure="false">#ref!</definedName>
    <definedName function="false" hidden="false" name="_Rmk5" vbProcedure="false">#ref!</definedName>
    <definedName function="false" hidden="false" name="_Rmk6" vbProcedure="false">#ref!</definedName>
    <definedName function="false" hidden="false" name="_Rmk7" vbProcedure="false">#ref!</definedName>
    <definedName function="false" hidden="false" name="_Rmk8" vbProcedure="false">#ref!</definedName>
    <definedName function="false" hidden="false" name="_Rmk9" vbProcedure="false">#ref!</definedName>
    <definedName function="false" hidden="false" name="_RO1" vbProcedure="false">#ref!</definedName>
    <definedName function="false" hidden="false" name="_RO10" vbProcedure="false">#ref!</definedName>
    <definedName function="false" hidden="false" name="_RO2" vbProcedure="false">#ref!</definedName>
    <definedName function="false" hidden="false" name="_RO3" vbProcedure="false">#ref!</definedName>
    <definedName function="false" hidden="false" name="_RO4" vbProcedure="false">#ref!</definedName>
    <definedName function="false" hidden="false" name="_RO5" vbProcedure="false">#ref!</definedName>
    <definedName function="false" hidden="false" name="_RO6" vbProcedure="false">#ref!</definedName>
    <definedName function="false" hidden="false" name="_RO7" vbProcedure="false">#ref!</definedName>
    <definedName function="false" hidden="false" name="_RO8" vbProcedure="false">#ref!</definedName>
    <definedName function="false" hidden="false" name="_RO9" vbProcedure="false">#ref!</definedName>
    <definedName function="false" hidden="false" name="_S" vbProcedure="false">#ref!</definedName>
    <definedName function="false" hidden="false" name="_sc20" vbProcedure="false">#ref!</definedName>
    <definedName function="false" hidden="true" name="_Sort" vbProcedure="false">#ref!</definedName>
    <definedName function="false" hidden="false" name="_SPM1" vbProcedure="false">[16]!Macro1</definedName>
    <definedName function="false" hidden="false" name="_SSA1" vbProcedure="false">[43]!Macro46</definedName>
    <definedName function="false" hidden="false" name="_SUM1" vbProcedure="false">#ref!</definedName>
    <definedName function="false" hidden="false" name="_SUM2" vbProcedure="false">#ref!</definedName>
    <definedName function="false" hidden="false" name="_T" vbProcedure="false">#ref!</definedName>
    <definedName function="false" hidden="true" name="_Table1_In1" vbProcedure="false">#ref!</definedName>
    <definedName function="false" hidden="true" name="_Table1_Out" vbProcedure="false">#ref!</definedName>
    <definedName function="false" hidden="true" name="_Table2_In1" vbProcedure="false">#ref!</definedName>
    <definedName function="false" hidden="true" name="_Table2_Out" vbProcedure="false">#ref!</definedName>
    <definedName function="false" hidden="false" name="_TEL10" vbProcedure="false">'[28]Ref. data2'!$D$34:$D$36</definedName>
    <definedName function="false" hidden="false" name="_TEL2" vbProcedure="false">'[28]Ref. data2'!$D$7:$D$10</definedName>
    <definedName function="false" hidden="false" name="_TEL5" vbProcedure="false">'[28]Ref. data2'!$D$19:$D$21</definedName>
    <definedName function="false" hidden="false" name="_TEL6" vbProcedure="false">'[28]Ref. data2'!$D$22:$D$26</definedName>
    <definedName function="false" hidden="false" name="_TEL7" vbProcedure="false">'[28]Ref. data2'!$D$27:$D$29</definedName>
    <definedName function="false" hidden="false" name="_TEL8" vbProcedure="false">'[28]Ref. data2'!$D$30:$D$31</definedName>
    <definedName function="false" hidden="false" name="_Toc260904219" vbProcedure="false">#ref!</definedName>
    <definedName function="false" hidden="false" name="_Toc260904227" vbProcedure="false">#ref!</definedName>
    <definedName function="false" hidden="false" name="_Toc260904228" vbProcedure="false">#ref!</definedName>
    <definedName function="false" hidden="false" name="_Toc400366483" vbProcedure="false">#ref!</definedName>
    <definedName function="false" hidden="false" name="_Toc400366484" vbProcedure="false">#ref!</definedName>
    <definedName function="false" hidden="false" name="_Toc400366485" vbProcedure="false">#ref!</definedName>
    <definedName function="false" hidden="false" name="_Toc400366486" vbProcedure="false">#ref!</definedName>
    <definedName function="false" hidden="true" name="_try1" vbProcedure="false">#ref!</definedName>
    <definedName function="false" hidden="false" name="_TST2" vbProcedure="false">#ref!</definedName>
    <definedName function="false" hidden="false" name="_TT2" vbProcedure="false">#ref!</definedName>
    <definedName function="false" hidden="false" name="_TVD7" vbProcedure="false">#ref!</definedName>
    <definedName function="false" hidden="false" name="_TVD8" vbProcedure="false">#ref!</definedName>
    <definedName function="false" hidden="true" name="_T_0" vbProcedure="false">{#N/A,#N/A,FALSE,"Volume"}</definedName>
    <definedName function="false" hidden="false" name="_UA38" vbProcedure="false">[26]!_UA38</definedName>
    <definedName function="false" hidden="false" name="_V" vbProcedure="false">#ref!</definedName>
    <definedName function="false" hidden="false" name="_vol1" vbProcedure="false">#ref!</definedName>
    <definedName function="false" hidden="false" name="_vol2" vbProcedure="false">#ref!</definedName>
    <definedName function="false" hidden="false" name="_vol3" vbProcedure="false">#ref!</definedName>
    <definedName function="false" hidden="false" name="_vol4" vbProcedure="false">#ref!</definedName>
    <definedName function="false" hidden="false" name="_vol5" vbProcedure="false">#ref!</definedName>
    <definedName function="false" hidden="false" name="_vol6" vbProcedure="false">#ref!</definedName>
    <definedName function="false" hidden="true" name="_wrn1" vbProcedure="false">{#N/A,#N/A,FALSE,"Volume"}</definedName>
    <definedName function="false" hidden="false" name="_X" vbProcedure="false">'[1]run sheet'!#ref!</definedName>
    <definedName function="false" hidden="true" name="_xa" vbProcedure="false">{#N/A,#N/A,FALSE,"Volume"}</definedName>
    <definedName function="false" hidden="true" name="_xb" vbProcedure="false">{#N/A,#N/A,FALSE,"Volume"}</definedName>
    <definedName function="false" hidden="true" name="_xc" vbProcedure="false">{#N/A,#N/A,FALSE,"Volume"}</definedName>
    <definedName function="false" hidden="true" name="_xlcn.WorksheetConnection_January2023FinalNoHCD.xlsxDWSWells1" vbProcedure="false">#ref!</definedName>
    <definedName function="false" hidden="false" name="_xlnm.Criteria" vbProcedure="false">#ref!</definedName>
    <definedName function="false" hidden="false" name="_xlnm.Database" vbProcedure="false">#ref!</definedName>
    <definedName function="false" hidden="false" name="_xlnm.Extract" vbProcedure="false">[101]BOOK5!$C$1:$C$1048576</definedName>
    <definedName function="false" hidden="false" name="_xlnm.Print_Area" vbProcedure="false">#N/A</definedName>
    <definedName function="false" hidden="false" name="_xlnm.Print_Titles" vbProcedure="false">#ref!</definedName>
    <definedName function="false" hidden="false" name="_xlnm.Recorder" vbProcedure="false">#ref!</definedName>
    <definedName function="false" hidden="true" name="_x_0" vbProcedure="false">{#N/A,#N/A,FALSE,"Volume"}</definedName>
    <definedName function="false" hidden="false" name="_Y" vbProcedure="false">#ref!</definedName>
    <definedName function="false" hidden="false" name="_Z" vbProcedure="false">#ref!</definedName>
    <definedName function="false" hidden="true" name="_z1" vbProcedure="false">{#N/A,#N/A,FALSE,"Volume"}</definedName>
    <definedName function="false" hidden="true" name="_z2" vbProcedure="false">{#N/A,#N/A,FALSE,"Volume"}</definedName>
    <definedName function="false" hidden="true" name="_z3" vbProcedure="false">{#N/A,#N/A,FALSE,"Volume"}</definedName>
    <definedName function="false" hidden="true" name="_z4" vbProcedure="false">{#N/A,#N/A,FALSE,"Volume"}</definedName>
    <definedName function="false" hidden="true" name="_z_0" vbProcedure="false">{#N/A,#N/A,FALSE,"Volume"}</definedName>
    <definedName function="false" hidden="false" name="__" vbProcedure="false">#ref!</definedName>
    <definedName function="false" hidden="true" name="__10__123Graph_BCHART_2" vbProcedure="false">'[20]case sjac 19'!#ref!</definedName>
    <definedName function="false" hidden="true" name="__10__123Graph_CCHART_2" vbProcedure="false">'[21]case sjac 19'!#ref!</definedName>
    <definedName function="false" hidden="true" name="__123Graph_A" vbProcedure="false">#ref!</definedName>
    <definedName function="false" hidden="true" name="__123Graph_AMAPVIEW" vbProcedure="false">'[24]minimum curve method'!#ref!</definedName>
    <definedName function="false" hidden="true" name="__123Graph_AOA16MMBO" vbProcedure="false">#ref!</definedName>
    <definedName function="false" hidden="true" name="__123Graph_B" vbProcedure="false">#ref!</definedName>
    <definedName function="false" hidden="true" name="__123Graph_BOA16MMBO" vbProcedure="false">#ref!</definedName>
    <definedName function="false" hidden="true" name="__123Graph_BVSECT" vbProcedure="false">'[102]Minimum Curve Method'!$K$9:$K$152</definedName>
    <definedName function="false" hidden="true" name="__123Graph_C" vbProcedure="false">#ref!</definedName>
    <definedName function="false" hidden="true" name="__123Graph_D" vbProcedure="false">#ref!</definedName>
    <definedName function="false" hidden="true" name="__123Graph_E" vbProcedure="false">#ref!</definedName>
    <definedName function="false" hidden="true" name="__123Graph_F" vbProcedure="false">#ref!</definedName>
    <definedName function="false" hidden="true" name="__123Graph_X" vbProcedure="false">#ref!</definedName>
    <definedName function="false" hidden="true" name="__123Graph_XMAPVIEW" vbProcedure="false">'[24]minimum curve method'!#ref!</definedName>
    <definedName function="false" hidden="true" name="__12__123Graph_XCHART_1" vbProcedure="false">[22]mkn06!#ref!</definedName>
    <definedName function="false" hidden="true" name="__14__123Graph_XCHART_2" vbProcedure="false">'[21]case sjac 19'!#ref!</definedName>
    <definedName function="false" hidden="true" name="__15__123Graph_XCHART_1" vbProcedure="false">[25]mkn06!#ref!</definedName>
    <definedName function="false" hidden="false" name="__1Module2__2__.gaugeconok2" vbProcedure="false">[26]!__1Module2__2__.gaugeconok2</definedName>
    <definedName function="false" hidden="true" name="__1__123Graph_ACHART_1" vbProcedure="false">[19]mkn06!#ref!</definedName>
    <definedName function="false" hidden="false" name="__2Module2__2__.gaugeok2" vbProcedure="false">[26]!__2Module2__2__.gaugeok2</definedName>
    <definedName function="false" hidden="true" name="__2__123Graph_ACHART_1" vbProcedure="false">[25]mkn06!#ref!</definedName>
    <definedName function="false" hidden="true" name="__2__123Graph_BCHART_1" vbProcedure="false">[19]mkn06!#ref!</definedName>
    <definedName function="false" hidden="false" name="__3Module2__2__.gaugeselect2" vbProcedure="false">[26]!__3Module2__2__.gaugeselect2</definedName>
    <definedName function="false" hidden="true" name="__3__123Graph_XCHART_1" vbProcedure="false">[19]mkn06!#ref!</definedName>
    <definedName function="false" hidden="false" name="__4Module2__2__.serialselect3" vbProcedure="false">[26]!__4Module2__2__.serialselect3</definedName>
    <definedName function="false" hidden="true" name="__4__123Graph_ACHART_2" vbProcedure="false">'[21]case sjac 19'!#ref!</definedName>
    <definedName function="false" hidden="false" name="__5Module2__2__.serialselect4" vbProcedure="false">[26]!__5Module2__2__.serialselect4</definedName>
    <definedName function="false" hidden="true" name="__5__123Graph_ACHART_2" vbProcedure="false">'[20]case sjac 19'!#ref!</definedName>
    <definedName function="false" hidden="true" name="__6__123Graph_BCHART_1" vbProcedure="false">[22]mkn06!#ref!</definedName>
    <definedName function="false" hidden="true" name="__8__123Graph_BCHART_2" vbProcedure="false">'[21]case sjac 19'!#ref!</definedName>
    <definedName function="false" hidden="true" name="__A4" vbProcedure="false">[100]Run!$B$18:$B$512</definedName>
    <definedName function="false" hidden="false" name="__ANC2" vbProcedure="false">[18]sheet1!#ref!</definedName>
    <definedName function="false" hidden="false" name="__bb2789" vbProcedure="false">[14]!Calculate_Pipe</definedName>
    <definedName function="false" hidden="false" name="__Csg1" vbProcedure="false">#ref!</definedName>
    <definedName function="false" hidden="false" name="__Csg2" vbProcedure="false">#ref!</definedName>
    <definedName function="false" hidden="false" name="__Csg3" vbProcedure="false">#ref!</definedName>
    <definedName function="false" hidden="false" name="__DAT1" vbProcedure="false">#ref!</definedName>
    <definedName function="false" hidden="false" name="__DAT10" vbProcedure="false">#ref!</definedName>
    <definedName function="false" hidden="false" name="__DAT11" vbProcedure="false">#ref!</definedName>
    <definedName function="false" hidden="false" name="__DAT12" vbProcedure="false">#ref!</definedName>
    <definedName function="false" hidden="false" name="__DAT13" vbProcedure="false">#ref!</definedName>
    <definedName function="false" hidden="false" name="__DAT14" vbProcedure="false">#ref!</definedName>
    <definedName function="false" hidden="false" name="__DAT15" vbProcedure="false">#ref!</definedName>
    <definedName function="false" hidden="false" name="__DAT16" vbProcedure="false">#ref!</definedName>
    <definedName function="false" hidden="false" name="__DAT2" vbProcedure="false">#ref!</definedName>
    <definedName function="false" hidden="false" name="__DAT3" vbProcedure="false">#ref!</definedName>
    <definedName function="false" hidden="false" name="__DAT4" vbProcedure="false">#ref!</definedName>
    <definedName function="false" hidden="false" name="__DAT5" vbProcedure="false">#ref!</definedName>
    <definedName function="false" hidden="false" name="__DAT6" vbProcedure="false">#ref!</definedName>
    <definedName function="false" hidden="false" name="__DAT7" vbProcedure="false">#ref!</definedName>
    <definedName function="false" hidden="false" name="__DAT8" vbProcedure="false">#ref!</definedName>
    <definedName function="false" hidden="false" name="__DAT9" vbProcedure="false">#ref!</definedName>
    <definedName function="false" hidden="false" name="__gas1013" vbProcedure="false">'[28]calculo de gas total'!#ref!</definedName>
    <definedName function="false" hidden="false" name="__GAS1016" vbProcedure="false">'[29]calculo de gas total'!#ref!</definedName>
    <definedName function="false" hidden="false" name="__GAS1017" vbProcedure="false">'[29]calculo de gas total'!#ref!</definedName>
    <definedName function="false" hidden="false" name="__GAS1101" vbProcedure="false">'[29]calculo de gas total'!#ref!</definedName>
    <definedName function="false" hidden="false" name="__GAS1102" vbProcedure="false">'[29]calculo de gas total'!#ref!</definedName>
    <definedName function="false" hidden="false" name="__GAS1200" vbProcedure="false">'[29]calculo de gas total'!#ref!</definedName>
    <definedName function="false" hidden="false" name="__GAS1201" vbProcedure="false">'[29]calculo de gas total'!#ref!</definedName>
    <definedName function="false" hidden="false" name="__GAS1401" vbProcedure="false">'[29]calculo de gas total'!#ref!</definedName>
    <definedName function="false" hidden="false" name="__GAS1611" vbProcedure="false">'[29]calculo de gas total'!#ref!</definedName>
    <definedName function="false" hidden="false" name="__GAS1612" vbProcedure="false">'[29]calculo de gas total'!#ref!</definedName>
    <definedName function="false" hidden="false" name="__GAS1706" vbProcedure="false">'[29]calculo de gas total'!#ref!</definedName>
    <definedName function="false" hidden="false" name="__GAS1707" vbProcedure="false">'[29]calculo de gas total'!#ref!</definedName>
    <definedName function="false" hidden="false" name="__GAS1751" vbProcedure="false">'[29]calculo de gas total'!#ref!</definedName>
    <definedName function="false" hidden="false" name="__GAS1773" vbProcedure="false">'[29]calculo de gas total'!#ref!</definedName>
    <definedName function="false" hidden="false" name="__gas2020" vbProcedure="false">'[28]calculo de gas total'!#ref!</definedName>
    <definedName function="false" hidden="false" name="__gas6969" vbProcedure="false">'[28]calculo de gas total'!#ref!</definedName>
    <definedName function="false" hidden="false" name="__GAS7117" vbProcedure="false">'[29]calculo de gas total'!#ref!</definedName>
    <definedName function="false" hidden="false" name="__GAS7118" vbProcedure="false">'[29]calculo de gas total'!#ref!</definedName>
    <definedName function="false" hidden="false" name="__gs243" vbProcedure="false">'[30]calculo de gas total'!#ref!</definedName>
    <definedName function="false" hidden="false" name="__JE1" vbProcedure="false">'[4]cumulative temp diff'!#ref!</definedName>
    <definedName function="false" hidden="false" name="__JE2" vbProcedure="false">'[4]cumulative temp diff'!#ref!</definedName>
    <definedName function="false" hidden="false" name="__Mes1" vbProcedure="false">#ref!</definedName>
    <definedName function="false" hidden="false" name="__Mes2" vbProcedure="false">#ref!</definedName>
    <definedName function="false" hidden="false" name="__Mes3" vbProcedure="false">#ref!</definedName>
    <definedName function="false" hidden="false" name="__Mes4" vbProcedure="false">#ref!</definedName>
    <definedName function="false" hidden="false" name="__Mo2" vbProcedure="false">#ref!</definedName>
    <definedName function="false" hidden="false" name="__Mo3" vbProcedure="false">#ref!</definedName>
    <definedName function="false" hidden="false" name="__ms6" vbProcedure="false">[17]milestone!#ref!</definedName>
    <definedName function="false" hidden="false" name="__ms7" vbProcedure="false">[17]milestone!#ref!</definedName>
    <definedName function="false" hidden="false" name="__num15" vbProcedure="false">'[31]data '!#ref!</definedName>
    <definedName function="false" hidden="false" name="__PET1" vbProcedure="false">#ref!</definedName>
    <definedName function="false" hidden="false" name="__PM1" vbProcedure="false">#ref!</definedName>
    <definedName function="false" hidden="false" name="__PM2" vbProcedure="false">#ref!</definedName>
    <definedName function="false" hidden="false" name="__pp1" vbProcedure="false">#N/A</definedName>
    <definedName function="false" hidden="false" name="__REG1773" vbProcedure="false">'[29]calculo de gas total'!#ref!</definedName>
    <definedName function="false" hidden="false" name="__Rmk1" vbProcedure="false">#ref!</definedName>
    <definedName function="false" hidden="false" name="__Rmk11" vbProcedure="false">#ref!</definedName>
    <definedName function="false" hidden="false" name="__Rmk12" vbProcedure="false">#ref!</definedName>
    <definedName function="false" hidden="false" name="__Rmk13" vbProcedure="false">#ref!</definedName>
    <definedName function="false" hidden="false" name="__Rmk14" vbProcedure="false">#ref!</definedName>
    <definedName function="false" hidden="false" name="__Rmk15" vbProcedure="false">#ref!</definedName>
    <definedName function="false" hidden="false" name="__Rmk16" vbProcedure="false">#ref!</definedName>
    <definedName function="false" hidden="false" name="__Rmk17" vbProcedure="false">#ref!</definedName>
    <definedName function="false" hidden="false" name="__Rmk18" vbProcedure="false">#ref!</definedName>
    <definedName function="false" hidden="false" name="__Rmk19" vbProcedure="false">#ref!</definedName>
    <definedName function="false" hidden="false" name="__Rmk2" vbProcedure="false">#ref!</definedName>
    <definedName function="false" hidden="false" name="__Rmk3" vbProcedure="false">#ref!</definedName>
    <definedName function="false" hidden="false" name="__Rmk4" vbProcedure="false">#ref!</definedName>
    <definedName function="false" hidden="false" name="__Rmk5" vbProcedure="false">#ref!</definedName>
    <definedName function="false" hidden="false" name="__Rmk6" vbProcedure="false">#ref!</definedName>
    <definedName function="false" hidden="false" name="__Rmk7" vbProcedure="false">#ref!</definedName>
    <definedName function="false" hidden="false" name="__Rmk8" vbProcedure="false">#ref!</definedName>
    <definedName function="false" hidden="false" name="__Rmk9" vbProcedure="false">#ref!</definedName>
    <definedName function="false" hidden="false" name="__RO1" vbProcedure="false">#ref!</definedName>
    <definedName function="false" hidden="false" name="__RO10" vbProcedure="false">#ref!</definedName>
    <definedName function="false" hidden="false" name="__RO2" vbProcedure="false">#ref!</definedName>
    <definedName function="false" hidden="false" name="__RO3" vbProcedure="false">#ref!</definedName>
    <definedName function="false" hidden="false" name="__RO4" vbProcedure="false">#ref!</definedName>
    <definedName function="false" hidden="false" name="__RO5" vbProcedure="false">#ref!</definedName>
    <definedName function="false" hidden="false" name="__RO6" vbProcedure="false">#ref!</definedName>
    <definedName function="false" hidden="false" name="__RO7" vbProcedure="false">#ref!</definedName>
    <definedName function="false" hidden="false" name="__RO8" vbProcedure="false">#ref!</definedName>
    <definedName function="false" hidden="false" name="__RO9" vbProcedure="false">#ref!</definedName>
    <definedName function="false" hidden="false" name="__SPM1" vbProcedure="false">[16]!Macro1</definedName>
    <definedName function="false" hidden="false" name="__TST2" vbProcedure="false">#ref!</definedName>
    <definedName function="false" hidden="false" name="__TT2" vbProcedure="false">#ref!</definedName>
    <definedName function="false" hidden="false" name="__UA38" vbProcedure="false">[26]!__UA38</definedName>
    <definedName function="false" hidden="false" name="__vol1" vbProcedure="false">#ref!</definedName>
    <definedName function="false" hidden="false" name="__vol2" vbProcedure="false">#ref!</definedName>
    <definedName function="false" hidden="false" name="__vol3" vbProcedure="false">#ref!</definedName>
    <definedName function="false" hidden="false" name="__vol4" vbProcedure="false">#ref!</definedName>
    <definedName function="false" hidden="false" name="__vol5" vbProcedure="false">#ref!</definedName>
    <definedName function="false" hidden="false" name="__vol6" vbProcedure="false">#ref!</definedName>
    <definedName function="false" hidden="true" name="__wrn1" vbProcedure="false">{#N/A,#N/A,FALSE,"Volume"}</definedName>
    <definedName function="false" hidden="true" name="___A4" vbProcedure="false">[100]Run!$B$18:$B$512</definedName>
    <definedName function="false" hidden="false" name="___ANC2" vbProcedure="false">[18]sheet1!#ref!</definedName>
    <definedName function="false" hidden="false" name="___bb2789" vbProcedure="false">[14]!Calculate_Pipe</definedName>
    <definedName function="false" hidden="false" name="___DAT1" vbProcedure="false">#ref!</definedName>
    <definedName function="false" hidden="false" name="___DAT10" vbProcedure="false">#ref!</definedName>
    <definedName function="false" hidden="false" name="___DAT11" vbProcedure="false">#ref!</definedName>
    <definedName function="false" hidden="false" name="___DAT12" vbProcedure="false">#ref!</definedName>
    <definedName function="false" hidden="false" name="___DAT13" vbProcedure="false">#ref!</definedName>
    <definedName function="false" hidden="false" name="___DAT14" vbProcedure="false">#ref!</definedName>
    <definedName function="false" hidden="false" name="___DAT15" vbProcedure="false">#ref!</definedName>
    <definedName function="false" hidden="false" name="___DAT16" vbProcedure="false">#ref!</definedName>
    <definedName function="false" hidden="false" name="___DAT2" vbProcedure="false">#ref!</definedName>
    <definedName function="false" hidden="false" name="___DAT3" vbProcedure="false">#ref!</definedName>
    <definedName function="false" hidden="false" name="___DAT4" vbProcedure="false">#ref!</definedName>
    <definedName function="false" hidden="false" name="___DAT5" vbProcedure="false">#ref!</definedName>
    <definedName function="false" hidden="false" name="___DAT6" vbProcedure="false">#ref!</definedName>
    <definedName function="false" hidden="false" name="___DAT7" vbProcedure="false">#ref!</definedName>
    <definedName function="false" hidden="false" name="___DAT8" vbProcedure="false">#ref!</definedName>
    <definedName function="false" hidden="false" name="___DAT9" vbProcedure="false">#ref!</definedName>
    <definedName function="false" hidden="false" name="___JE1" vbProcedure="false">'[4]cumulative temp diff'!#ref!</definedName>
    <definedName function="false" hidden="false" name="___JE2" vbProcedure="false">'[4]cumulative temp diff'!#ref!</definedName>
    <definedName function="false" hidden="false" name="___ms6" vbProcedure="false">[17]milestone!#ref!</definedName>
    <definedName function="false" hidden="false" name="___ms7" vbProcedure="false">[17]milestone!#ref!</definedName>
    <definedName function="false" hidden="false" name="___RO1" vbProcedure="false">#ref!</definedName>
    <definedName function="false" hidden="false" name="___RO10" vbProcedure="false">#ref!</definedName>
    <definedName function="false" hidden="false" name="___RO2" vbProcedure="false">#ref!</definedName>
    <definedName function="false" hidden="false" name="___RO5" vbProcedure="false">#ref!</definedName>
    <definedName function="false" hidden="false" name="___RO6" vbProcedure="false">#ref!</definedName>
    <definedName function="false" hidden="false" name="___RO7" vbProcedure="false">#ref!</definedName>
    <definedName function="false" hidden="false" name="___RO8" vbProcedure="false">#ref!</definedName>
    <definedName function="false" hidden="false" name="___RO9" vbProcedure="false">#ref!</definedName>
    <definedName function="false" hidden="false" name="___SPM1" vbProcedure="false">[16]!Macro1</definedName>
    <definedName function="false" hidden="false" name="___TST2" vbProcedure="false">#ref!</definedName>
    <definedName function="false" hidden="false" name="___vol1" vbProcedure="false">#ref!</definedName>
    <definedName function="false" hidden="false" name="___vol2" vbProcedure="false">#ref!</definedName>
    <definedName function="false" hidden="false" name="___vol3" vbProcedure="false">#ref!</definedName>
    <definedName function="false" hidden="false" name="___vol4" vbProcedure="false">#ref!</definedName>
    <definedName function="false" hidden="false" name="___vol5" vbProcedure="false">#ref!</definedName>
    <definedName function="false" hidden="false" name="___vol6" vbProcedure="false">#ref!</definedName>
    <definedName function="false" hidden="true" name="___wrn1" vbProcedure="false">{#N/A,#N/A,FALSE,"Volume"}</definedName>
    <definedName function="false" hidden="true" name="____A4" vbProcedure="false">[100]Run!$B$18:$B$512</definedName>
    <definedName function="false" hidden="false" name="____bb2789" vbProcedure="false">[14]!Calculate_Pipe</definedName>
    <definedName function="false" hidden="false" name="____DAT1" vbProcedure="false">#ref!</definedName>
    <definedName function="false" hidden="false" name="____DAT10" vbProcedure="false">#ref!</definedName>
    <definedName function="false" hidden="false" name="____DAT11" vbProcedure="false">#ref!</definedName>
    <definedName function="false" hidden="false" name="____DAT12" vbProcedure="false">#ref!</definedName>
    <definedName function="false" hidden="false" name="____DAT13" vbProcedure="false">#ref!</definedName>
    <definedName function="false" hidden="false" name="____DAT14" vbProcedure="false">#ref!</definedName>
    <definedName function="false" hidden="false" name="____DAT15" vbProcedure="false">#ref!</definedName>
    <definedName function="false" hidden="false" name="____DAT16" vbProcedure="false">#ref!</definedName>
    <definedName function="false" hidden="false" name="____DAT2" vbProcedure="false">#ref!</definedName>
    <definedName function="false" hidden="false" name="____DAT3" vbProcedure="false">#ref!</definedName>
    <definedName function="false" hidden="false" name="____DAT4" vbProcedure="false">#ref!</definedName>
    <definedName function="false" hidden="false" name="____DAT5" vbProcedure="false">#ref!</definedName>
    <definedName function="false" hidden="false" name="____DAT6" vbProcedure="false">#ref!</definedName>
    <definedName function="false" hidden="false" name="____DAT7" vbProcedure="false">#ref!</definedName>
    <definedName function="false" hidden="false" name="____DAT8" vbProcedure="false">#ref!</definedName>
    <definedName function="false" hidden="false" name="____DAT9" vbProcedure="false">#ref!</definedName>
    <definedName function="false" hidden="false" name="____ms6" vbProcedure="false">[17]milestone!#ref!</definedName>
    <definedName function="false" hidden="false" name="____ms7" vbProcedure="false">[17]milestone!#ref!</definedName>
    <definedName function="false" hidden="false" name="____SPM1" vbProcedure="false">[16]!Macro1</definedName>
    <definedName function="false" hidden="false" name="____TST2" vbProcedure="false">#ref!</definedName>
    <definedName function="false" hidden="true" name="____wrn1" vbProcedure="false">{#N/A,#N/A,FALSE,"Volume"}</definedName>
    <definedName function="false" hidden="true" name="_____A4" vbProcedure="false">[100]Run!$B$18:$B$512</definedName>
    <definedName function="false" hidden="false" name="_____bb2789" vbProcedure="false">[14]!Calculate_Pipe</definedName>
    <definedName function="false" hidden="false" name="_____DAT1" vbProcedure="false">#ref!</definedName>
    <definedName function="false" hidden="false" name="_____DAT10" vbProcedure="false">#ref!</definedName>
    <definedName function="false" hidden="false" name="_____DAT11" vbProcedure="false">#ref!</definedName>
    <definedName function="false" hidden="false" name="_____DAT12" vbProcedure="false">#ref!</definedName>
    <definedName function="false" hidden="false" name="_____DAT13" vbProcedure="false">#ref!</definedName>
    <definedName function="false" hidden="false" name="_____DAT14" vbProcedure="false">#ref!</definedName>
    <definedName function="false" hidden="false" name="_____DAT15" vbProcedure="false">#ref!</definedName>
    <definedName function="false" hidden="false" name="_____DAT16" vbProcedure="false">#ref!</definedName>
    <definedName function="false" hidden="false" name="_____DAT2" vbProcedure="false">#ref!</definedName>
    <definedName function="false" hidden="false" name="_____DAT3" vbProcedure="false">#ref!</definedName>
    <definedName function="false" hidden="false" name="_____DAT4" vbProcedure="false">#ref!</definedName>
    <definedName function="false" hidden="false" name="_____DAT5" vbProcedure="false">#ref!</definedName>
    <definedName function="false" hidden="false" name="_____DAT6" vbProcedure="false">#ref!</definedName>
    <definedName function="false" hidden="false" name="_____DAT7" vbProcedure="false">#ref!</definedName>
    <definedName function="false" hidden="false" name="_____DAT8" vbProcedure="false">#ref!</definedName>
    <definedName function="false" hidden="false" name="_____DAT9" vbProcedure="false">#ref!</definedName>
    <definedName function="false" hidden="false" name="_____ms6" vbProcedure="false">[17]milestone!#ref!</definedName>
    <definedName function="false" hidden="false" name="_____ms7" vbProcedure="false">[17]milestone!#ref!</definedName>
    <definedName function="false" hidden="false" name="_____SPM1" vbProcedure="false">[16]!Macro1</definedName>
    <definedName function="false" hidden="false" name="_____TST2" vbProcedure="false">#ref!</definedName>
    <definedName function="false" hidden="true" name="_____wrn1" vbProcedure="false">{#N/A,#N/A,FALSE,"Volume"}</definedName>
    <definedName function="false" hidden="true" name="______A4" vbProcedure="false">[100]Run!$B$18:$B$512</definedName>
    <definedName function="false" hidden="false" name="______bb2789" vbProcedure="false">[14]!Calculate_Pipe</definedName>
    <definedName function="false" hidden="false" name="______DAT1" vbProcedure="false">#ref!</definedName>
    <definedName function="false" hidden="false" name="______DAT10" vbProcedure="false">#ref!</definedName>
    <definedName function="false" hidden="false" name="______DAT11" vbProcedure="false">#ref!</definedName>
    <definedName function="false" hidden="false" name="______DAT12" vbProcedure="false">#ref!</definedName>
    <definedName function="false" hidden="false" name="______DAT13" vbProcedure="false">#ref!</definedName>
    <definedName function="false" hidden="false" name="______DAT14" vbProcedure="false">#ref!</definedName>
    <definedName function="false" hidden="false" name="______DAT15" vbProcedure="false">#ref!</definedName>
    <definedName function="false" hidden="false" name="______DAT16" vbProcedure="false">#ref!</definedName>
    <definedName function="false" hidden="false" name="______DAT2" vbProcedure="false">#ref!</definedName>
    <definedName function="false" hidden="false" name="______DAT3" vbProcedure="false">#ref!</definedName>
    <definedName function="false" hidden="false" name="______DAT4" vbProcedure="false">#ref!</definedName>
    <definedName function="false" hidden="false" name="______DAT5" vbProcedure="false">#ref!</definedName>
    <definedName function="false" hidden="false" name="______DAT6" vbProcedure="false">#ref!</definedName>
    <definedName function="false" hidden="false" name="______DAT7" vbProcedure="false">#ref!</definedName>
    <definedName function="false" hidden="false" name="______DAT8" vbProcedure="false">#ref!</definedName>
    <definedName function="false" hidden="false" name="______DAT9" vbProcedure="false">#ref!</definedName>
    <definedName function="false" hidden="false" name="______ms6" vbProcedure="false">[15]milestone!#ref!</definedName>
    <definedName function="false" hidden="false" name="______ms7" vbProcedure="false">[15]milestone!#ref!</definedName>
    <definedName function="false" hidden="false" name="______SPM1" vbProcedure="false">[16]!Macro1</definedName>
    <definedName function="false" hidden="false" name="______TST2" vbProcedure="false">#ref!</definedName>
    <definedName function="false" hidden="true" name="______wrn1" vbProcedure="false">{#N/A,#N/A,FALSE,"Volume"}</definedName>
    <definedName function="false" hidden="true" name="_______A4" vbProcedure="false">[100]Run!$B$18:$B$512</definedName>
    <definedName function="false" hidden="false" name="_______bb2789" vbProcedure="false">[14]!Calculate_Pipe</definedName>
    <definedName function="false" hidden="false" name="_______TST2" vbProcedure="false">#ref!</definedName>
    <definedName function="false" hidden="true" name="_______wrn1" vbProcedure="false">{#N/A,#N/A,FALSE,"Volume"}</definedName>
    <definedName function="false" hidden="true" name="________A4" vbProcedure="false">[100]Run!$B$18:$B$512</definedName>
    <definedName function="false" hidden="false" name="________bb2789" vbProcedure="false">[14]!Calculate_Pipe</definedName>
    <definedName function="false" hidden="true" name="________wrn1" vbProcedure="false">{#N/A,#N/A,FALSE,"Volume"}</definedName>
    <definedName function="false" hidden="true" name="________wrn2" vbProcedure="false">{#N/A,#N/A,FALSE,"Volume"}</definedName>
    <definedName function="false" hidden="true" name="_________A4" vbProcedure="false">[100]Run!$B$18:$B$512</definedName>
    <definedName function="false" hidden="false" name="_________bb2789" vbProcedure="false">[14]!Calculate_Pipe</definedName>
    <definedName function="false" hidden="true" name="_________wrn1" vbProcedure="false">{#N/A,#N/A,FALSE,"Volume"}</definedName>
    <definedName function="false" hidden="true" name="__________A4" vbProcedure="false">[100]Run!$B$18:$B$512</definedName>
    <definedName function="false" hidden="false" name="__________bb2789" vbProcedure="false">[14]!Calculate_Pipe</definedName>
    <definedName function="false" hidden="true" name="___________A4" vbProcedure="false">[100]Run!$B$18:$B$512</definedName>
    <definedName function="false" hidden="false" name="___________bb2789" vbProcedure="false">[14]!Calculate_Pipe</definedName>
    <definedName function="false" hidden="true" name="___________wrn1" vbProcedure="false">{#N/A,#N/A,FALSE,"Volume"}</definedName>
    <definedName function="false" hidden="true" name="____________A4" vbProcedure="false">[100]Run!$B$18:$B$512</definedName>
    <definedName function="false" hidden="false" name="____________bb2789" vbProcedure="false">[14]!Calculate_Pipe</definedName>
    <definedName function="false" hidden="true" name="____________wrn1" vbProcedure="false">{#N/A,#N/A,FALSE,"Volume"}</definedName>
    <definedName function="false" hidden="true" name="_____________A4" vbProcedure="false">[100]Run!$B$18:$B$512</definedName>
    <definedName function="false" hidden="false" name="_____________bb2789" vbProcedure="false">[14]!Calculate_Pipe</definedName>
    <definedName function="false" hidden="true" name="______________A4" vbProcedure="false">[100]Run!$B$18:$B$512</definedName>
    <definedName function="false" hidden="false" name="______________bb2789" vbProcedure="false">[14]!Calculate_Pipe</definedName>
    <definedName function="false" hidden="true" name="_______________A4" vbProcedure="false">[100]Run!$B$18:$B$512</definedName>
    <definedName function="false" hidden="false" name="_______________bb2789" vbProcedure="false">[14]!Calculate_Pipe</definedName>
    <definedName function="false" hidden="true" name="________________A4" vbProcedure="false">[100]Run!$B$18:$B$512</definedName>
    <definedName function="false" hidden="false" name="________________bb2789" vbProcedure="false">[11]!Calculate_Pipe</definedName>
    <definedName function="false" hidden="true" name="_________________A4" vbProcedure="false">[100]Run!$B$18:$B$512</definedName>
    <definedName function="false" hidden="false" name="_________________bb2789" vbProcedure="false">[11]!Calculate_Pipe</definedName>
    <definedName function="false" hidden="true" name="__________________A4" vbProcedure="false">[100]Run!$B$18:$B$512</definedName>
    <definedName function="false" hidden="false" name="__________________bb2789" vbProcedure="false">[13]!Calculate_Pipe</definedName>
    <definedName function="false" hidden="true" name="___________________A4" vbProcedure="false">[100]Run!$B$18:$B$512</definedName>
    <definedName function="false" hidden="false" name="___________________bb2789" vbProcedure="false">[11]!Calculate_Pipe</definedName>
    <definedName function="false" hidden="true" name="____________________A4" vbProcedure="false">[100]Run!$B$18:$B$512</definedName>
    <definedName function="false" hidden="false" name="____________________bb2789" vbProcedure="false">[9]!Calculate_Pipe</definedName>
    <definedName function="false" hidden="true" name="_____________________A4" vbProcedure="false">[100]Run!$B$18:$B$512</definedName>
    <definedName function="false" hidden="false" name="_____________________bb2789" vbProcedure="false">[12]!Calculate_Pipe</definedName>
    <definedName function="false" hidden="true" name="______________________A4" vbProcedure="false">[100]Run!$B$18:$B$512</definedName>
    <definedName function="false" hidden="false" name="______________________bb2789" vbProcedure="false">[9]!Calculate_Pipe</definedName>
    <definedName function="false" hidden="true" name="_______________________A4" vbProcedure="false">[100]Run!$B$18:$B$512</definedName>
    <definedName function="false" hidden="false" name="_______________________bb2789" vbProcedure="false">[9]!Calculate_Pipe</definedName>
    <definedName function="false" hidden="true" name="________________________A4" vbProcedure="false">[100]Run!$B$18:$B$512</definedName>
    <definedName function="false" hidden="false" name="________________________bb2789" vbProcedure="false">[11]!Calculate_Pipe</definedName>
    <definedName function="false" hidden="true" name="_________________________A4" vbProcedure="false">[100]Run!$B$18:$B$512</definedName>
    <definedName function="false" hidden="false" name="_________________________bb2789" vbProcedure="false">[9]!Calculate_Pipe</definedName>
    <definedName function="false" hidden="true" name="__________________________A4" vbProcedure="false">[100]Run!$B$18:$B$512</definedName>
    <definedName function="false" hidden="true" name="___________________________A4" vbProcedure="false">[100]Run!$B$18:$B$512</definedName>
    <definedName function="false" hidden="true" name="____________________________A4" vbProcedure="false">[100]Run!$B$18:$B$512</definedName>
    <definedName function="false" hidden="true" name="_____________________________A4" vbProcedure="false">[100]Run!$B$18:$B$512</definedName>
    <definedName function="false" hidden="false" name="ÜK" vbProcedure="false">#ref!</definedName>
    <definedName function="false" hidden="false" name="一" vbProcedure="false">#ref!</definedName>
    <definedName function="false" hidden="false" name="伸缩短节需上提长度" vbProcedure="false">#ref!</definedName>
    <definedName function="false" hidden="false" name="伸缩短节需压缩长度" vbProcedure="false">#ref!</definedName>
    <definedName function="false" hidden="false" name="内径" vbProcedure="false">#ref!</definedName>
    <definedName function="false" hidden="false" name="可可可" vbProcedure="false">#ref!</definedName>
    <definedName function="false" hidden="false" name="司念亭" vbProcedure="false">#ref!</definedName>
    <definedName function="false" hidden="false" name="同位素应在海拔深度" vbProcedure="false">#ref!</definedName>
    <definedName function="false" hidden="false" name="啊" vbProcedure="false">#ref!</definedName>
    <definedName function="false" hidden="false" name="图7bE27井生产管柱" vbProcedure="false">#ref!</definedName>
    <definedName function="false" hidden="false" name="思念亭" vbProcedure="false">#ref!</definedName>
    <definedName function="false" hidden="false" name="所甩掉的油管长度" vbProcedure="false">#ref!</definedName>
    <definedName function="false" hidden="false" name="柴油量" vbProcedure="false">#ref!</definedName>
    <definedName function="false" hidden="false" name="校深前同位素海拔深度" vbProcedure="false">#ref!</definedName>
    <definedName function="false" hidden="false" name="歼击机" vbProcedure="false">#ref!</definedName>
    <definedName function="false" hidden="false" name="油层中部垂深" vbProcedure="false">#ref!</definedName>
    <definedName function="false" hidden="false" name="油管四通海拔" vbProcedure="false">#ref!</definedName>
    <definedName function="false" hidden="false" name="油补距及油管挂_变扣长度" vbProcedure="false">#ref!</definedName>
    <definedName function="false" hidden="false" name="渤十转盘面海拔" vbProcedure="false">#ref!</definedName>
    <definedName function="false" hidden="false" name="滑套深度" vbProcedure="false">#ref!</definedName>
    <definedName function="false" hidden="false" name="第320根方余" vbProcedure="false">#ref!</definedName>
    <definedName function="false" hidden="false" name="考虑座油管挂时油补距及油管挂_变扣长度管柱需要上提长度" vbProcedure="false">#ref!</definedName>
    <definedName function="false" hidden="false" name="起始日期" vbProcedure="false">#ref!</definedName>
    <definedName function="false" hidden="false" name="转盘面海拔" vbProcedure="false">#ref!</definedName>
    <definedName function="false" hidden="true" localSheetId="2"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axj" vbProcedure="false">{#N/A,#N/A,FALSE,"Sheet1"}</definedName>
    <definedName function="false" hidden="true" localSheetId="2" name="bbb" vbProcedure="false">{#N/A,#N/A,FALSE,"Sheet1"}</definedName>
    <definedName function="false" hidden="true" localSheetId="2" name="bgn" vbProcedure="false">{#N/A,#N/A,FALSE,"Sheet1"}</definedName>
    <definedName function="false" hidden="true" localSheetId="2" name="cf" vbProcedure="false">{#N/A,#N/A,FALSE,"Sheet1"}</definedName>
    <definedName function="false" hidden="true" localSheetId="2" name="Chart" vbProcedure="false">{#N/A,#N/A,FALSE,"Sheet1"}</definedName>
    <definedName function="false" hidden="true" localSheetId="2" name="chart1" vbProcedure="false">{#N/A,#N/A,FALSE,"Sheet1"}</definedName>
    <definedName function="false" hidden="true" localSheetId="2" name="COMP" vbProcedure="false">{#N/A,#N/A,FALSE,"Volume"}</definedName>
    <definedName function="false" hidden="true" localSheetId="2" name="Conflict1" vbProcedure="false">{#N/A,#N/A,FALSE,"Drlg Param Run 1-1";#N/A,#N/A,FALSE,"DDR (3)";#N/A,#N/A,FALSE,"BHA AT (1)";#N/A,#N/A,FALSE,"Downlinkbha";#N/A,#N/A,FALSE,"Job Status Report"}</definedName>
    <definedName function="false" hidden="true" localSheetId="2"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Gmh" vbProcedure="false">{#N/A,#N/A,FALSE,"Sheet1"}</definedName>
    <definedName function="false" hidden="true" localSheetId="2"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jun" vbProcedure="false">{#N/A,#N/A,FALSE,"Sheet1"}</definedName>
    <definedName function="false" hidden="true" localSheetId="2" name="June" vbProcedure="false">{#N/A,#N/A,FALSE,"Sheet1"}</definedName>
    <definedName function="false" hidden="true" localSheetId="2" name="June1" vbProcedure="false">{#N/A,#N/A,FALSE,"Sheet1"}</definedName>
    <definedName function="false" hidden="true" localSheetId="2" name="mr" vbProcedure="false">{#N/A,#N/A,FALSE,"Sheet1"}</definedName>
    <definedName function="false" hidden="true" localSheetId="2"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P" vbProcedure="false">{#N/A,#N/A,FALSE,"Drlg Param Run 1-1";#N/A,#N/A,FALSE,"DDR (3)";#N/A,#N/A,FALSE,"BHA AT (1)";#N/A,#N/A,FALSE,"Downlinkbha";#N/A,#N/A,FALSE,"Job Status Report"}</definedName>
    <definedName function="false" hidden="true" localSheetId="2" name="Para3" vbProcedure="false">{#N/A,#N/A,FALSE,"Drlg Param Run 1-1";#N/A,#N/A,FALSE,"DDR (3)";#N/A,#N/A,FALSE,"BHA AT (1)";#N/A,#N/A,FALSE,"Downlinkbha";#N/A,#N/A,FALSE,"Job Status Report"}</definedName>
    <definedName function="false" hidden="true" localSheetId="2" name="rrr" vbProcedure="false">{#N/A,#N/A,FALSE,"Sheet1"}</definedName>
    <definedName function="false" hidden="true" localSheetId="2"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shit" vbProcedure="false">{#N/A,#N/A,FALSE,"Sheet1"}</definedName>
    <definedName function="false" hidden="true" localSheetId="2" name="Spacedout" vbProcedure="false">{#N/A,#N/A,FALSE,"Drlg Param Run 1-1";#N/A,#N/A,FALSE,"DDR (3)";#N/A,#N/A,FALSE,"BHA AT (1)";#N/A,#N/A,FALSE,"Downlinkbha";#N/A,#N/A,FALSE,"Job Status Report"}</definedName>
    <definedName function="false" hidden="true" localSheetId="2"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Time2" vbProcedure="false">{#N/A,#N/A,FALSE,"Volume"}</definedName>
    <definedName function="false" hidden="false" localSheetId="2" name="TubingAverage" vbProcedure="false">((SUM(NosOfTubing))-(MakeupLoss*COUNT(NosOfTubing)))/COUNT(NosOfTubing)</definedName>
    <definedName function="false" hidden="true" localSheetId="2"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2" name="vallist2" vbProcedure="false">OFFSET(INDIRECT(ADDRESS(MATCH(Liner1_OD,Objects,0)+1,2,,,"Casing Info")),0,1,COUNTIF(Objects,Liner1_OD),1)</definedName>
    <definedName function="false" hidden="true" localSheetId="2" name="volume1" vbProcedure="false">{#N/A,#N/A,FALSE,"Volume"}</definedName>
    <definedName function="false" hidden="true" localSheetId="2"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wrn.1999._.DIRECT._.PLAN." vbProcedure="false">{#N/A,#N/A,TRUE,"TOTAL";#N/A,#N/A,TRUE,"AGIBA ";#N/A,#N/A,TRUE,"AMOCO";#N/A,#N/A,TRUE,"BAPETCO";#N/A,#N/A,TRUE,"GUPCO";#N/A,#N/A,TRUE,"KHALDA";#N/A,#N/A,TRUE,"SUCO";#N/A,#N/A,TRUE,"PETROBEL";#N/A,#N/A,TRUE,"ZAFCO";#N/A,#N/A,TRUE,"TULLOW";#N/A,#N/A,TRUE,"HBS";#N/A,#N/A,TRUE,"QARUN";#N/A,#N/A,TRUE,"MISC"}</definedName>
    <definedName function="false" hidden="true" localSheetId="2" name="wrn.AT._.Reports." vbProcedure="false">{#N/A,#N/A,FALSE,"Drlg Param Run 1-1";#N/A,#N/A,FALSE,"DDR (3)";#N/A,#N/A,FALSE,"BHA AT (1)";#N/A,#N/A,FALSE,"Downlinkbha";#N/A,#N/A,FALSE,"Job Status Report"}</definedName>
    <definedName function="false" hidden="true" localSheetId="2" name="wrn.CD_MST." vbProcedure="false">{#N/A,#N/A,FALSE,"Sheet1"}</definedName>
    <definedName function="false" hidden="true" localSheetId="2" name="wrn.Closing._.P14Q5FY98." vbProcedure="false">{#N/A,#N/A,TRUE,"P14 Summary";#N/A,#N/A,TRUE,"ACT_PLAN";#N/A,#N/A,TRUE,"BESA P14";#N/A,#N/A,TRUE,"Drexel P14";#N/A,#N/A,TRUE,"BSC P14";#N/A,#N/A,TRUE,"DIRECT-P14"}</definedName>
    <definedName function="false" hidden="true" localSheetId="2" name="wrn.FY99._.LOCAL._.PLAN." vbProcedure="false">{#N/A,#N/A,TRUE,"TOTAL";#N/A,#N/A,TRUE,"AGIBA ";#N/A,#N/A,TRUE,"AMOCO";#N/A,#N/A,TRUE,"BAPETCO";#N/A,#N/A,TRUE,"ERITREA";#N/A,#N/A,TRUE,"GUPCO";#N/A,#N/A,TRUE,"I.E.O.C.";#N/A,#N/A,TRUE,"KHALDA";#N/A,#N/A,TRUE,"PETROBEL";#N/A,#N/A,TRUE,"QARUN";#N/A,#N/A,TRUE,"ZAFCO";#N/A,#N/A,TRUE,"TULLOW";#N/A,#N/A,TRUE,"MISC"}</definedName>
    <definedName function="false" hidden="true" localSheetId="2" name="wrn.VOLUME." vbProcedure="false">{#N/A,#N/A,FALSE,"Volume"}</definedName>
    <definedName function="false" hidden="true" localSheetId="2"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2" name="x" vbProcedure="false">{#N/A,#N/A,FALSE,"Drlg Param Run 1-1";#N/A,#N/A,FALSE,"DDR (3)";#N/A,#N/A,FALSE,"BHA AT (1)";#N/A,#N/A,FALSE,"Downlinkbha";#N/A,#N/A,FALSE,"Job Status Report"}</definedName>
    <definedName function="false" hidden="true" localSheetId="2" name="xxx" vbProcedure="false">{#N/A,#N/A,FALSE,"Sheet1"}</definedName>
    <definedName function="false" hidden="true" localSheetId="2" name="_bgn1" vbProcedure="false">{#N/A,#N/A,FALSE,"Sheet1"}</definedName>
    <definedName function="false" hidden="true" localSheetId="2" name="_cd1" vbProcedure="false">{#N/A,#N/A,FALSE,"Sheet1"}</definedName>
    <definedName function="false" hidden="true" localSheetId="2" name="_cf1" vbProcedure="false">{#N/A,#N/A,FALSE,"Sheet1"}</definedName>
    <definedName function="false" hidden="true" localSheetId="2" name="_gmh1" vbProcedure="false">{#N/A,#N/A,FALSE,"Sheet1"}</definedName>
    <definedName function="false" hidden="true" localSheetId="2" name="_wrn1" vbProcedure="false">{#N/A,#N/A,FALSE,"Volume"}</definedName>
    <definedName function="false" hidden="true" localSheetId="2" name="__wrn1" vbProcedure="false">{#N/A,#N/A,FALSE,"Volume"}</definedName>
    <definedName function="false" hidden="true" localSheetId="2" name="___wrn1" vbProcedure="false">{#N/A,#N/A,FALSE,"Volume"}</definedName>
    <definedName function="false" hidden="true" localSheetId="2" name="____wrn1" vbProcedure="false">{#N/A,#N/A,FALSE,"Volume"}</definedName>
    <definedName function="false" hidden="true" localSheetId="2" name="_____wrn1" vbProcedure="false">{#N/A,#N/A,FALSE,"Volume"}</definedName>
    <definedName function="false" hidden="true" localSheetId="2" name="______wrn1" vbProcedure="false">{#N/A,#N/A,FALSE,"Volume"}</definedName>
    <definedName function="false" hidden="true" localSheetId="2" name="_______wrn1" vbProcedure="false">{#N/A,#N/A,FALSE,"Volume"}</definedName>
    <definedName function="false" hidden="true" localSheetId="2" name="________wrn1" vbProcedure="false">{#N/A,#N/A,FALSE,"Volume"}</definedName>
    <definedName function="false" hidden="true" localSheetId="2" name="________wrn2" vbProcedure="false">{#N/A,#N/A,FALSE,"Volume"}</definedName>
    <definedName function="false" hidden="true" localSheetId="2" name="_________wrn1" vbProcedure="false">{#N/A,#N/A,FALSE,"Volume"}</definedName>
    <definedName function="false" hidden="true" localSheetId="4"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axj" vbProcedure="false">{#N/A,#N/A,FALSE,"Sheet1"}</definedName>
    <definedName function="false" hidden="true" localSheetId="4" name="bbb" vbProcedure="false">{#N/A,#N/A,FALSE,"Sheet1"}</definedName>
    <definedName function="false" hidden="true" localSheetId="4" name="bgn" vbProcedure="false">{#N/A,#N/A,FALSE,"Sheet1"}</definedName>
    <definedName function="false" hidden="true" localSheetId="4" name="cf" vbProcedure="false">{#N/A,#N/A,FALSE,"Sheet1"}</definedName>
    <definedName function="false" hidden="true" localSheetId="4" name="Chart" vbProcedure="false">{#N/A,#N/A,FALSE,"Sheet1"}</definedName>
    <definedName function="false" hidden="true" localSheetId="4" name="chart1" vbProcedure="false">{#N/A,#N/A,FALSE,"Sheet1"}</definedName>
    <definedName function="false" hidden="true" localSheetId="4" name="COMP" vbProcedure="false">{#N/A,#N/A,FALSE,"Volume"}</definedName>
    <definedName function="false" hidden="true" localSheetId="4" name="Conflict1" vbProcedure="false">{#N/A,#N/A,FALSE,"Drlg Param Run 1-1";#N/A,#N/A,FALSE,"DDR (3)";#N/A,#N/A,FALSE,"BHA AT (1)";#N/A,#N/A,FALSE,"Downlinkbha";#N/A,#N/A,FALSE,"Job Status Report"}</definedName>
    <definedName function="false" hidden="true" localSheetId="4"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Gmh" vbProcedure="false">{#N/A,#N/A,FALSE,"Sheet1"}</definedName>
    <definedName function="false" hidden="true" localSheetId="4"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jun" vbProcedure="false">{#N/A,#N/A,FALSE,"Sheet1"}</definedName>
    <definedName function="false" hidden="true" localSheetId="4" name="June" vbProcedure="false">{#N/A,#N/A,FALSE,"Sheet1"}</definedName>
    <definedName function="false" hidden="true" localSheetId="4" name="June1" vbProcedure="false">{#N/A,#N/A,FALSE,"Sheet1"}</definedName>
    <definedName function="false" hidden="true" localSheetId="4" name="mr" vbProcedure="false">{#N/A,#N/A,FALSE,"Sheet1"}</definedName>
    <definedName function="false" hidden="true" localSheetId="4"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P" vbProcedure="false">{#N/A,#N/A,FALSE,"Drlg Param Run 1-1";#N/A,#N/A,FALSE,"DDR (3)";#N/A,#N/A,FALSE,"BHA AT (1)";#N/A,#N/A,FALSE,"Downlinkbha";#N/A,#N/A,FALSE,"Job Status Report"}</definedName>
    <definedName function="false" hidden="true" localSheetId="4" name="Para3" vbProcedure="false">{#N/A,#N/A,FALSE,"Drlg Param Run 1-1";#N/A,#N/A,FALSE,"DDR (3)";#N/A,#N/A,FALSE,"BHA AT (1)";#N/A,#N/A,FALSE,"Downlinkbha";#N/A,#N/A,FALSE,"Job Status Report"}</definedName>
    <definedName function="false" hidden="true" localSheetId="4" name="rrr" vbProcedure="false">{#N/A,#N/A,FALSE,"Sheet1"}</definedName>
    <definedName function="false" hidden="true" localSheetId="4"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shit" vbProcedure="false">{#N/A,#N/A,FALSE,"Sheet1"}</definedName>
    <definedName function="false" hidden="true" localSheetId="4" name="Spacedout" vbProcedure="false">{#N/A,#N/A,FALSE,"Drlg Param Run 1-1";#N/A,#N/A,FALSE,"DDR (3)";#N/A,#N/A,FALSE,"BHA AT (1)";#N/A,#N/A,FALSE,"Downlinkbha";#N/A,#N/A,FALSE,"Job Status Report"}</definedName>
    <definedName function="false" hidden="true" localSheetId="4"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Time2" vbProcedure="false">{#N/A,#N/A,FALSE,"Volume"}</definedName>
    <definedName function="false" hidden="false" localSheetId="4" name="TubingAverage" vbProcedure="false">((SUM(NosOfTubing))-(MakeupLoss*COUNT(NosOfTubing)))/COUNT(NosOfTubing)</definedName>
    <definedName function="false" hidden="true" localSheetId="4"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4" name="vallist2" vbProcedure="false">OFFSET(INDIRECT(ADDRESS(MATCH(Liner1_OD,Objects,0)+1,2,,,"Casing Info")),0,1,COUNTIF(Objects,Liner1_OD),1)</definedName>
    <definedName function="false" hidden="true" localSheetId="4" name="volume1" vbProcedure="false">{#N/A,#N/A,FALSE,"Volume"}</definedName>
    <definedName function="false" hidden="true" localSheetId="4"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wrn.1999._.DIRECT._.PLAN." vbProcedure="false">{#N/A,#N/A,TRUE,"TOTAL";#N/A,#N/A,TRUE,"AGIBA ";#N/A,#N/A,TRUE,"AMOCO";#N/A,#N/A,TRUE,"BAPETCO";#N/A,#N/A,TRUE,"GUPCO";#N/A,#N/A,TRUE,"KHALDA";#N/A,#N/A,TRUE,"SUCO";#N/A,#N/A,TRUE,"PETROBEL";#N/A,#N/A,TRUE,"ZAFCO";#N/A,#N/A,TRUE,"TULLOW";#N/A,#N/A,TRUE,"HBS";#N/A,#N/A,TRUE,"QARUN";#N/A,#N/A,TRUE,"MISC"}</definedName>
    <definedName function="false" hidden="true" localSheetId="4" name="wrn.AT._.Reports." vbProcedure="false">{#N/A,#N/A,FALSE,"Drlg Param Run 1-1";#N/A,#N/A,FALSE,"DDR (3)";#N/A,#N/A,FALSE,"BHA AT (1)";#N/A,#N/A,FALSE,"Downlinkbha";#N/A,#N/A,FALSE,"Job Status Report"}</definedName>
    <definedName function="false" hidden="true" localSheetId="4" name="wrn.CD_MST." vbProcedure="false">{#N/A,#N/A,FALSE,"Sheet1"}</definedName>
    <definedName function="false" hidden="true" localSheetId="4" name="wrn.Closing._.P14Q5FY98." vbProcedure="false">{#N/A,#N/A,TRUE,"P14 Summary";#N/A,#N/A,TRUE,"ACT_PLAN";#N/A,#N/A,TRUE,"BESA P14";#N/A,#N/A,TRUE,"Drexel P14";#N/A,#N/A,TRUE,"BSC P14";#N/A,#N/A,TRUE,"DIRECT-P14"}</definedName>
    <definedName function="false" hidden="true" localSheetId="4" name="wrn.FY99._.LOCAL._.PLAN." vbProcedure="false">{#N/A,#N/A,TRUE,"TOTAL";#N/A,#N/A,TRUE,"AGIBA ";#N/A,#N/A,TRUE,"AMOCO";#N/A,#N/A,TRUE,"BAPETCO";#N/A,#N/A,TRUE,"ERITREA";#N/A,#N/A,TRUE,"GUPCO";#N/A,#N/A,TRUE,"I.E.O.C.";#N/A,#N/A,TRUE,"KHALDA";#N/A,#N/A,TRUE,"PETROBEL";#N/A,#N/A,TRUE,"QARUN";#N/A,#N/A,TRUE,"ZAFCO";#N/A,#N/A,TRUE,"TULLOW";#N/A,#N/A,TRUE,"MISC"}</definedName>
    <definedName function="false" hidden="true" localSheetId="4" name="wrn.VOLUME." vbProcedure="false">{#N/A,#N/A,FALSE,"Volume"}</definedName>
    <definedName function="false" hidden="true" localSheetId="4"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4" name="x" vbProcedure="false">{#N/A,#N/A,FALSE,"Drlg Param Run 1-1";#N/A,#N/A,FALSE,"DDR (3)";#N/A,#N/A,FALSE,"BHA AT (1)";#N/A,#N/A,FALSE,"Downlinkbha";#N/A,#N/A,FALSE,"Job Status Report"}</definedName>
    <definedName function="false" hidden="true" localSheetId="4" name="xxx" vbProcedure="false">{#N/A,#N/A,FALSE,"Sheet1"}</definedName>
    <definedName function="false" hidden="true" localSheetId="4" name="_bgn1" vbProcedure="false">{#N/A,#N/A,FALSE,"Sheet1"}</definedName>
    <definedName function="false" hidden="true" localSheetId="4" name="_cd1" vbProcedure="false">{#N/A,#N/A,FALSE,"Sheet1"}</definedName>
    <definedName function="false" hidden="true" localSheetId="4" name="_cf1" vbProcedure="false">{#N/A,#N/A,FALSE,"Sheet1"}</definedName>
    <definedName function="false" hidden="true" localSheetId="4" name="_gmh1" vbProcedure="false">{#N/A,#N/A,FALSE,"Sheet1"}</definedName>
    <definedName function="false" hidden="true" localSheetId="4" name="_wrn1" vbProcedure="false">{#N/A,#N/A,FALSE,"Volume"}</definedName>
    <definedName function="false" hidden="true" localSheetId="4" name="__wrn1" vbProcedure="false">{#N/A,#N/A,FALSE,"Volume"}</definedName>
    <definedName function="false" hidden="true" localSheetId="4" name="___wrn1" vbProcedure="false">{#N/A,#N/A,FALSE,"Volume"}</definedName>
    <definedName function="false" hidden="true" localSheetId="4" name="____wrn1" vbProcedure="false">{#N/A,#N/A,FALSE,"Volume"}</definedName>
    <definedName function="false" hidden="true" localSheetId="4" name="_____wrn1" vbProcedure="false">{#N/A,#N/A,FALSE,"Volume"}</definedName>
    <definedName function="false" hidden="true" localSheetId="4" name="______wrn1" vbProcedure="false">{#N/A,#N/A,FALSE,"Volume"}</definedName>
    <definedName function="false" hidden="true" localSheetId="4" name="_______wrn1" vbProcedure="false">{#N/A,#N/A,FALSE,"Volume"}</definedName>
    <definedName function="false" hidden="true" localSheetId="4" name="________wrn1" vbProcedure="false">{#N/A,#N/A,FALSE,"Volume"}</definedName>
    <definedName function="false" hidden="true" localSheetId="4" name="________wrn2" vbProcedure="false">{#N/A,#N/A,FALSE,"Volume"}</definedName>
    <definedName function="false" hidden="true" localSheetId="4" name="_________wrn1" vbProcedure="false">{#N/A,#N/A,FALSE,"Volume"}</definedName>
    <definedName function="false" hidden="true" localSheetId="5"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axj" vbProcedure="false">{#N/A,#N/A,FALSE,"Sheet1"}</definedName>
    <definedName function="false" hidden="true" localSheetId="5" name="bbb" vbProcedure="false">{#N/A,#N/A,FALSE,"Sheet1"}</definedName>
    <definedName function="false" hidden="true" localSheetId="5" name="bgn" vbProcedure="false">{#N/A,#N/A,FALSE,"Sheet1"}</definedName>
    <definedName function="false" hidden="true" localSheetId="5" name="cf" vbProcedure="false">{#N/A,#N/A,FALSE,"Sheet1"}</definedName>
    <definedName function="false" hidden="true" localSheetId="5" name="Chart" vbProcedure="false">{#N/A,#N/A,FALSE,"Sheet1"}</definedName>
    <definedName function="false" hidden="true" localSheetId="5" name="chart1" vbProcedure="false">{#N/A,#N/A,FALSE,"Sheet1"}</definedName>
    <definedName function="false" hidden="true" localSheetId="5" name="COMP" vbProcedure="false">{#N/A,#N/A,FALSE,"Volume"}</definedName>
    <definedName function="false" hidden="true" localSheetId="5" name="Conflict1" vbProcedure="false">{#N/A,#N/A,FALSE,"Drlg Param Run 1-1";#N/A,#N/A,FALSE,"DDR (3)";#N/A,#N/A,FALSE,"BHA AT (1)";#N/A,#N/A,FALSE,"Downlinkbha";#N/A,#N/A,FALSE,"Job Status Report"}</definedName>
    <definedName function="false" hidden="true" localSheetId="5"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Gmh" vbProcedure="false">{#N/A,#N/A,FALSE,"Sheet1"}</definedName>
    <definedName function="false" hidden="true" localSheetId="5"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jun" vbProcedure="false">{#N/A,#N/A,FALSE,"Sheet1"}</definedName>
    <definedName function="false" hidden="true" localSheetId="5" name="June" vbProcedure="false">{#N/A,#N/A,FALSE,"Sheet1"}</definedName>
    <definedName function="false" hidden="true" localSheetId="5" name="June1" vbProcedure="false">{#N/A,#N/A,FALSE,"Sheet1"}</definedName>
    <definedName function="false" hidden="true" localSheetId="5" name="mr" vbProcedure="false">{#N/A,#N/A,FALSE,"Sheet1"}</definedName>
    <definedName function="false" hidden="true" localSheetId="5"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P" vbProcedure="false">{#N/A,#N/A,FALSE,"Drlg Param Run 1-1";#N/A,#N/A,FALSE,"DDR (3)";#N/A,#N/A,FALSE,"BHA AT (1)";#N/A,#N/A,FALSE,"Downlinkbha";#N/A,#N/A,FALSE,"Job Status Report"}</definedName>
    <definedName function="false" hidden="true" localSheetId="5" name="Para3" vbProcedure="false">{#N/A,#N/A,FALSE,"Drlg Param Run 1-1";#N/A,#N/A,FALSE,"DDR (3)";#N/A,#N/A,FALSE,"BHA AT (1)";#N/A,#N/A,FALSE,"Downlinkbha";#N/A,#N/A,FALSE,"Job Status Report"}</definedName>
    <definedName function="false" hidden="true" localSheetId="5" name="rrr" vbProcedure="false">{#N/A,#N/A,FALSE,"Sheet1"}</definedName>
    <definedName function="false" hidden="true" localSheetId="5"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shit" vbProcedure="false">{#N/A,#N/A,FALSE,"Sheet1"}</definedName>
    <definedName function="false" hidden="true" localSheetId="5" name="Spacedout" vbProcedure="false">{#N/A,#N/A,FALSE,"Drlg Param Run 1-1";#N/A,#N/A,FALSE,"DDR (3)";#N/A,#N/A,FALSE,"BHA AT (1)";#N/A,#N/A,FALSE,"Downlinkbha";#N/A,#N/A,FALSE,"Job Status Report"}</definedName>
    <definedName function="false" hidden="true" localSheetId="5"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Time2" vbProcedure="false">{#N/A,#N/A,FALSE,"Volume"}</definedName>
    <definedName function="false" hidden="false" localSheetId="5" name="TubingAverage" vbProcedure="false">((SUM(NosOfTubing))-(MakeupLoss*COUNT(NosOfTubing)))/COUNT(NosOfTubing)</definedName>
    <definedName function="false" hidden="true" localSheetId="5"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5" name="vallist2" vbProcedure="false">OFFSET(INDIRECT(ADDRESS(MATCH(Liner1_OD,Objects,0)+1,2,,,"Casing Info")),0,1,COUNTIF(Objects,Liner1_OD),1)</definedName>
    <definedName function="false" hidden="true" localSheetId="5" name="volume1" vbProcedure="false">{#N/A,#N/A,FALSE,"Volume"}</definedName>
    <definedName function="false" hidden="true" localSheetId="5"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wrn.1999._.DIRECT._.PLAN." vbProcedure="false">{#N/A,#N/A,TRUE,"TOTAL";#N/A,#N/A,TRUE,"AGIBA ";#N/A,#N/A,TRUE,"AMOCO";#N/A,#N/A,TRUE,"BAPETCO";#N/A,#N/A,TRUE,"GUPCO";#N/A,#N/A,TRUE,"KHALDA";#N/A,#N/A,TRUE,"SUCO";#N/A,#N/A,TRUE,"PETROBEL";#N/A,#N/A,TRUE,"ZAFCO";#N/A,#N/A,TRUE,"TULLOW";#N/A,#N/A,TRUE,"HBS";#N/A,#N/A,TRUE,"QARUN";#N/A,#N/A,TRUE,"MISC"}</definedName>
    <definedName function="false" hidden="true" localSheetId="5" name="wrn.AT._.Reports." vbProcedure="false">{#N/A,#N/A,FALSE,"Drlg Param Run 1-1";#N/A,#N/A,FALSE,"DDR (3)";#N/A,#N/A,FALSE,"BHA AT (1)";#N/A,#N/A,FALSE,"Downlinkbha";#N/A,#N/A,FALSE,"Job Status Report"}</definedName>
    <definedName function="false" hidden="true" localSheetId="5" name="wrn.CD_MST." vbProcedure="false">{#N/A,#N/A,FALSE,"Sheet1"}</definedName>
    <definedName function="false" hidden="true" localSheetId="5" name="wrn.Closing._.P14Q5FY98." vbProcedure="false">{#N/A,#N/A,TRUE,"P14 Summary";#N/A,#N/A,TRUE,"ACT_PLAN";#N/A,#N/A,TRUE,"BESA P14";#N/A,#N/A,TRUE,"Drexel P14";#N/A,#N/A,TRUE,"BSC P14";#N/A,#N/A,TRUE,"DIRECT-P14"}</definedName>
    <definedName function="false" hidden="true" localSheetId="5" name="wrn.FY99._.LOCAL._.PLAN." vbProcedure="false">{#N/A,#N/A,TRUE,"TOTAL";#N/A,#N/A,TRUE,"AGIBA ";#N/A,#N/A,TRUE,"AMOCO";#N/A,#N/A,TRUE,"BAPETCO";#N/A,#N/A,TRUE,"ERITREA";#N/A,#N/A,TRUE,"GUPCO";#N/A,#N/A,TRUE,"I.E.O.C.";#N/A,#N/A,TRUE,"KHALDA";#N/A,#N/A,TRUE,"PETROBEL";#N/A,#N/A,TRUE,"QARUN";#N/A,#N/A,TRUE,"ZAFCO";#N/A,#N/A,TRUE,"TULLOW";#N/A,#N/A,TRUE,"MISC"}</definedName>
    <definedName function="false" hidden="true" localSheetId="5" name="wrn.VOLUME." vbProcedure="false">{#N/A,#N/A,FALSE,"Volume"}</definedName>
    <definedName function="false" hidden="true" localSheetId="5"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5" name="x" vbProcedure="false">{#N/A,#N/A,FALSE,"Drlg Param Run 1-1";#N/A,#N/A,FALSE,"DDR (3)";#N/A,#N/A,FALSE,"BHA AT (1)";#N/A,#N/A,FALSE,"Downlinkbha";#N/A,#N/A,FALSE,"Job Status Report"}</definedName>
    <definedName function="false" hidden="true" localSheetId="5" name="xxx" vbProcedure="false">{#N/A,#N/A,FALSE,"Sheet1"}</definedName>
    <definedName function="false" hidden="true" localSheetId="5" name="_bgn1" vbProcedure="false">{#N/A,#N/A,FALSE,"Sheet1"}</definedName>
    <definedName function="false" hidden="true" localSheetId="5" name="_cd1" vbProcedure="false">{#N/A,#N/A,FALSE,"Sheet1"}</definedName>
    <definedName function="false" hidden="true" localSheetId="5" name="_cf1" vbProcedure="false">{#N/A,#N/A,FALSE,"Sheet1"}</definedName>
    <definedName function="false" hidden="true" localSheetId="5" name="_gmh1" vbProcedure="false">{#N/A,#N/A,FALSE,"Sheet1"}</definedName>
    <definedName function="false" hidden="true" localSheetId="5" name="_wrn1" vbProcedure="false">{#N/A,#N/A,FALSE,"Volume"}</definedName>
    <definedName function="false" hidden="true" localSheetId="5" name="__wrn1" vbProcedure="false">{#N/A,#N/A,FALSE,"Volume"}</definedName>
    <definedName function="false" hidden="true" localSheetId="5" name="___wrn1" vbProcedure="false">{#N/A,#N/A,FALSE,"Volume"}</definedName>
    <definedName function="false" hidden="true" localSheetId="5" name="____wrn1" vbProcedure="false">{#N/A,#N/A,FALSE,"Volume"}</definedName>
    <definedName function="false" hidden="true" localSheetId="5" name="_____wrn1" vbProcedure="false">{#N/A,#N/A,FALSE,"Volume"}</definedName>
    <definedName function="false" hidden="true" localSheetId="5" name="______wrn1" vbProcedure="false">{#N/A,#N/A,FALSE,"Volume"}</definedName>
    <definedName function="false" hidden="true" localSheetId="5" name="_______wrn1" vbProcedure="false">{#N/A,#N/A,FALSE,"Volume"}</definedName>
    <definedName function="false" hidden="true" localSheetId="5" name="________wrn1" vbProcedure="false">{#N/A,#N/A,FALSE,"Volume"}</definedName>
    <definedName function="false" hidden="true" localSheetId="5" name="________wrn2" vbProcedure="false">{#N/A,#N/A,FALSE,"Volume"}</definedName>
    <definedName function="false" hidden="true" localSheetId="5" name="_________wrn1" vbProcedure="false">{#N/A,#N/A,FALSE,"Volume"}</definedName>
    <definedName function="false" hidden="false" localSheetId="6" name="a" vbProcedure="false">!#ref!</definedName>
    <definedName function="false" hidden="true" localSheetId="6"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Ai" vbProcedure="false">#ref!</definedName>
    <definedName function="false" hidden="false" localSheetId="6" name="As" vbProcedure="false">#ref!</definedName>
    <definedName function="false" hidden="true" localSheetId="6" name="axj" vbProcedure="false">{#N/A,#N/A,FALSE,"Sheet1"}</definedName>
    <definedName function="false" hidden="true" localSheetId="6" name="bbb" vbProcedure="false">{#N/A,#N/A,FALSE,"Sheet1"}</definedName>
    <definedName function="false" hidden="true" localSheetId="6" name="bgn" vbProcedure="false">{#N/A,#N/A,FALSE,"Sheet1"}</definedName>
    <definedName function="false" hidden="true" localSheetId="6" name="cf" vbProcedure="false">{#N/A,#N/A,FALSE,"Sheet1"}</definedName>
    <definedName function="false" hidden="true" localSheetId="6" name="Chart" vbProcedure="false">{#N/A,#N/A,FALSE,"Sheet1"}</definedName>
    <definedName function="false" hidden="true" localSheetId="6" name="chart1" vbProcedure="false">{#N/A,#N/A,FALSE,"Sheet1"}</definedName>
    <definedName function="false" hidden="false" localSheetId="6" name="CHOOSE" vbProcedure="false">#ref!</definedName>
    <definedName function="false" hidden="true" localSheetId="6" name="COMP" vbProcedure="false">{#N/A,#N/A,FALSE,"Volume"}</definedName>
    <definedName function="false" hidden="true" localSheetId="6" name="Conflict1" vbProcedure="false">{#N/A,#N/A,FALSE,"Drlg Param Run 1-1";#N/A,#N/A,FALSE,"DDR (3)";#N/A,#N/A,FALSE,"BHA AT (1)";#N/A,#N/A,FALSE,"Downlinkbha";#N/A,#N/A,FALSE,"Job Status Report"}</definedName>
    <definedName function="false" hidden="false" localSheetId="6" name="CSG_ID" vbProcedure="false">#ref!</definedName>
    <definedName function="false" hidden="false" localSheetId="6" name="CSG_OD" vbProcedure="false">#ref!</definedName>
    <definedName function="false" hidden="false" localSheetId="6" name="CSG_WT" vbProcedure="false">#ref!</definedName>
    <definedName function="false" hidden="false" localSheetId="6" name="D" vbProcedure="false">#ref!</definedName>
    <definedName function="false" hidden="true" localSheetId="6" name="DA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dfg" vbProcedure="false">#ref!</definedName>
    <definedName function="false" hidden="false" localSheetId="6" name="drawblanks" vbProcedure="false">#ref!</definedName>
    <definedName function="false" hidden="false" localSheetId="6" name="drawlinerfirst" vbProcedure="false">#ref!</definedName>
    <definedName function="false" hidden="false" localSheetId="6" name="drawlinersecond" vbProcedure="false">#ref!</definedName>
    <definedName function="false" hidden="false" localSheetId="6" name="drawmiscellaneous" vbProcedure="false">#ref!</definedName>
    <definedName function="false" hidden="false" localSheetId="6" name="drawproductionfirst" vbProcedure="false">#ref!</definedName>
    <definedName function="false" hidden="false" localSheetId="6" name="drawproductionsecond" vbProcedure="false">#ref!</definedName>
    <definedName function="false" hidden="false" localSheetId="6" name="drawquantum" vbProcedure="false">#ref!</definedName>
    <definedName function="false" hidden="false" localSheetId="6" name="drawscreens" vbProcedure="false">#ref!</definedName>
    <definedName function="false" hidden="false" localSheetId="6" name="drawshearsubs" vbProcedure="false">#ref!</definedName>
    <definedName function="false" hidden="false" localSheetId="6" name="drawsump" vbProcedure="false">#ref!</definedName>
    <definedName function="false" hidden="false" localSheetId="6" name="draw_blanks" vbProcedure="false">#ref!</definedName>
    <definedName function="false" hidden="false" localSheetId="6" name="draw_linerfirst" vbProcedure="false">#ref!</definedName>
    <definedName function="false" hidden="false" localSheetId="6" name="draw_linersecond" vbProcedure="false">#ref!</definedName>
    <definedName function="false" hidden="false" localSheetId="6" name="draw_miscellaneous" vbProcedure="false">#ref!</definedName>
    <definedName function="false" hidden="false" localSheetId="6" name="draw_productionfirst" vbProcedure="false">#ref!</definedName>
    <definedName function="false" hidden="false" localSheetId="6" name="draw_productionsecond" vbProcedure="false">#ref!</definedName>
    <definedName function="false" hidden="false" localSheetId="6" name="draw_quantum" vbProcedure="false">#ref!</definedName>
    <definedName function="false" hidden="false" localSheetId="6" name="draw_screens" vbProcedure="false">#ref!</definedName>
    <definedName function="false" hidden="false" localSheetId="6" name="draw_shearsubs" vbProcedure="false">#ref!</definedName>
    <definedName function="false" hidden="false" localSheetId="6" name="draw_sump" vbProcedure="false">#ref!</definedName>
    <definedName function="false" hidden="false" localSheetId="6" name="E" vbProcedure="false">#ref!</definedName>
    <definedName function="false" hidden="false" localSheetId="6" name="F" vbProcedure="false">#ref!</definedName>
    <definedName function="false" hidden="true" localSheetId="6"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field" vbProcedure="false">#ref!</definedName>
    <definedName function="false" hidden="true" localSheetId="6" name="Gmh" vbProcedure="false">{#N/A,#N/A,FALSE,"Sheet1"}</definedName>
    <definedName function="false" hidden="true" localSheetId="6"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jun" vbProcedure="false">{#N/A,#N/A,FALSE,"Sheet1"}</definedName>
    <definedName function="false" hidden="true" localSheetId="6" name="June" vbProcedure="false">{#N/A,#N/A,FALSE,"Sheet1"}</definedName>
    <definedName function="false" hidden="true" localSheetId="6" name="June1" vbProcedure="false">{#N/A,#N/A,FALSE,"Sheet1"}</definedName>
    <definedName function="false" hidden="false" localSheetId="6" name="Macro2" vbProcedure="false">#ref!</definedName>
    <definedName function="false" hidden="false" localSheetId="6" name="Module1.draw_productionfirst" vbProcedure="false">#ref!</definedName>
    <definedName function="false" hidden="false" localSheetId="6" name="Module1.draw_productionsecond" vbProcedure="false">#ref!</definedName>
    <definedName function="false" hidden="false" localSheetId="6" name="Module4.drawblanks" vbProcedure="false">#ref!</definedName>
    <definedName function="false" hidden="false" localSheetId="6" name="Module4.drawlinerfirst" vbProcedure="false">#ref!</definedName>
    <definedName function="false" hidden="false" localSheetId="6" name="Module4.drawlinersecond" vbProcedure="false">#ref!</definedName>
    <definedName function="false" hidden="false" localSheetId="6" name="Module4.drawmiscellaneous" vbProcedure="false">#ref!</definedName>
    <definedName function="false" hidden="false" localSheetId="6" name="Module4.drawproductionfirst" vbProcedure="false">#ref!</definedName>
    <definedName function="false" hidden="false" localSheetId="6" name="Module4.drawproductionsecond" vbProcedure="false">#ref!</definedName>
    <definedName function="false" hidden="false" localSheetId="6" name="Module4.drawquantum" vbProcedure="false">#ref!</definedName>
    <definedName function="false" hidden="false" localSheetId="6" name="Module4.drawscreens" vbProcedure="false">#ref!</definedName>
    <definedName function="false" hidden="false" localSheetId="6" name="Module4.drawshearsubs" vbProcedure="false">#ref!</definedName>
    <definedName function="false" hidden="false" localSheetId="6" name="Module4.drawsump" vbProcedure="false">#ref!</definedName>
    <definedName function="false" hidden="false" localSheetId="6" name="Module4.textfive" vbProcedure="false">#ref!</definedName>
    <definedName function="false" hidden="false" localSheetId="6" name="Module4.textfivehalf" vbProcedure="false">#ref!</definedName>
    <definedName function="false" hidden="false" localSheetId="6" name="Module4.textninefiveeightfourfirst" vbProcedure="false">#ref!</definedName>
    <definedName function="false" hidden="false" localSheetId="6" name="Module4.textninefiveeightfoursecond" vbProcedure="false">#ref!</definedName>
    <definedName function="false" hidden="false" localSheetId="6" name="Module4.textninefiveeightsixfirst" vbProcedure="false">#ref!</definedName>
    <definedName function="false" hidden="false" localSheetId="6" name="Module4.textninefiveeightsixsecond" vbProcedure="false">#ref!</definedName>
    <definedName function="false" hidden="false" localSheetId="6" name="Module4.textsevenfiveeightfour" vbProcedure="false">#ref!</definedName>
    <definedName function="false" hidden="false" localSheetId="6" name="Module4.textsevenfiveeightthree" vbProcedure="false">#ref!</definedName>
    <definedName function="false" hidden="false" localSheetId="6" name="Module4.textsevenfour" vbProcedure="false">#ref!</definedName>
    <definedName function="false" hidden="false" localSheetId="6" name="Module4.textseventhree" vbProcedure="false">#ref!</definedName>
    <definedName function="false" hidden="true" localSheetId="6" name="mr" vbProcedure="false">{#N/A,#N/A,FALSE,"Sheet1"}</definedName>
    <definedName function="false" hidden="false" localSheetId="6" name="n" vbProcedure="false">#ref!</definedName>
    <definedName function="false" hidden="true" localSheetId="6"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P" vbProcedure="false">{#N/A,#N/A,FALSE,"Drlg Param Run 1-1";#N/A,#N/A,FALSE,"DDR (3)";#N/A,#N/A,FALSE,"BHA AT (1)";#N/A,#N/A,FALSE,"Downlinkbha";#N/A,#N/A,FALSE,"Job Status Report"}</definedName>
    <definedName function="false" hidden="true" localSheetId="6" name="Para3" vbProcedure="false">{#N/A,#N/A,FALSE,"Drlg Param Run 1-1";#N/A,#N/A,FALSE,"DDR (3)";#N/A,#N/A,FALSE,"BHA AT (1)";#N/A,#N/A,FALSE,"Downlinkbha";#N/A,#N/A,FALSE,"Job Status Report"}</definedName>
    <definedName function="false" hidden="false" localSheetId="6" name="pick1_958x475_system" vbProcedure="false">#ref!</definedName>
    <definedName function="false" hidden="false" localSheetId="6" name="pick1_958x6_system" vbProcedure="false">#ref!</definedName>
    <definedName function="false" hidden="false" localSheetId="6" name="pick1_production" vbProcedure="false">#ref!</definedName>
    <definedName function="false" hidden="false" localSheetId="6" name="pick2_958x475_system" vbProcedure="false">#ref!</definedName>
    <definedName function="false" hidden="false" localSheetId="6" name="pick2_958x6_system" vbProcedure="false">#ref!</definedName>
    <definedName function="false" hidden="false" localSheetId="6" name="pick2_production" vbProcedure="false">#ref!</definedName>
    <definedName function="false" hidden="false" localSheetId="6" name="pick_512_system" vbProcedure="false">#ref!</definedName>
    <definedName function="false" hidden="false" localSheetId="6" name="pick_5_system" vbProcedure="false">#ref!</definedName>
    <definedName function="false" hidden="false" localSheetId="6" name="pick_758x314_system" vbProcedure="false">#ref!</definedName>
    <definedName function="false" hidden="false" localSheetId="6" name="pick_758x4_system" vbProcedure="false">#ref!</definedName>
    <definedName function="false" hidden="false" localSheetId="6" name="pick_7x314_system" vbProcedure="false">#ref!</definedName>
    <definedName function="false" hidden="false" localSheetId="6" name="pick_7x4_system" vbProcedure="false">#ref!</definedName>
    <definedName function="false" hidden="false" localSheetId="6" name="pick_blanks" vbProcedure="false">#ref!</definedName>
    <definedName function="false" hidden="false" localSheetId="6" name="pick_liner" vbProcedure="false">#ref!</definedName>
    <definedName function="false" hidden="false" localSheetId="6" name="pick_liner2" vbProcedure="false">#ref!</definedName>
    <definedName function="false" hidden="false" localSheetId="6" name="pick_miscellaneous" vbProcedure="false">#ref!</definedName>
    <definedName function="false" hidden="false" localSheetId="6" name="pick_quantum" vbProcedure="false">#ref!</definedName>
    <definedName function="false" hidden="false" localSheetId="6" name="pick_screens" vbProcedure="false">#ref!</definedName>
    <definedName function="false" hidden="false" localSheetId="6" name="pick_shearsubs" vbProcedure="false">#ref!</definedName>
    <definedName function="false" hidden="false" localSheetId="6" name="pick_sump" vbProcedure="false">#ref!</definedName>
    <definedName function="false" hidden="false" localSheetId="6" name="Print_Area_MI" vbProcedure="false">#ref!</definedName>
    <definedName function="false" hidden="true" localSheetId="6" name="rrr" vbProcedure="false">{#N/A,#N/A,FALSE,"Sheet1"}</definedName>
    <definedName function="false" hidden="true" localSheetId="6"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shit" vbProcedure="false">{#N/A,#N/A,FALSE,"Sheet1"}</definedName>
    <definedName function="false" hidden="true" localSheetId="6" name="Spacedout" vbProcedure="false">{#N/A,#N/A,FALSE,"Drlg Param Run 1-1";#N/A,#N/A,FALSE,"DDR (3)";#N/A,#N/A,FALSE,"BHA AT (1)";#N/A,#N/A,FALSE,"Downlinkbha";#N/A,#N/A,FALSE,"Job Status Report"}</definedName>
    <definedName function="false" hidden="true" localSheetId="6"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targe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test" vbProcedure="false">#ref!</definedName>
    <definedName function="false" hidden="true" localSheetId="6" name="tes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textfive" vbProcedure="false">#ref!</definedName>
    <definedName function="false" hidden="false" localSheetId="6" name="textfivehalf" vbProcedure="false">#ref!</definedName>
    <definedName function="false" hidden="false" localSheetId="6" name="textninefiveeightfourfirst" vbProcedure="false">#ref!</definedName>
    <definedName function="false" hidden="false" localSheetId="6" name="textninefiveeightfoursecond" vbProcedure="false">#ref!</definedName>
    <definedName function="false" hidden="false" localSheetId="6" name="textninefiveeightsixfirst" vbProcedure="false">#ref!</definedName>
    <definedName function="false" hidden="false" localSheetId="6" name="textninefiveeightsixsecond" vbProcedure="false">#ref!</definedName>
    <definedName function="false" hidden="false" localSheetId="6" name="textsevenfiveeightfour" vbProcedure="false">#ref!</definedName>
    <definedName function="false" hidden="false" localSheetId="6" name="textsevenfiveeightthree" vbProcedure="false">#ref!</definedName>
    <definedName function="false" hidden="false" localSheetId="6" name="textsevenfour" vbProcedure="false">#ref!</definedName>
    <definedName function="false" hidden="false" localSheetId="6" name="textseventhree" vbProcedure="false">#ref!</definedName>
    <definedName function="false" hidden="false" localSheetId="6" name="text_five" vbProcedure="false">#ref!</definedName>
    <definedName function="false" hidden="false" localSheetId="6" name="text_fivehalf" vbProcedure="false">#ref!</definedName>
    <definedName function="false" hidden="false" localSheetId="6" name="text_ninefiveeightfourfirst" vbProcedure="false">#ref!</definedName>
    <definedName function="false" hidden="false" localSheetId="6" name="text_ninefiveeightfoursecond" vbProcedure="false">#ref!</definedName>
    <definedName function="false" hidden="false" localSheetId="6" name="text_ninefiveeightsixfirst" vbProcedure="false">#ref!</definedName>
    <definedName function="false" hidden="false" localSheetId="6" name="text_ninefiveeightsixsecond" vbProcedure="false">#ref!</definedName>
    <definedName function="false" hidden="false" localSheetId="6" name="text_sevenfiveeightfour" vbProcedure="false">#ref!</definedName>
    <definedName function="false" hidden="false" localSheetId="6" name="text_sevenfiveeightthree" vbProcedure="false">#ref!</definedName>
    <definedName function="false" hidden="false" localSheetId="6" name="text_sevenfour" vbProcedure="false">#ref!</definedName>
    <definedName function="false" hidden="false" localSheetId="6" name="text_seventhree" vbProcedure="false">#ref!</definedName>
    <definedName function="false" hidden="true" localSheetId="6" name="Time2" vbProcedure="false">{#N/A,#N/A,FALSE,"Volume"}</definedName>
    <definedName function="false" hidden="false" localSheetId="6" name="Tubing" vbProcedure="false">#ref!</definedName>
    <definedName function="false" hidden="false" localSheetId="6" name="TubingAverage" vbProcedure="false">((SUM(NosOfTubing))-(MakeupLoss*COUNT(NosOfTubing)))/COUNT(NosOfTubing)</definedName>
    <definedName function="false" hidden="true" localSheetId="6"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vallist2" vbProcedure="false">OFFSET(INDIRECT(ADDRESS(MATCH(Liner1_OD,Objects,0)+1,2,,,"Casing Info")),0,1,COUNTIF(Objects,Liner1_OD),1)</definedName>
    <definedName function="false" hidden="false" localSheetId="6" name="vbcode.draw_blanks" vbProcedure="false">#ref!</definedName>
    <definedName function="false" hidden="false" localSheetId="6" name="vbcode.draw_linerfirst" vbProcedure="false">#ref!</definedName>
    <definedName function="false" hidden="false" localSheetId="6" name="vbcode.draw_linersecond" vbProcedure="false">#ref!</definedName>
    <definedName function="false" hidden="false" localSheetId="6" name="vbcode.draw_miscellaneous" vbProcedure="false">#ref!</definedName>
    <definedName function="false" hidden="false" localSheetId="6" name="vbcode.draw_productionfirst" vbProcedure="false">#ref!</definedName>
    <definedName function="false" hidden="false" localSheetId="6" name="vbcode.draw_productionsecond" vbProcedure="false">#ref!</definedName>
    <definedName function="false" hidden="false" localSheetId="6" name="vbcode.draw_quantum" vbProcedure="false">#ref!</definedName>
    <definedName function="false" hidden="false" localSheetId="6" name="vbcode.draw_screens" vbProcedure="false">#ref!</definedName>
    <definedName function="false" hidden="false" localSheetId="6" name="vbcode.draw_shearsubs" vbProcedure="false">#ref!</definedName>
    <definedName function="false" hidden="false" localSheetId="6" name="vbcode.draw_sump" vbProcedure="false">#ref!</definedName>
    <definedName function="false" hidden="false" localSheetId="6" name="vbcode.text_five" vbProcedure="false">#ref!</definedName>
    <definedName function="false" hidden="false" localSheetId="6" name="vbcode.text_fivehalf" vbProcedure="false">#ref!</definedName>
    <definedName function="false" hidden="false" localSheetId="6" name="vbcode.text_ninefiveeightfourfirst" vbProcedure="false">#ref!</definedName>
    <definedName function="false" hidden="false" localSheetId="6" name="vbcode.text_ninefiveeightfoursecond" vbProcedure="false">#ref!</definedName>
    <definedName function="false" hidden="false" localSheetId="6" name="vbcode.text_ninefiveeightsixfirst" vbProcedure="false">#ref!</definedName>
    <definedName function="false" hidden="false" localSheetId="6" name="vbcode.text_ninefiveeightsixsecond" vbProcedure="false">#ref!</definedName>
    <definedName function="false" hidden="false" localSheetId="6" name="vbcode.text_sevenfiveeightfour" vbProcedure="false">#ref!</definedName>
    <definedName function="false" hidden="false" localSheetId="6" name="vbcode.text_sevenfiveeightthree" vbProcedure="false">#ref!</definedName>
    <definedName function="false" hidden="false" localSheetId="6" name="vbcode.text_sevenfour" vbProcedure="false">#ref!</definedName>
    <definedName function="false" hidden="false" localSheetId="6" name="vbcode.text_seventhree" vbProcedure="false">#ref!</definedName>
    <definedName function="false" hidden="true" localSheetId="6" name="volume1" vbProcedure="false">{#N/A,#N/A,FALSE,"Volume"}</definedName>
    <definedName function="false" hidden="true" localSheetId="6" name="well"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6" name="well_name" vbProcedure="false">#ref!</definedName>
    <definedName function="false" hidden="true" localSheetId="6" name="wrn.1999._.DIRECT._.PLAN." vbProcedure="false">{#N/A,#N/A,TRUE,"TOTAL";#N/A,#N/A,TRUE,"AGIBA ";#N/A,#N/A,TRUE,"AMOCO";#N/A,#N/A,TRUE,"BAPETCO";#N/A,#N/A,TRUE,"GUPCO";#N/A,#N/A,TRUE,"KHALDA";#N/A,#N/A,TRUE,"SUCO";#N/A,#N/A,TRUE,"PETROBEL";#N/A,#N/A,TRUE,"ZAFCO";#N/A,#N/A,TRUE,"TULLOW";#N/A,#N/A,TRUE,"HBS";#N/A,#N/A,TRUE,"QARUN";#N/A,#N/A,TRUE,"MISC"}</definedName>
    <definedName function="false" hidden="true" localSheetId="6" name="wrn.AT._.Reports." vbProcedure="false">{#N/A,#N/A,FALSE,"Drlg Param Run 1-1";#N/A,#N/A,FALSE,"DDR (3)";#N/A,#N/A,FALSE,"BHA AT (1)";#N/A,#N/A,FALSE,"Downlinkbha";#N/A,#N/A,FALSE,"Job Status Report"}</definedName>
    <definedName function="false" hidden="true" localSheetId="6" name="wrn.CD_MST." vbProcedure="false">{#N/A,#N/A,FALSE,"Sheet1"}</definedName>
    <definedName function="false" hidden="true" localSheetId="6" name="wrn.Closing._.P14Q5FY98." vbProcedure="false">{#N/A,#N/A,TRUE,"P14 Summary";#N/A,#N/A,TRUE,"ACT_PLAN";#N/A,#N/A,TRUE,"BESA P14";#N/A,#N/A,TRUE,"Drexel P14";#N/A,#N/A,TRUE,"BSC P14";#N/A,#N/A,TRUE,"DIRECT-P14"}</definedName>
    <definedName function="false" hidden="true" localSheetId="6" name="wrn.FY99._.LOCAL._.PLAN." vbProcedure="false">{#N/A,#N/A,TRUE,"TOTAL";#N/A,#N/A,TRUE,"AGIBA ";#N/A,#N/A,TRUE,"AMOCO";#N/A,#N/A,TRUE,"BAPETCO";#N/A,#N/A,TRUE,"ERITREA";#N/A,#N/A,TRUE,"GUPCO";#N/A,#N/A,TRUE,"I.E.O.C.";#N/A,#N/A,TRUE,"KHALDA";#N/A,#N/A,TRUE,"PETROBEL";#N/A,#N/A,TRUE,"QARUN";#N/A,#N/A,TRUE,"ZAFCO";#N/A,#N/A,TRUE,"TULLOW";#N/A,#N/A,TRUE,"MISC"}</definedName>
    <definedName function="false" hidden="true" localSheetId="6" name="wrn.VOLUME." vbProcedure="false">{#N/A,#N/A,FALSE,"Volume"}</definedName>
    <definedName function="false" hidden="true" localSheetId="6"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x" vbProcedure="false">{#N/A,#N/A,FALSE,"Drlg Param Run 1-1";#N/A,#N/A,FALSE,"DDR (3)";#N/A,#N/A,FALSE,"BHA AT (1)";#N/A,#N/A,FALSE,"Downlinkbha";#N/A,#N/A,FALSE,"Job Status Report"}</definedName>
    <definedName function="false" hidden="true" localSheetId="6" name="xxx" vbProcedure="false">{#N/A,#N/A,FALSE,"Sheet1"}</definedName>
    <definedName function="false" hidden="false" localSheetId="6" name="yesno" vbProcedure="false">#ref!</definedName>
    <definedName function="false" hidden="true" localSheetId="6" name="_bgn1" vbProcedure="false">{#N/A,#N/A,FALSE,"Sheet1"}</definedName>
    <definedName function="false" hidden="true" localSheetId="6" name="_cd1" vbProcedure="false">{#N/A,#N/A,FALSE,"Sheet1"}</definedName>
    <definedName function="false" hidden="true" localSheetId="6" name="_cf1" vbProcedure="false">{#N/A,#N/A,FALSE,"Sheet1"}</definedName>
    <definedName function="false" hidden="true" localSheetId="6" name="_gmh1" vbProcedure="false">{#N/A,#N/A,FALSE,"Sheet1"}</definedName>
    <definedName function="false" hidden="true" localSheetId="6" name="_Order1" vbProcedure="false">0</definedName>
    <definedName function="false" hidden="true" localSheetId="6" name="_wrn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6" name="__wrn1" vbProcedure="false">{#N/A,#N/A,FALSE,"Volume"}</definedName>
    <definedName function="false" hidden="true" localSheetId="6" name="___wrn1" vbProcedure="false">{#N/A,#N/A,FALSE,"Volume"}</definedName>
    <definedName function="false" hidden="true" localSheetId="6" name="____wrn1" vbProcedure="false">{#N/A,#N/A,FALSE,"Volume"}</definedName>
    <definedName function="false" hidden="true" localSheetId="6" name="_____wrn1" vbProcedure="false">{#N/A,#N/A,FALSE,"Volume"}</definedName>
    <definedName function="false" hidden="true" localSheetId="6" name="______wrn1" vbProcedure="false">{#N/A,#N/A,FALSE,"Volume"}</definedName>
    <definedName function="false" hidden="true" localSheetId="6" name="_______wrn1" vbProcedure="false">{#N/A,#N/A,FALSE,"Volume"}</definedName>
    <definedName function="false" hidden="true" localSheetId="6" name="________wrn1" vbProcedure="false">{#N/A,#N/A,FALSE,"Volume"}</definedName>
    <definedName function="false" hidden="true" localSheetId="6" name="________wrn2" vbProcedure="false">{#N/A,#N/A,FALSE,"Volume"}</definedName>
    <definedName function="false" hidden="true" localSheetId="6" name="_________wrn1" vbProcedure="false">{#N/A,#N/A,FALSE,"Volume"}</definedName>
    <definedName function="false" hidden="true" localSheetId="7"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axj" vbProcedure="false">{#N/A,#N/A,FALSE,"Sheet1"}</definedName>
    <definedName function="false" hidden="true" localSheetId="7" name="bbb" vbProcedure="false">{#N/A,#N/A,FALSE,"Sheet1"}</definedName>
    <definedName function="false" hidden="true" localSheetId="7" name="bgn" vbProcedure="false">{#N/A,#N/A,FALSE,"Sheet1"}</definedName>
    <definedName function="false" hidden="true" localSheetId="7" name="cf" vbProcedure="false">{#N/A,#N/A,FALSE,"Sheet1"}</definedName>
    <definedName function="false" hidden="true" localSheetId="7" name="Chart" vbProcedure="false">{#N/A,#N/A,FALSE,"Sheet1"}</definedName>
    <definedName function="false" hidden="true" localSheetId="7" name="chart1" vbProcedure="false">{#N/A,#N/A,FALSE,"Sheet1"}</definedName>
    <definedName function="false" hidden="true" localSheetId="7" name="COMP" vbProcedure="false">{#N/A,#N/A,FALSE,"Volume"}</definedName>
    <definedName function="false" hidden="true" localSheetId="7" name="Conflict1" vbProcedure="false">{#N/A,#N/A,FALSE,"Drlg Param Run 1-1";#N/A,#N/A,FALSE,"DDR (3)";#N/A,#N/A,FALSE,"BHA AT (1)";#N/A,#N/A,FALSE,"Downlinkbha";#N/A,#N/A,FALSE,"Job Status Report"}</definedName>
    <definedName function="false" hidden="true" localSheetId="7" name="data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Gmh" vbProcedure="false">{#N/A,#N/A,FALSE,"Sheet1"}</definedName>
    <definedName function="false" hidden="true" localSheetId="7"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jun" vbProcedure="false">{#N/A,#N/A,FALSE,"Sheet1"}</definedName>
    <definedName function="false" hidden="true" localSheetId="7" name="June" vbProcedure="false">{#N/A,#N/A,FALSE,"Sheet1"}</definedName>
    <definedName function="false" hidden="true" localSheetId="7" name="June1" vbProcedure="false">{#N/A,#N/A,FALSE,"Sheet1"}</definedName>
    <definedName function="false" hidden="true" localSheetId="7" name="mr" vbProcedure="false">{#N/A,#N/A,FALSE,"Sheet1"}</definedName>
    <definedName function="false" hidden="true" localSheetId="7"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P" vbProcedure="false">{#N/A,#N/A,FALSE,"Drlg Param Run 1-1";#N/A,#N/A,FALSE,"DDR (3)";#N/A,#N/A,FALSE,"BHA AT (1)";#N/A,#N/A,FALSE,"Downlinkbha";#N/A,#N/A,FALSE,"Job Status Report"}</definedName>
    <definedName function="false" hidden="true" localSheetId="7" name="Para3" vbProcedure="false">{#N/A,#N/A,FALSE,"Drlg Param Run 1-1";#N/A,#N/A,FALSE,"DDR (3)";#N/A,#N/A,FALSE,"BHA AT (1)";#N/A,#N/A,FALSE,"Downlinkbha";#N/A,#N/A,FALSE,"Job Status Report"}</definedName>
    <definedName function="false" hidden="true" localSheetId="7" name="rrr" vbProcedure="false">{#N/A,#N/A,FALSE,"Sheet1"}</definedName>
    <definedName function="false" hidden="true" localSheetId="7"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shit" vbProcedure="false">{#N/A,#N/A,FALSE,"Sheet1"}</definedName>
    <definedName function="false" hidden="true" localSheetId="7" name="Spacedout" vbProcedure="false">{#N/A,#N/A,FALSE,"Drlg Param Run 1-1";#N/A,#N/A,FALSE,"DDR (3)";#N/A,#N/A,FALSE,"BHA AT (1)";#N/A,#N/A,FALSE,"Downlinkbha";#N/A,#N/A,FALSE,"Job Status Report"}</definedName>
    <definedName function="false" hidden="true" localSheetId="7"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Time2" vbProcedure="false">{#N/A,#N/A,FALSE,"Volume"}</definedName>
    <definedName function="false" hidden="false" localSheetId="7" name="TubingAverage" vbProcedure="false">((SUM(NosOfTubing))-(MakeupLoss*COUNT(NosOfTubing)))/COUNT(NosOfTubing)</definedName>
    <definedName function="false" hidden="true" localSheetId="7"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7" name="vallist2" vbProcedure="false">OFFSET(INDIRECT(ADDRESS(MATCH(Liner1_OD,Objects,0)+1,2,,,"Casing Info")),0,1,COUNTIF(Objects,Liner1_OD),1)</definedName>
    <definedName function="false" hidden="true" localSheetId="7" name="volume1" vbProcedure="false">{#N/A,#N/A,FALSE,"Volume"}</definedName>
    <definedName function="false" hidden="true" localSheetId="7"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wrn.1999._.DIRECT._.PLAN." vbProcedure="false">{#N/A,#N/A,TRUE,"TOTAL";#N/A,#N/A,TRUE,"AGIBA ";#N/A,#N/A,TRUE,"AMOCO";#N/A,#N/A,TRUE,"BAPETCO";#N/A,#N/A,TRUE,"GUPCO";#N/A,#N/A,TRUE,"KHALDA";#N/A,#N/A,TRUE,"SUCO";#N/A,#N/A,TRUE,"PETROBEL";#N/A,#N/A,TRUE,"ZAFCO";#N/A,#N/A,TRUE,"TULLOW";#N/A,#N/A,TRUE,"HBS";#N/A,#N/A,TRUE,"QARUN";#N/A,#N/A,TRUE,"MISC"}</definedName>
    <definedName function="false" hidden="true" localSheetId="7" name="wrn.AT._.Reports." vbProcedure="false">{#N/A,#N/A,FALSE,"Drlg Param Run 1-1";#N/A,#N/A,FALSE,"DDR (3)";#N/A,#N/A,FALSE,"BHA AT (1)";#N/A,#N/A,FALSE,"Downlinkbha";#N/A,#N/A,FALSE,"Job Status Report"}</definedName>
    <definedName function="false" hidden="true" localSheetId="7" name="wrn.CD_MST." vbProcedure="false">{#N/A,#N/A,FALSE,"Sheet1"}</definedName>
    <definedName function="false" hidden="true" localSheetId="7" name="wrn.Closing._.P14Q5FY98." vbProcedure="false">{#N/A,#N/A,TRUE,"P14 Summary";#N/A,#N/A,TRUE,"ACT_PLAN";#N/A,#N/A,TRUE,"BESA P14";#N/A,#N/A,TRUE,"Drexel P14";#N/A,#N/A,TRUE,"BSC P14";#N/A,#N/A,TRUE,"DIRECT-P14"}</definedName>
    <definedName function="false" hidden="true" localSheetId="7" name="wrn.FY99._.LOCAL._.PLAN." vbProcedure="false">{#N/A,#N/A,TRUE,"TOTAL";#N/A,#N/A,TRUE,"AGIBA ";#N/A,#N/A,TRUE,"AMOCO";#N/A,#N/A,TRUE,"BAPETCO";#N/A,#N/A,TRUE,"ERITREA";#N/A,#N/A,TRUE,"GUPCO";#N/A,#N/A,TRUE,"I.E.O.C.";#N/A,#N/A,TRUE,"KHALDA";#N/A,#N/A,TRUE,"PETROBEL";#N/A,#N/A,TRUE,"QARUN";#N/A,#N/A,TRUE,"ZAFCO";#N/A,#N/A,TRUE,"TULLOW";#N/A,#N/A,TRUE,"MISC"}</definedName>
    <definedName function="false" hidden="true" localSheetId="7" name="wrn.VOLUME." vbProcedure="false">{#N/A,#N/A,FALSE,"Volume"}</definedName>
    <definedName function="false" hidden="true" localSheetId="7"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7" name="x" vbProcedure="false">{#N/A,#N/A,FALSE,"Drlg Param Run 1-1";#N/A,#N/A,FALSE,"DDR (3)";#N/A,#N/A,FALSE,"BHA AT (1)";#N/A,#N/A,FALSE,"Downlinkbha";#N/A,#N/A,FALSE,"Job Status Report"}</definedName>
    <definedName function="false" hidden="true" localSheetId="7" name="xxx" vbProcedure="false">{#N/A,#N/A,FALSE,"Sheet1"}</definedName>
    <definedName function="false" hidden="true" localSheetId="7" name="_bgn1" vbProcedure="false">{#N/A,#N/A,FALSE,"Sheet1"}</definedName>
    <definedName function="false" hidden="true" localSheetId="7" name="_cd1" vbProcedure="false">{#N/A,#N/A,FALSE,"Sheet1"}</definedName>
    <definedName function="false" hidden="true" localSheetId="7" name="_cf1" vbProcedure="false">{#N/A,#N/A,FALSE,"Sheet1"}</definedName>
    <definedName function="false" hidden="true" localSheetId="7" name="_gmh1" vbProcedure="false">{#N/A,#N/A,FALSE,"Sheet1"}</definedName>
    <definedName function="false" hidden="true" localSheetId="7" name="_wrn1" vbProcedure="false">{#N/A,#N/A,FALSE,"Volume"}</definedName>
    <definedName function="false" hidden="true" localSheetId="7" name="__wrn1" vbProcedure="false">{#N/A,#N/A,FALSE,"Volume"}</definedName>
    <definedName function="false" hidden="true" localSheetId="7" name="___wrn1" vbProcedure="false">{#N/A,#N/A,FALSE,"Volume"}</definedName>
    <definedName function="false" hidden="true" localSheetId="7" name="____wrn1" vbProcedure="false">{#N/A,#N/A,FALSE,"Volume"}</definedName>
    <definedName function="false" hidden="true" localSheetId="7" name="_____wrn1" vbProcedure="false">{#N/A,#N/A,FALSE,"Volume"}</definedName>
    <definedName function="false" hidden="true" localSheetId="7" name="______wrn1" vbProcedure="false">{#N/A,#N/A,FALSE,"Volume"}</definedName>
    <definedName function="false" hidden="true" localSheetId="7" name="_______wrn1" vbProcedure="false">{#N/A,#N/A,FALSE,"Volume"}</definedName>
    <definedName function="false" hidden="true" localSheetId="7" name="________wrn1" vbProcedure="false">{#N/A,#N/A,FALSE,"Volume"}</definedName>
    <definedName function="false" hidden="true" localSheetId="7" name="________wrn2" vbProcedure="false">{#N/A,#N/A,FALSE,"Volume"}</definedName>
    <definedName function="false" hidden="true" localSheetId="7" name="_________wrn1" vbProcedure="false">{#N/A,#N/A,FALSE,"Volume"}</definedName>
    <definedName function="false" hidden="true" localSheetId="8" name="a" vbProcedure="false">#ref!</definedName>
    <definedName function="false" hidden="false" localSheetId="8" name="AA" vbProcedure="false">#ref!</definedName>
    <definedName function="false" hidden="false" localSheetId="8" name="aa.macro111" vbProcedure="false">[48]!Prev.Macro111</definedName>
    <definedName function="false" hidden="false" localSheetId="8" name="aaaa" vbProcedure="false">[49]!Macro59</definedName>
    <definedName function="false" hidden="true" localSheetId="8" name="ABX" vbProcedure="false">[103]Run!$B$18:$B$512</definedName>
    <definedName function="false" hidden="false" localSheetId="8" name="addresstwo" vbProcedure="false">[54]data!#ref!</definedName>
    <definedName function="false" hidden="false" localSheetId="8" name="ADDSTAB" vbProcedure="false">[55]!ADDSTAB</definedName>
    <definedName function="false" hidden="false" localSheetId="8" name="adf" vbProcedure="false">[56]!Macro60</definedName>
    <definedName function="false" hidden="false" localSheetId="8" name="ae" vbProcedure="false">'[104]forecast 3YP'!$AD$6</definedName>
    <definedName function="false" hidden="true" localSheetId="8"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ALL" vbProcedure="false">'[44]7-30-04'!$W$55:$IV$7457</definedName>
    <definedName function="false" hidden="false" localSheetId="8" name="alwyn1" vbProcedure="false">#ref!</definedName>
    <definedName function="false" hidden="false" localSheetId="8" name="AMACRO.n2foam" vbProcedure="false">'[61]tool backload dt'!amacro.n2foam</definedName>
    <definedName function="false" hidden="false" localSheetId="8" name="Ambient_temp" vbProcedure="false">'[6]#ref'!#ref!</definedName>
    <definedName function="false" hidden="false" localSheetId="8" name="amis" vbProcedure="false">[105]Tally!$A$5:$J$825</definedName>
    <definedName function="false" hidden="false" localSheetId="8" name="ANDERGAUGE" vbProcedure="false">[55]!ANDERGAUGE</definedName>
    <definedName function="false" hidden="false" localSheetId="8" name="annularvol" vbProcedure="false">[106]Data!$F$13</definedName>
    <definedName function="false" hidden="false" localSheetId="8" name="Ao" vbProcedure="false">[107]Piston!$F$5</definedName>
    <definedName function="false" hidden="false" localSheetId="8" name="Ap" vbProcedure="false">[107]Piston!$F$6</definedName>
    <definedName function="false" hidden="false" localSheetId="8" name="Approver_Objectives" vbProcedure="false">'[70]well team goals'!#ref!</definedName>
    <definedName function="false" hidden="false" localSheetId="8" name="Approver_Well_Plan" vbProcedure="false">'[70]well team goals'!#ref!</definedName>
    <definedName function="false" hidden="true" localSheetId="8" name="asd" vbProcedure="false">#ref!</definedName>
    <definedName function="false" hidden="false" localSheetId="8" name="ASDA" vbProcedure="false">[71]!Calculate_Pipe</definedName>
    <definedName function="false" hidden="false" localSheetId="8" name="ASS" vbProcedure="false">[72]!JointNumber</definedName>
    <definedName function="false" hidden="false" localSheetId="8" name="Assembly1" vbProcedure="false">[72]!Calculate_Pipe</definedName>
    <definedName function="false" hidden="false" localSheetId="8" name="assy.3" vbProcedure="false">[72]!Calculate_Pipe</definedName>
    <definedName function="false" hidden="false" localSheetId="8" name="ASSY.6" vbProcedure="false">[72]!Calculate_Pipe</definedName>
    <definedName function="false" hidden="false" localSheetId="8" name="ASSY2312" vbProcedure="false">[27]!Macro1</definedName>
    <definedName function="false" hidden="false" localSheetId="8" name="ASSY7" vbProcedure="false">[40]!Calculate_Pipe</definedName>
    <definedName function="false" hidden="false" localSheetId="8" name="ASSY_098" vbProcedure="false">[72]!JointNumber</definedName>
    <definedName function="false" hidden="false" localSheetId="8" name="ASSY_122" vbProcedure="false">[27]!Macro1</definedName>
    <definedName function="false" hidden="false" localSheetId="8" name="ASSY_123" vbProcedure="false">[72]!JointNumber</definedName>
    <definedName function="false" hidden="false" localSheetId="8" name="ASSY_2111" vbProcedure="false">[27]!Macro1</definedName>
    <definedName function="false" hidden="false" localSheetId="8" name="ASSY_231" vbProcedure="false">[27]!Macro1</definedName>
    <definedName function="false" hidden="false" localSheetId="8" name="ASSY_342" vbProcedure="false">[27]!Macro1</definedName>
    <definedName function="false" hidden="false" localSheetId="8" name="ASSY_36" vbProcedure="false">[27]!Macro1</definedName>
    <definedName function="false" hidden="false" localSheetId="8" name="ASSY_4" vbProcedure="false">[27]!Macro1</definedName>
    <definedName function="false" hidden="false" localSheetId="8" name="ASSY_432" vbProcedure="false">[27]!Macro1</definedName>
    <definedName function="false" hidden="false" localSheetId="8" name="assy_5" vbProcedure="false">[72]!JointNumber</definedName>
    <definedName function="false" hidden="false" localSheetId="8" name="assy_543" vbProcedure="false">[72]!JointNumber</definedName>
    <definedName function="false" hidden="false" localSheetId="8" name="Assy_765" vbProcedure="false">[72]!Calculate_Pipe</definedName>
    <definedName function="false" hidden="false" localSheetId="8" name="ASSy_blast" vbProcedure="false">[72]!Calculate_Pipe</definedName>
    <definedName function="false" hidden="false" localSheetId="8" name="ASSY_W2" vbProcedure="false">[72]!Calculate_Pipe</definedName>
    <definedName function="false" hidden="false" localSheetId="8" name="AutoCAD" vbProcedure="false">[41]!AutoCAD</definedName>
    <definedName function="false" hidden="false" localSheetId="8" name="AutoCAD_1" vbProcedure="false">[27]!AutoCAD</definedName>
    <definedName function="false" hidden="false" localSheetId="8" name="AutoCAD_10" vbProcedure="false">[27]!AutoCAD</definedName>
    <definedName function="false" hidden="false" localSheetId="8" name="AutoCAD_11" vbProcedure="false">[27]!AutoCAD</definedName>
    <definedName function="false" hidden="false" localSheetId="8" name="AutoCAD_2" vbProcedure="false">[27]!AutoCAD</definedName>
    <definedName function="false" hidden="false" localSheetId="8" name="AutoCAD_3" vbProcedure="false">[27]!AutoCAD</definedName>
    <definedName function="false" hidden="false" localSheetId="8" name="AutoCAD_4" vbProcedure="false">[27]!AutoCAD</definedName>
    <definedName function="false" hidden="false" localSheetId="8" name="AutoCAD_5" vbProcedure="false">[27]!AutoCAD</definedName>
    <definedName function="false" hidden="false" localSheetId="8" name="AutoCAD_6" vbProcedure="false">[27]!AutoCAD</definedName>
    <definedName function="false" hidden="false" localSheetId="8" name="AutoCAD_7" vbProcedure="false">[27]!AutoCAD</definedName>
    <definedName function="false" hidden="false" localSheetId="8" name="AutoCAD_8" vbProcedure="false">[27]!AutoCAD</definedName>
    <definedName function="false" hidden="false" localSheetId="8" name="AutoCAD_9" vbProcedure="false">[27]!AutoCAD</definedName>
    <definedName function="false" hidden="false" localSheetId="8" name="Aux_BHA_ID" vbProcedure="false">'[108]Job Calculation Sheet'!$F$20</definedName>
    <definedName function="false" hidden="false" localSheetId="8" name="Aux_BHA_OD" vbProcedure="false">'[108]Job Calculation Sheet'!$E$20</definedName>
    <definedName function="false" hidden="false" localSheetId="8" name="AvgJoint" vbProcedure="false">[109]DATA!$BO$2:$BO$9</definedName>
    <definedName function="false" hidden="false" localSheetId="8" name="AvgLength" vbProcedure="false">'[76]casing talley'!#ref!</definedName>
    <definedName function="false" hidden="true" localSheetId="8" name="axj" vbProcedure="false">{#N/A,#N/A,FALSE,"Sheet1"}</definedName>
    <definedName function="false" hidden="false" localSheetId="8" name="A_L" vbProcedure="false">'[47]12(762mm)套管'!#ref!</definedName>
    <definedName function="false" hidden="true" localSheetId="8" name="b" vbProcedure="false">#ref!</definedName>
    <definedName function="false" hidden="false" localSheetId="8" name="back" vbProcedure="false">'[61]tool backload dt'!back</definedName>
    <definedName function="false" hidden="false" localSheetId="8" name="BallMaterial" vbProcedure="false">[109]DATA!$BL$2:$BL$11</definedName>
    <definedName function="false" hidden="false" localSheetId="8" name="Ballooning_Area" vbProcedure="false">[109]Test!$M$18</definedName>
    <definedName function="false" hidden="false" localSheetId="8" name="Ballseat" vbProcedure="false">[109]DATA!$AG$2:$AG$9</definedName>
    <definedName function="false" hidden="false" localSheetId="8" name="BallSize" vbProcedure="false">[109]DATA!$BF$3:$BF$8</definedName>
    <definedName function="false" hidden="false" localSheetId="8" name="basicok" vbProcedure="false">[27]!basicok</definedName>
    <definedName function="false" hidden="false" localSheetId="8" name="BBB" vbProcedure="false">'[110]DD Worksheet'!$C$1</definedName>
    <definedName function="false" hidden="false" localSheetId="8" name="bbbbb" vbProcedure="false">[79]!Macro61</definedName>
    <definedName function="false" hidden="false" localSheetId="8" name="bbllm3" vbProcedure="false">'[109]Metric Conversions'!$B$69</definedName>
    <definedName function="false" hidden="false" localSheetId="8" name="bblstk" vbProcedure="false">'[109]Displacement Cal.'!$B$7</definedName>
    <definedName function="false" hidden="false" localSheetId="8" name="BD" vbProcedure="false">INDEX([111]DRAW!$A$2:$B$13,MATCH([112]AUTO_DHWS!$AV$15,[111]DRAW!$A$2:$A$13,0),2)</definedName>
    <definedName function="false" hidden="false" localSheetId="8" name="BD_SC" vbProcedure="false">INDEX([111]DRAW!$A$2:$B$13,MATCH([112]AUTO_DHWS!$AV$16,[111]DRAW!$A$2:$A$13,0),2)</definedName>
    <definedName function="false" hidden="false" localSheetId="8" name="BD_TB" vbProcedure="false">INDEX([111]DRAW!$A$2:$B$13,MATCH([112]AUTO_DHWS!$AV$9,[111]DRAW!$A$2:$A$13,0),2)</definedName>
    <definedName function="false" hidden="true" localSheetId="8" name="bgn" vbProcedure="false">{#N/A,#N/A,FALSE,"Sheet1"}</definedName>
    <definedName function="false" hidden="false" localSheetId="8" name="BHP" vbProcedure="false">'[94]Job Technical Info'!$B$42</definedName>
    <definedName function="false" hidden="false" localSheetId="8" name="bhr" vbProcedure="false">#ref!</definedName>
    <definedName function="false" hidden="false" localSheetId="8" name="BHRR" vbProcedure="false">#ref!</definedName>
    <definedName function="false" hidden="false" localSheetId="8" name="BHServRep" vbProcedure="false">#ref!</definedName>
    <definedName function="false" hidden="false" localSheetId="8" name="BHT" vbProcedure="false">'[94]Job Technical Info'!$D$42</definedName>
    <definedName function="false" hidden="false" localSheetId="8" name="Bitsize" vbProcedure="false">[109]DATA!$L$2:$L$41</definedName>
    <definedName function="false" hidden="false" localSheetId="8" name="bj_stroke" vbProcedure="false">'[109]Metric Conversions'!$B$35</definedName>
    <definedName function="false" hidden="false" localSheetId="8" name="bj_strokez" vbProcedure="false">'[109]Metric Conversions'!$C$35</definedName>
    <definedName function="false" hidden="false" localSheetId="8" name="BJ_Tens" vbProcedure="false">'[109]Liner Job Info'!$P$45</definedName>
    <definedName function="false" hidden="false" localSheetId="8" name="blanklength" vbProcedure="false">'[113]#REF'!$J$13</definedName>
    <definedName function="false" hidden="false" localSheetId="8" name="blankod" vbProcedure="false">'[113]#REF'!$F$13</definedName>
    <definedName function="false" hidden="false" localSheetId="8" name="BLANK_COVERED_NV" vbProcedure="false">'[113]#REF'!$G$111</definedName>
    <definedName function="false" hidden="false" localSheetId="8" name="BLANK_LENGTH" vbProcedure="false">'[113]#REF'!$J$13</definedName>
    <definedName function="false" hidden="false" localSheetId="8" name="BLANK_OD" vbProcedure="false">'[113]#REF'!$F$13</definedName>
    <definedName function="false" hidden="false" localSheetId="8" name="BlFl" vbProcedure="false">#ref!</definedName>
    <definedName function="false" hidden="false" localSheetId="8" name="block" vbProcedure="false">[5]WTR!$I$5</definedName>
    <definedName function="false" hidden="false" localSheetId="8" name="Block_Field" vbProcedure="false">'[108]Pre-Job Info Sheet'!$D$7</definedName>
    <definedName function="false" hidden="false" localSheetId="8" name="BLock_TD_Wt" vbProcedure="false">'[30]Liner Job Info'!$D$33</definedName>
    <definedName function="false" hidden="false" localSheetId="8" name="Block_Wt" vbProcedure="false">'[109]Weight Calculations'!$H$14</definedName>
    <definedName function="false" hidden="false" localSheetId="8" name="bOB" vbProcedure="false">[114]Volumes!$K$1:$Y$76</definedName>
    <definedName function="false" hidden="false" localSheetId="8" name="BOT" vbProcedure="false">'[94]Job Technical Info'!$A$4</definedName>
    <definedName function="false" hidden="false" localSheetId="8" name="Bottom_Hole_Temp." vbProcedure="false">'[108]Pre-Job Info Sheet'!$B$34</definedName>
    <definedName function="false" hidden="false" localSheetId="8" name="Bottom_Perforation" vbProcedure="false">'[108]Pre-Job Info Sheet'!$B$29</definedName>
    <definedName function="false" hidden="false" localSheetId="8" name="Bottom_Shot" vbProcedure="false">'[108]TCP-BHA'!$H$36</definedName>
    <definedName function="false" hidden="false" localSheetId="8" name="BPLimit" vbProcedure="false">[83]!TubTable[[340]:[438]]</definedName>
    <definedName function="false" hidden="false" localSheetId="8" name="BR_Column" vbProcedure="false">null</definedName>
    <definedName function="false" hidden="false" localSheetId="8" name="BR_Unit" vbProcedure="false">null</definedName>
    <definedName function="false" hidden="false" localSheetId="8" name="bs" vbProcedure="false">'[115]Max-Torq'!$Q$79</definedName>
    <definedName function="false" hidden="false" localSheetId="8" name="bsw" vbProcedure="false">'[93]well test sheet'!#ref!</definedName>
    <definedName function="false" hidden="false" localSheetId="8" name="Budget_owner" vbProcedure="false">'[70]well specification'!#ref!</definedName>
    <definedName function="false" hidden="false" localSheetId="8" name="Buoyancy" vbProcedure="false">#ref!</definedName>
    <definedName function="false" hidden="false" localSheetId="8" name="Buoy_Factor" vbProcedure="false">'[30]Liner Job Info'!$D$32</definedName>
    <definedName function="false" hidden="false" localSheetId="8" name="bxf" vbProcedure="false">'[115]Max-Torq'!$P$62</definedName>
    <definedName function="false" hidden="false" localSheetId="8" name="BypassRate" vbProcedure="false">[83]!TubTable[[340]:[438]]</definedName>
    <definedName function="false" hidden="true" localSheetId="8" name="Ca" vbProcedure="false">{#N/A,#N/A,FALSE,"Drlg Param Run 1-1";#N/A,#N/A,FALSE,"DDR (3)";#N/A,#N/A,FALSE,"BHA AT (1)";#N/A,#N/A,FALSE,"Downlinkbha";#N/A,#N/A,FALSE,"Job Status Report"}</definedName>
    <definedName function="false" hidden="false" localSheetId="8" name="CABLE2_1" vbProcedure="false">INDEX([111]DRAW!$L$52:$M$54,MATCH([112]AUTO_DHWS!$AY$8,[111]DRAW!$L$52:$L$54,0),2)</definedName>
    <definedName function="false" hidden="false" localSheetId="8" name="CABLE2_2" vbProcedure="false">INDEX([111]DRAW!$L$52:$M$56,MATCH([112]AUTO_DHWS!$AY$9,[111]DRAW!$L$52:$L$56,0),2)</definedName>
    <definedName function="false" hidden="false" localSheetId="8" name="CABLE_1" vbProcedure="false">INDEX([111]DRAW!$L$52:$M$53,MATCH([112]AUTO_DHWS!$AY$4,[111]DRAW!$L$52:$L$53,0),2)</definedName>
    <definedName function="false" hidden="false" localSheetId="8" name="CABLE_2" vbProcedure="false">INDEX([111]DRAW!$L$52:$M$56,MATCH([112]AUTO_DHWS!$AY$5,[111]DRAW!$L$52:$L$56,0),2)</definedName>
    <definedName function="false" hidden="false" localSheetId="8" name="CABLE_3" vbProcedure="false">INDEX([111]DRAW!$M$57:$N$63,MATCH([112]AUTO_DHWS!$AY$6,[111]DRAW!$M$57:$M$63,0),2)</definedName>
    <definedName function="false" hidden="false" localSheetId="8" name="CalculatePipe" vbProcedure="false">[72]!Calculate_Pipe</definedName>
    <definedName function="false" hidden="false" localSheetId="8" name="Calculate_Pipe" vbProcedure="false">[96]!Calculate_Pipe</definedName>
    <definedName function="false" hidden="false" localSheetId="8" name="Cancel" vbProcedure="false">[97]!Cancel</definedName>
    <definedName function="false" hidden="false" localSheetId="8" name="Capacities" vbProcedure="false">'[116]Kill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function="false" hidden="false" localSheetId="8" name="CAP_XO_PORT" vbProcedure="false">'[113]#REF'!$G$188</definedName>
    <definedName function="false" hidden="false" localSheetId="8" name="CARRIER_FL_WT" vbProcedure="false">'[113]#REF'!$F$67</definedName>
    <definedName function="false" hidden="false" localSheetId="8" name="CARR_FL_VISCOSITY" vbProcedure="false">'[113]#REF'!$I$106</definedName>
    <definedName function="false" hidden="false" localSheetId="8" name="CARR_FL_VOL_PREPACK" vbProcedure="false">'[113]#REF'!$F$47</definedName>
    <definedName function="false" hidden="false" localSheetId="8" name="Carr_fl_wt_prepack" vbProcedure="false">'[113]#REF'!$F$46</definedName>
    <definedName function="false" hidden="false" localSheetId="8" name="casingcolumn" vbProcedure="false">[106]Data!$J$17</definedName>
    <definedName function="false" hidden="false" localSheetId="8" name="casingid" vbProcedure="false">'[113]#REF'!$H$11</definedName>
    <definedName function="false" hidden="false" localSheetId="8" name="casingidref" vbProcedure="false">[106]Data!$GC$1</definedName>
    <definedName function="false" hidden="false" localSheetId="8" name="casinginfuserate" vbProcedure="false">'[113]#REF'!$K$50</definedName>
    <definedName function="false" hidden="false" localSheetId="8" name="casingliner" vbProcedure="false">[106]Data!$E$45</definedName>
    <definedName function="false" hidden="false" localSheetId="8" name="casingod" vbProcedure="false">'[113]#REF'!$F$11</definedName>
    <definedName function="false" hidden="false" localSheetId="8" name="CasingSize" vbProcedure="false">'[117]Well Installation Drawing'!$E$15</definedName>
    <definedName function="false" hidden="false" localSheetId="8" name="CasingWeight" vbProcedure="false">'[117]Well Installation Drawing'!$G$15</definedName>
    <definedName function="false" hidden="false" localSheetId="8" name="casingwt" vbProcedure="false">'[113]#REF'!$J$11</definedName>
    <definedName function="false" hidden="false" localSheetId="8" name="Casing_Collapsez" vbProcedure="false">'[109]Liner Job Info'!$J$14</definedName>
    <definedName function="false" hidden="false" localSheetId="8" name="Casing_I.D." vbProcedure="false">'[108]Job Calculation Sheet'!$F$13</definedName>
    <definedName function="false" hidden="false" localSheetId="8" name="Casing_Liner" vbProcedure="false">'[94]Installation Results #1'!$C$27</definedName>
    <definedName function="false" hidden="false" localSheetId="8" name="Casing_Size" vbProcedure="false">'[108]Pre-Job Info Sheet'!$D$15</definedName>
    <definedName function="false" hidden="false" localSheetId="8" name="Casing_Size_Weight" vbProcedure="false">'[108]TCP-BHA'!$I$5</definedName>
    <definedName function="false" hidden="false" localSheetId="8" name="Casing_Weight" vbProcedure="false">'[108]Pre-Job Info Sheet'!$D$16</definedName>
    <definedName function="false" hidden="false" localSheetId="8" name="CAS_BLNK_ANNULUS" vbProcedure="false">'[113]#REF'!$I$108</definedName>
    <definedName function="false" hidden="false" localSheetId="8" name="CAS_BLNK_VOL" vbProcedure="false">'[6]#ref'!#ref!</definedName>
    <definedName function="false" hidden="false" localSheetId="8" name="CAS_EXT_VOL" vbProcedure="false">'[6]#ref'!#ref!</definedName>
    <definedName function="false" hidden="false" localSheetId="8" name="CAS_ID" vbProcedure="false">'[113]#REF'!$H$11</definedName>
    <definedName function="false" hidden="false" localSheetId="8" name="CAS_OD" vbProcedure="false">'[113]#REF'!$J$11</definedName>
    <definedName function="false" hidden="false" localSheetId="8" name="CAS_SCR_VOL" vbProcedure="false">'[6]#ref'!#ref!</definedName>
    <definedName function="false" hidden="false" localSheetId="8" name="CAS_WT" vbProcedure="false">'[113]#REF'!$J$11</definedName>
    <definedName function="false" hidden="false" localSheetId="8" name="category" vbProcedure="false">[118]Sheet2!$A$70:$A$73</definedName>
    <definedName function="false" hidden="false" localSheetId="8" name="Cc" vbProcedure="false">0.3</definedName>
    <definedName function="false" hidden="false" localSheetId="8" name="ccc" vbProcedure="false">[119]钻井日报表!$I$7</definedName>
    <definedName function="false" hidden="false" localSheetId="8" name="ccccc" vbProcedure="false">[79]!Macro59</definedName>
    <definedName function="false" hidden="false" localSheetId="8" name="cdr" vbProcedure="false">'[93]well test sheet'!#ref!</definedName>
    <definedName function="false" hidden="false" localSheetId="8" name="CDWimdbase" vbProcedure="false">'[120]CD''s'!$A$2:$G$374</definedName>
    <definedName function="false" hidden="false" localSheetId="8" name="CementCompany" vbProcedure="false">[109]DATA!$BJ$2:$BJ$8</definedName>
    <definedName function="false" hidden="false" localSheetId="8" name="CENG" vbProcedure="false">[121]Reference!$A$2:$A$4</definedName>
    <definedName function="false" hidden="false" localSheetId="8" name="Centralizers" vbProcedure="false">[109]DATA!$AI$2:$AI$9</definedName>
    <definedName function="false" hidden="true" localSheetId="8" name="cf" vbProcedure="false">{#N/A,#N/A,FALSE,"Sheet1"}</definedName>
    <definedName function="false" hidden="true" localSheetId="8" name="Chart" vbProcedure="false">{#N/A,#N/A,FALSE,"Sheet1"}</definedName>
    <definedName function="false" hidden="true" localSheetId="8" name="chart1" vbProcedure="false">{#N/A,#N/A,FALSE,"Sheet1"}</definedName>
    <definedName function="false" hidden="false" localSheetId="8" name="Chemmac" vbProcedure="false">'[61]tool backload dt'!chemmac</definedName>
    <definedName function="false" hidden="false" localSheetId="8" name="Choice" vbProcedure="false">[122]Lists!$A$1:$A$3</definedName>
    <definedName function="false" hidden="false" localSheetId="8" name="cim" vbProcedure="false">[113]!Calculate_Pipe</definedName>
    <definedName function="false" hidden="false" localSheetId="8" name="CIPMACRO.n2foam" vbProcedure="false">'[61]tool backload dt'!cipmacro.n2foam</definedName>
    <definedName function="false" hidden="false" localSheetId="8" name="circsqz" vbProcedure="false">[5]WTR!$M$86</definedName>
    <definedName function="false" hidden="false" localSheetId="8" name="CIR_RATE_RESTRESS" vbProcedure="false">'[113]#REF'!$I$109</definedName>
    <definedName function="false" hidden="false" localSheetId="8" name="CIV" vbProcedure="false">INDEX([111]DRAW!$A$2:$B$13,MATCH([112]AUTO_DHWS!$AV$10,[111]DRAW!$A$2:$A$13,0),2)</definedName>
    <definedName function="false" hidden="false" localSheetId="8" name="CIV_2" vbProcedure="false">INDEX([111]DRAW!$A$2:$B$14,MATCH([112]AUTO_DHWS!$AV$14,[111]DRAW!$A$2:$A$13,0),2)</definedName>
    <definedName function="false" hidden="false" localSheetId="8" name="CIV_PDHG" vbProcedure="false">INDEX([111]DRAW!$A$2:$B$13,MATCH([112]AUTO_DHWS!$AV$11,[111]DRAW!$A$2:$A$13,0),2)</definedName>
    <definedName function="false" hidden="false" localSheetId="8" name="CLAMPON" vbProcedure="false">[55]!CLAMPON</definedName>
    <definedName function="false" hidden="false" localSheetId="8" name="CLEARCONTENTS" vbProcedure="false">[115]!CLEARCONTENTS</definedName>
    <definedName function="false" hidden="false" localSheetId="8" name="CLFluid1" vbProcedure="false">'[94]Installation Results #1'!$E$270</definedName>
    <definedName function="false" hidden="false" localSheetId="8" name="CLFluid10" vbProcedure="false">'[94]Installation Results #1'!$E$279</definedName>
    <definedName function="false" hidden="false" localSheetId="8" name="CLFluid11" vbProcedure="false">'[94]Installation Results #1'!$E$280</definedName>
    <definedName function="false" hidden="false" localSheetId="8" name="CLFluid12" vbProcedure="false">'[94]Installation Results #1'!$E$281</definedName>
    <definedName function="false" hidden="false" localSheetId="8" name="CLFluid13" vbProcedure="false">'[94]Installation Results #1'!$E$282</definedName>
    <definedName function="false" hidden="false" localSheetId="8" name="CLFluid14" vbProcedure="false">'[94]Installation Results #1'!$E$283</definedName>
    <definedName function="false" hidden="false" localSheetId="8" name="CLFluid15" vbProcedure="false">'[94]Installation Results #1'!$E$284</definedName>
    <definedName function="false" hidden="false" localSheetId="8" name="CLFluid2" vbProcedure="false">'[94]Installation Results #1'!$E$271</definedName>
    <definedName function="false" hidden="false" localSheetId="8" name="CLFluid3" vbProcedure="false">'[94]Installation Results #1'!$E$272</definedName>
    <definedName function="false" hidden="false" localSheetId="8" name="CLFluid4" vbProcedure="false">'[94]Installation Results #1'!$E$273</definedName>
    <definedName function="false" hidden="false" localSheetId="8" name="CLFluid5" vbProcedure="false">'[94]Installation Results #1'!$E$274</definedName>
    <definedName function="false" hidden="false" localSheetId="8" name="CLFluid6" vbProcedure="false">'[94]Installation Results #1'!$E$275</definedName>
    <definedName function="false" hidden="false" localSheetId="8" name="CLFluid7" vbProcedure="false">'[94]Installation Results #1'!$E$276</definedName>
    <definedName function="false" hidden="false" localSheetId="8" name="CLFluid8" vbProcedure="false">'[94]Installation Results #1'!$E$277</definedName>
    <definedName function="false" hidden="false" localSheetId="8" name="CLFluid9" vbProcedure="false">'[94]Installation Results #1'!$E$278</definedName>
    <definedName function="false" hidden="false" localSheetId="8" name="Clist" vbProcedure="false">OFFSET(INDIRECT(ADDRESS(MATCH('COVER PAGE '!CL_Wt,'COVER PAGE '!Objects,0)+1,2,,,"Casing Info")),0,1,COUNTIF('COVER PAGE '!Objects,'COVER PAGE '!CL_Wt),1)</definedName>
    <definedName function="false" hidden="false" localSheetId="8" name="CL_Wt" vbProcedure="false">'[109]Database Pg1'!$E$28</definedName>
    <definedName function="false" hidden="false" localSheetId="8" name="Objects" vbProcedure="false">'[109]Casing Info'!$B$2:$B$241</definedName>
    <definedName function="false" hidden="false" localSheetId="8" name="Clist2" vbProcedure="false">OFFSET(INDIRECT(ADDRESS(MATCH('COVER PAGE '!Hsize2,'COVER PAGE '!Objects,0)+1,2,,,"Casing Info")),0,1,COUNTIF('COVER PAGE '!Objects,'COVER PAGE '!Hsize2),1)</definedName>
    <definedName function="false" hidden="false" localSheetId="8" name="Hsize2" vbProcedure="false">'[109]Database Pg1'!$G$81</definedName>
    <definedName function="false" hidden="false" localSheetId="8" name="Clist3" vbProcedure="false">OFFSET(INDIRECT(ADDRESS(MATCH('COVER PAGE '!Hsize3,'COVER PAGE '!Objects,0)+1,2,,,"Casing Info")),0,1,COUNTIF('COVER PAGE '!Objects,'COVER PAGE '!Hsize3),1)</definedName>
    <definedName function="false" hidden="false" localSheetId="8" name="Hsize3" vbProcedure="false">'[109]Database Pg1'!$G$83</definedName>
    <definedName function="false" hidden="false" localSheetId="8" name="Clrmess" vbProcedure="false">[115]!Clrmess</definedName>
    <definedName function="false" hidden="false" localSheetId="8" name="CO2_" vbProcedure="false">'[94]Job Technical Info'!$L$42</definedName>
    <definedName function="false" hidden="false" localSheetId="8" name="CODELIST" vbProcedure="false">'[29]CODE SIN'!$A$3:$A$240</definedName>
    <definedName function="false" hidden="false" localSheetId="8" name="CODETAB" vbProcedure="false">'[29]CODE SIN'!$C$3:$AD$240</definedName>
    <definedName function="false" hidden="false" localSheetId="8" name="coections" vbProcedure="false">[27]!coections</definedName>
    <definedName function="false" hidden="false" localSheetId="8" name="COMP" vbProcedure="false">#ref!</definedName>
    <definedName function="false" hidden="false" localSheetId="8" name="company" vbProcedure="false">'[40]CPS Call Sheet'!$E$4</definedName>
    <definedName function="false" hidden="false" localSheetId="8" name="Company_Man" vbProcedure="false">'[62]Liner Job Info'!$E$7</definedName>
    <definedName function="false" hidden="false" localSheetId="8" name="Company_Name" vbProcedure="false">'[123]Liner Job Info'!$E$4</definedName>
    <definedName function="false" hidden="false" localSheetId="8" name="compfluidwt" vbProcedure="false">'[113]#REF'!$L$27</definedName>
    <definedName function="false" hidden="false" localSheetId="8" name="Compl._Fluid_Type" vbProcedure="false">'[108]Pre-Job Info Sheet'!$D$32</definedName>
    <definedName function="false" hidden="false" localSheetId="8" name="Compl._Fluid_Wt." vbProcedure="false">'[108]Pre-Job Info Sheet'!$D$33</definedName>
    <definedName function="false" hidden="false" localSheetId="8" name="COMPL_FL_VOL" vbProcedure="false">'[113]#REF'!$F$68</definedName>
    <definedName function="false" hidden="false" localSheetId="8" name="COMPL_FL_WT" vbProcedure="false">'[113]#REF'!$K$27</definedName>
    <definedName function="false" hidden="false" localSheetId="8" name="conections" vbProcedure="false">[27]!conections</definedName>
    <definedName function="false" hidden="true" localSheetId="8" name="Conflict1" vbProcedure="false">{#N/A,#N/A,FALSE,"Drlg Param Run 1-1";#N/A,#N/A,FALSE,"DDR (3)";#N/A,#N/A,FALSE,"BHA AT (1)";#N/A,#N/A,FALSE,"Downlinkbha";#N/A,#N/A,FALSE,"Job Status Report"}</definedName>
    <definedName function="false" hidden="false" localSheetId="8" name="conical" vbProcedure="false">#ref!</definedName>
    <definedName function="false" hidden="false" localSheetId="8" name="conref" vbProcedure="false">[124]Price!$A$1:$A$65536</definedName>
    <definedName function="false" hidden="false" localSheetId="8" name="consequence" vbProcedure="false">[125]Sheet2!$A$1:$A$5</definedName>
    <definedName function="false" hidden="false" localSheetId="8" name="contract" vbProcedure="false">'[126]Call Sheet'!$E$3</definedName>
    <definedName function="false" hidden="false" localSheetId="8" name="contractnum" vbProcedure="false">'[31]data '!#ref!</definedName>
    <definedName function="false" hidden="false" localSheetId="8" name="contractor" vbProcedure="false">'[126]Call Sheet'!$E$6</definedName>
    <definedName function="false" hidden="false" localSheetId="8" name="Coordinator" vbProcedure="false">'[94]Job Technical Info'!$G$10</definedName>
    <definedName function="false" hidden="false" localSheetId="8" name="COPYDESGN" vbProcedure="false">[55]!COPYDESGN</definedName>
    <definedName function="false" hidden="false" localSheetId="8" name="CoRep" vbProcedure="false">'[94]Job Technical Info'!$C$16</definedName>
    <definedName function="false" hidden="false" localSheetId="8" name="corrlist2" vbProcedure="false">OFFSET(INDIRECT(ADDRESS(MATCH('COVER PAGE '!Hsize2,'COVER PAGE '!Objects,0)+1,2,,,"Casing Info")),0,1,COUNTIF('COVER PAGE '!Objects,[27]!Liner1_OD),1)</definedName>
    <definedName function="false" hidden="false" localSheetId="8" name="corrlist4" vbProcedure="false">OFFSET(INDIRECT(ADDRESS(MATCH('COVER PAGE '!Hanger_Size,'COVER PAGE '!Objects,0)+1,2,,,"Casing Info")),0,1,COUNTIF('COVER PAGE '!Objects, 'COVER PAGE '!Hanger_Size),1)</definedName>
    <definedName function="false" hidden="false" localSheetId="8" name="Hanger_Size" vbProcedure="false">'[109]Database Pg1'!$G$79</definedName>
    <definedName function="false" hidden="false" localSheetId="8" name="Cotry" vbProcedure="false">'[109]Liner Job Info'!$E$10</definedName>
    <definedName function="false" hidden="false" localSheetId="8" name="Countries" vbProcedure="false">[109]DATA!$BR$1:$BR$196</definedName>
    <definedName function="false" hidden="false" localSheetId="8" name="COUNTRY" vbProcedure="false">'[127]Master data'!$A$2:$A$239</definedName>
    <definedName function="false" hidden="false" localSheetId="8" name="county" vbProcedure="false">'[40]CPS Call Sheet'!$P$7</definedName>
    <definedName function="false" hidden="false" localSheetId="8" name="Coupls" vbProcedure="false">#ref!</definedName>
    <definedName function="false" hidden="false" localSheetId="8" name="Crack_DH" vbProcedure="false">'[108]Tester Valve Calcs'!$F$31</definedName>
    <definedName function="false" hidden="false" localSheetId="8" name="Crack_Press" vbProcedure="false">'[108]Tester Valve Calcs'!$F$13</definedName>
    <definedName function="false" hidden="false" localSheetId="8" name="crs" vbProcedure="false">[128]RSS!$E$199:$E$205</definedName>
    <definedName function="false" hidden="false" localSheetId="8" name="CRS_FLOAT_VALVE" vbProcedure="false">[129]RSS!$O$177:$O$180</definedName>
    <definedName function="false" hidden="false" localSheetId="8" name="CRS_FLOW_KIT" vbProcedure="false">[129]RSS!$E$181:$E$184</definedName>
    <definedName function="false" hidden="false" localSheetId="8" name="CRS_STAB" vbProcedure="false">[129]RSS!$E$191:$E$197</definedName>
    <definedName function="false" hidden="false" localSheetId="8" name="Csg" vbProcedure="false">[6]Sheet1!$G$1:$G$3</definedName>
    <definedName function="false" hidden="false" localSheetId="8" name="CsgDrift1" vbProcedure="false">'[94]Job Technical Info'!$G$25</definedName>
    <definedName function="false" hidden="false" localSheetId="8" name="CsgDrift2" vbProcedure="false">'[94]Job Technical Info'!$G$26</definedName>
    <definedName function="false" hidden="false" localSheetId="8" name="CsgDrift3" vbProcedure="false">'[94]Job Technical Info'!$G$27</definedName>
    <definedName function="false" hidden="false" localSheetId="8" name="CsgDrift4" vbProcedure="false">'[94]Job Technical Info'!$G$28</definedName>
    <definedName function="false" hidden="false" localSheetId="8" name="CsgGrd1" vbProcedure="false">'[94]Job Technical Info'!$H$25</definedName>
    <definedName function="false" hidden="false" localSheetId="8" name="CsgGrd2" vbProcedure="false">'[94]Job Technical Info'!$H$26</definedName>
    <definedName function="false" hidden="false" localSheetId="8" name="CsgGrd3" vbProcedure="false">'[94]Job Technical Info'!$H$27</definedName>
    <definedName function="false" hidden="false" localSheetId="8" name="CsgGrd4" vbProcedure="false">'[94]Job Technical Info'!$H$28</definedName>
    <definedName function="false" hidden="false" localSheetId="8" name="CsgID1" vbProcedure="false">'[94]Job Technical Info'!$F$25</definedName>
    <definedName function="false" hidden="false" localSheetId="8" name="CsgID2" vbProcedure="false">'[94]Job Technical Info'!$F$26</definedName>
    <definedName function="false" hidden="false" localSheetId="8" name="CsgID3" vbProcedure="false">'[94]Job Technical Info'!$F$27</definedName>
    <definedName function="false" hidden="false" localSheetId="8" name="CsgID4" vbProcedure="false">'[94]Job Technical Info'!$F$28</definedName>
    <definedName function="false" hidden="false" localSheetId="8" name="CsgSz1" vbProcedure="false">'[94]Job Technical Info'!$D$25</definedName>
    <definedName function="false" hidden="false" localSheetId="8" name="CsgSz2" vbProcedure="false">'[94]Job Technical Info'!$D$26</definedName>
    <definedName function="false" hidden="false" localSheetId="8" name="CsgSz3" vbProcedure="false">'[94]Job Technical Info'!$D$27</definedName>
    <definedName function="false" hidden="false" localSheetId="8" name="CsgSz4" vbProcedure="false">'[94]Job Technical Info'!$D$28</definedName>
    <definedName function="false" hidden="false" localSheetId="8" name="CsgThd1" vbProcedure="false">'[94]Job Technical Info'!$J$25</definedName>
    <definedName function="false" hidden="false" localSheetId="8" name="CsgThd2" vbProcedure="false">'[94]Job Technical Info'!$J$26</definedName>
    <definedName function="false" hidden="false" localSheetId="8" name="CsgThd3" vbProcedure="false">'[94]Job Technical Info'!$J$27</definedName>
    <definedName function="false" hidden="false" localSheetId="8" name="CsgThd4" vbProcedure="false">'[94]Job Technical Info'!$J$28</definedName>
    <definedName function="false" hidden="false" localSheetId="8" name="CsgWt" vbProcedure="false">[6]Sheet1!$H$1:$H$10</definedName>
    <definedName function="false" hidden="false" localSheetId="8" name="CsgWt1" vbProcedure="false">'[94]Job Technical Info'!$E$25</definedName>
    <definedName function="false" hidden="false" localSheetId="8" name="CsgWt2" vbProcedure="false">'[94]Job Technical Info'!$E$26</definedName>
    <definedName function="false" hidden="false" localSheetId="8" name="CsgWt3" vbProcedure="false">'[94]Job Technical Info'!$E$27</definedName>
    <definedName function="false" hidden="false" localSheetId="8" name="CsgWt4" vbProcedure="false">'[94]Job Technical Info'!$E$28</definedName>
    <definedName function="false" hidden="false" localSheetId="8" name="Csg_Bst" vbProcedure="false">'[109]Metric Conversions'!$B$43</definedName>
    <definedName function="false" hidden="false" localSheetId="8" name="Csg_Burstz" vbProcedure="false">'[109]Liner Job Info'!$H$14</definedName>
    <definedName function="false" hidden="false" localSheetId="8" name="Csg_Dft" vbProcedure="false">'[109]Liner Job Info'!$L$14</definedName>
    <definedName function="false" hidden="false" localSheetId="8" name="CSG_DPTH" vbProcedure="false">'[130]Metric Conversions'!$B$15</definedName>
    <definedName function="false" hidden="false" localSheetId="8" name="CSG_DPTHz" vbProcedure="false">'[109]Liner Job Info'!$P$14</definedName>
    <definedName function="false" hidden="false" localSheetId="8" name="CSG_Grd" vbProcedure="false">'[130]Liner Job Info'!$D$14</definedName>
    <definedName function="false" hidden="false" localSheetId="8" name="CSG_ID" vbProcedure="false">'[109]Liner Job Info'!$B$14</definedName>
    <definedName function="false" hidden="false" localSheetId="8" name="CSG_ID_Area" vbProcedure="false">[109]Test!$Z$39</definedName>
    <definedName function="false" hidden="false" localSheetId="8" name="CSG_MYS" vbProcedure="false">[131]DATA!$J$3:$J$22</definedName>
    <definedName function="false" hidden="false" localSheetId="8" name="CSG_OD" vbProcedure="false">'[130]Liner Job Info'!$A$14</definedName>
    <definedName function="false" hidden="false" localSheetId="8" name="CSG_Thread" vbProcedure="false">'[130]Liner Job Info'!$E$14</definedName>
    <definedName function="false" hidden="false" localSheetId="8" name="Csg_Wt" vbProcedure="false">'[130]Liner Job Info'!$C$14</definedName>
    <definedName function="false" hidden="false" localSheetId="8" name="CsShoeDepth" vbProcedure="false">'[94]Job Technical Info'!$F$40</definedName>
    <definedName function="false" hidden="false" localSheetId="8" name="CU.FT." vbProcedure="false">'[113]#REF'!$E$23</definedName>
    <definedName function="false" hidden="false" localSheetId="8" name="currency" vbProcedure="false">[54]data!#ref!</definedName>
    <definedName function="false" hidden="false" localSheetId="8" name="Customer" vbProcedure="false">'[94]Job Technical Info'!$C$12</definedName>
    <definedName function="false" hidden="false" localSheetId="8" name="customer1" vbProcedure="false">[132]Data!$A$1:$A$65536</definedName>
    <definedName function="false" hidden="false" localSheetId="8" name="Customer2" vbProcedure="false">[132]Data!$B$1:$B$65536</definedName>
    <definedName function="false" hidden="false" localSheetId="8" name="CustomerName" vbProcedure="false">'[138]job info sheet'!#ref!</definedName>
    <definedName function="false" hidden="false" localSheetId="8" name="customerrep" vbProcedure="false">'[113]#REF'!$E$6</definedName>
    <definedName function="false" hidden="false" localSheetId="8" name="Cyl_Yield" vbProcedure="false">'[46]liner job info'!#ref!</definedName>
    <definedName function="false" hidden="false" localSheetId="8" name="DAADA" vbProcedure="false">[113]!Calculate_Pipe</definedName>
    <definedName function="false" hidden="false" localSheetId="8" name="DAD" vbProcedure="false">'[140]tally checklist'!dad</definedName>
    <definedName function="false" hidden="false" localSheetId="8" name="DADAA" vbProcedure="false">'[140]tally checklist'!dadaa</definedName>
    <definedName function="false" hidden="false" localSheetId="8" name="DAEFF" vbProcedure="false">'[140]tally checklist'!daeff</definedName>
    <definedName function="false" hidden="false" localSheetId="8" name="DAPage" vbProcedure="false">'[94]Data Acq. Results'!$S$5</definedName>
    <definedName function="false" hidden="false" localSheetId="8" name="data1" vbProcedure="false">#ref!</definedName>
    <definedName function="false" hidden="false" localSheetId="8" name="DataPipe" vbProcedure="false">#ref!</definedName>
    <definedName function="false" hidden="false" localSheetId="8" name="Date" vbProcedure="false">#ref!</definedName>
    <definedName function="false" hidden="false" localSheetId="8" name="DAVCO" vbProcedure="false">#ref!</definedName>
    <definedName function="false" hidden="false" localSheetId="8" name="DC" vbProcedure="false">'[44]7-30-04'!$GO$7457</definedName>
    <definedName function="false" hidden="false" localSheetId="8" name="dd" vbProcedure="false">null</definedName>
    <definedName function="false" hidden="false" localSheetId="8" name="dddd" vbProcedure="false">[142]试油成果记录!#ref!</definedName>
    <definedName function="false" hidden="false" localSheetId="8" name="decdhm" vbProcedure="false">'[133]Personal Expense Dec-95 (MH)'!$K$5</definedName>
    <definedName function="false" hidden="false" localSheetId="8" name="decdlr" vbProcedure="false">'[133]Personal Expense Dec-95 (MH)'!$H$5</definedName>
    <definedName function="false" hidden="false" localSheetId="8" name="decfrc" vbProcedure="false">'[133]Personal Expense Dec-95 (MH)'!$I$5</definedName>
    <definedName function="false" hidden="false" localSheetId="8" name="decpnd" vbProcedure="false">'[133]Personal Expense Dec-95 (MH)'!$G$5</definedName>
    <definedName function="false" hidden="false" localSheetId="8" name="decrl" vbProcedure="false">'[133]Personal Expense Dec-95 (MH)'!$J$5</definedName>
    <definedName function="false" hidden="false" localSheetId="8" name="decrup" vbProcedure="false">'[133]Personal Expense Dec-95 (MH)'!$L$5</definedName>
    <definedName function="false" hidden="false" localSheetId="8" name="decrupees" vbProcedure="false">'[133]Cash Expense December-95'!$H$6</definedName>
    <definedName function="false" hidden="false" localSheetId="8" name="Delay" vbProcedure="false">#ref!</definedName>
    <definedName function="false" hidden="false" localSheetId="8" name="DelayDual1" vbProcedure="false">#ref!</definedName>
    <definedName function="false" hidden="false" localSheetId="8" name="DelayDual2" vbProcedure="false">#ref!</definedName>
    <definedName function="false" hidden="false" localSheetId="8" name="deliveredto" vbProcedure="false">'[31]data '!#ref!</definedName>
    <definedName function="false" hidden="false" localSheetId="8" name="deliverto" vbProcedure="false">[54]data!#ref!</definedName>
    <definedName function="false" hidden="false" localSheetId="8" name="delma" vbProcedure="false">[145]!JointNumber</definedName>
    <definedName function="false" hidden="false" localSheetId="8" name="DENG" vbProcedure="false">[121]Reference!$B$2:$B$12</definedName>
    <definedName function="false" hidden="false" localSheetId="8" name="DEPTH_TAGGED_PREPACK" vbProcedure="false">'[113]#REF'!$F$80</definedName>
    <definedName function="false" hidden="false" localSheetId="8" name="DEQ" vbProcedure="false">'[140]tally checklist'!deq</definedName>
    <definedName function="false" hidden="false" localSheetId="8" name="Desired_Set_Down" vbProcedure="false">'[108]Packer Calculation Sheet'!$G$47</definedName>
    <definedName function="false" hidden="false" localSheetId="8" name="Dev" vbProcedure="false">'[109]Liner Job Info'!$D$30</definedName>
    <definedName function="false" hidden="false" localSheetId="8" name="DEVIATION" vbProcedure="false">'[113]#REF'!$F$24</definedName>
    <definedName function="false" hidden="false" localSheetId="8" name="dftg" vbProcedure="false">'[134]井口装置示意图-4'!$E$1:$E$65536</definedName>
    <definedName function="false" hidden="true" localSheetId="8" name="DHWS_BB1373" vbProcedure="false">#ref!</definedName>
    <definedName function="false" hidden="false" localSheetId="8" name="DiameterConversion" vbProcedure="false">[94]Lists!$AD$3</definedName>
    <definedName function="false" hidden="false" localSheetId="8" name="diameterUnit" vbProcedure="false">'[43]Metric Conversions'!$C$160</definedName>
    <definedName function="false" hidden="false" localSheetId="8" name="Diff_Across_Ball" vbProcedure="false">'[108]Tester Valve Calcs'!$F$30</definedName>
    <definedName function="false" hidden="false" localSheetId="8" name="Disp._Fluid_Type" vbProcedure="false">'[108]Pre-Job Info Sheet'!$D$37</definedName>
    <definedName function="false" hidden="false" localSheetId="8" name="Disp._Fluid_Weight" vbProcedure="false">'[108]Pre-Job Info Sheet'!$D$38</definedName>
    <definedName function="false" hidden="false" localSheetId="8" name="Displacement" vbProcedure="false">[109]DATA!$AJ$2:$AJ$12</definedName>
    <definedName function="false" hidden="false" localSheetId="8" name="DisplacementMethod" vbProcedure="false">[109]DATA!$AS$2:$AS$4</definedName>
    <definedName function="false" hidden="false" localSheetId="8" name="Disp_Fluid_Wt" vbProcedure="false">'[108]Job Calculation Sheet'!$D$30</definedName>
    <definedName function="false" hidden="false" localSheetId="8" name="District" vbProcedure="false">'[30]Liner Job Info'!$O$4</definedName>
    <definedName function="false" hidden="false" localSheetId="8" name="DistrictPh" vbProcedure="false">'[94]Job Technical Info'!$G$11</definedName>
    <definedName function="false" hidden="false" localSheetId="8" name="Districts" vbProcedure="false">[109]DATA!$A$6:$A$437</definedName>
    <definedName function="false" hidden="false" localSheetId="8" name="diverterlbs" vbProcedure="false">[5]WTR!$G$59</definedName>
    <definedName function="false" hidden="false" localSheetId="8" name="DIV_MIX_RATIO" vbProcedure="false">'[113]#REF'!$K$55</definedName>
    <definedName function="false" hidden="true" localSheetId="8" name="dk" vbProcedure="false">#ref!</definedName>
    <definedName function="false" hidden="false" localSheetId="8" name="DL" vbProcedure="false">[107]Piston!$F$21</definedName>
    <definedName function="false" hidden="false" localSheetId="8" name="do" vbProcedure="false">[145]!JointNumber</definedName>
    <definedName function="false" hidden="false" localSheetId="8" name="docNum" vbProcedure="false">[135]Revision_History!$A$12</definedName>
    <definedName function="false" hidden="false" localSheetId="8" name="DocTitle" vbProcedure="false">'[94]Job Technical Info'!$C$2</definedName>
    <definedName function="false" hidden="false" localSheetId="8" name="Doc_Rev" vbProcedure="false">'[30]Liner Job Info'!$A$2</definedName>
    <definedName function="false" hidden="false" localSheetId="8" name="DP1_Cap" vbProcedure="false">'[109]Liner Job Info'!$G$22</definedName>
    <definedName function="false" hidden="false" localSheetId="8" name="DP1_conn" vbProcedure="false">'[130]Liner Job Info'!$J$22</definedName>
    <definedName function="false" hidden="false" localSheetId="8" name="DP1_Grd" vbProcedure="false">'[130]Liner Job Info'!$F$22</definedName>
    <definedName function="false" hidden="false" localSheetId="8" name="DP1_ID" vbProcedure="false">'[109]Liner Job Info'!$E$22</definedName>
    <definedName function="false" hidden="false" localSheetId="8" name="DP1_Leng" vbProcedure="false">'[130]Metric Conversions'!$B$20</definedName>
    <definedName function="false" hidden="false" localSheetId="8" name="DP1_Lengz" vbProcedure="false">'[109]Liner Job Info'!$I$22</definedName>
    <definedName function="false" hidden="false" localSheetId="8" name="DP1_MYS" vbProcedure="false">'[109]Liner Job Info'!$AD$31</definedName>
    <definedName function="false" hidden="false" localSheetId="8" name="DP1_OD" vbProcedure="false">'[130]Liner Job Info'!$C$22</definedName>
    <definedName function="false" hidden="false" localSheetId="8" name="DP1_Tens" vbProcedure="false">'[109]Liner Job Info'!$M$22</definedName>
    <definedName function="false" hidden="false" localSheetId="8" name="DP1_Volz" vbProcedure="false">'[109]Metric Conversions'!$C$70</definedName>
    <definedName function="false" hidden="false" localSheetId="8" name="DP1_Wt_inmud" vbProcedure="false">'[109]Weight Calculations'!$H$8</definedName>
    <definedName function="false" hidden="false" localSheetId="8" name="DP1_Wt_Per_Ft" vbProcedure="false">'[130]Liner Job Info'!$D$22</definedName>
    <definedName function="false" hidden="false" localSheetId="8" name="DP1_X_Csg_Volz" vbProcedure="false">'[109]Metric Conversions'!$C$85</definedName>
    <definedName function="false" hidden="false" localSheetId="8" name="DP2_Cap" vbProcedure="false">'[109]Liner Job Info'!$G$23</definedName>
    <definedName function="false" hidden="false" localSheetId="8" name="DP2_conn" vbProcedure="false">'[130]Liner Job Info'!$J$23</definedName>
    <definedName function="false" hidden="false" localSheetId="8" name="DP2_Cross_Sect" vbProcedure="false">'[46]liner job info'!#ref!</definedName>
    <definedName function="false" hidden="false" localSheetId="8" name="DP2_Grd" vbProcedure="false">'[130]Liner Job Info'!$F$23</definedName>
    <definedName function="false" hidden="false" localSheetId="8" name="DP2_ID" vbProcedure="false">'[109]Liner Job Info'!$E$23</definedName>
    <definedName function="false" hidden="false" localSheetId="8" name="DP2_Leng" vbProcedure="false">'[130]Metric Conversions'!$B$21</definedName>
    <definedName function="false" hidden="false" localSheetId="8" name="DP2_Lengz" vbProcedure="false">'[109]Liner Job Info'!$I$23</definedName>
    <definedName function="false" hidden="false" localSheetId="8" name="DP2_MYS" vbProcedure="false">'[109]Liner Job Info'!$AD$32</definedName>
    <definedName function="false" hidden="false" localSheetId="8" name="DP2_OD" vbProcedure="false">'[130]Liner Job Info'!$C$23</definedName>
    <definedName function="false" hidden="false" localSheetId="8" name="DP2_Tens" vbProcedure="false">'[109]Liner Job Info'!$M$23</definedName>
    <definedName function="false" hidden="false" localSheetId="8" name="DP2_Volz" vbProcedure="false">'[109]Metric Conversions'!$C$71</definedName>
    <definedName function="false" hidden="false" localSheetId="8" name="DP2_Wt_inmud" vbProcedure="false">'[109]Weight Calculations'!$H$9</definedName>
    <definedName function="false" hidden="false" localSheetId="8" name="DP2_Wt_Per_Ft" vbProcedure="false">'[130]Liner Job Info'!$D$23</definedName>
    <definedName function="false" hidden="false" localSheetId="8" name="DP2_X_Csg_Volz" vbProcedure="false">'[109]Metric Conversions'!$C$86</definedName>
    <definedName function="false" hidden="false" localSheetId="8" name="DP3_bbl_per_ft" vbProcedure="false">'[46]liner job info'!#ref!</definedName>
    <definedName function="false" hidden="false" localSheetId="8" name="DP3_Cap" vbProcedure="false">'[109]Liner Job Info'!$G$24</definedName>
    <definedName function="false" hidden="false" localSheetId="8" name="DP3_COnn" vbProcedure="false">'[130]Liner Job Info'!$J$24</definedName>
    <definedName function="false" hidden="false" localSheetId="8" name="DP3_Grd" vbProcedure="false">'[130]Liner Job Info'!$F$24</definedName>
    <definedName function="false" hidden="false" localSheetId="8" name="DP3_ID" vbProcedure="false">'[109]Liner Job Info'!$E$24</definedName>
    <definedName function="false" hidden="false" localSheetId="8" name="DP3_Leng" vbProcedure="false">'[130]Metric Conversions'!$B$22</definedName>
    <definedName function="false" hidden="false" localSheetId="8" name="DP3_Lengz" vbProcedure="false">'[109]Liner Job Info'!$I$24</definedName>
    <definedName function="false" hidden="false" localSheetId="8" name="DP3_MYS" vbProcedure="false">'[109]Liner Job Info'!$AD$33</definedName>
    <definedName function="false" hidden="false" localSheetId="8" name="DP3_OD" vbProcedure="false">'[130]Liner Job Info'!$C$24</definedName>
    <definedName function="false" hidden="false" localSheetId="8" name="DP3_Tens" vbProcedure="false">'[109]Liner Job Info'!$M$24</definedName>
    <definedName function="false" hidden="false" localSheetId="8" name="DP3_Volz" vbProcedure="false">'[109]Metric Conversions'!$C$72</definedName>
    <definedName function="false" hidden="false" localSheetId="8" name="DP3_Wt_inmud" vbProcedure="false">'[109]Weight Calculations'!$H$10</definedName>
    <definedName function="false" hidden="false" localSheetId="8" name="DP3_Wt_Per_Ft" vbProcedure="false">'[130]Liner Job Info'!$D$24</definedName>
    <definedName function="false" hidden="false" localSheetId="8" name="DP3_X_Csg_Volz" vbProcedure="false">'[109]Metric Conversions'!$C$87</definedName>
    <definedName function="false" hidden="false" localSheetId="8" name="DP4_Cap" vbProcedure="false">'[109]Liner Job Info'!$G$25</definedName>
    <definedName function="false" hidden="false" localSheetId="8" name="DP4_COnn" vbProcedure="false">'[130]Liner Job Info'!$J$25</definedName>
    <definedName function="false" hidden="false" localSheetId="8" name="DP4_Grd" vbProcedure="false">'[130]Liner Job Info'!$F$25</definedName>
    <definedName function="false" hidden="false" localSheetId="8" name="DP4_ID" vbProcedure="false">'[109]Liner Job Info'!$E$25</definedName>
    <definedName function="false" hidden="false" localSheetId="8" name="DP4_Leng" vbProcedure="false">'[130]Metric Conversions'!$B$23</definedName>
    <definedName function="false" hidden="false" localSheetId="8" name="DP4_Lengz" vbProcedure="false">'[109]Liner Job Info'!$I$25</definedName>
    <definedName function="false" hidden="false" localSheetId="8" name="DP4_MYS" vbProcedure="false">'[109]Liner Job Info'!$AD$34</definedName>
    <definedName function="false" hidden="false" localSheetId="8" name="DP4_OD" vbProcedure="false">'[130]Liner Job Info'!$C$25</definedName>
    <definedName function="false" hidden="false" localSheetId="8" name="DP4_Tens" vbProcedure="false">'[109]Liner Job Info'!$M$25</definedName>
    <definedName function="false" hidden="false" localSheetId="8" name="DP4_Volz" vbProcedure="false">'[109]Metric Conversions'!$C$73</definedName>
    <definedName function="false" hidden="false" localSheetId="8" name="DP4_Wt_inmud" vbProcedure="false">'[109]Weight Calculations'!$H$11</definedName>
    <definedName function="false" hidden="false" localSheetId="8" name="DP4_Wt_Per_Ft" vbProcedure="false">'[130]Liner Job Info'!$D$25</definedName>
    <definedName function="false" hidden="false" localSheetId="8" name="DP4_X_Csg_Volz" vbProcedure="false">'[109]Metric Conversions'!$C$88</definedName>
    <definedName function="false" hidden="false" localSheetId="8" name="DP5_bbl_per_ft" vbProcedure="false">'[109]Liner Job Info'!$AT$73</definedName>
    <definedName function="false" hidden="false" localSheetId="8" name="DP5_COnn" vbProcedure="false">'[130]Liner Job Info'!$J$26</definedName>
    <definedName function="false" hidden="false" localSheetId="8" name="DP5_Grd" vbProcedure="false">'[130]Liner Job Info'!$F$26</definedName>
    <definedName function="false" hidden="false" localSheetId="8" name="DP5_ID" vbProcedure="false">'[109]Liner Job Info'!$E$26</definedName>
    <definedName function="false" hidden="false" localSheetId="8" name="DP5_Leng" vbProcedure="false">'[130]Metric Conversions'!$B$24</definedName>
    <definedName function="false" hidden="false" localSheetId="8" name="DP5_Lengz" vbProcedure="false">'[109]Liner Job Info'!$I$26</definedName>
    <definedName function="false" hidden="false" localSheetId="8" name="DP5_MYS" vbProcedure="false">'[109]Liner Job Info'!$AD$35</definedName>
    <definedName function="false" hidden="false" localSheetId="8" name="DP5_OD" vbProcedure="false">'[130]Liner Job Info'!$C$26</definedName>
    <definedName function="false" hidden="false" localSheetId="8" name="DP5_Tens" vbProcedure="false">'[109]Liner Job Info'!$M$26</definedName>
    <definedName function="false" hidden="false" localSheetId="8" name="DP5_Volz" vbProcedure="false">'[109]Metric Conversions'!$C$74</definedName>
    <definedName function="false" hidden="false" localSheetId="8" name="DP5_Wt_inmud" vbProcedure="false">'[109]Weight Calculations'!$H$12</definedName>
    <definedName function="false" hidden="false" localSheetId="8" name="DP5_Wt_Per_Ft" vbProcedure="false">'[130]Liner Job Info'!$D$26</definedName>
    <definedName function="false" hidden="false" localSheetId="8" name="DP5_X_Csg_Volz" vbProcedure="false">'[109]Metric Conversions'!$C$89</definedName>
    <definedName function="false" hidden="false" localSheetId="8" name="dpdt" vbProcedure="false">'[136]WCT-Ft'!$Q$4:$X$18</definedName>
    <definedName function="false" hidden="false" localSheetId="8" name="DPi" vbProcedure="false">[107]Piston!$F$10</definedName>
    <definedName function="false" hidden="false" localSheetId="8" name="DPia" vbProcedure="false">[107]Balooning!$F$9</definedName>
    <definedName function="false" hidden="false" localSheetId="8" name="DPNumber_35" vbProcedure="false">'[137]DP Length'!$A$3:$A$1000</definedName>
    <definedName function="false" hidden="false" localSheetId="8" name="DPNumber_5" vbProcedure="false">'[137]DP Length'!$C$3:$C$1000</definedName>
    <definedName function="false" hidden="false" localSheetId="8" name="DPo" vbProcedure="false">[107]Piston!$F$11</definedName>
    <definedName function="false" hidden="false" localSheetId="8" name="DPoa" vbProcedure="false">[107]Balooning!$F$10</definedName>
    <definedName function="false" hidden="false" localSheetId="8" name="DPThread" vbProcedure="false">[109]DATA!$AA$44:$AA$94</definedName>
    <definedName function="false" hidden="false" localSheetId="8" name="DPTTL_HYD_LENTH" vbProcedure="false">'[109]Weight Calculations'!$F$46</definedName>
    <definedName function="false" hidden="false" localSheetId="8" name="DP_MYS" vbProcedure="false">[109]DATA!$AB$2:$AB$6</definedName>
    <definedName function="false" hidden="false" localSheetId="8" name="DP_Plus_Block" vbProcedure="false">'[109]Weight Calculations'!$H$15</definedName>
    <definedName function="false" hidden="false" localSheetId="8" name="DP_PSI" vbProcedure="false">'[109]Metric Conversions'!$B$49</definedName>
    <definedName function="false" hidden="false" localSheetId="8" name="DP_PSIz" vbProcedure="false">'[109]Liner Job Info'!$D$35</definedName>
    <definedName function="false" hidden="false" localSheetId="8" name="DP_SF" vbProcedure="false">'[109]Liner Job Info'!$R$27</definedName>
    <definedName function="false" hidden="false" localSheetId="8" name="drawblanks" vbProcedure="false">'[140]tally checklist'!drawblanks</definedName>
    <definedName function="false" hidden="false" localSheetId="8" name="drawlinerfirst" vbProcedure="false">'[140]tally checklist'!drawlinerfirst</definedName>
    <definedName function="false" hidden="false" localSheetId="8" name="drawlinersecond" vbProcedure="false">'[140]tally checklist'!drawlinersecond</definedName>
    <definedName function="false" hidden="false" localSheetId="8" name="drawmiscellaneous" vbProcedure="false">'[140]tally checklist'!drawmiscellaneous</definedName>
    <definedName function="false" hidden="false" localSheetId="8" name="drawproductionfirst" vbProcedure="false">'[140]tally checklist'!drawproductionfirst</definedName>
    <definedName function="false" hidden="false" localSheetId="8" name="drawproductionsecond" vbProcedure="false">'[140]tally checklist'!drawproductionsecond</definedName>
    <definedName function="false" hidden="false" localSheetId="8" name="drawquantum" vbProcedure="false">'[140]tally checklist'!drawquantum</definedName>
    <definedName function="false" hidden="false" localSheetId="8" name="drawscreens" vbProcedure="false">'[140]tally checklist'!drawscreens</definedName>
    <definedName function="false" hidden="false" localSheetId="8" name="drawshearsubs" vbProcedure="false">'[140]tally checklist'!drawshearsubs</definedName>
    <definedName function="false" hidden="false" localSheetId="8" name="drawsump" vbProcedure="false">'[140]tally checklist'!drawsump</definedName>
    <definedName function="false" hidden="false" localSheetId="8" name="draw_blanks" vbProcedure="false">'[140]tally checklist'!draw_blanks</definedName>
    <definedName function="false" hidden="false" localSheetId="8" name="draw_linerfirst" vbProcedure="false">'[140]tally checklist'!draw_linerfirst</definedName>
    <definedName function="false" hidden="false" localSheetId="8" name="draw_linersecond" vbProcedure="false">'[140]tally checklist'!draw_linersecond</definedName>
    <definedName function="false" hidden="false" localSheetId="8" name="draw_miscellaneous" vbProcedure="false">'[140]tally checklist'!draw_miscellaneous</definedName>
    <definedName function="false" hidden="false" localSheetId="8" name="draw_productionfirst" vbProcedure="false">'[140]tally checklist'!draw_productionfirst</definedName>
    <definedName function="false" hidden="false" localSheetId="8" name="draw_productionsecond" vbProcedure="false">'[140]tally checklist'!draw_productionsecond</definedName>
    <definedName function="false" hidden="false" localSheetId="8" name="draw_quantum" vbProcedure="false">'[140]tally checklist'!draw_quantum</definedName>
    <definedName function="false" hidden="false" localSheetId="8" name="draw_screens" vbProcedure="false">'[140]tally checklist'!draw_screens</definedName>
    <definedName function="false" hidden="false" localSheetId="8" name="draw_shearsubs" vbProcedure="false">'[140]tally checklist'!draw_shearsubs</definedName>
    <definedName function="false" hidden="false" localSheetId="8" name="draw_sump" vbProcedure="false">'[140]tally checklist'!draw_sump</definedName>
    <definedName function="false" hidden="false" localSheetId="8" name="DRILLER" vbProcedure="false">#ref!</definedName>
    <definedName function="false" hidden="false" localSheetId="8" name="DRILLER2" vbProcedure="false">[155]!Calculate_Pipe</definedName>
    <definedName function="false" hidden="false" localSheetId="8" name="Drillpipesize" vbProcedure="false">[109]DATA!$X$2:$X$10</definedName>
    <definedName function="false" hidden="false" localSheetId="8" name="Drillpipetype" vbProcedure="false">[109]DATA!$AA$2:$AA$6</definedName>
    <definedName function="false" hidden="false" localSheetId="8" name="Drillpipeweight" vbProcedure="false">[109]DATA!$Z$2:$Z$36</definedName>
    <definedName function="false" hidden="false" localSheetId="8" name="Druckbereich_MI" vbProcedure="false">'[138]Dev-Baker'!$A$1:$J$46</definedName>
    <definedName function="false" hidden="false" localSheetId="8" name="Druckbereich_S3" vbProcedure="false">'[158]run_s.xls'!#ref!</definedName>
    <definedName function="false" hidden="false" localSheetId="8" name="dtr" vbProcedure="false">'[115]Max-Torq'!$P$77</definedName>
    <definedName function="false" hidden="false" localSheetId="8" name="DualTally" vbProcedure="false">#ref!</definedName>
    <definedName function="false" hidden="false" localSheetId="8" name="DWS" vbProcedure="false">'[111]DWS2023'!$A$4:$AD$257</definedName>
    <definedName function="false" hidden="false" localSheetId="8" name="E" vbProcedure="false">#ref!</definedName>
    <definedName function="false" hidden="false" localSheetId="8" name="ED" vbProcedure="false">[72]!Calculate_Pipe</definedName>
    <definedName function="false" hidden="false" localSheetId="8" name="edd" vbProcedure="false">[160]!Calculate_Pipe</definedName>
    <definedName function="false" hidden="false" localSheetId="8" name="EffDate" vbProcedure="false">[135]Revision_History!$G$5</definedName>
    <definedName function="false" hidden="false" localSheetId="8" name="Eff_Date" vbProcedure="false">'[94]Job Technical Info'!$L$3</definedName>
    <definedName function="false" hidden="false" localSheetId="8" name="EJYETYJEJ" vbProcedure="false">'[140]tally checklist'!ejyetyjej</definedName>
    <definedName function="false" hidden="false" localSheetId="8" name="EKIKO2" vbProcedure="false">#ref!</definedName>
    <definedName function="false" hidden="false" localSheetId="8" name="Element_Rating" vbProcedure="false">'[109]Metric Conversions'!$B$57</definedName>
    <definedName function="false" hidden="false" localSheetId="8" name="Element_Ratingz" vbProcedure="false">'[109]Liner Job Info'!$P$41</definedName>
    <definedName function="false" hidden="false" localSheetId="8" name="equipmenttype" vbProcedure="false">[54]data!#ref!</definedName>
    <definedName function="false" hidden="false" localSheetId="8" name="error" vbProcedure="false">[106]Data!$F$10</definedName>
    <definedName function="false" hidden="false" localSheetId="8" name="ertert" vbProcedure="false">[164]试压!#ref!</definedName>
    <definedName function="false" hidden="false" localSheetId="8" name="ES_pricelist" vbProcedure="false">[139]Pricelist!$A$8:$B$18</definedName>
    <definedName function="false" hidden="false" localSheetId="8" name="ex" vbProcedure="false">[145]!JointNumber</definedName>
    <definedName function="false" hidden="false" localSheetId="8" name="Expected_Job_Date" vbProcedure="false">'[108]Pre-Job Info Sheet'!$D$5</definedName>
    <definedName function="false" hidden="false" localSheetId="8" name="Explosive_Type" vbProcedure="false">'[108]TCP-BHA'!$E$7</definedName>
    <definedName function="false" hidden="false" localSheetId="8" name="EXP_1" vbProcedure="false">INDEX([111]DRAW!$A$2:$B$13,MATCH([112]AUTO_DHWS!$AV$7,[111]DRAW!$A$2:$A$13,0),2)</definedName>
    <definedName function="false" hidden="false" localSheetId="8" name="Extra" vbProcedure="false">#ref!</definedName>
    <definedName function="false" hidden="false" localSheetId="8" name="EXT_LENGTH" vbProcedure="false">'[6]#ref'!#ref!</definedName>
    <definedName function="false" hidden="false" localSheetId="8" name="F" vbProcedure="false">[140]Parts!$A$1:$I$1048576</definedName>
    <definedName function="false" hidden="false" localSheetId="8" name="FB" vbProcedure="false">[170]!Calculate_Pipe</definedName>
    <definedName function="false" hidden="false" localSheetId="8" name="fdg" vbProcedure="false">[119]钻井日报表!$G$7</definedName>
    <definedName function="false" hidden="false" localSheetId="8" name="februpees" vbProcedure="false">'[141]Cash Expense March-96'!$H$6</definedName>
    <definedName function="false" hidden="true" localSheetId="8"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FEWFW" vbProcedure="false">'[140]tally checklist'!fewfw</definedName>
    <definedName function="false" hidden="false" localSheetId="8" name="fff" vbProcedure="false">'[140]tally checklist'!fff</definedName>
    <definedName function="false" hidden="false" localSheetId="8" name="ffff" vbProcedure="false">[174]!Prev.Macro113</definedName>
    <definedName function="false" hidden="false" localSheetId="8" name="final" vbProcedure="false">[145]!JointNumber</definedName>
    <definedName function="false" hidden="false" localSheetId="8" name="FJNDEF" vbProcedure="false">'[140]tally checklist'!fjndef</definedName>
    <definedName function="false" hidden="false" localSheetId="8" name="Floatequipment" vbProcedure="false">[109]DATA!$AM$2:$AM$9</definedName>
    <definedName function="false" hidden="false" localSheetId="8" name="FluidType" vbProcedure="false">'[94]Job Technical Info'!$F$42</definedName>
    <definedName function="false" hidden="false" localSheetId="8" name="FluidWt" vbProcedure="false">'[94]Job Technical Info'!$H$42</definedName>
    <definedName function="false" hidden="false" localSheetId="8" name="Form._Pressure" vbProcedure="false">'[108]Pre-Job Info Sheet'!$B$33</definedName>
    <definedName function="false" hidden="false" localSheetId="8" name="formation" vbProcedure="false">[54]data!#ref!</definedName>
    <definedName function="false" hidden="false" localSheetId="8" name="fracgrad" vbProcedure="false">[5]WTR!$L$38</definedName>
    <definedName function="false" hidden="false" localSheetId="8" name="fracpress" vbProcedure="false">'[113]#REF'!$L$25</definedName>
    <definedName function="false" hidden="false" localSheetId="8" name="frictionpressure" vbProcedure="false">[106]Data!$F$8</definedName>
    <definedName function="false" hidden="false" localSheetId="8" name="FRONT" vbProcedure="false">'[142]DAILY RPT'!$A$1:$Y$67</definedName>
    <definedName function="false" hidden="false" localSheetId="8" name="ftormeters" vbProcedure="false">'[109]Metric Conversions'!$B$14</definedName>
    <definedName function="false" hidden="false" localSheetId="8" name="Gamma_Quadrant" vbProcedure="false">[129]RSS!$N$139:$N$144</definedName>
    <definedName function="false" hidden="false" localSheetId="8" name="gasrate" vbProcedure="false">'[93]well test sheet'!#ref!</definedName>
    <definedName function="false" hidden="false" localSheetId="8" name="gas_cumm" vbProcedure="false">'[93]well test sheet'!#ref!</definedName>
    <definedName function="false" hidden="false" localSheetId="8" name="Gauge" vbProcedure="false">'[7]Drop-Down Items'!$D$74:$D$92</definedName>
    <definedName function="false" hidden="false" localSheetId="8" name="Gaugecancel" vbProcedure="false">[27]!Gaugecancel</definedName>
    <definedName function="false" hidden="false" localSheetId="8" name="gaugeconok" vbProcedure="false">[27]!gaugeconok</definedName>
    <definedName function="false" hidden="false" localSheetId="8" name="gaugeconok2" vbProcedure="false">[27]!gaugeconok2</definedName>
    <definedName function="false" hidden="false" localSheetId="8" name="gaugeok" vbProcedure="false">[27]!gaugeok</definedName>
    <definedName function="false" hidden="false" localSheetId="8" name="gaugeok2" vbProcedure="false">[27]!gaugeok2</definedName>
    <definedName function="false" hidden="false" localSheetId="8" name="gaugeselect" vbProcedure="false">[27]!gaugeselect</definedName>
    <definedName function="false" hidden="false" localSheetId="8" name="gaugeselect2" vbProcedure="false">[27]!gaugeselect2</definedName>
    <definedName function="false" hidden="true" localSheetId="8" name="gdsg" vbProcedure="false">[103]Run!$C$16:$C$512</definedName>
    <definedName function="false" hidden="false" localSheetId="8" name="GFTTC" vbProcedure="false">[145]!JointNumber</definedName>
    <definedName function="false" hidden="false" localSheetId="8" name="GGGR" vbProcedure="false">'[140]tally checklist'!gggr</definedName>
    <definedName function="false" hidden="false" localSheetId="8" name="GL" vbProcedure="false">'[182]offset data'!#ref!</definedName>
    <definedName function="false" hidden="false" localSheetId="8" name="GLM" vbProcedure="false">[72]!Calculate_Pipe</definedName>
    <definedName function="false" hidden="false" localSheetId="8" name="GLM_1" vbProcedure="false">INDEX([111]DRAW!$A$2:$B$13,MATCH([112]AUTO_DHWS!$AV$3,[111]DRAW!$A$2:$A$13,0),2)</definedName>
    <definedName function="false" hidden="false" localSheetId="8" name="GLM_2" vbProcedure="false">INDEX([111]DRAW!$A$2:$B$13,MATCH([112]AUTO_DHWS!$AV$4,[111]DRAW!$A$2:$A$13,0),2)</definedName>
    <definedName function="false" hidden="false" localSheetId="8" name="GLM_3" vbProcedure="false">INDEX([111]DRAW!$A$2:$B$13,MATCH([112]AUTO_DHWS!$AV$5,[111]DRAW!$A$2:$A$13,0),2)</definedName>
    <definedName function="false" hidden="false" localSheetId="8" name="GLM_4" vbProcedure="false">INDEX([111]DRAW!$A$2:$B$13,MATCH([112]AUTO_DHWS!$AV$6,[111]DRAW!$A$2:$A$13,0),2)</definedName>
    <definedName function="false" hidden="true" localSheetId="8" name="Gmh" vbProcedure="false">{#N/A,#N/A,FALSE,"Sheet1"}</definedName>
    <definedName function="false" hidden="false" localSheetId="8" name="gor" vbProcedure="false">'[93]well test sheet'!#ref!</definedName>
    <definedName function="false" hidden="false" localSheetId="8" name="gpbreakerconc" vbProcedure="false">'[113]#REF'!$K$68</definedName>
    <definedName function="false" hidden="false" localSheetId="8" name="gpbreakertype" vbProcedure="false">'[113]#REF'!$K$67</definedName>
    <definedName function="false" hidden="false" localSheetId="8" name="gpcarriertype" vbProcedure="false">[5]WTR!$G$83</definedName>
    <definedName function="false" hidden="false" localSheetId="8" name="gpcarriervis" vbProcedure="false">'[113]#REF'!$K$66</definedName>
    <definedName function="false" hidden="false" localSheetId="8" name="gpcarriervol" vbProcedure="false">'[113]#REF'!$F$69</definedName>
    <definedName function="false" hidden="false" localSheetId="8" name="gpcarrierwt" vbProcedure="false">'[113]#REF'!$F$67</definedName>
    <definedName function="false" hidden="false" localSheetId="8" name="gpextlength" vbProcedure="false">'[113]#REF'!$J$15</definedName>
    <definedName function="false" hidden="false" localSheetId="8" name="gpextod" vbProcedure="false">'[113]#REF'!$F$15</definedName>
    <definedName function="false" hidden="false" localSheetId="8" name="gpgel" vbProcedure="false">'[113]#REF'!$K$65</definedName>
    <definedName function="false" hidden="false" localSheetId="8" name="gplbs" vbProcedure="false">'[113]#REF'!$F$64</definedName>
    <definedName function="false" hidden="false" localSheetId="8" name="gpmixratio" vbProcedure="false">[5]WTR!$M$81</definedName>
    <definedName function="false" hidden="false" localSheetId="8" name="gppumprate" vbProcedure="false">[5]WTR!$F$88</definedName>
    <definedName function="false" hidden="false" localSheetId="8" name="gpslurrydens" vbProcedure="false">'[113]#REF'!$F$70</definedName>
    <definedName function="false" hidden="false" localSheetId="8" name="GP_EXT_OD" vbProcedure="false">'[113]#REF'!$F$15</definedName>
    <definedName function="false" hidden="false" localSheetId="8" name="GP_MIX_RATIO" vbProcedure="false">'[113]#REF'!$K$64</definedName>
    <definedName function="false" hidden="false" localSheetId="8" name="GP_SLURRY_VOL" vbProcedure="false">'[113]#REF'!$F$69</definedName>
    <definedName function="false" hidden="false" localSheetId="8" name="GQGQ" vbProcedure="false">'[140]tally checklist'!gqgq</definedName>
    <definedName function="false" hidden="false" localSheetId="8" name="GQQ" vbProcedure="false">'[140]tally checklist'!gqq</definedName>
    <definedName function="false" hidden="false" localSheetId="8" name="Grade" vbProcedure="false">#ref!</definedName>
    <definedName function="false" hidden="false" localSheetId="8" name="gravelsize" vbProcedure="false">[5]WTR!$G$82</definedName>
    <definedName function="false" hidden="false" localSheetId="8" name="GRAVEL_IN_CSG." vbProcedure="false">'[113]#REF'!XEP1048377</definedName>
    <definedName function="false" hidden="false" localSheetId="8" name="GroupID" vbProcedure="false">[109]DATA!$Q$2:$Q$268</definedName>
    <definedName function="false" hidden="false" localSheetId="8" name="Group_ID" vbProcedure="false">[131]DATA!$Q$2:$Q$268</definedName>
    <definedName function="false" hidden="false" localSheetId="8" name="GRQ" vbProcedure="false">'[140]tally checklist'!grq</definedName>
    <definedName function="false" hidden="true" localSheetId="8" name="gsa" vbProcedure="false">#ref!</definedName>
    <definedName function="false" hidden="true" localSheetId="8" name="GUB24SECWELL" vbProcedure="false">[143]Sheet1!$A$181:$H$210</definedName>
    <definedName function="false" hidden="false" localSheetId="8" name="GudCont" vbProcedure="false">#ref!</definedName>
    <definedName function="false" hidden="false" localSheetId="8" name="Gun_Size" vbProcedure="false">'[108]TCP-BHA'!$F$5</definedName>
    <definedName function="false" hidden="false" localSheetId="8" name="GWS" vbProcedure="false">'[140]tally checklist'!gws</definedName>
    <definedName function="false" hidden="false" localSheetId="8" name="h" vbProcedure="false">[144]Tally!$A$5:$H$1064</definedName>
    <definedName function="false" hidden="false" localSheetId="8" name="H2S" vbProcedure="false">'[94]Job Technical Info'!$L$41</definedName>
    <definedName function="false" hidden="false" localSheetId="8" name="Hangerfunction" vbProcedure="false">[109]DATA!$AH$2:$AH$9</definedName>
    <definedName function="false" hidden="false" localSheetId="8" name="Hassan" vbProcedure="false">[185]!Macro1</definedName>
    <definedName function="false" hidden="false" localSheetId="8" name="HAUL_Thread" vbProcedure="false">[109]DATA!$BM$22:$BM$114</definedName>
    <definedName function="false" hidden="false" localSheetId="8" name="HEAD" vbProcedure="false">#ref!</definedName>
    <definedName function="false" hidden="false" localSheetId="8" name="hesfluid" vbProcedure="false">[54]data!#ref!</definedName>
    <definedName function="false" hidden="true" localSheetId="8" name="hgh" vbProcedure="false">[103]Run!$D$15:$D$512</definedName>
    <definedName function="false" hidden="false" localSheetId="8" name="HGR_OL_Packoff_In" vbProcedure="false">[109]Test!$M$36</definedName>
    <definedName function="false" hidden="false" localSheetId="8" name="hhp" vbProcedure="false">'[93]well test sheet'!#ref!</definedName>
    <definedName function="false" hidden="false" localSheetId="8" name="hj" vbProcedure="false">[187]bha!#ref!</definedName>
    <definedName function="false" hidden="false" localSheetId="8" name="HKWT" vbProcedure="false">[119]钻井日报表!$E$7</definedName>
    <definedName function="false" hidden="false" localSheetId="8" name="Hngr_Bst" vbProcedure="false">'[109]Metric Conversions'!$B$50</definedName>
    <definedName function="false" hidden="false" localSheetId="8" name="Hngr_Bstz" vbProcedure="false">'[109]Liner Job Info'!$D$39</definedName>
    <definedName function="false" hidden="false" localSheetId="8" name="Hngr_OL_PO_out" vbProcedure="false">[109]Test!$M$30</definedName>
    <definedName function="false" hidden="false" localSheetId="8" name="Hngr_Overload_Cmt_Setup" vbProcedure="false">[109]Test!$M$42</definedName>
    <definedName function="false" hidden="false" localSheetId="8" name="Hngr_Tens" vbProcedure="false">'[109]Liner Job Info'!$D$40</definedName>
    <definedName function="false" hidden="false" localSheetId="8" name="Hng_Cap" vbProcedure="false">'[109]Liner Job Info'!$D$41</definedName>
    <definedName function="false" hidden="false" localSheetId="8" name="holevol" vbProcedure="false">'[61]tool backload dt'!holevol</definedName>
    <definedName function="false" hidden="false" localSheetId="8" name="hpb" vbProcedure="false">'[93]well test sheet'!#ref!</definedName>
    <definedName function="false" hidden="false" localSheetId="8" name="HR_Turns" vbProcedure="false">'[109]Weight Calculations'!$Q$36</definedName>
    <definedName function="false" hidden="true" localSheetId="8" name="HTML_Control" vbProcedure="false">{"'Operator &amp; Well Info.'!$A$1:$F$16"}</definedName>
    <definedName function="false" hidden="false" localSheetId="8" name="hwdpdt" vbProcedure="false">'[136]WCT-Ft'!$Q$19:$X$24</definedName>
    <definedName function="false" hidden="false" localSheetId="8" name="hy" vbProcedure="false">[49]!Prev.Macro106</definedName>
    <definedName function="false" hidden="false" localSheetId="8" name="Hyd._Pressure" vbProcedure="false">'[108]Job Calculation Sheet'!$H$28</definedName>
    <definedName function="false" hidden="false" localSheetId="8" name="Hyd_at_TV" vbProcedure="false">'[108]Tester Valve Calcs'!$F$21</definedName>
    <definedName function="false" hidden="false" localSheetId="8" name="Hyd_Effect_Force" vbProcedure="false">'[109]Weight Calculations'!$F$47</definedName>
    <definedName function="false" hidden="false" localSheetId="8" name="Hyd_force_element" vbProcedure="false">[109]Test!$M$17</definedName>
    <definedName function="false" hidden="false" localSheetId="8" name="HyfloSeatID" vbProcedure="false">[109]DATA!$AY$2:$AY$4</definedName>
    <definedName function="false" hidden="false" localSheetId="8" name="HyfloSeatNumber" vbProcedure="false">[109]DATA!$AZ$2:$AZ$5</definedName>
    <definedName function="false" hidden="false" localSheetId="8" name="HyfloSupplier" vbProcedure="false">[109]DATA!$BA$2:$BA$5</definedName>
    <definedName function="false" hidden="false" localSheetId="8" name="I" vbProcedure="false">#ref!</definedName>
    <definedName function="false" hidden="false" localSheetId="8" name="idlist" vbProcedure="false">[106]Data!$GD$2:$GE$237</definedName>
    <definedName function="false" hidden="false" localSheetId="8" name="IDUnit" vbProcedure="false">'[94]Job Technical Info'!$F$24</definedName>
    <definedName function="false" hidden="false" localSheetId="8" name="impdwg" vbProcedure="false">[27]!impdwg</definedName>
    <definedName function="false" hidden="false" localSheetId="8" name="impdwg_1" vbProcedure="false">'COVER PAGE '!impdwg</definedName>
    <definedName function="false" hidden="false" localSheetId="8" name="impdwg_10" vbProcedure="false">'COVER PAGE '!impdwg</definedName>
    <definedName function="false" hidden="false" localSheetId="8" name="impdwg_11" vbProcedure="false">'COVER PAGE '!impdwg</definedName>
    <definedName function="false" hidden="false" localSheetId="8" name="impdwg_2" vbProcedure="false">'COVER PAGE '!impdwg</definedName>
    <definedName function="false" hidden="false" localSheetId="8" name="impdwg_3" vbProcedure="false">'COVER PAGE '!impdwg</definedName>
    <definedName function="false" hidden="false" localSheetId="8" name="impdwg_4" vbProcedure="false">'COVER PAGE '!impdwg</definedName>
    <definedName function="false" hidden="false" localSheetId="8" name="impdwg_5" vbProcedure="false">'COVER PAGE '!impdwg</definedName>
    <definedName function="false" hidden="false" localSheetId="8" name="impdwg_6" vbProcedure="false">'COVER PAGE '!impdwg</definedName>
    <definedName function="false" hidden="false" localSheetId="8" name="impdwg_7" vbProcedure="false">'COVER PAGE '!impdwg</definedName>
    <definedName function="false" hidden="false" localSheetId="8" name="impdwg_8" vbProcedure="false">'COVER PAGE '!impdwg</definedName>
    <definedName function="false" hidden="false" localSheetId="8" name="impdwg_9" vbProcedure="false">'COVER PAGE '!impdwg</definedName>
    <definedName function="false" hidden="false" localSheetId="8" name="Inc" vbProcedure="false">[119]钻井日报表!$G$8</definedName>
    <definedName function="false" hidden="false" localSheetId="8" name="InclinationData" vbProcedure="false">OFFSET([27]!Inclination,2,0,COUNT(#ref!),1)</definedName>
    <definedName function="false" hidden="true" localSheetId="8"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Index_Client" vbProcedure="false">'[145]Job File Index'!$B$7</definedName>
    <definedName function="false" hidden="false" localSheetId="8" name="INFUSER_RATE" vbProcedure="false">'[113]#REF'!$F$71</definedName>
    <definedName function="false" hidden="false" localSheetId="8" name="INFUSER_RATE_PREPACK" vbProcedure="false">'[113]#REF'!$F$50</definedName>
    <definedName function="false" hidden="false" localSheetId="8" name="InsertPoint" vbProcedure="false">#ref!</definedName>
    <definedName function="false" hidden="false" localSheetId="8" name="Insert_New_Page" vbProcedure="false">[41]!Insert_New_Page</definedName>
    <definedName function="false" hidden="false" localSheetId="8" name="Insert_New_Page_1" vbProcedure="false">[27]!Insert_New_Page</definedName>
    <definedName function="false" hidden="false" localSheetId="8" name="Insert_New_Page_10" vbProcedure="false">[27]!Insert_New_Page</definedName>
    <definedName function="false" hidden="false" localSheetId="8" name="Insert_New_Page_11" vbProcedure="false">[27]!Insert_New_Page</definedName>
    <definedName function="false" hidden="false" localSheetId="8" name="Insert_New_Page_2" vbProcedure="false">[27]!Insert_New_Page</definedName>
    <definedName function="false" hidden="false" localSheetId="8" name="Insert_New_Page_3" vbProcedure="false">[27]!Insert_New_Page</definedName>
    <definedName function="false" hidden="false" localSheetId="8" name="Insert_New_Page_4" vbProcedure="false">[27]!Insert_New_Page</definedName>
    <definedName function="false" hidden="false" localSheetId="8" name="Insert_New_Page_5" vbProcedure="false">[27]!Insert_New_Page</definedName>
    <definedName function="false" hidden="false" localSheetId="8" name="Insert_New_Page_6" vbProcedure="false">[27]!Insert_New_Page</definedName>
    <definedName function="false" hidden="false" localSheetId="8" name="Insert_New_Page_7" vbProcedure="false">[27]!Insert_New_Page</definedName>
    <definedName function="false" hidden="false" localSheetId="8" name="Insert_New_Page_8" vbProcedure="false">[27]!Insert_New_Page</definedName>
    <definedName function="false" hidden="false" localSheetId="8" name="Insert_New_Page_9" vbProcedure="false">[27]!Insert_New_Page</definedName>
    <definedName function="false" hidden="false" localSheetId="8" name="Inverse_Balloon_Area" vbProcedure="false">[109]Test!$M$19</definedName>
    <definedName function="false" hidden="false" localSheetId="8" name="isip" vbProcedure="false">[5]WTR!$G$41</definedName>
    <definedName function="false" hidden="false" localSheetId="8" name="Issue" vbProcedure="false">'[146]Title Page'!$Q$2:$Q$20</definedName>
    <definedName function="false" hidden="false" localSheetId="8" name="Item1" vbProcedure="false">INDEX(#ref!,0,MATCH('[59]ENG Input'!$A$12,Categories,0))</definedName>
    <definedName function="false" hidden="false" localSheetId="8" name="Item10" vbProcedure="false">INDEX(#ref!,0,MATCH('[59]ENG Input'!$A$128,Categories,0))</definedName>
    <definedName function="false" hidden="false" localSheetId="8" name="Item11" vbProcedure="false">INDEX(#ref!,0,MATCH('[59]ENG Input'!$A$139,Categories,0))</definedName>
    <definedName function="false" hidden="false" localSheetId="8" name="Item12" vbProcedure="false">INDEX(#ref!,0,MATCH('[59]ENG Input'!$A$155,Categories,0))</definedName>
    <definedName function="false" hidden="false" localSheetId="8" name="Item13" vbProcedure="false">INDEX(#ref!,0,MATCH('[59]ENG Input'!$A$171,Categories,0))</definedName>
    <definedName function="false" hidden="false" localSheetId="8" name="Item14" vbProcedure="false">INDEX(#ref!,0,MATCH('[59]ENG Input'!$A$182,Categories,0))</definedName>
    <definedName function="false" hidden="false" localSheetId="8" name="Item15" vbProcedure="false">INDEX(#ref!,0,MATCH('[59]ENG Input'!$A$193,Categories,0))</definedName>
    <definedName function="false" hidden="false" localSheetId="8" name="Item16" vbProcedure="false">INDEX(#ref!,0,MATCH('[59]ENG Input'!$A$204,Categories,0))</definedName>
    <definedName function="false" hidden="false" localSheetId="8" name="Item17" vbProcedure="false">INDEX(#ref!,0,MATCH('[59]ENG Input'!$A$215,Categories,0))</definedName>
    <definedName function="false" hidden="false" localSheetId="8" name="Item18" vbProcedure="false">INDEX(#ref!,0,MATCH('[59]ENG Input'!$A$226,Categories,0))</definedName>
    <definedName function="false" hidden="false" localSheetId="8" name="Item19" vbProcedure="false">INDEX(#ref!,0,MATCH('[59]ENG Input'!$A$237,Categories,0))</definedName>
    <definedName function="false" hidden="false" localSheetId="8" name="Item2" vbProcedure="false">INDEX(#ref!,0,MATCH('[59]ENG Input'!$A$32,Categories,0))</definedName>
    <definedName function="false" hidden="false" localSheetId="8" name="Item20" vbProcedure="false">INDEX(#ref!,0,MATCH('[59]ENG Input'!$A$248,Categories,0))</definedName>
    <definedName function="false" hidden="false" localSheetId="8" name="Item3" vbProcedure="false">INDEX(#ref!,0,MATCH('[59]ENG Input'!$A$48,Categories,0))</definedName>
    <definedName function="false" hidden="false" localSheetId="8" name="Item4" vbProcedure="false">INDEX(#ref!,0,MATCH('[59]ENG Input'!$A$59,Categories,0))</definedName>
    <definedName function="false" hidden="false" localSheetId="8" name="Item5" vbProcedure="false">INDEX(#ref!,0,MATCH('[59]ENG Input'!$A$73,Categories,0))</definedName>
    <definedName function="false" hidden="false" localSheetId="8" name="Item6" vbProcedure="false">INDEX(#ref!,0,MATCH('[59]ENG Input'!$A$84,Categories,0))</definedName>
    <definedName function="false" hidden="false" localSheetId="8" name="Item7" vbProcedure="false">INDEX(#ref!,0,MATCH('[59]ENG Input'!$A$95,Categories,0))</definedName>
    <definedName function="false" hidden="false" localSheetId="8" name="Item8" vbProcedure="false">INDEX(#ref!,0,MATCH('[59]ENG Input'!$A$106,Categories,0))</definedName>
    <definedName function="false" hidden="false" localSheetId="8" name="Item9" vbProcedure="false">INDEX(#ref!,0,MATCH('[59]ENG Input'!$A$117,Categories,0))</definedName>
    <definedName function="false" hidden="true" localSheetId="8" name="J" vbProcedure="false">#ref!</definedName>
    <definedName function="false" hidden="false" localSheetId="8" name="janrupees" vbProcedure="false">'[147]Cash Expense January-96'!$H$6</definedName>
    <definedName function="false" hidden="false" localSheetId="8" name="jena_9" vbProcedure="false">#ref!</definedName>
    <definedName function="false" hidden="false" localSheetId="8" name="JEYJD" vbProcedure="false">'[140]tally checklist'!jeyjd</definedName>
    <definedName function="false" hidden="true" localSheetId="8" name="jj" vbProcedure="false">#ref!</definedName>
    <definedName function="false" hidden="false" localSheetId="8" name="JK" vbProcedure="false">'[148]CSG13'!$B$5</definedName>
    <definedName function="false" hidden="false" localSheetId="8" name="JobCenterID" vbProcedure="false">'[94]Job Technical Info'!$C$10</definedName>
    <definedName function="false" hidden="false" localSheetId="8" name="JobEndDate" vbProcedure="false">'[138]job info sheet'!#ref!</definedName>
    <definedName function="false" hidden="false" localSheetId="8" name="JobLogCustSig" vbProcedure="false">#ref!</definedName>
    <definedName function="false" hidden="false" localSheetId="8" name="JobNumber" vbProcedure="false">'[129]Front Page Info'!$C$4</definedName>
    <definedName function="false" hidden="false" localSheetId="8" name="jobpurpose1" vbProcedure="false">[132]Data!$L$1:$L$65536</definedName>
    <definedName function="false" hidden="false" localSheetId="8" name="JobType" vbProcedure="false">[6]Sheet1!$A$11:$A$16</definedName>
    <definedName function="false" hidden="false" localSheetId="8" name="Jobtype1" vbProcedure="false">[132]Data!$N$1:$N$65536</definedName>
    <definedName function="false" hidden="false" localSheetId="8" name="Job_date" vbProcedure="false">'[108]TCP-BHA'!$D$5</definedName>
    <definedName function="false" hidden="false" localSheetId="8" name="Job_Name" vbProcedure="false">'[30]Liner Job Info'!$E$5</definedName>
    <definedName function="false" hidden="false" localSheetId="8" name="Job_Type" vbProcedure="false">'[12]JCSI 12'!$AB$29:$AB$42</definedName>
    <definedName function="false" hidden="false" localSheetId="8" name="JointNumber" vbProcedure="false">[96]!JointNumber</definedName>
    <definedName function="false" hidden="false" localSheetId="8" name="JOINTNUMBER23" vbProcedure="false">[72]!JointNumber</definedName>
    <definedName function="false" hidden="false" localSheetId="8" name="JOINTNYMBER4" vbProcedure="false">[72]!JointNumber</definedName>
    <definedName function="false" hidden="true" localSheetId="8" name="JOYCE" vbProcedure="false">#ref!</definedName>
    <definedName function="false" hidden="false" localSheetId="8" name="JRJTRJT" vbProcedure="false">'[140]tally checklist'!jrjtrjt</definedName>
    <definedName function="false" hidden="false" localSheetId="8" name="JtCount" vbProcedure="false">'[76]casing talley'!#ref!</definedName>
    <definedName function="false" hidden="false" localSheetId="8" name="JTNFN" vbProcedure="false">'[140]tally checklist'!jtnfn</definedName>
    <definedName function="false" hidden="true" localSheetId="8" name="jun" vbProcedure="false">{#N/A,#N/A,FALSE,"Sheet1"}</definedName>
    <definedName function="false" hidden="true" localSheetId="8" name="June" vbProcedure="false">{#N/A,#N/A,FALSE,"Sheet1"}</definedName>
    <definedName function="false" hidden="true" localSheetId="8" name="June1" vbProcedure="false">{#N/A,#N/A,FALSE,"Sheet1"}</definedName>
    <definedName function="false" hidden="true" localSheetId="8" name="junk" vbProcedure="false">{#N/A,#N/A,FALSE,"Volume"}</definedName>
    <definedName function="false" hidden="true" localSheetId="8" name="junk1" vbProcedure="false">{#N/A,#N/A,FALSE,"Volume"}</definedName>
    <definedName function="false" hidden="true" localSheetId="8" name="junk2" vbProcedure="false">{#N/A,#N/A,FALSE,"Volume"}</definedName>
    <definedName function="false" hidden="true" localSheetId="8" name="junk3" vbProcedure="false">{#N/A,#N/A,FALSE,"Volume"}</definedName>
    <definedName function="false" hidden="true" localSheetId="8" name="junk4" vbProcedure="false">{#N/A,#N/A,FALSE,"Volume"}</definedName>
    <definedName function="false" hidden="true" localSheetId="8" name="k" vbProcedure="false">#ref!</definedName>
    <definedName function="false" hidden="false" localSheetId="8" name="Kill_Fluid_Type" vbProcedure="false">'[108]TCP-BHA'!$G$7</definedName>
    <definedName function="false" hidden="false" localSheetId="8" name="Kill_Fluid_Wt" vbProcedure="false">'[108]TCP-BHA'!$F$7</definedName>
    <definedName function="false" hidden="false" localSheetId="8" name="KK" vbProcedure="false">[27]!Macro1</definedName>
    <definedName function="false" hidden="false" localSheetId="8" name="KL" vbProcedure="false">[149]BHA!$C$4</definedName>
    <definedName function="false" hidden="false" localSheetId="8" name="KO" vbProcedure="false">'[148]CSG13'!$F$6</definedName>
    <definedName function="false" hidden="false" localSheetId="8" name="KRR" vbProcedure="false">'[140]tally checklist'!krr</definedName>
    <definedName function="false" hidden="false" localSheetId="8" name="KUYUKR" vbProcedure="false">'[140]tally checklist'!kuyukr</definedName>
    <definedName function="false" hidden="false" localSheetId="8" name="K_1" vbProcedure="false">#ref!</definedName>
    <definedName function="false" hidden="false" localSheetId="8" name="K_2" vbProcedure="false">#ref!</definedName>
    <definedName function="false" hidden="false" localSheetId="8" name="K_Dual" vbProcedure="false">#ref!</definedName>
    <definedName function="false" hidden="false" localSheetId="8" name="L" vbProcedure="false">#ref!</definedName>
    <definedName function="false" hidden="false" localSheetId="8" name="landoffshore" vbProcedure="false">[54]data!#ref!</definedName>
    <definedName function="false" hidden="false" localSheetId="8" name="LastCsgString" vbProcedure="false">[109]DATA!$AU$2:$AU$4</definedName>
    <definedName function="false" hidden="false" localSheetId="8" name="latlong" vbProcedure="false">'[126]Call Sheet'!$P$7</definedName>
    <definedName function="false" hidden="false" localSheetId="8" name="LC" vbProcedure="false">INDEX([111]DRAW!$J$13:$K$22,MATCH([112]AUTO_DHWS!$BC$4,[111]DRAW!$J$13:$J$22,0),2)</definedName>
    <definedName function="false" hidden="false" localSheetId="8" name="LCJobType" vbProcedure="false">'[94]Installation Results #1'!$C$306</definedName>
    <definedName function="false" hidden="false" localSheetId="8" name="LC_TYPE" vbProcedure="false">INDEX([111]DRAW!$P$68:$Q$70,MATCH([111]DRAW!$Q$67,[111]DRAW!$P$68:$P$70,0),2)</definedName>
    <definedName function="false" hidden="false" localSheetId="8" name="Lead_Slurry_in_12.25__OH" vbProcedure="false">'[150]Cmt Csg'!$C$6</definedName>
    <definedName function="false" hidden="false" localSheetId="8" name="lease" vbProcedure="false">[5]WTR!$I$6</definedName>
    <definedName function="false" hidden="false" localSheetId="8" name="Lease1" vbProcedure="false">'[108]TCP-BHA'!$A$7</definedName>
    <definedName function="false" hidden="false" localSheetId="8" name="Length" vbProcedure="false">#ref!</definedName>
    <definedName function="false" hidden="false" localSheetId="8" name="Lengths" vbProcedure="false">'[116]Kill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function="false" hidden="false" localSheetId="8" name="Likelihood" vbProcedure="false">[125]Sheet2!$C$1:$C$5</definedName>
    <definedName function="false" hidden="false" localSheetId="8" name="Liner1_Burst" vbProcedure="false">'[109]Metric Conversions'!$B$45</definedName>
    <definedName function="false" hidden="false" localSheetId="8" name="Liner1_Burstz" vbProcedure="false">'[109]Liner Job Info'!$J$17</definedName>
    <definedName function="false" hidden="false" localSheetId="8" name="Liner1_Cap" vbProcedure="false">'[109]Liner Job Info'!$P$17</definedName>
    <definedName function="false" hidden="false" localSheetId="8" name="Liner1_Collapsez" vbProcedure="false">'[109]Liner Job Info'!$L$17</definedName>
    <definedName function="false" hidden="false" localSheetId="8" name="Liner1_ID" vbProcedure="false">'[109]Liner Job Info'!$D$17</definedName>
    <definedName function="false" hidden="false" localSheetId="8" name="Liner1_Length" vbProcedure="false">'[130]Metric Conversions'!$B$17</definedName>
    <definedName function="false" hidden="false" localSheetId="8" name="Liner1_Lengthz" vbProcedure="false">'[109]Liner Job Info'!$R$17</definedName>
    <definedName function="false" hidden="false" localSheetId="8" name="Liner1_OD" vbProcedure="false">'[130]Liner Job Info'!$C$17</definedName>
    <definedName function="false" hidden="false" localSheetId="8" name="Liner1_Thread" vbProcedure="false">'[130]Liner Job Info'!$H$17</definedName>
    <definedName function="false" hidden="false" localSheetId="8" name="Liner1_Wt_in_Mud" vbProcedure="false">'[109]Weight Calculations'!$H$16</definedName>
    <definedName function="false" hidden="false" localSheetId="8" name="Liner1_Wt_Per_Ft" vbProcedure="false">'[130]Liner Job Info'!$E$17</definedName>
    <definedName function="false" hidden="false" localSheetId="8" name="Liner2_Burst" vbProcedure="false">'[109]Metric Conversions'!$B$46</definedName>
    <definedName function="false" hidden="false" localSheetId="8" name="Liner2_Burstz" vbProcedure="false">'[109]Liner Job Info'!$J$18</definedName>
    <definedName function="false" hidden="false" localSheetId="8" name="Liner2_Cap" vbProcedure="false">'[109]Liner Job Info'!$P$18</definedName>
    <definedName function="false" hidden="false" localSheetId="8" name="Liner2_Collapsez" vbProcedure="false">'[109]Liner Job Info'!$L$18</definedName>
    <definedName function="false" hidden="false" localSheetId="8" name="Liner2_ID" vbProcedure="false">'[109]Liner Job Info'!$D$18</definedName>
    <definedName function="false" hidden="false" localSheetId="8" name="Liner2_Length" vbProcedure="false">'[130]Metric Conversions'!$B$18</definedName>
    <definedName function="false" hidden="false" localSheetId="8" name="Liner2_Lengthz" vbProcedure="false">'[109]Liner Job Info'!$R$18</definedName>
    <definedName function="false" hidden="false" localSheetId="8" name="Liner2_OD" vbProcedure="false">'[130]Liner Job Info'!$C$18</definedName>
    <definedName function="false" hidden="false" localSheetId="8" name="Liner2_Thread" vbProcedure="false">'[130]Liner Job Info'!$H$18</definedName>
    <definedName function="false" hidden="false" localSheetId="8" name="Liner2_Wt_in_Mud" vbProcedure="false">'[109]Weight Calculations'!$H$17</definedName>
    <definedName function="false" hidden="false" localSheetId="8" name="Liner2_Wt_Per_FT" vbProcedure="false">'[130]Liner Job Info'!$E$18</definedName>
    <definedName function="false" hidden="false" localSheetId="8" name="Linertype" vbProcedure="false">[109]DATA!$W$2:$W$12</definedName>
    <definedName function="false" hidden="false" localSheetId="8" name="Liner_I.D." vbProcedure="false">'[108]Job Calculation Sheet'!$F$14</definedName>
    <definedName function="false" hidden="false" localSheetId="8" name="Liner_ID_Area" vbProcedure="false">[109]Test!$V$40</definedName>
    <definedName function="false" hidden="false" localSheetId="8" name="Liner_Size" vbProcedure="false">'[108]Pre-Job Info Sheet'!$D$17</definedName>
    <definedName function="false" hidden="false" localSheetId="8" name="Liner_Top__MD" vbProcedure="false">'[108]Pre-Job Info Sheet'!$D$19</definedName>
    <definedName function="false" hidden="false" localSheetId="8" name="Liner_Weight" vbProcedure="false">'[108]Pre-Job Info Sheet'!$D$18</definedName>
    <definedName function="false" hidden="true" localSheetId="8" name="lkj" vbProcedure="false">[103]Run!$B$18:$B$512</definedName>
    <definedName function="false" hidden="false" localSheetId="8" name="Lnr1_Grade" vbProcedure="false">'[130]Liner Job Info'!$F$17</definedName>
    <definedName function="false" hidden="false" localSheetId="8" name="Lnr1_Vol" vbProcedure="false">'[109]Metric Conversions'!$B$77</definedName>
    <definedName function="false" hidden="false" localSheetId="8" name="Lnr1_Volz" vbProcedure="false">'[109]Metric Conversions'!$C$77</definedName>
    <definedName function="false" hidden="false" localSheetId="8" name="Lnr1_X_OH_Volz" vbProcedure="false">'[109]Metric Conversions'!$C$82</definedName>
    <definedName function="false" hidden="false" localSheetId="8" name="Lnr2_Grade" vbProcedure="false">'[130]Liner Job Info'!$F$18</definedName>
    <definedName function="false" hidden="false" localSheetId="8" name="Lnr2_Vol" vbProcedure="false">'[109]Metric Conversions'!$B$78</definedName>
    <definedName function="false" hidden="false" localSheetId="8" name="Lnr2_Volz" vbProcedure="false">'[109]Metric Conversions'!$C$78</definedName>
    <definedName function="false" hidden="false" localSheetId="8" name="Lnr2_X_OH_Volz" vbProcedure="false">'[109]Metric Conversions'!$C$83</definedName>
    <definedName function="false" hidden="false" localSheetId="8" name="LnrDrift1" vbProcedure="false">'[94]Job Technical Info'!$G$29</definedName>
    <definedName function="false" hidden="false" localSheetId="8" name="LnrDrift2" vbProcedure="false">'[94]Job Technical Info'!$G$30</definedName>
    <definedName function="false" hidden="false" localSheetId="8" name="LnrGrd1" vbProcedure="false">'[94]Job Technical Info'!$H$29</definedName>
    <definedName function="false" hidden="false" localSheetId="8" name="LnrGrd2" vbProcedure="false">'[94]Job Technical Info'!$H$30</definedName>
    <definedName function="false" hidden="false" localSheetId="8" name="LnrID1" vbProcedure="false">'[94]Job Technical Info'!$F$29</definedName>
    <definedName function="false" hidden="false" localSheetId="8" name="LnrID2" vbProcedure="false">'[94]Job Technical Info'!$F$30</definedName>
    <definedName function="false" hidden="false" localSheetId="8" name="LnrSz1" vbProcedure="false">'[94]Job Technical Info'!$D$29</definedName>
    <definedName function="false" hidden="false" localSheetId="8" name="LnrSz2" vbProcedure="false">'[94]Job Technical Info'!$D$30</definedName>
    <definedName function="false" hidden="false" localSheetId="8" name="LnrThd1" vbProcedure="false">'[94]Job Technical Info'!$J$29</definedName>
    <definedName function="false" hidden="false" localSheetId="8" name="LnrThd2" vbProcedure="false">'[94]Job Technical Info'!$J$30</definedName>
    <definedName function="false" hidden="false" localSheetId="8" name="LnrWt1" vbProcedure="false">'[94]Job Technical Info'!$E$29</definedName>
    <definedName function="false" hidden="false" localSheetId="8" name="LnrWt2" vbProcedure="false">'[94]Job Technical Info'!$E$30</definedName>
    <definedName function="false" hidden="false" localSheetId="8" name="Lnr_Shoe_Depth" vbProcedure="false">'[130]Metric Conversions'!$B$29</definedName>
    <definedName function="false" hidden="false" localSheetId="8" name="Loaded" vbProcedure="false">'[108]Pre-Job Info Sheet'!$B$19</definedName>
    <definedName function="false" hidden="false" localSheetId="8" name="Location" vbProcedure="false">[60]auf_screen!#ref!</definedName>
    <definedName function="false" hidden="true" localSheetId="8" name="loudout" vbProcedure="false">[151]Run!$D$15:$D$512</definedName>
    <definedName function="false" hidden="false" localSheetId="8" name="LS" vbProcedure="false">'[189]amberjack a32ream'!#ref!</definedName>
    <definedName function="false" hidden="false" localSheetId="8" name="LSD" vbProcedure="false">'[138]job info sheet'!#ref!</definedName>
    <definedName function="false" hidden="false" localSheetId="8" name="LTP" vbProcedure="false">INDEX([111]DRAW!$D$14:$E$15,MATCH([112]AUTO_DHWS!$BB$7,[111]DRAW!$D$14:$D$15,0),2)</definedName>
    <definedName function="false" hidden="true" localSheetId="8" name="M" vbProcedure="false">#ref!</definedName>
    <definedName function="false" hidden="false" localSheetId="8" name="Macro1" vbProcedure="false">[16]!Macro1</definedName>
    <definedName function="false" hidden="false" localSheetId="8" name="Macro112" vbProcedure="false">[56]!Macro59</definedName>
    <definedName function="false" hidden="false" localSheetId="8" name="Macro2" vbProcedure="false">[27]!Macro2</definedName>
    <definedName function="false" hidden="false" localSheetId="8" name="Macro22" vbProcedure="false">[27]!Macro22</definedName>
    <definedName function="false" hidden="false" localSheetId="8" name="Macro22_1" vbProcedure="false">'COVER PAGE '!Macro22</definedName>
    <definedName function="false" hidden="false" localSheetId="8" name="Macro22_10" vbProcedure="false">'COVER PAGE '!Macro22</definedName>
    <definedName function="false" hidden="false" localSheetId="8" name="Macro22_11" vbProcedure="false">'COVER PAGE '!Macro22</definedName>
    <definedName function="false" hidden="false" localSheetId="8" name="Macro22_2" vbProcedure="false">'COVER PAGE '!Macro22</definedName>
    <definedName function="false" hidden="false" localSheetId="8" name="Macro22_3" vbProcedure="false">'COVER PAGE '!Macro22</definedName>
    <definedName function="false" hidden="false" localSheetId="8" name="Macro22_4" vbProcedure="false">'COVER PAGE '!Macro22</definedName>
    <definedName function="false" hidden="false" localSheetId="8" name="Macro22_5" vbProcedure="false">'COVER PAGE '!Macro22</definedName>
    <definedName function="false" hidden="false" localSheetId="8" name="Macro22_6" vbProcedure="false">'COVER PAGE '!Macro22</definedName>
    <definedName function="false" hidden="false" localSheetId="8" name="Macro22_7" vbProcedure="false">'COVER PAGE '!Macro22</definedName>
    <definedName function="false" hidden="false" localSheetId="8" name="Macro22_8" vbProcedure="false">'COVER PAGE '!Macro22</definedName>
    <definedName function="false" hidden="false" localSheetId="8" name="Macro22_9" vbProcedure="false">'COVER PAGE '!Macro22</definedName>
    <definedName function="false" hidden="false" localSheetId="8" name="Macro233" vbProcedure="false">[27]!Macro1</definedName>
    <definedName function="false" hidden="false" localSheetId="8" name="Macro2_1" vbProcedure="false">'COVER PAGE '!Macro2</definedName>
    <definedName function="false" hidden="false" localSheetId="8" name="Macro2_10" vbProcedure="false">'COVER PAGE '!Macro2</definedName>
    <definedName function="false" hidden="false" localSheetId="8" name="Macro2_11" vbProcedure="false">'COVER PAGE '!Macro2</definedName>
    <definedName function="false" hidden="false" localSheetId="8" name="Macro2_2" vbProcedure="false">'COVER PAGE '!Macro2</definedName>
    <definedName function="false" hidden="false" localSheetId="8" name="Macro2_3" vbProcedure="false">'COVER PAGE '!Macro2</definedName>
    <definedName function="false" hidden="false" localSheetId="8" name="Macro2_4" vbProcedure="false">'COVER PAGE '!Macro2</definedName>
    <definedName function="false" hidden="false" localSheetId="8" name="Macro2_5" vbProcedure="false">'COVER PAGE '!Macro2</definedName>
    <definedName function="false" hidden="false" localSheetId="8" name="Macro2_6" vbProcedure="false">'COVER PAGE '!Macro2</definedName>
    <definedName function="false" hidden="false" localSheetId="8" name="Macro2_7" vbProcedure="false">'COVER PAGE '!Macro2</definedName>
    <definedName function="false" hidden="false" localSheetId="8" name="Macro2_8" vbProcedure="false">'COVER PAGE '!Macro2</definedName>
    <definedName function="false" hidden="false" localSheetId="8" name="Macro2_9" vbProcedure="false">'COVER PAGE '!Macro2</definedName>
    <definedName function="false" hidden="false" localSheetId="8" name="Macro3" vbProcedure="false">[27]!Macro3</definedName>
    <definedName function="false" hidden="false" localSheetId="8" name="Macro3_1" vbProcedure="false">'COVER PAGE '!Macro3</definedName>
    <definedName function="false" hidden="false" localSheetId="8" name="Macro3_10" vbProcedure="false">'COVER PAGE '!Macro3</definedName>
    <definedName function="false" hidden="false" localSheetId="8" name="Macro3_11" vbProcedure="false">'COVER PAGE '!Macro3</definedName>
    <definedName function="false" hidden="false" localSheetId="8" name="Macro3_2" vbProcedure="false">'COVER PAGE '!Macro3</definedName>
    <definedName function="false" hidden="false" localSheetId="8" name="Macro3_3" vbProcedure="false">'COVER PAGE '!Macro3</definedName>
    <definedName function="false" hidden="false" localSheetId="8" name="Macro3_4" vbProcedure="false">'COVER PAGE '!Macro3</definedName>
    <definedName function="false" hidden="false" localSheetId="8" name="Macro3_5" vbProcedure="false">'COVER PAGE '!Macro3</definedName>
    <definedName function="false" hidden="false" localSheetId="8" name="Macro3_6" vbProcedure="false">'COVER PAGE '!Macro3</definedName>
    <definedName function="false" hidden="false" localSheetId="8" name="Macro3_7" vbProcedure="false">'COVER PAGE '!Macro3</definedName>
    <definedName function="false" hidden="false" localSheetId="8" name="Macro3_8" vbProcedure="false">'COVER PAGE '!Macro3</definedName>
    <definedName function="false" hidden="false" localSheetId="8" name="Macro3_9" vbProcedure="false">'COVER PAGE '!Macro3</definedName>
    <definedName function="false" hidden="false" localSheetId="8" name="Make_Up_Torque_Of_Weak_Link" vbProcedure="false">'[109]Liner Job Info'!$P$50</definedName>
    <definedName function="false" hidden="false" localSheetId="8" name="MaPSDensity" vbProcedure="false">'[94]SetUp Tab'!$G$25</definedName>
    <definedName function="false" hidden="false" localSheetId="8" name="MaPSDiameter" vbProcedure="false">'[94]SetUp Tab'!$G$23</definedName>
    <definedName function="false" hidden="false" localSheetId="8" name="MaPSFlowRate" vbProcedure="false">'[94]SetUp Tab'!$G$26</definedName>
    <definedName function="false" hidden="false" localSheetId="8" name="MaPSLength" vbProcedure="false">'[94]SetUp Tab'!$E$23</definedName>
    <definedName function="false" hidden="false" localSheetId="8" name="MaPSMass" vbProcedure="false">[94]Lists!$BJ$3</definedName>
    <definedName function="false" hidden="false" localSheetId="8" name="MaPSPressure" vbProcedure="false">'[94]SetUp Tab'!$G$24</definedName>
    <definedName function="false" hidden="false" localSheetId="8" name="MaPSTemp" vbProcedure="false">'[94]SetUp Tab'!$E$26</definedName>
    <definedName function="false" hidden="false" localSheetId="8" name="MaPSWeight" vbProcedure="false">'[94]SetUp Tab'!$E$24</definedName>
    <definedName function="false" hidden="false" localSheetId="8" name="marrupees" vbProcedure="false">'[152]Cash Expsense March-96'!$H$6</definedName>
    <definedName function="false" hidden="false" localSheetId="8" name="MassUnit" vbProcedure="false">'[43]Metric Conversions'!$C$221</definedName>
    <definedName function="false" hidden="false" localSheetId="8" name="Material" vbProcedure="false">[109]DATA!$I$3:$I$22</definedName>
    <definedName function="false" hidden="false" localSheetId="8" name="Max._Deviation" vbProcedure="false">'[108]Pre-Job Info Sheet'!$B$36</definedName>
    <definedName function="false" hidden="false" localSheetId="8" name="MaxDev" vbProcedure="false">'[94]Job Technical Info'!$F$41</definedName>
    <definedName function="false" hidden="false" localSheetId="8" name="Max_Bump_psi" vbProcedure="false">'[109]Metric Conversions'!$B$59</definedName>
    <definedName function="false" hidden="false" localSheetId="8" name="Max_Bump_psiz" vbProcedure="false">'[109]Metric Conversions'!$C$59</definedName>
    <definedName function="false" hidden="false" localSheetId="8" name="Max_Test_Cmt_Setup" vbProcedure="false">'[109]Metric Conversions'!$B$62</definedName>
    <definedName function="false" hidden="false" localSheetId="8" name="Max_Test_Cmt_Setupz" vbProcedure="false">'[109]Metric Conversions'!$C$62</definedName>
    <definedName function="false" hidden="false" localSheetId="8" name="Max_Test_Seals_In" vbProcedure="false">'[109]Metric Conversions'!$B$61</definedName>
    <definedName function="false" hidden="false" localSheetId="8" name="Max_Test_Seals_Inz" vbProcedure="false">'[109]Metric Conversions'!$C$61</definedName>
    <definedName function="false" hidden="false" localSheetId="8" name="Max_test_seals_out" vbProcedure="false">'[109]Metric Conversions'!$B$60</definedName>
    <definedName function="false" hidden="false" localSheetId="8" name="Max_test_seals_outz" vbProcedure="false">'[109]Metric Conversions'!$C$60</definedName>
    <definedName function="false" hidden="false" localSheetId="8" name="Max_Turns" vbProcedure="false">'[109]Weight Calculations'!$T$36</definedName>
    <definedName function="false" hidden="false" localSheetId="8" name="MDData" vbProcedure="false">OFFSET([27]!MDForInclination,2,0,COUNT(#ref!),1)</definedName>
    <definedName function="false" hidden="false" localSheetId="8" name="MeteringTime" vbProcedure="false">[109]DATA!$BG$2:$BG$42</definedName>
    <definedName function="false" hidden="false" localSheetId="8" name="Min._Ten_Sett_Tool_Assy" vbProcedure="false">'[109]Weight Calculations'!$S$60</definedName>
    <definedName function="false" hidden="false" localSheetId="8" name="Min_DP_Tens" vbProcedure="false">'[109]Weight Calculations'!$W$61</definedName>
    <definedName function="false" hidden="false" localSheetId="8" name="Min_Ft_Release_RH" vbProcedure="false">'[109]Metric Conversions'!$B$39</definedName>
    <definedName function="false" hidden="false" localSheetId="8" name="Min_Ft_Release_RHz" vbProcedure="false">'[109]Metric Conversions'!$C$39</definedName>
    <definedName function="false" hidden="false" localSheetId="8" name="mobile" vbProcedure="false">'[126]Call Sheet'!$R$5</definedName>
    <definedName function="false" hidden="false" localSheetId="8" name="Module1.draw_productionfirst" vbProcedure="false">'[140]tally checklist'!module1.draw_productionfirst</definedName>
    <definedName function="false" hidden="false" localSheetId="8" name="Module1.draw_productionsecond" vbProcedure="false">'[140]tally checklist'!module1.draw_productionsecond</definedName>
    <definedName function="false" hidden="false" localSheetId="8" name="Module1.impdwg" vbProcedure="false">[27]!Module1.impdwg</definedName>
    <definedName function="false" hidden="false" localSheetId="8" name="Module1.impdwg_1" vbProcedure="false">'COVER PAGE '!Module1.impdwg</definedName>
    <definedName function="false" hidden="false" localSheetId="8" name="Module1.impdwg_10" vbProcedure="false">'COVER PAGE '!Module1.impdwg</definedName>
    <definedName function="false" hidden="false" localSheetId="8" name="Module1.impdwg_11" vbProcedure="false">'COVER PAGE '!Module1.impdwg</definedName>
    <definedName function="false" hidden="false" localSheetId="8" name="Module1.impdwg_2" vbProcedure="false">'COVER PAGE '!Module1.impdwg</definedName>
    <definedName function="false" hidden="false" localSheetId="8" name="Module1.impdwg_3" vbProcedure="false">'COVER PAGE '!Module1.impdwg</definedName>
    <definedName function="false" hidden="false" localSheetId="8" name="Module1.impdwg_4" vbProcedure="false">'COVER PAGE '!Module1.impdwg</definedName>
    <definedName function="false" hidden="false" localSheetId="8" name="Module1.impdwg_5" vbProcedure="false">'COVER PAGE '!Module1.impdwg</definedName>
    <definedName function="false" hidden="false" localSheetId="8" name="Module1.impdwg_6" vbProcedure="false">'COVER PAGE '!Module1.impdwg</definedName>
    <definedName function="false" hidden="false" localSheetId="8" name="Module1.impdwg_7" vbProcedure="false">'COVER PAGE '!Module1.impdwg</definedName>
    <definedName function="false" hidden="false" localSheetId="8" name="Module1.impdwg_8" vbProcedure="false">'COVER PAGE '!Module1.impdwg</definedName>
    <definedName function="false" hidden="false" localSheetId="8" name="Module1.impdwg_9" vbProcedure="false">'COVER PAGE '!Module1.impdwg</definedName>
    <definedName function="false" hidden="false" localSheetId="8" name="Module4.drawblanks" vbProcedure="false">'[140]tally checklist'!module4.drawblanks</definedName>
    <definedName function="false" hidden="false" localSheetId="8" name="Module4.drawlinerfirst" vbProcedure="false">'[140]tally checklist'!module4.drawlinerfirst</definedName>
    <definedName function="false" hidden="false" localSheetId="8" name="Module4.drawlinersecond" vbProcedure="false">'[140]tally checklist'!module4.drawlinersecond</definedName>
    <definedName function="false" hidden="false" localSheetId="8" name="Module4.drawmiscellaneous" vbProcedure="false">'[140]tally checklist'!module4.drawmiscellaneous</definedName>
    <definedName function="false" hidden="false" localSheetId="8" name="Module4.drawproductionfirst" vbProcedure="false">'[140]tally checklist'!module4.drawproductionfirst</definedName>
    <definedName function="false" hidden="false" localSheetId="8" name="Module4.drawproductionsecond" vbProcedure="false">'[140]tally checklist'!module4.drawproductionsecond</definedName>
    <definedName function="false" hidden="false" localSheetId="8" name="Module4.drawquantum" vbProcedure="false">'[140]tally checklist'!module4.drawquantum</definedName>
    <definedName function="false" hidden="false" localSheetId="8" name="Module4.drawscreens" vbProcedure="false">'[140]tally checklist'!module4.drawscreens</definedName>
    <definedName function="false" hidden="false" localSheetId="8" name="Module4.drawshearsubs" vbProcedure="false">'[140]tally checklist'!module4.drawshearsubs</definedName>
    <definedName function="false" hidden="false" localSheetId="8" name="Module4.drawsump" vbProcedure="false">'[140]tally checklist'!module4.drawsump</definedName>
    <definedName function="false" hidden="false" localSheetId="8" name="Module4.textfive" vbProcedure="false">'[140]tally checklist'!module4.textfive</definedName>
    <definedName function="false" hidden="false" localSheetId="8" name="Module4.textfivehalf" vbProcedure="false">'[140]tally checklist'!module4.textfivehalf</definedName>
    <definedName function="false" hidden="false" localSheetId="8" name="Module4.textninefiveeightfourfirst" vbProcedure="false">'[140]tally checklist'!module4.textninefiveeightfourfirst</definedName>
    <definedName function="false" hidden="false" localSheetId="8" name="Module4.textninefiveeightfoursecond" vbProcedure="false">'[140]tally checklist'!module4.textninefiveeightfoursecond</definedName>
    <definedName function="false" hidden="false" localSheetId="8" name="Module4.textninefiveeightsixfirst" vbProcedure="false">'[140]tally checklist'!module4.textninefiveeightsixfirst</definedName>
    <definedName function="false" hidden="false" localSheetId="8" name="Module4.textninefiveeightsixsecond" vbProcedure="false">'[140]tally checklist'!module4.textninefiveeightsixsecond</definedName>
    <definedName function="false" hidden="false" localSheetId="8" name="Module4.textsevenfiveeightfour" vbProcedure="false">'[140]tally checklist'!module4.textsevenfiveeightfour</definedName>
    <definedName function="false" hidden="false" localSheetId="8" name="Module4.textsevenfiveeightthree" vbProcedure="false">'[140]tally checklist'!module4.textsevenfiveeightthree</definedName>
    <definedName function="false" hidden="false" localSheetId="8" name="Module4.textsevenfour" vbProcedure="false">'[140]tally checklist'!module4.textsevenfour</definedName>
    <definedName function="false" hidden="false" localSheetId="8" name="Module4.textseventhree" vbProcedure="false">'[140]tally checklist'!module4.textseventhree</definedName>
    <definedName function="false" hidden="false" localSheetId="8" name="MOE" vbProcedure="false">#ref!</definedName>
    <definedName function="false" hidden="false" localSheetId="8" name="Month" vbProcedure="false">[60]auf_screen!#ref!</definedName>
    <definedName function="false" hidden="true" localSheetId="8" name="mr" vbProcedure="false">{#N/A,#N/A,FALSE,"Sheet1"}</definedName>
    <definedName function="false" hidden="false" localSheetId="8" name="Mudtype" vbProcedure="false">[109]DATA!$N$2:$N$18</definedName>
    <definedName function="false" hidden="false" localSheetId="8" name="Mudwt" vbProcedure="false">"Dialog2_Edit Box 5"</definedName>
    <definedName function="false" hidden="false" localSheetId="8" name="Mud_Type" vbProcedure="false">'[7]Drop-Down Items'!$D$4:$D$14</definedName>
    <definedName function="false" hidden="false" localSheetId="8" name="Mud_Wt" vbProcedure="false">'[130]Metric Conversions'!$B$66</definedName>
    <definedName function="false" hidden="false" localSheetId="8" name="Mud_Wtz" vbProcedure="false">'[109]Liner Job Info'!$D$31</definedName>
    <definedName function="false" hidden="false" localSheetId="8" name="MULE_SHOE_DEPTH" vbProcedure="false">'[113]#REF'!$F$182</definedName>
    <definedName function="false" hidden="false" localSheetId="8" name="MW" vbProcedure="false">#ref!,#ref!,#ref!,#ref!,#ref!</definedName>
    <definedName function="false" hidden="false" localSheetId="8" name="MWD" vbProcedure="false">[6]Sheet1!$F$10:$F$12</definedName>
    <definedName function="false" hidden="false" localSheetId="8" name="my" vbProcedure="false">[145]!JointNumber</definedName>
    <definedName function="false" hidden="false" localSheetId="8" name="m_choke" vbProcedure="false">'[93]well test sheet'!#ref!</definedName>
    <definedName function="false" hidden="false" localSheetId="8" name="M_Dual" vbProcedure="false">#ref!</definedName>
    <definedName function="false" hidden="false" localSheetId="8" name="n" vbProcedure="false">'[140]tally checklist'!n</definedName>
    <definedName function="false" hidden="false" localSheetId="8" name="N2_Precharge" vbProcedure="false">'[108]Tester Valve Calcs'!$F$16</definedName>
    <definedName function="false" hidden="false" localSheetId="8" name="N2_Press_DH" vbProcedure="false">'[108]Tester Valve Calcs'!$F$29</definedName>
    <definedName function="false" hidden="false" localSheetId="8" name="N2_Stroke" vbProcedure="false">'[108]Tester Valve Calcs'!$M$18</definedName>
    <definedName function="false" hidden="false" localSheetId="8" name="N2_Temp_DH" vbProcedure="false">'[108]Tester Valve Calcs'!$F$22</definedName>
    <definedName function="false" hidden="false" localSheetId="8" name="N2_Temp_Surf" vbProcedure="false">'[108]Tester Valve Calcs'!$F$17</definedName>
    <definedName function="false" hidden="false" localSheetId="8" name="N2_Vol_DH" vbProcedure="false">'[108]Tester Valve Calcs'!$F$25</definedName>
    <definedName function="false" hidden="false" localSheetId="8" name="N2_Vol_Surf" vbProcedure="false">'[108]Tester Valve Calcs'!$F$14</definedName>
    <definedName function="false" hidden="false" localSheetId="8" name="nb" vbProcedure="false">'[134]井口装置示意图-4'!$E$1:$E$65536</definedName>
    <definedName function="false" hidden="false" localSheetId="8" name="netperf" vbProcedure="false">[5]WTR!$G$33</definedName>
    <definedName function="false" hidden="false" localSheetId="8" name="NET_PERFS" vbProcedure="false">'[113]#REF'!$F$20</definedName>
    <definedName function="false" hidden="false" localSheetId="8" name="NewData" vbProcedure="false">'[132]New Contract'!$A$1:$G$65536</definedName>
    <definedName function="false" hidden="false" localSheetId="8" name="NewDes" vbProcedure="false">'[132]New Contract'!$A$1:$A$65536</definedName>
    <definedName function="false" hidden="false" localSheetId="8" name="newrisk" vbProcedure="false">[125]Sheet2!$D$1:$D$3</definedName>
    <definedName function="false" hidden="false" localSheetId="8" name="NextTD" vbProcedure="false">'[153]Lookahd EA'!$E$1:$N$3</definedName>
    <definedName function="false" hidden="true" localSheetId="8"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8"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8"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NH4CL" vbProcedure="false">'[6]#ref'!#ref!</definedName>
    <definedName function="false" hidden="false" localSheetId="8" name="Nipples" vbProcedure="false">#ref!</definedName>
    <definedName function="false" hidden="false" localSheetId="8" name="NM" vbProcedure="false">[16]!Macro1</definedName>
    <definedName function="false" hidden="false" localSheetId="8" name="No" vbProcedure="false">'[154]BPR LOG'!$A$1:$A$1048576</definedName>
    <definedName function="false" hidden="false" localSheetId="8" name="NOofTools" vbProcedure="false">[109]DATA!$BP$2:$BP$12</definedName>
    <definedName function="false" hidden="false" localSheetId="8" name="NosOfTubing" vbProcedure="false">#ref!</definedName>
    <definedName function="false" hidden="false" localSheetId="8" name="O" vbProcedure="false">'[155]Report Long(Esso)'!$E$4</definedName>
    <definedName function="false" hidden="false" localSheetId="8" name="odcasing" vbProcedure="false">[106]Data!$J$16</definedName>
    <definedName function="false" hidden="false" localSheetId="8" name="ODSizes" vbProcedure="false">[94]Lists!$AF$3:$AF$42</definedName>
    <definedName function="false" hidden="false" localSheetId="8" name="ODUnit" vbProcedure="false">'[94]Job Technical Info'!$D$24</definedName>
    <definedName function="false" hidden="false" localSheetId="8" name="odworkstring" vbProcedure="false">[106]Data!$W$18</definedName>
    <definedName function="false" hidden="false" localSheetId="8" name="office" vbProcedure="false">'[126]Call Sheet'!$AH$5</definedName>
    <definedName function="false" hidden="false" localSheetId="8" name="Offshore_Block" vbProcedure="false">'[108]TCP-BHA'!$A$9</definedName>
    <definedName function="false" hidden="false" localSheetId="8" name="ogr" vbProcedure="false">'[156]Test Data'!$T$8:$T$16,'[156]Test Data'!$T$18:$T$122,'[156]Test Data'!$T$132:$T$247</definedName>
    <definedName function="false" hidden="false" localSheetId="8" name="OHoleID" vbProcedure="false">'[94]Job Technical Info'!$B$40</definedName>
    <definedName function="false" hidden="false" localSheetId="8" name="OHoleLength" vbProcedure="false">'[94]Job Technical Info'!$D$40</definedName>
    <definedName function="false" hidden="false" localSheetId="8" name="OH_Dia" vbProcedure="false">'[109]Liner Job Info'!$Q$14</definedName>
    <definedName function="false" hidden="false" localSheetId="8" name="oilrate" vbProcedure="false">'[93]well test sheet'!#ref!</definedName>
    <definedName function="false" hidden="false" localSheetId="8" name="oil_cumm" vbProcedure="false">'[93]well test sheet'!#ref!</definedName>
    <definedName function="false" hidden="true" localSheetId="8"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ONBOARD" vbProcedure="false">'[157]Initial Tally'!$G$4</definedName>
    <definedName function="false" hidden="false" localSheetId="8" name="onefive" vbProcedure="false">[54]data!#ref!</definedName>
    <definedName function="false" hidden="false" localSheetId="8" name="OP_1" vbProcedure="false">[158]Data!$F$1:$F$3</definedName>
    <definedName function="false" hidden="false" localSheetId="8" name="OrderedLength" vbProcedure="false">#ref!</definedName>
    <definedName function="false" hidden="false" localSheetId="8" name="Overbalance" vbProcedure="false">'[108]Pre-Job Info Sheet'!$D$34</definedName>
    <definedName function="false" hidden="false" localSheetId="8" name="Overlap" vbProcedure="false">'[109]Metric Conversions'!$B$16</definedName>
    <definedName function="false" hidden="false" localSheetId="8" name="Overlapz" vbProcedure="false">'[109]Liner Job Info'!$R$14</definedName>
    <definedName function="false" hidden="false" localSheetId="8" name="Overlap_Volz" vbProcedure="false">'[109]Metric Conversions'!$C$84</definedName>
    <definedName function="false" hidden="true" localSheetId="8" name="P" vbProcedure="false">{#N/A,#N/A,FALSE,"Drlg Param Run 1-1";#N/A,#N/A,FALSE,"DDR (3)";#N/A,#N/A,FALSE,"BHA AT (1)";#N/A,#N/A,FALSE,"Downlinkbha";#N/A,#N/A,FALSE,"Job Status Report"}</definedName>
    <definedName function="false" hidden="false" localSheetId="8" name="PACKER" vbProcedure="false">INDEX([111]DRAW!$A$2:$B$13,MATCH([112]AUTO_DHWS!$AV$8,[111]DRAW!$A$2:$A$13,0),2)</definedName>
    <definedName function="false" hidden="false" localSheetId="8" name="PackerDepth" vbProcedure="false">'[76]casing talley'!#ref!</definedName>
    <definedName function="false" hidden="false" localSheetId="8" name="PACKER_2" vbProcedure="false">INDEX([111]DRAW!$D$13:$E$14,MATCH([112]AUTO_DHWS!$AV$12,[111]DRAW!$D$13:$D$14,0),2)</definedName>
    <definedName function="false" hidden="false" localSheetId="8" name="Packer_Rotation" vbProcedure="false">'[109]Liner Job Info'!$P$40</definedName>
    <definedName function="false" hidden="false" localSheetId="8" name="Packer_Set_In" vbProcedure="false">'[108]Pre-Job Info Sheet'!$D$22</definedName>
    <definedName function="false" hidden="false" localSheetId="8" name="PackOff" vbProcedure="false">[109]DATA!$AP$2:$AP$6</definedName>
    <definedName function="false" hidden="false" localSheetId="8" name="PackoffXDP1_Pist_Area" vbProcedure="false">'[109]Liner Job Info'!$AF$2</definedName>
    <definedName function="false" hidden="false" localSheetId="8" name="PackoffXDP2_Pist_Area" vbProcedure="false">'[109]Liner Job Info'!$AF$3</definedName>
    <definedName function="false" hidden="false" localSheetId="8" name="PackoffXDP3_Pist_Area" vbProcedure="false">'[109]Liner Job Info'!$AG$28</definedName>
    <definedName function="false" hidden="false" localSheetId="8" name="PackoffXDP4_Pist_Area" vbProcedure="false">'[109]Liner Job Info'!$AG$29</definedName>
    <definedName function="false" hidden="false" localSheetId="8" name="PackoffXDP5_Pist_Area" vbProcedure="false">'[109]Liner Job Info'!$AG$30</definedName>
    <definedName function="false" hidden="false" localSheetId="8" name="Packoff_Pist_Area" vbProcedure="false">'[109]Liner Job Info'!$AG$31</definedName>
    <definedName function="false" hidden="false" localSheetId="8" name="Packoff_Stinger_OD" vbProcedure="false">'[109]Liner Job Info'!$P$42</definedName>
    <definedName function="false" hidden="true" localSheetId="8" name="Para3" vbProcedure="false">{#N/A,#N/A,FALSE,"Drlg Param Run 1-1";#N/A,#N/A,FALSE,"DDR (3)";#N/A,#N/A,FALSE,"BHA AT (1)";#N/A,#N/A,FALSE,"Downlinkbha";#N/A,#N/A,FALSE,"Job Status Report"}</definedName>
    <definedName function="false" hidden="false" localSheetId="8" name="Parish" vbProcedure="false">'[108]TCP-BHA'!$C$9</definedName>
    <definedName function="false" hidden="false" localSheetId="8" name="Parish_County" vbProcedure="false">'[108]Pre-Job Info Sheet'!$D$9</definedName>
    <definedName function="false" hidden="false" localSheetId="8" name="Parts" vbProcedure="false">#ref!</definedName>
    <definedName function="false" hidden="false" localSheetId="8" name="PBTD" vbProcedure="false">'[76]casing talley'!#ref!</definedName>
    <definedName function="false" hidden="false" localSheetId="8" name="Pckr_Body_Bst" vbProcedure="false">'[109]Metric Conversions'!$B$52</definedName>
    <definedName function="false" hidden="false" localSheetId="8" name="Pckr_Body_Bstz" vbProcedure="false">'[109]Liner Job Info'!$P$32</definedName>
    <definedName function="false" hidden="false" localSheetId="8" name="Pckr_Body_Collz" vbProcedure="false">'[109]Liner Job Info'!$P$33</definedName>
    <definedName function="false" hidden="false" localSheetId="8" name="Pckr_Body_Tens" vbProcedure="false">'[109]Liner Job Info'!$P$34</definedName>
    <definedName function="false" hidden="false" localSheetId="8" name="Pckr_Seal_Surf_OD" vbProcedure="false">'[109]Liner Job Info'!$P$31</definedName>
    <definedName function="false" hidden="false" localSheetId="8" name="Pckr_Sett_Force" vbProcedure="false">'[109]Liner Job Info'!$P$39</definedName>
    <definedName function="false" hidden="false" localSheetId="8" name="PDHG_2" vbProcedure="false">INDEX([111]DRAW!$A$2:$B$13,MATCH([112]AUTO_DHWS!$AV$13,[111]DRAW!$A$2:$A$13,0),2)</definedName>
    <definedName function="false" hidden="false" localSheetId="8" name="PD_SOFTWARE" vbProcedure="false">[129]RSS!$J$148:$J$152</definedName>
    <definedName function="false" hidden="false" localSheetId="8" name="PD_STAB" vbProcedure="false">[129]RSS!$R$131:$R$160</definedName>
    <definedName function="false" hidden="false" localSheetId="8" name="Perf._Interval" vbProcedure="false">'[108]Pre-Job Info Sheet'!$B$17</definedName>
    <definedName function="false" hidden="false" localSheetId="8" name="Perf._Interval_2" vbProcedure="false">'[108]Pre-Job Info Sheet'!$B$18</definedName>
    <definedName function="false" hidden="false" localSheetId="8" name="perfbottom" vbProcedure="false">[5]WTR!$I$32</definedName>
    <definedName function="false" hidden="false" localSheetId="8" name="PerfDepth" vbProcedure="false">'[76]casing talley'!#ref!</definedName>
    <definedName function="false" hidden="false" localSheetId="8" name="perftop" vbProcedure="false">[5]WTR!$G$32</definedName>
    <definedName function="false" hidden="false" localSheetId="8" name="PERF_BOTTOM" vbProcedure="false">'[113]#REF'!$H$19</definedName>
    <definedName function="false" hidden="false" localSheetId="8" name="PERF_SLURRY" vbProcedure="false">'[113]#REF'!$H$198</definedName>
    <definedName function="false" hidden="false" localSheetId="8" name="PERF_TOP" vbProcedure="false">'[113]#REF'!$F$19</definedName>
    <definedName function="false" hidden="false" localSheetId="8" name="PERF_VOL" vbProcedure="false">'[113]#REF'!$J$12</definedName>
    <definedName function="false" hidden="false" localSheetId="8" name="perm" vbProcedure="false">[106]Data!$G$56</definedName>
    <definedName function="false" hidden="false" localSheetId="8" name="perm1" vbProcedure="false">[106]Data!$G$57</definedName>
    <definedName function="false" hidden="false" localSheetId="8" name="Personnel1" vbProcedure="false">[132]Data!$P$1:$P$65536</definedName>
    <definedName function="false" hidden="false" localSheetId="8" name="Perv.Macro140" vbProcedure="false">[49]!Prev.Macro102</definedName>
    <definedName function="false" hidden="false" localSheetId="8" name="Phasing" vbProcedure="false">'[108]Pre-Job Info Sheet'!$B$23</definedName>
    <definedName function="false" hidden="false" localSheetId="8" name="Phone" vbProcedure="false">'[117]Well Installation Drawing'!$K$11</definedName>
    <definedName function="false" hidden="false" localSheetId="8" name="pick1_958x475_system" vbProcedure="false">'[140]tally checklist'!pick1_958x475_system</definedName>
    <definedName function="false" hidden="false" localSheetId="8" name="pick1_958x6_system" vbProcedure="false">'[140]tally checklist'!pick1_958x6_system</definedName>
    <definedName function="false" hidden="false" localSheetId="8" name="pick1_production" vbProcedure="false">'[140]tally checklist'!pick1_production</definedName>
    <definedName function="false" hidden="false" localSheetId="8" name="pick2_958x475_system" vbProcedure="false">'[140]tally checklist'!pick2_958x475_system</definedName>
    <definedName function="false" hidden="false" localSheetId="8" name="pick2_958x6_system" vbProcedure="false">'[140]tally checklist'!pick2_958x6_system</definedName>
    <definedName function="false" hidden="false" localSheetId="8" name="pick2_production" vbProcedure="false">'[140]tally checklist'!pick2_production</definedName>
    <definedName function="false" hidden="false" localSheetId="8" name="pick_512_system" vbProcedure="false">'[140]tally checklist'!pick_512_system</definedName>
    <definedName function="false" hidden="false" localSheetId="8" name="pick_5_system" vbProcedure="false">'[140]tally checklist'!pick_5_system</definedName>
    <definedName function="false" hidden="false" localSheetId="8" name="pick_758x314_system" vbProcedure="false">'[140]tally checklist'!pick_758x314_system</definedName>
    <definedName function="false" hidden="false" localSheetId="8" name="pick_758x4_system" vbProcedure="false">'[140]tally checklist'!pick_758x4_system</definedName>
    <definedName function="false" hidden="false" localSheetId="8" name="pick_7x314_system" vbProcedure="false">'[140]tally checklist'!pick_7x314_system</definedName>
    <definedName function="false" hidden="false" localSheetId="8" name="pick_7x4_system" vbProcedure="false">'[140]tally checklist'!pick_7x4_system</definedName>
    <definedName function="false" hidden="false" localSheetId="8" name="pick_blanks" vbProcedure="false">'[140]tally checklist'!pick_blanks</definedName>
    <definedName function="false" hidden="false" localSheetId="8" name="pick_liner" vbProcedure="false">'[140]tally checklist'!pick_liner</definedName>
    <definedName function="false" hidden="false" localSheetId="8" name="pick_liner2" vbProcedure="false">'[140]tally checklist'!pick_liner2</definedName>
    <definedName function="false" hidden="false" localSheetId="8" name="pick_miscellaneous" vbProcedure="false">'[140]tally checklist'!pick_miscellaneous</definedName>
    <definedName function="false" hidden="false" localSheetId="8" name="pick_quantum" vbProcedure="false">'[140]tally checklist'!pick_quantum</definedName>
    <definedName function="false" hidden="false" localSheetId="8" name="pick_screens" vbProcedure="false">'[140]tally checklist'!pick_screens</definedName>
    <definedName function="false" hidden="false" localSheetId="8" name="pick_shearsubs" vbProcedure="false">'[140]tally checklist'!pick_shearsubs</definedName>
    <definedName function="false" hidden="false" localSheetId="8" name="pick_sump" vbProcedure="false">'[140]tally checklist'!pick_sump</definedName>
    <definedName function="false" hidden="false" localSheetId="8" name="PipeList" vbProcedure="false">#ref!</definedName>
    <definedName function="false" hidden="false" localSheetId="8" name="PistArea_Packoff_to_DP_OD" vbProcedure="false">[109]Test!$M$16</definedName>
    <definedName function="false" hidden="false" localSheetId="8" name="Piston_Disp" vbProcedure="false">'[108]Tester Valve Calcs'!$M$16</definedName>
    <definedName function="false" hidden="false" localSheetId="8" name="Pist_Area_Csg_ID_to_DP1_OD" vbProcedure="false">[109]Test!$U$26</definedName>
    <definedName function="false" hidden="false" localSheetId="8" name="Pist_Area_Csg_ID_to_DP2_OD" vbProcedure="false">[109]Test!$U$27</definedName>
    <definedName function="false" hidden="false" localSheetId="8" name="Pist_Area_Csg_ID_to_DP3_OD" vbProcedure="false">[109]Test!$U$28</definedName>
    <definedName function="false" hidden="false" localSheetId="8" name="Pist_Area_Csg_ID_to_DP4_OD" vbProcedure="false">[109]Test!$U$29</definedName>
    <definedName function="false" hidden="false" localSheetId="8" name="Pist_Area_Csg_ID_to_DP5_OD" vbProcedure="false">[109]Test!$U$30</definedName>
    <definedName function="false" hidden="false" localSheetId="8" name="Pist_Area_from_CsgID_to_Packoff_OD" vbProcedure="false">[109]Test!$M$14</definedName>
    <definedName function="false" hidden="false" localSheetId="8" name="Pist_Area_PackoffOD_DP2_OD" vbProcedure="false">[109]Test!$Y$27</definedName>
    <definedName function="false" hidden="false" localSheetId="8" name="Pist_Area_PackoffOD_DP4_OD" vbProcedure="false">[109]Test!$Y$29</definedName>
    <definedName function="false" hidden="false" localSheetId="8" name="Pist_Area_PackoffOD_DP5_OD" vbProcedure="false">[109]Test!$Y$30</definedName>
    <definedName function="false" hidden="false" localSheetId="8" name="Pist_Area_PackoffOD_to_DP1_OD" vbProcedure="false">[109]Test!$Y$26</definedName>
    <definedName function="false" hidden="false" localSheetId="8" name="Pist_Area_PackoffOD_to_DP3_OD" vbProcedure="false">[109]Test!$Y$28</definedName>
    <definedName function="false" hidden="false" localSheetId="8" name="Pkrs" vbProcedure="false">#ref!</definedName>
    <definedName function="false" hidden="false" localSheetId="8" name="plotm" vbProcedure="false">'[61]tool backload dt'!plotm</definedName>
    <definedName function="false" hidden="false" localSheetId="8" name="PlugMethod" vbProcedure="false">[109]DATA!$BI$2:$BI$6</definedName>
    <definedName function="false" hidden="false" localSheetId="8" name="Plugs" vbProcedure="false">[109]DATA!$AL$2:$AL$13</definedName>
    <definedName function="false" hidden="false" localSheetId="8" name="Plug_Bmp_Hngr_Ovr_Ld" vbProcedure="false">[109]Test!$M$25</definedName>
    <definedName function="false" hidden="false" localSheetId="8" name="Plug_Bmp_psi_wo_DP" vbProcedure="false">[109]Test!$M$23</definedName>
    <definedName function="false" hidden="false" localSheetId="8" name="Plug_Bmp_psi_w_DP" vbProcedure="false">[109]Test!$M$24</definedName>
    <definedName function="false" hidden="false" localSheetId="8" name="Plug_Press_Rating" vbProcedure="false">'[109]Metric Conversions'!$B$51</definedName>
    <definedName function="false" hidden="false" localSheetId="8" name="Plug_Press_Ratingz" vbProcedure="false">'[109]Liner Job Info'!$D$43</definedName>
    <definedName function="false" hidden="false" localSheetId="8" name="Plug_Temp_Rating" vbProcedure="false">'[109]Liner Job Info'!$D$44</definedName>
    <definedName function="false" hidden="false" localSheetId="8" name="po" vbProcedure="false">[159]Drillers!$O$20</definedName>
    <definedName function="false" hidden="false" localSheetId="8" name="Ported_Sub" vbProcedure="false">'[108]TCP-BHA'!$H$30</definedName>
    <definedName function="false" hidden="false" localSheetId="8" name="Pos_of_Ball" vbProcedure="false">'[108]Tester Valve Calcs'!$F$12</definedName>
    <definedName function="false" hidden="false" localSheetId="8" name="PoundConversion" vbProcedure="false">[94]Lists!$AD$4</definedName>
    <definedName function="false" hidden="false" localSheetId="8" name="POWERV_TO" vbProcedure="false">[129]RSS!$A$206</definedName>
    <definedName function="false" hidden="false" localSheetId="8" name="ppgsggcc" vbProcedure="false">'[109]Metric Conversions'!$B$65</definedName>
    <definedName function="false" hidden="false" localSheetId="8" name="pph" vbProcedure="false">[40]!Calculate_Pipe</definedName>
    <definedName function="false" hidden="false" localSheetId="8" name="pre.Macro220" vbProcedure="false">[49]!Prev.Macro110</definedName>
    <definedName function="false" hidden="false" localSheetId="8" name="pregpstim" vbProcedure="false">[5]WTR!$G$48</definedName>
    <definedName function="false" hidden="false" localSheetId="8" name="PREPACK_MIX_RATIO" vbProcedure="false">'[113]#REF'!$K$44</definedName>
    <definedName function="false" hidden="false" localSheetId="8" name="Pressure" vbProcedure="false">#ref!</definedName>
    <definedName function="false" hidden="false" localSheetId="8" name="pressure1" vbProcedure="false">[106]Data!$C$2</definedName>
    <definedName function="false" hidden="false" localSheetId="8" name="pressure10" vbProcedure="false">[106]Data!$C$11</definedName>
    <definedName function="false" hidden="false" localSheetId="8" name="pressure2" vbProcedure="false">[106]Data!$C$3</definedName>
    <definedName function="false" hidden="false" localSheetId="8" name="pressure3" vbProcedure="false">[106]Data!$C$4</definedName>
    <definedName function="false" hidden="false" localSheetId="8" name="pressure4" vbProcedure="false">[106]Data!$C$5</definedName>
    <definedName function="false" hidden="false" localSheetId="8" name="pressure5" vbProcedure="false">[106]Data!$C$6</definedName>
    <definedName function="false" hidden="false" localSheetId="8" name="pressure6" vbProcedure="false">[106]Data!$C$7</definedName>
    <definedName function="false" hidden="false" localSheetId="8" name="pressure7" vbProcedure="false">[106]Data!$C$8</definedName>
    <definedName function="false" hidden="false" localSheetId="8" name="pressure8" vbProcedure="false">[106]Data!$C$9</definedName>
    <definedName function="false" hidden="false" localSheetId="8" name="pressure9" vbProcedure="false">[106]Data!$C$10</definedName>
    <definedName function="false" hidden="false" localSheetId="8" name="pressurea" vbProcedure="false">[106]Data!$D$2</definedName>
    <definedName function="false" hidden="false" localSheetId="8" name="pressureb" vbProcedure="false">[106]Data!$D$3</definedName>
    <definedName function="false" hidden="false" localSheetId="8" name="pressurec" vbProcedure="false">[106]Data!$D$4</definedName>
    <definedName function="false" hidden="false" localSheetId="8" name="pressured" vbProcedure="false">[106]Data!$D$5</definedName>
    <definedName function="false" hidden="false" localSheetId="8" name="pressuree" vbProcedure="false">[106]Data!$D$6</definedName>
    <definedName function="false" hidden="false" localSheetId="8" name="pressuref" vbProcedure="false">[106]Data!$D$7</definedName>
    <definedName function="false" hidden="false" localSheetId="8" name="pressureg" vbProcedure="false">[106]Data!$D$8</definedName>
    <definedName function="false" hidden="false" localSheetId="8" name="pressureh" vbProcedure="false">[106]Data!$D$9</definedName>
    <definedName function="false" hidden="false" localSheetId="8" name="pressurei" vbProcedure="false">[106]Data!$D$10</definedName>
    <definedName function="false" hidden="false" localSheetId="8" name="pressurej" vbProcedure="false">[106]Data!$D$11</definedName>
    <definedName function="false" hidden="false" localSheetId="8" name="Pressures" vbProcedure="false">'[116]Kill Sheet - Horizontal'!$W$27,'[116]Kill Sheet - Horizontal'!$W$31,'[116]Kill Sheet - Horizontal'!$W$32</definedName>
    <definedName function="false" hidden="false" localSheetId="8" name="Pressure_1" vbProcedure="false">#ref!</definedName>
    <definedName function="false" hidden="false" localSheetId="8" name="Pressure_2" vbProcedure="false">#ref!</definedName>
    <definedName function="false" hidden="false" localSheetId="8" name="prev.Macro150" vbProcedure="false">[49]!Prev.Macro122</definedName>
    <definedName function="false" hidden="false" localSheetId="8" name="prev.Macro200" vbProcedure="false">[49]!Prev.Macro128</definedName>
    <definedName function="false" hidden="false" localSheetId="8" name="Prev.Macro242" vbProcedure="false">[49]!Prev.Macro106</definedName>
    <definedName function="false" hidden="false" localSheetId="8" name="pricelist" vbProcedure="false">[139]Pricelist!$A$8:$B$11</definedName>
    <definedName function="false" hidden="false" localSheetId="8" name="print" vbProcedure="false">'[160]2003 SSWE LINE ITEMS'!$A$1:$V$302</definedName>
    <definedName function="false" hidden="false" localSheetId="8" name="PRODPKR" vbProcedure="false">INDEX([161]PKR!$A$2:$B$15,MATCH([161]INPUT!$H$37,[161]PKR!$A$2:$A$15,0),2)</definedName>
    <definedName function="false" hidden="false" localSheetId="8" name="production" vbProcedure="false">[162]WTR!$L$6</definedName>
    <definedName function="false" hidden="false" localSheetId="8" name="profitcntr1" vbProcedure="false">[132]Data!$I$1:$I$65536</definedName>
    <definedName function="false" hidden="false" localSheetId="8" name="Project" vbProcedure="false">'[94]Job Technical Info'!$G$12</definedName>
    <definedName function="false" hidden="false" localSheetId="8" name="ProppantName" vbProcedure="false">'[94]Installation Results #1'!$B$326</definedName>
    <definedName function="false" hidden="false" localSheetId="8" name="PSI" vbProcedure="false">'[75]tester valve calcs'!#ref!</definedName>
    <definedName function="false" hidden="false" localSheetId="8" name="psia_array" vbProcedure="false">{"HMR","HMR-GT","ZI Probe","Spartek","Omega SP"}</definedName>
    <definedName function="false" hidden="false" localSheetId="8" name="psibarkpa" vbProcedure="false">'[109]Metric Conversions'!$B$42</definedName>
    <definedName function="false" hidden="false" localSheetId="8" name="psig_array" vbProcedure="false">{"RPG-3","RPG-4"}</definedName>
    <definedName function="false" hidden="false" localSheetId="8" name="psl" vbProcedure="false">[54]data!#ref!</definedName>
    <definedName function="false" hidden="false" localSheetId="8" name="Pstn_Force_Actual" vbProcedure="false">'[109]Weight Calculations'!$H$26</definedName>
    <definedName function="false" hidden="false" localSheetId="8" name="PS_pricelist" vbProcedure="false">[139]Pricelist!$A$22:$B$35</definedName>
    <definedName function="false" hidden="false" localSheetId="8" name="ptdtr" vbProcedure="false">'[115]Max-Torq'!$P$71</definedName>
    <definedName function="false" hidden="false" localSheetId="8" name="Pups" vbProcedure="false">#ref!</definedName>
    <definedName function="false" hidden="false" localSheetId="8" name="PU_Dogs" vbProcedure="false">'[109]Metric Conversions'!$B$25</definedName>
    <definedName function="false" hidden="false" localSheetId="8" name="PU_Dogsz" vbProcedure="false">'[109]Liner Job Info'!$P$47</definedName>
    <definedName function="false" hidden="false" localSheetId="8" name="PU_Packoffz" vbProcedure="false">'[109]Liner Job Info'!$P$48</definedName>
    <definedName function="false" hidden="false" localSheetId="8" name="pv" vbProcedure="false">'[7]Drop-Down Items'!$R$7:$R$9</definedName>
    <definedName function="false" hidden="false" localSheetId="8" name="q" vbProcedure="false">'[163]Report Long(Esso)'!$E$2</definedName>
    <definedName function="false" hidden="false" localSheetId="8" name="QPNum" vbProcedure="false">'[94]Job Technical Info'!$K$11</definedName>
    <definedName function="false" hidden="true" localSheetId="8" name="qqq" vbProcedure="false">{#N/A,#N/A,FALSE,"Drlg Param Run 1-1";#N/A,#N/A,FALSE,"DDR (3)";#N/A,#N/A,FALSE,"BHA AT (1)";#N/A,#N/A,FALSE,"Downlinkbha";#N/A,#N/A,FALSE,"Job Status Report"}</definedName>
    <definedName function="false" hidden="false" localSheetId="8" name="quantum" vbProcedure="false">'[140]tally checklist'!quantum</definedName>
    <definedName function="false" hidden="false" localSheetId="8" name="Range1" vbProcedure="false">OFFSET([249]sheet1!$e$5, 1, 0,[249]sheet1!$e$2,1)</definedName>
    <definedName function="false" hidden="false" localSheetId="8" name="rate" vbProcedure="false">[106]Data!$F$7</definedName>
    <definedName function="false" hidden="false" localSheetId="8" name="rate1" vbProcedure="false">[106]Data!$A$2</definedName>
    <definedName function="false" hidden="false" localSheetId="8" name="rate10" vbProcedure="false">[106]Data!$A$11</definedName>
    <definedName function="false" hidden="false" localSheetId="8" name="rate2" vbProcedure="false">[106]Data!$A$3</definedName>
    <definedName function="false" hidden="false" localSheetId="8" name="rate3" vbProcedure="false">[106]Data!$A$4</definedName>
    <definedName function="false" hidden="false" localSheetId="8" name="rate4" vbProcedure="false">[106]Data!$A$5</definedName>
    <definedName function="false" hidden="false" localSheetId="8" name="rate5" vbProcedure="false">[106]Data!$A$6</definedName>
    <definedName function="false" hidden="false" localSheetId="8" name="rate6" vbProcedure="false">[106]Data!$A$7</definedName>
    <definedName function="false" hidden="false" localSheetId="8" name="rate7" vbProcedure="false">[106]Data!$A$8</definedName>
    <definedName function="false" hidden="false" localSheetId="8" name="rate8" vbProcedure="false">[106]Data!$A$9</definedName>
    <definedName function="false" hidden="false" localSheetId="8" name="rate9" vbProcedure="false">[106]Data!$A$10</definedName>
    <definedName function="false" hidden="false" localSheetId="8" name="raw_tally_lower" vbProcedure="false">'[164]2B Raw Rig Tally'!$B$13:$D$501</definedName>
    <definedName function="false" hidden="false" localSheetId="8" name="raw_tally_upper" vbProcedure="false">'[164]2B Raw Rig Tally'!$F$13:$H$501</definedName>
    <definedName function="false" hidden="false" localSheetId="8" name="Reasons" vbProcedure="false">'[146]Title Page'!$O$2:$O$23</definedName>
    <definedName function="false" hidden="false" localSheetId="8" name="Recalc" vbProcedure="false">[115]!Recalc</definedName>
    <definedName function="false" hidden="false" localSheetId="8" name="Region" vbProcedure="false">'[94]SetUp Tab'!$D$15</definedName>
    <definedName function="false" hidden="false" localSheetId="8" name="Regions" vbProcedure="false">[18]Criteria!$B$2:$B$11</definedName>
    <definedName function="false" hidden="false" localSheetId="8" name="Rem_DP1_Tens" vbProcedure="false">'[109]Weight Calculations'!$W$53</definedName>
    <definedName function="false" hidden="false" localSheetId="8" name="Rem_DP2_Tens" vbProcedure="false">'[109]Weight Calculations'!$W$54</definedName>
    <definedName function="false" hidden="false" localSheetId="8" name="Rem_DP3_Tens" vbProcedure="false">'[109]Weight Calculations'!$W$55</definedName>
    <definedName function="false" hidden="false" localSheetId="8" name="Rem_DP4_Tens" vbProcedure="false">'[109]Weight Calculations'!$W$59</definedName>
    <definedName function="false" hidden="false" localSheetId="8" name="Rem_DP5_Tens" vbProcedure="false">'[109]Weight Calculations'!$W$60</definedName>
    <definedName function="false" hidden="false" localSheetId="8" name="Rentalequipment" vbProcedure="false">[109]DATA!$R$2:$R$79</definedName>
    <definedName function="false" hidden="false" localSheetId="8" name="Rental_Tool_ID" vbProcedure="false">[109]DATA!$S$2:$S$79</definedName>
    <definedName function="false" hidden="false" localSheetId="8" name="RESE" vbProcedure="false">'[140]tally checklist'!rese</definedName>
    <definedName function="false" hidden="false" localSheetId="8" name="reservoir15" vbProcedure="false">'[70]geological prognosis'!#ref!</definedName>
    <definedName function="false" hidden="false" localSheetId="8" name="reservoir16" vbProcedure="false">'[70]geological prognosis'!#ref!</definedName>
    <definedName function="false" hidden="false" localSheetId="8" name="reservoir17" vbProcedure="false">'[70]geological prognosis'!#ref!</definedName>
    <definedName function="false" hidden="false" localSheetId="8" name="reservoir18" vbProcedure="false">'[70]geological prognosis'!#ref!</definedName>
    <definedName function="false" hidden="false" localSheetId="8" name="reservoir19" vbProcedure="false">'[70]geological prognosis'!#ref!</definedName>
    <definedName function="false" hidden="false" localSheetId="8" name="reservoir20" vbProcedure="false">'[70]geological prognosis'!#ref!</definedName>
    <definedName function="false" hidden="false" localSheetId="8" name="reservoir21" vbProcedure="false">'[70]geological prognosis'!#ref!</definedName>
    <definedName function="false" hidden="false" localSheetId="8" name="reservoir22" vbProcedure="false">'[70]geological prognosis'!#ref!</definedName>
    <definedName function="false" hidden="false" localSheetId="8" name="reservoir23" vbProcedure="false">'[70]geological prognosis'!#ref!</definedName>
    <definedName function="false" hidden="false" localSheetId="8" name="reservoir24" vbProcedure="false">'[70]geological prognosis'!#ref!</definedName>
    <definedName function="false" hidden="false" localSheetId="8" name="reservoir25" vbProcedure="false">'[70]geological prognosis'!#ref!</definedName>
    <definedName function="false" hidden="false" localSheetId="8" name="reservoir26" vbProcedure="false">'[70]geological prognosis'!#ref!</definedName>
    <definedName function="false" hidden="false" localSheetId="8" name="reservoir27" vbProcedure="false">'[70]geological prognosis'!#ref!</definedName>
    <definedName function="false" hidden="false" localSheetId="8" name="reservoir28" vbProcedure="false">'[70]geological prognosis'!#ref!</definedName>
    <definedName function="false" hidden="false" localSheetId="8" name="reservoir29" vbProcedure="false">'[70]geological prognosis'!#ref!</definedName>
    <definedName function="false" hidden="false" localSheetId="8" name="resrevoir09" vbProcedure="false">'[70]geological prognosis'!#ref!</definedName>
    <definedName function="false" hidden="false" localSheetId="8" name="resrevoir10" vbProcedure="false">'[70]geological prognosis'!#ref!</definedName>
    <definedName function="false" hidden="false" localSheetId="8" name="resrevoir12" vbProcedure="false">'[70]geological prognosis'!#ref!</definedName>
    <definedName function="false" hidden="false" localSheetId="8" name="resrevoir13" vbProcedure="false">'[70]geological prognosis'!#ref!</definedName>
    <definedName function="false" hidden="false" localSheetId="8" name="resrevoir14" vbProcedure="false">'[70]geological prognosis'!#ref!</definedName>
    <definedName function="false" hidden="false" localSheetId="8" name="ret" vbProcedure="false">[119]钻井日报表!$G$3</definedName>
    <definedName function="false" hidden="false" localSheetId="8" name="RevNum" vbProcedure="false">[135]Revision_History!$G$6</definedName>
    <definedName function="false" hidden="false" localSheetId="8" name="Rev_XX" vbProcedure="false">'[94]Job Technical Info'!$L$4</definedName>
    <definedName function="false" hidden="false" localSheetId="8" name="rhstretchz" vbProcedure="false">'[109]Metric Conversions'!$C$38</definedName>
    <definedName function="false" hidden="false" localSheetId="8" name="RH_SHEAR" vbProcedure="false">'[109]Weight Calculations'!$H$21</definedName>
    <definedName function="false" hidden="false" localSheetId="8" name="RH_SHEAR_LNGTH" vbProcedure="false">'[109]Metric Conversions'!$B$37</definedName>
    <definedName function="false" hidden="false" localSheetId="8" name="RH_SHEAR_LNGTHz" vbProcedure="false">'[109]Metric Conversions'!$C$37</definedName>
    <definedName function="false" hidden="false" localSheetId="8" name="Rig" vbProcedure="false">'[163]Report Long(Esso)'!$E$4</definedName>
    <definedName function="false" hidden="false" localSheetId="8" name="rigcontractor1" vbProcedure="false">[132]Data!$G$1:$G$65536</definedName>
    <definedName function="false" hidden="false" localSheetId="8" name="Rigname1" vbProcedure="false">[132]Data!$E$1:$E$65536</definedName>
    <definedName function="false" hidden="false" localSheetId="8" name="RigPh" vbProcedure="false">'[94]Job Technical Info'!$G$17</definedName>
    <definedName function="false" hidden="false" localSheetId="8" name="Rig_Name" vbProcedure="false">'[108]Pre-Job Info Sheet'!$D$11</definedName>
    <definedName function="false" hidden="false" localSheetId="8" name="Rig_Output" vbProcedure="false">'[109]Displacement Cal.'!$G$7</definedName>
    <definedName function="false" hidden="false" localSheetId="8" name="RI_LC_Z2_ANSWERS_SCPacker1" vbProcedure="false">'[165]LowerCompletions - Risk Index'!$G$56</definedName>
    <definedName function="false" hidden="false" localSheetId="8" name="RI_LC_Z3_ANSWERS_SCPacker1" vbProcedure="false">'[165]LowerCompletions - Risk Index'!$G$69</definedName>
    <definedName function="false" hidden="false" localSheetId="8" name="RI_LC_Z4_ANSWERS_SCPacker1" vbProcedure="false">'[165]LowerCompletions - Risk Index'!$G$82</definedName>
    <definedName function="false" hidden="false" localSheetId="8" name="RI_LC_Z5_ANSWERS_SCPacker1" vbProcedure="false">'[165]LowerCompletions - Risk Index'!$G$95</definedName>
    <definedName function="false" hidden="false" localSheetId="8" name="Rotation" vbProcedure="false">[109]DATA!$AK$2:$AK$10</definedName>
    <definedName function="false" hidden="false" localSheetId="8" name="Rpt_Average_Header1" vbProcedure="false">#ref!</definedName>
    <definedName function="false" hidden="false" localSheetId="8" name="Rpt_Average_Header2" vbProcedure="false">#ref!</definedName>
    <definedName function="false" hidden="false" localSheetId="8" name="Rpt_Comments" vbProcedure="false">#ref!</definedName>
    <definedName function="false" hidden="false" localSheetId="8" name="Rpt_Logo_Left" vbProcedure="false">#ref!</definedName>
    <definedName function="false" hidden="false" localSheetId="8" name="Rpt_Logo_Right" vbProcedure="false">#ref!</definedName>
    <definedName function="false" hidden="true" localSheetId="8" name="rrr" vbProcedure="false">{#N/A,#N/A,FALSE,"Sheet1"}</definedName>
    <definedName function="false" hidden="false" localSheetId="8" name="RSS_TO_COMPLETE" vbProcedure="false">[129]RSS!$K$197</definedName>
    <definedName function="false" hidden="false" localSheetId="8" name="rtb" vbProcedure="false">'[115]Max-Torq'!$P$61</definedName>
    <definedName function="false" hidden="false" localSheetId="8" name="RthLth" vbProcedure="false">#ref!</definedName>
    <definedName function="false" hidden="false" localSheetId="8" name="Runningtool" vbProcedure="false">[109]DATA!$AO$2:$AO$8</definedName>
    <definedName function="false" hidden="false" localSheetId="8" name="Rupees" vbProcedure="false">'[141]Cash Expense March-96'!$H$6</definedName>
    <definedName function="false" hidden="false" localSheetId="8" name="R_Group_ID" vbProcedure="false">[109]DATA!$T$2:$T$79</definedName>
    <definedName function="false" hidden="false" localSheetId="8" name="Salesequipment" vbProcedure="false">[109]DATA!$O$2:$O$268</definedName>
    <definedName function="false" hidden="false" localSheetId="8" name="Salesman" vbProcedure="false">'[108]Pre-Job Info Sheet'!$B$7</definedName>
    <definedName function="false" hidden="false" localSheetId="8" name="Sales_Explosive_Type" vbProcedure="false">'[108]Pre-Job Info Sheet'!$B$24</definedName>
    <definedName function="false" hidden="false" localSheetId="8" name="Sales_Gun_Size" vbProcedure="false">'[108]Pre-Job Info Sheet'!$B$21</definedName>
    <definedName function="false" hidden="false" localSheetId="8" name="Sales_Lease" vbProcedure="false">'[108]Pre-Job Info Sheet'!$D$8</definedName>
    <definedName function="false" hidden="false" localSheetId="8" name="Sales_SPF" vbProcedure="false">'[108]Pre-Job Info Sheet'!$B$22</definedName>
    <definedName function="false" hidden="false" localSheetId="8" name="Sales_Ticket_Number" vbProcedure="false">'[30]Liner Job Info'!$E$11</definedName>
    <definedName function="false" hidden="false" localSheetId="8" name="Sales_Underbalance" vbProcedure="false">'[108]Pre-Job Info Sheet'!$D$35</definedName>
    <definedName function="false" hidden="false" localSheetId="8" name="Sales_Well_Name" vbProcedure="false">'[108]Pre-Job Info Sheet'!$D$6</definedName>
    <definedName function="false" hidden="false" localSheetId="8" name="salinity" vbProcedure="false">'[93]well test sheet'!#ref!</definedName>
    <definedName function="false" hidden="false" localSheetId="8" name="SANDOUT_PRESSURE" vbProcedure="false">'[113]#REF'!$I$107</definedName>
    <definedName function="false" hidden="false" localSheetId="8" name="SAND_ABOVE_PERFS_PREPACK" vbProcedure="false">'[113]#REF'!$F$175</definedName>
    <definedName function="false" hidden="false" localSheetId="8" name="SAND_DIVERTER" vbProcedure="false">'[113]#REF'!$F$56</definedName>
    <definedName function="false" hidden="false" localSheetId="8" name="SAND_GP" vbProcedure="false">'[113]#REF'!$F$64</definedName>
    <definedName function="false" hidden="false" localSheetId="8" name="SAND_IN_CAS_BLNK" vbProcedure="false">'[6]#ref'!#ref!</definedName>
    <definedName function="false" hidden="false" localSheetId="8" name="SAND_IN_CAS_EXT" vbProcedure="false">'[6]#ref'!#ref!</definedName>
    <definedName function="false" hidden="false" localSheetId="8" name="SAND_IN_CAS_PREPACK" vbProcedure="false">'[113]#REF'!$F$81</definedName>
    <definedName function="false" hidden="false" localSheetId="8" name="SAND_IN_CAS_SCR" vbProcedure="false">'[6]#ref'!#ref!</definedName>
    <definedName function="false" hidden="false" localSheetId="8" name="SAND_IN_PERFS" vbProcedure="false">'[113]#REF'!$I$185</definedName>
    <definedName function="false" hidden="false" localSheetId="8" name="SAND_IN_PERFS_PP" vbProcedure="false">'[113]#REF'!$F$82</definedName>
    <definedName function="false" hidden="false" localSheetId="8" name="SAND_PASS_XO_PORT" vbProcedure="false">'[113]#REF'!$E$195</definedName>
    <definedName function="false" hidden="false" localSheetId="8" name="SAND_PERMEABILITY" vbProcedure="false">'[113]#REF'!$I$105</definedName>
    <definedName function="false" hidden="false" localSheetId="8" name="SAND_PLACED_GP" vbProcedure="false">'[113]#REF'!$F$95</definedName>
    <definedName function="false" hidden="false" localSheetId="8" name="SAND_PREPACK" vbProcedure="false">'[113]#REF'!$F$44</definedName>
    <definedName function="false" hidden="false" localSheetId="8" name="SAND_PUMPED_GP" vbProcedure="false">'[113]#REF'!$F$92</definedName>
    <definedName function="false" hidden="false" localSheetId="8" name="SAND_PUMPED_PREPACK" vbProcedure="false">'[113]#REF'!$F$78</definedName>
    <definedName function="false" hidden="false" localSheetId="8" name="SAND_REVOUT_GP" vbProcedure="false">'[113]#REF'!$F$93</definedName>
    <definedName function="false" hidden="false" localSheetId="8" name="SAND_REVOUT_PREPACK" vbProcedure="false">'[113]#REF'!$F$79</definedName>
    <definedName function="false" hidden="false" localSheetId="8" name="Save_Document" vbProcedure="false">[27]!Save_Document</definedName>
    <definedName function="false" hidden="false" localSheetId="8" name="Save_Document_1" vbProcedure="false">'COVER PAGE '!Save_Document</definedName>
    <definedName function="false" hidden="false" localSheetId="8" name="Save_Document_10" vbProcedure="false">'COVER PAGE '!Save_Document</definedName>
    <definedName function="false" hidden="false" localSheetId="8" name="Save_Document_11" vbProcedure="false">'COVER PAGE '!Save_Document</definedName>
    <definedName function="false" hidden="false" localSheetId="8" name="Save_Document_2" vbProcedure="false">'COVER PAGE '!Save_Document</definedName>
    <definedName function="false" hidden="false" localSheetId="8" name="Save_Document_3" vbProcedure="false">'COVER PAGE '!Save_Document</definedName>
    <definedName function="false" hidden="false" localSheetId="8" name="Save_Document_4" vbProcedure="false">'COVER PAGE '!Save_Document</definedName>
    <definedName function="false" hidden="false" localSheetId="8" name="Save_Document_5" vbProcedure="false">'COVER PAGE '!Save_Document</definedName>
    <definedName function="false" hidden="false" localSheetId="8" name="Save_Document_6" vbProcedure="false">'COVER PAGE '!Save_Document</definedName>
    <definedName function="false" hidden="false" localSheetId="8" name="Save_Document_7" vbProcedure="false">'COVER PAGE '!Save_Document</definedName>
    <definedName function="false" hidden="false" localSheetId="8" name="Save_Document_8" vbProcedure="false">'COVER PAGE '!Save_Document</definedName>
    <definedName function="false" hidden="false" localSheetId="8" name="Save_Document_9" vbProcedure="false">'COVER PAGE '!Save_Document</definedName>
    <definedName function="false" hidden="false" localSheetId="8" name="SBE" vbProcedure="false">#ref!</definedName>
    <definedName function="false" hidden="false" localSheetId="8" name="SCB" vbProcedure="false">[129]RSS!$B$136:$B$144</definedName>
    <definedName function="false" hidden="false" localSheetId="8" name="SCHE" vbProcedure="false">[16]!Macro1</definedName>
    <definedName function="false" hidden="true" localSheetId="8"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8"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8" name="screeensss" vbProcedure="false">#ref!</definedName>
    <definedName function="false" hidden="false" localSheetId="8" name="screenguage" vbProcedure="false">'[113]#REF'!$H$14</definedName>
    <definedName function="false" hidden="false" localSheetId="8" name="screenidlist" vbProcedure="false">[106]Data!$E$79:$F$127</definedName>
    <definedName function="false" hidden="false" localSheetId="8" name="screenlength" vbProcedure="false">'[113]#REF'!$J$14</definedName>
    <definedName function="false" hidden="false" localSheetId="8" name="screenod" vbProcedure="false">'[113]#REF'!$F$14</definedName>
    <definedName function="false" hidden="false" localSheetId="8" name="screentype" vbProcedure="false">'[113]#REF'!$M$14</definedName>
    <definedName function="false" hidden="false" localSheetId="8" name="SCREEN_LENGTH" vbProcedure="false">'[113]#REF'!$J$13</definedName>
    <definedName function="false" hidden="false" localSheetId="8" name="SCREEN_OD" vbProcedure="false">'[113]#REF'!$F$14</definedName>
    <definedName function="false" hidden="false" localSheetId="8" name="sd" vbProcedure="false">null</definedName>
    <definedName function="false" hidden="false" localSheetId="8" name="SDE_23" vbProcedure="false">[72]!Calculate_Pipe</definedName>
    <definedName function="false" hidden="false" localSheetId="8" name="Seals" vbProcedure="false">#ref!</definedName>
    <definedName function="false" hidden="false" localSheetId="8" name="SeatID" vbProcedure="false">[109]DATA!$BC$2:$BC$6</definedName>
    <definedName function="false" hidden="false" localSheetId="8" name="SeatNumber" vbProcedure="false">[109]DATA!$BD$2:$BD$7</definedName>
    <definedName function="false" hidden="false" localSheetId="8" name="SeatShear" vbProcedure="false">[109]DATA!$BE$2:$BE$4</definedName>
    <definedName function="false" hidden="false" localSheetId="8" name="SeatType" vbProcedure="false">[109]DATA!$BB$2:$BB$4</definedName>
    <definedName function="false" hidden="false" localSheetId="8" name="sep_press" vbProcedure="false">'[93]well test sheet'!#ref!</definedName>
    <definedName function="false" hidden="false" localSheetId="8" name="sep_temp" vbProcedure="false">'[93]well test sheet'!#ref!</definedName>
    <definedName function="false" hidden="false" localSheetId="8" name="serialselect1" vbProcedure="false">[27]!serialselect1</definedName>
    <definedName function="false" hidden="false" localSheetId="8" name="serialselect2" vbProcedure="false">[27]!serialselect2</definedName>
    <definedName function="false" hidden="false" localSheetId="8" name="serialselect3" vbProcedure="false">[27]!serialselect3</definedName>
    <definedName function="false" hidden="false" localSheetId="8" name="serialselect4" vbProcedure="false">[27]!serialselect4</definedName>
    <definedName function="false" hidden="false" localSheetId="8" name="ServiceCenter" vbProcedure="false">'[117]Well Installation Drawing'!$L$13</definedName>
    <definedName function="false" hidden="false" localSheetId="8" name="ServRep" vbProcedure="false">#ref!</definedName>
    <definedName function="false" hidden="false" localSheetId="8" name="SETTLEMENT_RATE" vbProcedure="false">'[113]#REF'!$I$120</definedName>
    <definedName function="false" hidden="false" localSheetId="8" name="Sett_Tool_Tens" vbProcedure="false">'[109]Liner Job Info'!$P$44</definedName>
    <definedName function="false" hidden="false" localSheetId="8" name="Shear_HR_Mech_Release" vbProcedure="false">'[109]Liner Job Info'!$P$49</definedName>
    <definedName function="false" hidden="false" localSheetId="8" name="SHER" vbProcedure="false">'[140]tally checklist'!sher</definedName>
    <definedName function="false" hidden="false" localSheetId="8" name="shippedvia" vbProcedure="false">'[31]data '!#ref!</definedName>
    <definedName function="false" hidden="true" localSheetId="8" name="shit" vbProcedure="false">{#N/A,#N/A,FALSE,"Sheet1"}</definedName>
    <definedName function="false" hidden="false" localSheetId="8" name="SHO" vbProcedure="false">[119]钻井日报表!$G$3</definedName>
    <definedName function="false" hidden="false" localSheetId="8" name="ShoeTrack_Vol" vbProcedure="false">'[109]Metric Conversions'!$B$76</definedName>
    <definedName function="false" hidden="false" localSheetId="8" name="ShoeTrack_Volz" vbProcedure="false">'[109]Metric Conversions'!$C$76</definedName>
    <definedName function="false" hidden="false" localSheetId="8" name="Shoe_Track_Length" vbProcedure="false">'[109]Metric Conversions'!$B$19</definedName>
    <definedName function="false" hidden="false" localSheetId="8" name="Shoe_Track_Lengthz" vbProcedure="false">'[109]Liner Job Info'!$D$19</definedName>
    <definedName function="false" hidden="false" localSheetId="8" name="Show_1" vbProcedure="false">[41]!Show_1</definedName>
    <definedName function="false" hidden="false" localSheetId="8" name="Show_1_1" vbProcedure="false">[27]!Show_1</definedName>
    <definedName function="false" hidden="false" localSheetId="8" name="Show_1_10" vbProcedure="false">[27]!Show_1</definedName>
    <definedName function="false" hidden="false" localSheetId="8" name="Show_1_11" vbProcedure="false">[27]!Show_1</definedName>
    <definedName function="false" hidden="false" localSheetId="8" name="Show_1_2" vbProcedure="false">[27]!Show_1</definedName>
    <definedName function="false" hidden="false" localSheetId="8" name="Show_1_3" vbProcedure="false">[27]!Show_1</definedName>
    <definedName function="false" hidden="false" localSheetId="8" name="Show_1_4" vbProcedure="false">[27]!Show_1</definedName>
    <definedName function="false" hidden="false" localSheetId="8" name="Show_1_5" vbProcedure="false">[27]!Show_1</definedName>
    <definedName function="false" hidden="false" localSheetId="8" name="Show_1_6" vbProcedure="false">[27]!Show_1</definedName>
    <definedName function="false" hidden="false" localSheetId="8" name="Show_1_7" vbProcedure="false">[27]!Show_1</definedName>
    <definedName function="false" hidden="false" localSheetId="8" name="Show_1_8" vbProcedure="false">[27]!Show_1</definedName>
    <definedName function="false" hidden="false" localSheetId="8" name="Show_1_9" vbProcedure="false">[27]!Show_1</definedName>
    <definedName function="false" hidden="false" localSheetId="8" name="Show_2" vbProcedure="false">[41]!Show_2</definedName>
    <definedName function="false" hidden="false" localSheetId="8" name="Show_2_1" vbProcedure="false">[27]!Show_2</definedName>
    <definedName function="false" hidden="false" localSheetId="8" name="Show_2_10" vbProcedure="false">[27]!Show_2</definedName>
    <definedName function="false" hidden="false" localSheetId="8" name="Show_2_11" vbProcedure="false">[27]!Show_2</definedName>
    <definedName function="false" hidden="false" localSheetId="8" name="Show_2_2" vbProcedure="false">[27]!Show_2</definedName>
    <definedName function="false" hidden="false" localSheetId="8" name="Show_2_3" vbProcedure="false">[27]!Show_2</definedName>
    <definedName function="false" hidden="false" localSheetId="8" name="Show_2_4" vbProcedure="false">[27]!Show_2</definedName>
    <definedName function="false" hidden="false" localSheetId="8" name="Show_2_5" vbProcedure="false">[27]!Show_2</definedName>
    <definedName function="false" hidden="false" localSheetId="8" name="Show_2_6" vbProcedure="false">[27]!Show_2</definedName>
    <definedName function="false" hidden="false" localSheetId="8" name="Show_2_7" vbProcedure="false">[27]!Show_2</definedName>
    <definedName function="false" hidden="false" localSheetId="8" name="Show_2_8" vbProcedure="false">[27]!Show_2</definedName>
    <definedName function="false" hidden="false" localSheetId="8" name="Show_2_9" vbProcedure="false">[27]!Show_2</definedName>
    <definedName function="false" hidden="false" localSheetId="8" name="Size" vbProcedure="false">#ref!</definedName>
    <definedName function="false" hidden="false" localSheetId="8" name="SJT_DEPTH" vbProcedure="false">'[113]#REF'!$F$22</definedName>
    <definedName function="false" hidden="false" localSheetId="8" name="SJ_DEPTH" vbProcedure="false">'[113]#REF'!$F$22</definedName>
    <definedName function="false" hidden="false" localSheetId="8" name="SL" vbProcedure="false">[149]BHA!$C$3</definedName>
    <definedName function="false" hidden="false" localSheetId="8" name="SleeveLength" vbProcedure="false">[109]DATA!$AV$2:$AV$4</definedName>
    <definedName function="false" hidden="false" localSheetId="8" name="SLURRY_DENSITY" vbProcedure="false">'[113]#REF'!$F$70</definedName>
    <definedName function="false" hidden="false" localSheetId="8" name="SLURRY_VOL_PREPACK" vbProcedure="false">'[113]#REF'!$F$48</definedName>
    <definedName function="false" hidden="false" localSheetId="8" name="soldto" vbProcedure="false">'[126]Call Sheet'!$AL$3</definedName>
    <definedName function="false" hidden="true" localSheetId="8" name="solver_adj" vbProcedure="false">#ref!</definedName>
    <definedName function="false" hidden="true" localSheetId="8" name="solver_opt" vbProcedure="false">#ref!</definedName>
    <definedName function="false" hidden="true" localSheetId="8" name="sort" vbProcedure="false">[166]Sheet1!$A$181:$H$210</definedName>
    <definedName function="false" hidden="false" localSheetId="8" name="SORT_AREA" vbProcedure="false">'[167]DI-ESTI'!$A$8:$R$489</definedName>
    <definedName function="false" hidden="true" localSheetId="8" name="Spacedout" vbProcedure="false">{#N/A,#N/A,FALSE,"Drlg Param Run 1-1";#N/A,#N/A,FALSE,"DDR (3)";#N/A,#N/A,FALSE,"BHA AT (1)";#N/A,#N/A,FALSE,"Downlinkbha";#N/A,#N/A,FALSE,"Job Status Report"}</definedName>
    <definedName function="false" hidden="false" localSheetId="8" name="SpacerType" vbProcedure="false">[109]DATA!$BK$2:$BK$7</definedName>
    <definedName function="false" hidden="false" localSheetId="8" name="Spiral_Type" vbProcedure="false">[109]DATA!$BM$2:$BM$5</definedName>
    <definedName function="false" hidden="false" localSheetId="8" name="SPM" vbProcedure="false">#ref!</definedName>
    <definedName function="false" hidden="false" localSheetId="8" name="SSDHGR" vbProcedure="false">#ref!</definedName>
    <definedName function="false" hidden="false" localSheetId="8" name="ssdsd" vbProcedure="false">'[140]tally checklist'!ssdsd</definedName>
    <definedName function="false" hidden="false" localSheetId="8" name="SSID" vbProcedure="false">'[109]Liner Job Info'!$O$6</definedName>
    <definedName function="false" hidden="true" localSheetId="8" name="sss" vbProcedure="false">{#N/A,#N/A,FALSE,"Drlg Param Run 1-1";#N/A,#N/A,FALSE,"DDR (3)";#N/A,#N/A,FALSE,"BHA AT (1)";#N/A,#N/A,FALSE,"Downlinkbha";#N/A,#N/A,FALSE,"Job Status Report"}</definedName>
    <definedName function="false" hidden="false" localSheetId="8" name="SSSV" vbProcedure="false">#ref!</definedName>
    <definedName function="false" hidden="false" localSheetId="8" name="stages" vbProcedure="false">[5]WTR!$G$52</definedName>
    <definedName function="false" hidden="false" localSheetId="8" name="Stage_Number" vbProcedure="false">'[108]Pre-Job Info Sheet'!$B$15</definedName>
    <definedName function="false" hidden="false" localSheetId="8" name="Start_Here" vbProcedure="false">'[168]9.625 TCP String'!$B$10</definedName>
    <definedName function="false" hidden="false" localSheetId="8" name="state" vbProcedure="false">'[40]CPS Call Sheet'!$AC$7</definedName>
    <definedName function="false" hidden="false" localSheetId="8" name="status" vbProcedure="false">'[154]BPR LOG'!$H$1:$H$1048576</definedName>
    <definedName function="false" hidden="false" localSheetId="8" name="Stretch_DP1_Lnr_Wt" vbProcedure="false">'[109]Metric Conversions'!$B$30</definedName>
    <definedName function="false" hidden="false" localSheetId="8" name="Stretch_DP1_Lnr_Wtz" vbProcedure="false">'[109]Metric Conversions'!$C$30</definedName>
    <definedName function="false" hidden="false" localSheetId="8" name="Stretch_DP2_Lnr_Wt" vbProcedure="false">'[109]Metric Conversions'!$B$31</definedName>
    <definedName function="false" hidden="false" localSheetId="8" name="Stretch_DP2_Lnr_Wtz" vbProcedure="false">'[109]Metric Conversions'!$C$31</definedName>
    <definedName function="false" hidden="false" localSheetId="8" name="Stretch_DP3_Lnr_Wt" vbProcedure="false">'[109]Metric Conversions'!$B$32</definedName>
    <definedName function="false" hidden="false" localSheetId="8" name="Stretch_DP3_Lnr_Wtz" vbProcedure="false">'[109]Metric Conversions'!$C$32</definedName>
    <definedName function="false" hidden="false" localSheetId="8" name="Stretch_DP4_Lnr_Wt" vbProcedure="false">'[109]Metric Conversions'!$B$33</definedName>
    <definedName function="false" hidden="false" localSheetId="8" name="Stretch_DP4_Lnr_Wtz" vbProcedure="false">'[109]Metric Conversions'!$C$33</definedName>
    <definedName function="false" hidden="false" localSheetId="8" name="Stretch_DP5_Lnr_Wt" vbProcedure="false">'[109]Metric Conversions'!$B$34</definedName>
    <definedName function="false" hidden="false" localSheetId="8" name="Stretch_DP5_Lnr_Wtz" vbProcedure="false">'[109]Metric Conversions'!$C$34</definedName>
    <definedName function="false" hidden="false" localSheetId="8" name="Stretch_TTL_Lnr_Wt" vbProcedure="false">'[109]Metric Conversions'!$B$36</definedName>
    <definedName function="false" hidden="false" localSheetId="8" name="Stretch_TTL_Lnr_Wtz" vbProcedure="false">'[109]Metric Conversions'!$C$36</definedName>
    <definedName function="false" hidden="false" localSheetId="8" name="SubSeaTVD_Column" vbProcedure="false">null</definedName>
    <definedName function="false" hidden="false" localSheetId="8" name="SubSeaTVD_Unit" vbProcedure="false">null</definedName>
    <definedName function="false" hidden="false" localSheetId="8" name="SUMP_DEPTH" vbProcedure="false">'[113]#REF'!$F$23</definedName>
    <definedName function="false" hidden="false" localSheetId="8" name="Surfaceequipment" vbProcedure="false">[109]DATA!$AQ$2:$AQ$11</definedName>
    <definedName function="false" hidden="false" localSheetId="8" name="surfacefracpressure" vbProcedure="false">[106]Data!$F$4</definedName>
    <definedName function="false" hidden="false" localSheetId="8" name="Surf_Equip_Tens" vbProcedure="false">'[109]Liner Job Info'!$P$46</definedName>
    <definedName function="false" hidden="false" localSheetId="8" name="Svy_Print_Area" vbProcedure="false">'[168]9.625 TCP String'!$B$12:$I$3772</definedName>
    <definedName function="false" hidden="false" localSheetId="8" name="SWELL_PKR" vbProcedure="false">INDEX([111]PKR!$F$2:$G$10,MATCH([111]PKR!$H$1,[111]PKR!$F$2:$F$10,0),2)</definedName>
    <definedName function="false" hidden="false" localSheetId="8" name="T" vbProcedure="false">#ref!</definedName>
    <definedName function="false" hidden="false" localSheetId="8" name="t." vbProcedure="false">[49]!Prev.Macro102</definedName>
    <definedName function="false" hidden="false" localSheetId="8" name="Tally" vbProcedure="false">#ref!</definedName>
    <definedName function="false" hidden="false" localSheetId="8" name="tallyc" vbProcedure="false">'[2]run sheet'!#ref!</definedName>
    <definedName function="false" hidden="false" localSheetId="8" name="TallyLengthUnit" vbProcedure="false">#ref!</definedName>
    <definedName function="false" hidden="false" localSheetId="8" name="Tally_2" vbProcedure="false">[169]Tally!$E$5:$G$1004</definedName>
    <definedName function="false" hidden="false" localSheetId="8" name="Tally_3" vbProcedure="false">[169]Tally!$I$5:$K$1004</definedName>
    <definedName function="false" hidden="false" localSheetId="8" name="Taper_String_Grade" vbProcedure="false">'[108]Pre-Job Info Sheet'!$D$31</definedName>
    <definedName function="false" hidden="false" localSheetId="8" name="Taper_String_Size" vbProcedure="false">'[108]Pre-Job Info Sheet'!$D$29</definedName>
    <definedName function="false" hidden="false" localSheetId="8" name="Taper_String_Type" vbProcedure="false">'[108]Pre-Job Info Sheet'!$D$28</definedName>
    <definedName function="false" hidden="false" localSheetId="8" name="Taper_String_Wt._Ft." vbProcedure="false">'[108]Pre-Job Info Sheet'!$D$30</definedName>
    <definedName function="false" hidden="true" localSheetId="8"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Target" vbProcedure="false">#ref!,#ref!</definedName>
    <definedName function="false" hidden="false" localSheetId="8" name="TARIQ" vbProcedure="false">[145]!Calculate_Pipe</definedName>
    <definedName function="false" hidden="false" localSheetId="8" name="Tbg" vbProcedure="false">#ref!</definedName>
    <definedName function="false" hidden="false" localSheetId="8" name="TbgDrift1" vbProcedure="false">'[94]Job Technical Info'!$G$35</definedName>
    <definedName function="false" hidden="false" localSheetId="8" name="TbgDrift2" vbProcedure="false">'[94]Job Technical Info'!$G$36</definedName>
    <definedName function="false" hidden="false" localSheetId="8" name="TbgDrift3" vbProcedure="false">'[94]Job Technical Info'!$G$37</definedName>
    <definedName function="false" hidden="false" localSheetId="8" name="TbgDrift4" vbProcedure="false">'[94]Job Technical Info'!$G$38</definedName>
    <definedName function="false" hidden="false" localSheetId="8" name="TbgGrade" vbProcedure="false">[170]MUT!$O$3:$O$4</definedName>
    <definedName function="false" hidden="false" localSheetId="8" name="TbgGrd1" vbProcedure="false">'[94]Job Technical Info'!$H$35</definedName>
    <definedName function="false" hidden="false" localSheetId="8" name="TbgGrd2" vbProcedure="false">'[94]Job Technical Info'!$H$36</definedName>
    <definedName function="false" hidden="false" localSheetId="8" name="TbgGrd3" vbProcedure="false">'[94]Job Technical Info'!$H$37</definedName>
    <definedName function="false" hidden="false" localSheetId="8" name="TbgGrd4" vbProcedure="false">'[94]Job Technical Info'!$H$38</definedName>
    <definedName function="false" hidden="false" localSheetId="8" name="TbgID1" vbProcedure="false">'[94]Job Technical Info'!$F$35</definedName>
    <definedName function="false" hidden="false" localSheetId="8" name="TbgID2" vbProcedure="false">'[94]Job Technical Info'!$F$36</definedName>
    <definedName function="false" hidden="false" localSheetId="8" name="TbgID3" vbProcedure="false">'[94]Job Technical Info'!$F$37</definedName>
    <definedName function="false" hidden="false" localSheetId="8" name="TbgID4" vbProcedure="false">'[94]Job Technical Info'!$F$38</definedName>
    <definedName function="false" hidden="false" localSheetId="8" name="TbgSz1" vbProcedure="false">'[94]Job Technical Info'!$D$35</definedName>
    <definedName function="false" hidden="false" localSheetId="8" name="TbgSz2" vbProcedure="false">'[94]Job Technical Info'!$D$36</definedName>
    <definedName function="false" hidden="false" localSheetId="8" name="TbgSz3" vbProcedure="false">'[94]Job Technical Info'!$D$37</definedName>
    <definedName function="false" hidden="false" localSheetId="8" name="TbgSz4" vbProcedure="false">'[94]Job Technical Info'!$D$38</definedName>
    <definedName function="false" hidden="false" localSheetId="8" name="TbgThd1" vbProcedure="false">'[94]Job Technical Info'!$J$35</definedName>
    <definedName function="false" hidden="false" localSheetId="8" name="TbgThd2" vbProcedure="false">'[94]Job Technical Info'!$J$36</definedName>
    <definedName function="false" hidden="false" localSheetId="8" name="TbgThd3" vbProcedure="false">'[94]Job Technical Info'!$J$37</definedName>
    <definedName function="false" hidden="false" localSheetId="8" name="TbgThd4" vbProcedure="false">'[94]Job Technical Info'!$J$38</definedName>
    <definedName function="false" hidden="false" localSheetId="8" name="TbgWt1" vbProcedure="false">'[94]Job Technical Info'!$E$35</definedName>
    <definedName function="false" hidden="false" localSheetId="8" name="TbgWt2" vbProcedure="false">'[94]Job Technical Info'!$E$36</definedName>
    <definedName function="false" hidden="false" localSheetId="8" name="TbgWt3" vbProcedure="false">'[94]Job Technical Info'!$E$37</definedName>
    <definedName function="false" hidden="false" localSheetId="8" name="TbgWt4" vbProcedure="false">'[94]Job Technical Info'!$E$38</definedName>
    <definedName function="false" hidden="false" localSheetId="8" name="TB_Ext_API_Coll" vbProcedure="false">'[109]Metric Conversions'!$B$55</definedName>
    <definedName function="false" hidden="false" localSheetId="8" name="TB_Ext_API_Collz" vbProcedure="false">'[109]Liner Job Info'!$P$37</definedName>
    <definedName function="false" hidden="false" localSheetId="8" name="TB_Ext_Bst" vbProcedure="false">'[109]Metric Conversions'!$B$54</definedName>
    <definedName function="false" hidden="false" localSheetId="8" name="TB_Ext_Bstz" vbProcedure="false">'[109]Liner Job Info'!$P$36</definedName>
    <definedName function="false" hidden="false" localSheetId="8" name="TB_EXT_ID" vbProcedure="false">'[109]Liner Job Info'!$P$35</definedName>
    <definedName function="false" hidden="false" localSheetId="8" name="TB_Ext_Yield_Collz" vbProcedure="false">'[109]Liner Job Info'!$P$38</definedName>
    <definedName function="false" hidden="false" localSheetId="8" name="TD_Depth_md" vbProcedure="false">'[70]well specification'!#ref!</definedName>
    <definedName function="false" hidden="false" localSheetId="8" name="TD_md" vbProcedure="false">'[70]well specification'!#ref!</definedName>
    <definedName function="false" hidden="false" localSheetId="8" name="tedtr" vbProcedure="false">'[115]Max-Torq'!$P$72</definedName>
    <definedName function="false" hidden="true" localSheetId="8"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TELY" vbProcedure="false">#ref!</definedName>
    <definedName function="false" hidden="false" localSheetId="8" name="Temperature" vbProcedure="false">#ref!</definedName>
    <definedName function="false" hidden="false" localSheetId="8" name="TENDER" vbProcedure="false">'[163]Report Long(Esso)'!$E$4</definedName>
    <definedName function="false" hidden="false" localSheetId="8" name="tens" vbProcedure="false">'[115]Max-Torq'!$N$58</definedName>
    <definedName function="false" hidden="true" localSheetId="8" name="terry1" vbProcedure="false">{#N/A,#N/A,FALSE,"Volume"}</definedName>
    <definedName function="false" hidden="true" localSheetId="8" name="terry2" vbProcedure="false">{#N/A,#N/A,FALSE,"Volume"}</definedName>
    <definedName function="false" hidden="true" localSheetId="8" name="terry3" vbProcedure="false">{#N/A,#N/A,FALSE,"Volume"}</definedName>
    <definedName function="false" hidden="true" localSheetId="8" name="terry4" vbProcedure="false">{#N/A,#N/A,FALSE,"Volume"}</definedName>
    <definedName function="false" hidden="true" localSheetId="8" name="terry5" vbProcedure="false">{#N/A,#N/A,FALSE,"Volume"}</definedName>
    <definedName function="false" hidden="false" localSheetId="8" name="TEST" vbProcedure="false">#ref!</definedName>
    <definedName function="false" hidden="true" localSheetId="8" name="test1" vbProcedure="false">#ref!</definedName>
    <definedName function="false" hidden="false" localSheetId="8" name="Test_po_out_1" vbProcedure="false">[109]Test!$M$28</definedName>
    <definedName function="false" hidden="false" localSheetId="8" name="Test_po_out_2" vbProcedure="false">[109]Test!$M$29</definedName>
    <definedName function="false" hidden="false" localSheetId="8" name="textfive" vbProcedure="false">'[140]tally checklist'!textfive</definedName>
    <definedName function="false" hidden="false" localSheetId="8" name="textfivehalf" vbProcedure="false">'[140]tally checklist'!textfivehalf</definedName>
    <definedName function="false" hidden="false" localSheetId="8" name="textninefiveeightfourfirst" vbProcedure="false">'[140]tally checklist'!textninefiveeightfourfirst</definedName>
    <definedName function="false" hidden="false" localSheetId="8" name="textninefiveeightfoursecond" vbProcedure="false">'[140]tally checklist'!textninefiveeightfoursecond</definedName>
    <definedName function="false" hidden="false" localSheetId="8" name="textninefiveeightsixfirst" vbProcedure="false">'[140]tally checklist'!textninefiveeightsixfirst</definedName>
    <definedName function="false" hidden="false" localSheetId="8" name="textninefiveeightsixsecond" vbProcedure="false">'[140]tally checklist'!textninefiveeightsixsecond</definedName>
    <definedName function="false" hidden="false" localSheetId="8" name="textsevenfiveeightfour" vbProcedure="false">'[140]tally checklist'!textsevenfiveeightfour</definedName>
    <definedName function="false" hidden="false" localSheetId="8" name="textsevenfiveeightthree" vbProcedure="false">'[140]tally checklist'!textsevenfiveeightthree</definedName>
    <definedName function="false" hidden="false" localSheetId="8" name="textsevenfour" vbProcedure="false">'[140]tally checklist'!textsevenfour</definedName>
    <definedName function="false" hidden="false" localSheetId="8" name="textseventhree" vbProcedure="false">'[140]tally checklist'!textseventhree</definedName>
    <definedName function="false" hidden="false" localSheetId="8" name="text_five" vbProcedure="false">'[140]tally checklist'!text_five</definedName>
    <definedName function="false" hidden="false" localSheetId="8" name="text_fivehalf" vbProcedure="false">'[140]tally checklist'!text_fivehalf</definedName>
    <definedName function="false" hidden="false" localSheetId="8" name="text_ninefiveeightfourfirst" vbProcedure="false">'[140]tally checklist'!text_ninefiveeightfourfirst</definedName>
    <definedName function="false" hidden="false" localSheetId="8" name="text_ninefiveeightfoursecond" vbProcedure="false">'[140]tally checklist'!text_ninefiveeightfoursecond</definedName>
    <definedName function="false" hidden="false" localSheetId="8" name="text_ninefiveeightsixfirst" vbProcedure="false">'[140]tally checklist'!text_ninefiveeightsixfirst</definedName>
    <definedName function="false" hidden="false" localSheetId="8" name="text_ninefiveeightsixsecond" vbProcedure="false">'[140]tally checklist'!text_ninefiveeightsixsecond</definedName>
    <definedName function="false" hidden="false" localSheetId="8" name="text_sevenfiveeightfour" vbProcedure="false">'[140]tally checklist'!text_sevenfiveeightfour</definedName>
    <definedName function="false" hidden="false" localSheetId="8" name="text_sevenfiveeightthree" vbProcedure="false">'[140]tally checklist'!text_sevenfiveeightthree</definedName>
    <definedName function="false" hidden="false" localSheetId="8" name="text_sevenfour" vbProcedure="false">'[140]tally checklist'!text_sevenfour</definedName>
    <definedName function="false" hidden="false" localSheetId="8" name="text_seventhree" vbProcedure="false">'[140]tally checklist'!text_seventhree</definedName>
    <definedName function="false" hidden="false" localSheetId="8" name="tgrade" vbProcedure="false">[157]Control!$D$9</definedName>
    <definedName function="false" hidden="false" localSheetId="8" name="TGW" vbProcedure="false">'[140]tally checklist'!tgw</definedName>
    <definedName function="false" hidden="false" localSheetId="8" name="ThreadCon" vbProcedure="false">[171]MUT!$R$3:$R$9</definedName>
    <definedName function="false" hidden="false" localSheetId="8" name="ticketdate" vbProcedure="false">'[126]Call Sheet'!$AH$1</definedName>
    <definedName function="false" hidden="false" localSheetId="8" name="tickettype" vbProcedure="false">[54]data!#ref!</definedName>
    <definedName function="false" hidden="false" localSheetId="8" name="time" vbProcedure="false">'[93]well test sheet'!#ref!</definedName>
    <definedName function="false" hidden="false" localSheetId="8" name="Time_1" vbProcedure="false">#ref!</definedName>
    <definedName function="false" hidden="false" localSheetId="8" name="Time_2" vbProcedure="false">#ref!</definedName>
    <definedName function="false" hidden="false" localSheetId="8" name="TLCENG" vbProcedure="false">[121]Reference!$D$2</definedName>
    <definedName function="false" hidden="false" localSheetId="8" name="TLDENG" vbProcedure="false">[121]Reference!$C$2</definedName>
    <definedName function="false" hidden="false" localSheetId="8" name="TLDOPS" vbProcedure="false">[121]Reference!$E$2:$E$3</definedName>
    <definedName function="false" hidden="false" localSheetId="8" name="TOL" vbProcedure="false">'[130]Metric Conversions'!$B$28</definedName>
    <definedName function="false" hidden="false" localSheetId="8" name="TOLz" vbProcedure="false">'[109]Liner Job Info'!$I$19</definedName>
    <definedName function="false" hidden="false" localSheetId="8" name="ToolMaterial" vbProcedure="false">[109]DATA!$BN$2:$BN$8</definedName>
    <definedName function="false" hidden="false" localSheetId="8" name="Tool_ID" vbProcedure="false">[109]DATA!$P$2:$P$268</definedName>
    <definedName function="false" hidden="false" localSheetId="8" name="TOPPKRIMG" vbProcedure="false">INDEX([172]PKR!$A$16:$B$17,MATCH([172]INPUT!$G$56,[172]PKR!$A$16:$A$17,0),2)</definedName>
    <definedName function="false" hidden="false" localSheetId="8" name="TOPPKRIMG_1" vbProcedure="false">INDEX([161]PKR!$A$16:$B$18,MATCH([161]INPUT!$G$56,[161]PKR!$A$16:$A$18,0),2)</definedName>
    <definedName function="false" hidden="false" localSheetId="8" name="Top_Drive_y_n" vbProcedure="false">'[46]liner job info'!#ref!</definedName>
    <definedName function="false" hidden="false" localSheetId="8" name="Top_Perf._TVD" vbProcedure="false">'[108]Pre-Job Info Sheet'!$B$30</definedName>
    <definedName function="false" hidden="false" localSheetId="8" name="Top_Perforation" vbProcedure="false">'[108]Pre-Job Info Sheet'!$B$28</definedName>
    <definedName function="false" hidden="false" localSheetId="8" name="Total_DP_Wt" vbProcedure="false">'[109]Weight Calculations'!$H$13</definedName>
    <definedName function="false" hidden="false" localSheetId="8" name="Total_Length_of_BHA" vbProcedure="false">'[108]TCP-BHA'!$H$47</definedName>
    <definedName function="false" hidden="false" localSheetId="8" name="TOT_ANN_CAP" vbProcedure="false">'[113]#REF'!$G$189</definedName>
    <definedName function="false" hidden="false" localSheetId="8" name="Tot_Bottoms_Upz" vbProcedure="false">'[109]Metric Conversions'!$C$90</definedName>
    <definedName function="false" hidden="false" localSheetId="8" name="TOT_CAP_HOLE" vbProcedure="false">'[113]#REF'!$G$190</definedName>
    <definedName function="false" hidden="false" localSheetId="8" name="Tot_DP_Vol" vbProcedure="false">'[109]Metric Conversions'!$B$75</definedName>
    <definedName function="false" hidden="false" localSheetId="8" name="Tot_DP_Volz" vbProcedure="false">'[109]Metric Conversions'!$C$75</definedName>
    <definedName function="false" hidden="false" localSheetId="8" name="Tot_Liner_Wt" vbProcedure="false">'[109]Weight Calculations'!$H$18</definedName>
    <definedName function="false" hidden="false" localSheetId="8" name="Tot_Lnr_Vol_to_LC" vbProcedure="false">'[109]Metric Conversions'!$B$79</definedName>
    <definedName function="false" hidden="false" localSheetId="8" name="Tot_Lnr_Vol_to_LCz" vbProcedure="false">'[109]Metric Conversions'!$C$79</definedName>
    <definedName function="false" hidden="false" localSheetId="8" name="TOT_SAND_2B_PUMPED" vbProcedure="false">'[6]#ref'!#ref!</definedName>
    <definedName function="false" hidden="false" localSheetId="8" name="TOT_SAND_COV_BLANK" vbProcedure="false">'[113]#REF'!$H$136</definedName>
    <definedName function="false" hidden="false" localSheetId="8" name="TOT_SAND_COV_SCREEN" vbProcedure="false">'[113]#REF'!$H$135</definedName>
    <definedName function="false" hidden="false" localSheetId="8" name="TOT_SAND_IN_PERFS" vbProcedure="false">'[113]#REF'!$F$137</definedName>
    <definedName function="false" hidden="false" localSheetId="8" name="TOT_SAND_PLACED" vbProcedure="false">'[113]#REF'!$F$131</definedName>
    <definedName function="false" hidden="false" localSheetId="8" name="TOT_SAND_REVOUT" vbProcedure="false">'[6]#ref'!#ref!</definedName>
    <definedName function="false" hidden="false" localSheetId="8" name="Tot_Vol_to_Bump_Plugs" vbProcedure="false">'[109]Metric Conversions'!$B$80</definedName>
    <definedName function="false" hidden="false" localSheetId="8" name="Tot_Vol_to_Bump_Plugsz" vbProcedure="false">'[109]Metric Conversions'!$C$80</definedName>
    <definedName function="false" hidden="false" localSheetId="8" name="Tot_Vol_to_Shoez" vbProcedure="false">'[109]Metric Conversions'!$C$81</definedName>
    <definedName function="false" hidden="false" localSheetId="8" name="tpermit" vbProcedure="false">[157]Control!$D$5</definedName>
    <definedName function="false" hidden="false" localSheetId="8" name="TQW" vbProcedure="false">'[140]tally checklist'!tqw</definedName>
    <definedName function="false" hidden="false" localSheetId="8" name="tr" vbProcedure="false">null</definedName>
    <definedName function="false" hidden="false" localSheetId="8" name="transport" vbProcedure="false">[54]data!#ref!</definedName>
    <definedName function="false" hidden="false" localSheetId="8" name="treatment" vbProcedure="false">[54]data!#ref!</definedName>
    <definedName function="false" hidden="false" localSheetId="8" name="try" vbProcedure="false">[173]Calculos!$K$3:$V$31</definedName>
    <definedName function="false" hidden="false" localSheetId="8" name="TR_Column" vbProcedure="false">null</definedName>
    <definedName function="false" hidden="false" localSheetId="8" name="TR_Unit" vbProcedure="false">null</definedName>
    <definedName function="false" hidden="false" localSheetId="8" name="tshoe" vbProcedure="false">[157]Drillers!$Q$20</definedName>
    <definedName function="false" hidden="false" localSheetId="8" name="tsize" vbProcedure="false">[157]Control!$D$7</definedName>
    <definedName function="false" hidden="false" localSheetId="8" name="TST" vbProcedure="false">'[30]Liner Job Info'!$O$5</definedName>
    <definedName function="false" hidden="false" localSheetId="8" name="tstickup" vbProcedure="false">[157]Drillers!$O$20</definedName>
    <definedName function="false" hidden="false" localSheetId="8" name="TS_pricelist" vbProcedure="false">[139]Pricelist!$A$57:$B$65</definedName>
    <definedName function="false" hidden="false" localSheetId="8" name="Tubing" vbProcedure="false">[174]Tubing!$B$7:$I$142</definedName>
    <definedName function="false" hidden="false" localSheetId="8" name="TubingAverage" vbProcedure="false">((SUM('COVER PAGE '!NosOfTubing))-(MakeupLoss*COUNT('COVER PAGE '!NosOfTubing)))/COUNT('COVER PAGE '!NosOfTubing)</definedName>
    <definedName function="false" hidden="false" localSheetId="8" name="tubingInfo" vbProcedure="false">#ref!</definedName>
    <definedName function="false" hidden="false" localSheetId="8" name="TubingLength" vbProcedure="false">#ref!</definedName>
    <definedName function="false" hidden="false" localSheetId="8" name="tubingmat" vbProcedure="false">#ref!</definedName>
    <definedName function="false" hidden="false" localSheetId="8" name="TubingOD" vbProcedure="false">[94]Lists!$AH$3:$AH$297</definedName>
    <definedName function="false" hidden="false" localSheetId="8" name="tubingSG" vbProcedure="false">#ref!</definedName>
    <definedName function="false" hidden="false" localSheetId="8" name="tubingsize" vbProcedure="false">#ref!</definedName>
    <definedName function="false" hidden="false" localSheetId="8" name="TubingSizes" vbProcedure="false">[94]Lists!$H$2:$H$14</definedName>
    <definedName function="false" hidden="false" localSheetId="8" name="tubingtype" vbProcedure="false">#ref!</definedName>
    <definedName function="false" hidden="false" localSheetId="8" name="tubingW" vbProcedure="false">#ref!</definedName>
    <definedName function="false" hidden="false" localSheetId="8" name="tubingweight" vbProcedure="false">[83]!TubTable[id LIST (in)]</definedName>
    <definedName function="false" hidden="false" localSheetId="8" name="tubingweigth" vbProcedure="false">#ref!</definedName>
    <definedName function="false" hidden="false" localSheetId="8" name="TVD_MID_PERF" vbProcedure="false">'[113]#REF'!$F$25</definedName>
    <definedName function="false" hidden="false" localSheetId="8" name="TV_TVD" vbProcedure="false">'[108]Tester Valve Calcs'!$F$20</definedName>
    <definedName function="false" hidden="false" localSheetId="8" name="TV_Vol" vbProcedure="false">'[108]Tester Valve Calcs'!$M$17</definedName>
    <definedName function="false" hidden="false" localSheetId="8" name="tweight" vbProcedure="false">[157]Control!$D$8</definedName>
    <definedName function="false" hidden="false" localSheetId="8" name="twell" vbProcedure="false">[157]Control!$D$4</definedName>
    <definedName function="false" hidden="true" localSheetId="8"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TYJEJE" vbProcedure="false">'[140]tally checklist'!tyjeje</definedName>
    <definedName function="false" hidden="false" localSheetId="8" name="TYPE" vbProcedure="false">'[58]7-30-04'!#ref!</definedName>
    <definedName function="false" hidden="false" localSheetId="8" name="TYPEOFPLUG" vbProcedure="false">'[175]DATA CALL OUT'!$C$1:$C$65536</definedName>
    <definedName function="false" hidden="false" localSheetId="8" name="T_ABOP" vbProcedure="false">'[94]Physical Barrier Check Form'!$B$15</definedName>
    <definedName function="false" hidden="false" localSheetId="8" name="T_BFluidColumn" vbProcedure="false">'[94]Physical Barrier Check Form'!$B$19</definedName>
    <definedName function="false" hidden="false" localSheetId="8" name="T_BHFieldRep" vbProcedure="false">#ref!</definedName>
    <definedName function="false" hidden="false" localSheetId="8" name="T_BHP" vbProcedure="false">'[94]Job Technical Info'!$A$42</definedName>
    <definedName function="false" hidden="false" localSheetId="8" name="T_BHRepNamePrinted" vbProcedure="false">#ref!</definedName>
    <definedName function="false" hidden="false" localSheetId="8" name="T_BHRepSignatureJobLog" vbProcedure="false">#ref!</definedName>
    <definedName function="false" hidden="false" localSheetId="8" name="T_BHT" vbProcedure="false">'[94]Job Technical Info'!$C$42</definedName>
    <definedName function="false" hidden="false" localSheetId="8" name="T_Casing1" vbProcedure="false">'[94]Job Technical Info'!$B$25</definedName>
    <definedName function="false" hidden="false" localSheetId="8" name="T_Casing2" vbProcedure="false">'[94]Job Technical Info'!$B$26</definedName>
    <definedName function="false" hidden="false" localSheetId="8" name="T_Casing3" vbProcedure="false">'[94]Job Technical Info'!$B$27</definedName>
    <definedName function="false" hidden="false" localSheetId="8" name="T_Casing4" vbProcedure="false">'[94]Job Technical Info'!$B$28</definedName>
    <definedName function="false" hidden="false" localSheetId="8" name="T_Ccasing" vbProcedure="false">'[94]Physical Barrier Check Form'!$B$23</definedName>
    <definedName function="false" hidden="false" localSheetId="8" name="T_Comments" vbProcedure="false">[94]Schematic!$L$12</definedName>
    <definedName function="false" hidden="false" localSheetId="8" name="T_Customer" vbProcedure="false">#ref!</definedName>
    <definedName function="false" hidden="false" localSheetId="8" name="T_CustomerNamePrinted" vbProcedure="false">#ref!</definedName>
    <definedName function="false" hidden="false" localSheetId="8" name="T_CustomerProject" vbProcedure="false">[94]Schematic!$A$8</definedName>
    <definedName function="false" hidden="false" localSheetId="8" name="T_CustomerRep" vbProcedure="false">#ref!</definedName>
    <definedName function="false" hidden="false" localSheetId="8" name="T_CustomerSignatureJobLog" vbProcedure="false">#ref!</definedName>
    <definedName function="false" hidden="false" localSheetId="8" name="T_C_H" vbProcedure="false">'[47]12(762mm)套管'!#ref!</definedName>
    <definedName function="false" hidden="false" localSheetId="8" name="T_Date" vbProcedure="false">#ref!</definedName>
    <definedName function="false" hidden="false" localSheetId="8" name="T_Depth" vbProcedure="false">[94]Schematic!$N$31</definedName>
    <definedName function="false" hidden="false" localSheetId="8" name="T_Description" vbProcedure="false">[94]Schematic!$D$31</definedName>
    <definedName function="false" hidden="false" localSheetId="8" name="T_District" vbProcedure="false">'[94]Physical Barrier Check Form'!$B$4</definedName>
    <definedName function="false" hidden="false" localSheetId="8" name="T_DistrictPh" vbProcedure="false">#ref!</definedName>
    <definedName function="false" hidden="false" localSheetId="8" name="T_DProductionPacker" vbProcedure="false">'[94]Physical Barrier Check Form'!$B$27</definedName>
    <definedName function="false" hidden="false" localSheetId="8" name="T_Drift" vbProcedure="false">'[94]Job Technical Info'!$G$23</definedName>
    <definedName function="false" hidden="false" localSheetId="8" name="T_Dual" vbProcedure="false">#ref!</definedName>
    <definedName function="false" hidden="false" localSheetId="8" name="T_EBridgePlug" vbProcedure="false">'[94]Physical Barrier Check Form'!$B$31</definedName>
    <definedName function="false" hidden="false" localSheetId="8" name="T_FluidType" vbProcedure="false">'[94]Job Technical Info'!$E$42</definedName>
    <definedName function="false" hidden="false" localSheetId="8" name="T_FluidWeight" vbProcedure="false">'[94]Job Technical Info'!$G$42</definedName>
    <definedName function="false" hidden="false" localSheetId="8" name="T_FOtherBarriers" vbProcedure="false">'[94]Physical Barrier Check Form'!$B$35</definedName>
    <definedName function="false" hidden="false" localSheetId="8" name="T_Grade" vbProcedure="false">'[94]Job Technical Info'!$H$23</definedName>
    <definedName function="false" hidden="false" localSheetId="8" name="T_ID" vbProcedure="false">'[94]Job Technical Info'!$F$23</definedName>
    <definedName function="false" hidden="false" localSheetId="8" name="T_JCID" vbProcedure="false">#ref!</definedName>
    <definedName function="false" hidden="false" localSheetId="8" name="T_JobLog" vbProcedure="false">#ref!</definedName>
    <definedName function="false" hidden="false" localSheetId="8" name="T_Length" vbProcedure="false">[94]Schematic!$M$31</definedName>
    <definedName function="false" hidden="false" localSheetId="8" name="T_Liner1" vbProcedure="false">'[94]Job Technical Info'!$B$29</definedName>
    <definedName function="false" hidden="false" localSheetId="8" name="T_Liner2" vbProcedure="false">'[94]Job Technical Info'!$B$30</definedName>
    <definedName function="false" hidden="false" localSheetId="8" name="T_MaxDev" vbProcedure="false">[94]Schematic!$M$10</definedName>
    <definedName function="false" hidden="false" localSheetId="8" name="T_No" vbProcedure="false">[94]Schematic!$C$31</definedName>
    <definedName function="false" hidden="false" localSheetId="8" name="T_Notes" vbProcedure="false">'[94]Physical Barrier Check Form'!$H$13</definedName>
    <definedName function="false" hidden="false" localSheetId="8" name="T_OD" vbProcedure="false">'[94]Job Technical Info'!$D$23</definedName>
    <definedName function="false" hidden="false" localSheetId="8" name="T_OperationsRemarks" vbProcedure="false">#ref!</definedName>
    <definedName function="false" hidden="false" localSheetId="8" name="T_Project" vbProcedure="false">#ref!</definedName>
    <definedName function="false" hidden="false" localSheetId="8" name="T_Rig" vbProcedure="false">#ref!</definedName>
    <definedName function="false" hidden="false" localSheetId="8" name="T_SDC" vbProcedure="false">#ref!</definedName>
    <definedName function="false" hidden="false" localSheetId="8" name="T_Thread" vbProcedure="false">'[94]Job Technical Info'!$J$23</definedName>
    <definedName function="false" hidden="false" localSheetId="8" name="T_Time" vbProcedure="false">#ref!</definedName>
    <definedName function="false" hidden="false" localSheetId="8" name="T_Tubing1" vbProcedure="false">'[94]Job Technical Info'!$B$35</definedName>
    <definedName function="false" hidden="false" localSheetId="8" name="T_Tubing2" vbProcedure="false">'[94]Job Technical Info'!$B$36</definedName>
    <definedName function="false" hidden="false" localSheetId="8" name="T_Tubing3" vbProcedure="false">'[94]Job Technical Info'!$B$37</definedName>
    <definedName function="false" hidden="false" localSheetId="8" name="T_Tubing4" vbProcedure="false">'[94]Job Technical Info'!$B$38</definedName>
    <definedName function="false" hidden="false" localSheetId="8" name="T_Tubulars" vbProcedure="false">'[94]Job Technical Info'!$B$23</definedName>
    <definedName function="false" hidden="false" localSheetId="8" name="T_Weight" vbProcedure="false">'[94]Job Technical Info'!$E$23</definedName>
    <definedName function="false" hidden="false" localSheetId="8" name="T_Well" vbProcedure="false">#ref!</definedName>
    <definedName function="false" hidden="false" localSheetId="8" name="T_Workstring1" vbProcedure="false">'[94]Job Technical Info'!$B$31</definedName>
    <definedName function="false" hidden="false" localSheetId="8" name="T_Workstring2" vbProcedure="false">'[94]Job Technical Info'!$B$32</definedName>
    <definedName function="false" hidden="false" localSheetId="8" name="T_Workstring3" vbProcedure="false">'[94]Job Technical Info'!$B$33</definedName>
    <definedName function="false" hidden="false" localSheetId="8" name="T_Workstring4" vbProcedure="false">'[94]Job Technical Info'!$B$34</definedName>
    <definedName function="false" hidden="false" localSheetId="8" name="U" vbProcedure="false">[176]Lists!$A$1:$A$3</definedName>
    <definedName function="false" hidden="false" localSheetId="8" name="Underbalance" vbProcedure="false">'[108]Job Calculation Sheet'!$H$34</definedName>
    <definedName function="false" hidden="true" localSheetId="8" name="UNI_AA_VERSION" vbProcedure="false">"322.2.0"</definedName>
    <definedName function="false" hidden="false" localSheetId="8" name="Used" vbProcedure="false">[109]DATA!$AR$2:$AR$3</definedName>
    <definedName function="false" hidden="false" localSheetId="8" name="Using_Hanger" vbProcedure="false">'[109]Liner Job Info'!$D$38</definedName>
    <definedName function="false" hidden="false" localSheetId="8" name="Using_Packer" vbProcedure="false">'[109]Liner Job Info'!$P$30</definedName>
    <definedName function="false" hidden="false" localSheetId="8" name="VALIDCURR" vbProcedure="false">[177]Currency!$A$1:$A$170</definedName>
    <definedName function="false" hidden="false" localSheetId="8" name="Vallist" vbProcedure="false">'[109]Casing Info'!$A$2:$A$34</definedName>
    <definedName function="false" hidden="false" localSheetId="8" name="vallist2" vbProcedure="false">#N/A</definedName>
    <definedName function="false" hidden="false" localSheetId="8" name="vbcode.draw_blanks" vbProcedure="false">'[140]tally checklist'!vbcode.draw_blanks</definedName>
    <definedName function="false" hidden="false" localSheetId="8" name="vbcode.draw_linerfirst" vbProcedure="false">'[140]tally checklist'!vbcode.draw_linerfirst</definedName>
    <definedName function="false" hidden="false" localSheetId="8" name="vbcode.draw_linersecond" vbProcedure="false">'[140]tally checklist'!vbcode.draw_linersecond</definedName>
    <definedName function="false" hidden="false" localSheetId="8" name="vbcode.draw_miscellaneous" vbProcedure="false">'[140]tally checklist'!vbcode.draw_miscellaneous</definedName>
    <definedName function="false" hidden="false" localSheetId="8" name="vbcode.draw_productionfirst" vbProcedure="false">'[140]tally checklist'!vbcode.draw_productionfirst</definedName>
    <definedName function="false" hidden="false" localSheetId="8" name="vbcode.draw_productionsecond" vbProcedure="false">'[140]tally checklist'!vbcode.draw_productionsecond</definedName>
    <definedName function="false" hidden="false" localSheetId="8" name="vbcode.draw_quantum" vbProcedure="false">'[140]tally checklist'!vbcode.draw_quantum</definedName>
    <definedName function="false" hidden="false" localSheetId="8" name="vbcode.draw_screens" vbProcedure="false">'[140]tally checklist'!vbcode.draw_screens</definedName>
    <definedName function="false" hidden="false" localSheetId="8" name="vbcode.draw_shearsubs" vbProcedure="false">'[140]tally checklist'!vbcode.draw_shearsubs</definedName>
    <definedName function="false" hidden="false" localSheetId="8" name="vbcode.draw_sump" vbProcedure="false">'[140]tally checklist'!vbcode.draw_sump</definedName>
    <definedName function="false" hidden="false" localSheetId="8" name="vbcode.text_five" vbProcedure="false">'[140]tally checklist'!vbcode.text_five</definedName>
    <definedName function="false" hidden="false" localSheetId="8" name="vbcode.text_fivehalf" vbProcedure="false">'[140]tally checklist'!vbcode.text_fivehalf</definedName>
    <definedName function="false" hidden="false" localSheetId="8" name="vbcode.text_ninefiveeightfourfirst" vbProcedure="false">'[140]tally checklist'!vbcode.text_ninefiveeightfourfirst</definedName>
    <definedName function="false" hidden="false" localSheetId="8" name="vbcode.text_ninefiveeightfoursecond" vbProcedure="false">'[140]tally checklist'!vbcode.text_ninefiveeightfoursecond</definedName>
    <definedName function="false" hidden="false" localSheetId="8" name="vbcode.text_ninefiveeightsixfirst" vbProcedure="false">'[140]tally checklist'!vbcode.text_ninefiveeightsixfirst</definedName>
    <definedName function="false" hidden="false" localSheetId="8" name="vbcode.text_ninefiveeightsixsecond" vbProcedure="false">'[140]tally checklist'!vbcode.text_ninefiveeightsixsecond</definedName>
    <definedName function="false" hidden="false" localSheetId="8" name="vbcode.text_sevenfiveeightfour" vbProcedure="false">'[140]tally checklist'!vbcode.text_sevenfiveeightfour</definedName>
    <definedName function="false" hidden="false" localSheetId="8" name="vbcode.text_sevenfiveeightthree" vbProcedure="false">'[140]tally checklist'!vbcode.text_sevenfiveeightthree</definedName>
    <definedName function="false" hidden="false" localSheetId="8" name="vbcode.text_sevenfour" vbProcedure="false">'[140]tally checklist'!vbcode.text_sevenfour</definedName>
    <definedName function="false" hidden="false" localSheetId="8" name="vbcode.text_seventhree" vbProcedure="false">'[140]tally checklist'!vbcode.text_seventhree</definedName>
    <definedName function="false" hidden="false" localSheetId="8" name="Verticaldepth" vbProcedure="false">'[129]Front Page Info'!$C$18</definedName>
    <definedName function="false" hidden="false" localSheetId="8" name="vfdvf" vbProcedure="false">[174]!Macro61</definedName>
    <definedName function="false" hidden="false" localSheetId="8" name="VirginSheet" vbProcedure="false">#ref!</definedName>
    <definedName function="false" hidden="true" localSheetId="8" name="volume1" vbProcedure="false">{#N/A,#N/A,FALSE,"Volume"}</definedName>
    <definedName function="false" hidden="false" localSheetId="8" name="VOL_MULE_SHOE" vbProcedure="false">'[113]#REF'!$F$178</definedName>
    <definedName function="false" hidden="false" localSheetId="8" name="VS" vbProcedure="false">'[95]MACRO125 '!$F$6</definedName>
    <definedName function="false" hidden="false" localSheetId="8" name="vvv" vbProcedure="false">[119]钻井日报表!$E$7</definedName>
    <definedName function="false" hidden="false" localSheetId="8" name="vvvdf" vbProcedure="false">[119]钻井日报表!$G$8</definedName>
    <definedName function="false" hidden="false" localSheetId="8" name="vvvvv" vbProcedure="false">[79]!Macro60</definedName>
    <definedName function="false" hidden="false" localSheetId="8" name="WBJobRev" vbProcedure="false">'[94]Job Technical Info'!$C$11</definedName>
    <definedName function="false" hidden="false" localSheetId="8" name="Weak_DP" vbProcedure="false">'[109]Weight Calculations'!$V$63</definedName>
    <definedName function="false" hidden="false" localSheetId="8" name="Weak_link" vbProcedure="false">'[109]Weight Calculations'!$R$61</definedName>
    <definedName function="false" hidden="false" localSheetId="8" name="Week" vbProcedure="false">[18]Criteria!$A$2:$A$51</definedName>
    <definedName function="false" hidden="false" localSheetId="8" name="weight" vbProcedure="false">'[7]Drop-Down Items'!$M$7:$M$10</definedName>
    <definedName function="false" hidden="false" localSheetId="8" name="WeightUnit" vbProcedure="false">'[94]Job Technical Info'!$E$24</definedName>
    <definedName function="false" hidden="false" localSheetId="8" name="Well" vbProcedure="false">'[94]Job Technical Info'!$K$12</definedName>
    <definedName function="false" hidden="true" localSheetId="8"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8" name="wellcategory1" vbProcedure="false">[132]Data!$K$1:$K$65536</definedName>
    <definedName function="false" hidden="false" localSheetId="8" name="Welllocation1" vbProcedure="false">[132]Data!$M$1:$M$65536</definedName>
    <definedName function="false" hidden="false" localSheetId="8" name="WellMD" vbProcedure="false">'[94]Job Technical Info'!$H$41</definedName>
    <definedName function="false" hidden="false" localSheetId="8" name="WellNo" vbProcedure="false">'[163]Report Long(Esso)'!$E$2</definedName>
    <definedName function="false" hidden="false" localSheetId="8" name="WellTVD" vbProcedure="false">'[94]Job Technical Info'!$J$41</definedName>
    <definedName function="false" hidden="false" localSheetId="8" name="welltype" vbProcedure="false">'[113]#REF'!$F$18</definedName>
    <definedName function="false" hidden="false" localSheetId="8" name="Welltype2" vbProcedure="false">[178]Data!$H$1:$H$65536</definedName>
    <definedName function="false" hidden="false" localSheetId="8" name="Well_Name" vbProcedure="false">'[108]TCP-BHA'!$C$7</definedName>
    <definedName function="false" hidden="false" localSheetId="8" name="Well_Number" vbProcedure="false">'[62]Liner Job Info'!$E$6</definedName>
    <definedName function="false" hidden="false" localSheetId="8" name="well_type" vbProcedure="false">'[7]Drop-Down Items'!$D$43:$D$48</definedName>
    <definedName function="false" hidden="false" localSheetId="8" name="Well_Type__Oil_Gas" vbProcedure="false">'[108]Pre-Job Info Sheet'!$B$31</definedName>
    <definedName function="false" hidden="false" localSheetId="8" name="WHP" vbProcedure="false">#ref!</definedName>
    <definedName function="false" hidden="false" localSheetId="8" name="wht" vbProcedure="false">'[93]well test sheet'!#ref!</definedName>
    <definedName function="false" hidden="false" localSheetId="8" name="wiperplugunity" vbProcedure="false">[109]Test!$G$18</definedName>
    <definedName function="false" hidden="false" localSheetId="8" name="WIV?" vbProcedure="false">'[43]Multi Stage Info'!$D$37</definedName>
    <definedName function="false" hidden="false" localSheetId="8" name="WkstrDrift1" vbProcedure="false">'[94]Job Technical Info'!$G$31</definedName>
    <definedName function="false" hidden="false" localSheetId="8" name="WkstrDrift2" vbProcedure="false">'[94]Job Technical Info'!$G$32</definedName>
    <definedName function="false" hidden="false" localSheetId="8" name="WkstrDrift3" vbProcedure="false">'[94]Job Technical Info'!$G$33</definedName>
    <definedName function="false" hidden="false" localSheetId="8" name="WkstrDrift4" vbProcedure="false">'[94]Job Technical Info'!$G$34</definedName>
    <definedName function="false" hidden="false" localSheetId="8" name="WkstrGrd1" vbProcedure="false">'[94]Job Technical Info'!$H$31</definedName>
    <definedName function="false" hidden="false" localSheetId="8" name="WkstrGrd2" vbProcedure="false">'[94]Job Technical Info'!$H$32</definedName>
    <definedName function="false" hidden="false" localSheetId="8" name="WkstrGrd3" vbProcedure="false">'[94]Job Technical Info'!$H$33</definedName>
    <definedName function="false" hidden="false" localSheetId="8" name="WkstrGrd4" vbProcedure="false">'[94]Job Technical Info'!$H$34</definedName>
    <definedName function="false" hidden="false" localSheetId="8" name="WkstrID1" vbProcedure="false">'[94]Job Technical Info'!$F$31</definedName>
    <definedName function="false" hidden="false" localSheetId="8" name="WkstrID2" vbProcedure="false">'[94]Job Technical Info'!$F$32</definedName>
    <definedName function="false" hidden="false" localSheetId="8" name="WkstrID3" vbProcedure="false">'[94]Job Technical Info'!$F$33</definedName>
    <definedName function="false" hidden="false" localSheetId="8" name="WkstrID4" vbProcedure="false">'[94]Job Technical Info'!$F$34</definedName>
    <definedName function="false" hidden="false" localSheetId="8" name="WkstrSz1" vbProcedure="false">'[94]Job Technical Info'!$D$31</definedName>
    <definedName function="false" hidden="false" localSheetId="8" name="WkstrSz2" vbProcedure="false">'[94]Job Technical Info'!$D$32</definedName>
    <definedName function="false" hidden="false" localSheetId="8" name="WkstrSz3" vbProcedure="false">'[94]Job Technical Info'!$D$33</definedName>
    <definedName function="false" hidden="false" localSheetId="8" name="WkstrSz4" vbProcedure="false">'[94]Job Technical Info'!$D$34</definedName>
    <definedName function="false" hidden="false" localSheetId="8" name="WkstrThd1" vbProcedure="false">'[94]Job Technical Info'!$J$31</definedName>
    <definedName function="false" hidden="false" localSheetId="8" name="WkstrThd2" vbProcedure="false">'[94]Job Technical Info'!$J$32</definedName>
    <definedName function="false" hidden="false" localSheetId="8" name="WkstrThd3" vbProcedure="false">'[94]Job Technical Info'!$J$33</definedName>
    <definedName function="false" hidden="false" localSheetId="8" name="WkstrThd4" vbProcedure="false">'[94]Job Technical Info'!$J$34</definedName>
    <definedName function="false" hidden="false" localSheetId="8" name="WkstrWt1" vbProcedure="false">'[94]Job Technical Info'!$E$31</definedName>
    <definedName function="false" hidden="false" localSheetId="8" name="WkstrWt2" vbProcedure="false">'[94]Job Technical Info'!$E$32</definedName>
    <definedName function="false" hidden="false" localSheetId="8" name="WkstrWt3" vbProcedure="false">'[94]Job Technical Info'!$E$33</definedName>
    <definedName function="false" hidden="false" localSheetId="8" name="WkstrWt4" vbProcedure="false">'[94]Job Technical Info'!$E$34</definedName>
    <definedName function="false" hidden="false" localSheetId="8" name="workstringid" vbProcedure="false">'[113]#REF'!$H$12</definedName>
    <definedName function="false" hidden="false" localSheetId="8" name="workstringidref" vbProcedure="false">[106]Data!$GC$3</definedName>
    <definedName function="false" hidden="false" localSheetId="8" name="workstringlength" vbProcedure="false">'[113]#REF'!$J$12</definedName>
    <definedName function="false" hidden="false" localSheetId="8" name="workstringod" vbProcedure="false">'[113]#REF'!$F$12</definedName>
    <definedName function="false" hidden="false" localSheetId="8" name="workstringtable" vbProcedure="false">[83]!CasingTable[#data]</definedName>
    <definedName function="false" hidden="false" localSheetId="8" name="workstringwt" vbProcedure="false">'[113]#REF'!$M$12</definedName>
    <definedName function="false" hidden="false" localSheetId="8" name="Workstring_Grade" vbProcedure="false">'[108]Pre-Job Info Sheet'!$D$27</definedName>
    <definedName function="false" hidden="false" localSheetId="8" name="Workstring_ID" vbProcedure="false">'[108]Job Calculation Sheet'!$F$16</definedName>
    <definedName function="false" hidden="false" localSheetId="8" name="Workstring_Length" vbProcedure="false">'[108]TCP-BHA'!$G$12</definedName>
    <definedName function="false" hidden="false" localSheetId="8" name="Workstring_Size" vbProcedure="false">'[108]Pre-Job Info Sheet'!$D$25</definedName>
    <definedName function="false" hidden="false" localSheetId="8" name="Workstring_Type" vbProcedure="false">'[108]Pre-Job Info Sheet'!$D$24</definedName>
    <definedName function="false" hidden="false" localSheetId="8" name="Workstring_Wt._Ft." vbProcedure="false">'[108]Pre-Job Info Sheet'!$D$26</definedName>
    <definedName function="false" hidden="true" localSheetId="8" name="wrn.ASDF." vbProcedure="false">{#N/A,#N/A,FALSE,"SHEET 1";#N/A,#N/A,FALSE,"Sheet4"}</definedName>
    <definedName function="false" hidden="true" localSheetId="8" name="wrn.AT._.Reports." vbProcedure="false">{#N/A,#N/A,FALSE,"Drlg Param Run 1-1";#N/A,#N/A,FALSE,"DDR (3)";#N/A,#N/A,FALSE,"BHA AT (1)";#N/A,#N/A,FALSE,"Downlinkbha";#N/A,#N/A,FALSE,"Job Status Report"}</definedName>
    <definedName function="false" hidden="true" localSheetId="8" name="wrn.CD_MST." vbProcedure="false">{#N/A,#N/A,FALSE,"Sheet1"}</definedName>
    <definedName function="false" hidden="true" localSheetId="8" name="wrn.DST_TCP." vbProcedure="false">{#N/A,#N/A,FALSE,"INFO";#N/A,#N/A,FALSE,"PCT";#N/A,#N/A,FALSE,"DISCS";#N/A,#N/A,FALSE,"DISC TABLE";#N/A,#N/A,FALSE,"CUSHION";#N/A,#N/A,FALSE,"HYDRAULICS";#N/A,#N/A,FALSE,"MCCV";#N/A,#N/A,FALSE,"HDF";#N/A,#N/A,FALSE,"GUNS";#N/A,#N/A,FALSE,"GUNDATA"}</definedName>
    <definedName function="false" hidden="true" localSheetId="8" name="wrn.FULL._.DTL." vbProcedure="false">{"CF",#N/A,FALSE,"FULL COST";"MANUFACT",#N/A,FALSE,"FULL COST";"PAYNMENT",#N/A,FALSE,"FULL COST"}</definedName>
    <definedName function="false" hidden="true" localSheetId="8" name="wrn.FULLSUM." vbProcedure="false">{#N/A,#N/A,FALSE,"SUM-1";#N/A,#N/A,FALSE,"SUM-2";#N/A,#N/A,FALSE,"TENDER"}</definedName>
    <definedName function="false" hidden="true" localSheetId="8" name="wrn.ratios." vbProcedure="false">{"raatios",#N/A,FALSE,"A";"ratios",#N/A,FALSE,"B";"ratios",#N/A,FALSE,"C";"ratios",#N/A,FALSE,"D";"ratios",#N/A,FALSE,"F"}</definedName>
    <definedName function="false" hidden="true" localSheetId="8" name="wrn.SUMMARY." vbProcedure="false">{#N/A,#N/A,FALSE,"JUNK"}</definedName>
    <definedName function="false" hidden="true" localSheetId="8" name="wrn.VOLUME." vbProcedure="false">{#N/A,#N/A,FALSE,"Volume"}</definedName>
    <definedName function="false" hidden="true" localSheetId="8" name="wrn.volume.2" vbProcedure="false">{#N/A,#N/A,FALSE,"Volume"}</definedName>
    <definedName function="false" hidden="false" localSheetId="8" name="wrn.volume.2_1" vbProcedure="false">{#N/A,#N/A,FALSE,"Volume"}</definedName>
    <definedName function="false" hidden="false" localSheetId="8" name="wrn.volume.2_2" vbProcedure="false">{#N/A,#N/A,FALSE,"Volume"}</definedName>
    <definedName function="false" hidden="false" localSheetId="8" name="wrn.volume.2_3" vbProcedure="false">{#N/A,#N/A,FALSE,"Volume"}</definedName>
    <definedName function="false" hidden="false" localSheetId="8" name="wrn.volume.2_4" vbProcedure="false">{#N/A,#N/A,FALSE,"Volume"}</definedName>
    <definedName function="false" hidden="false" localSheetId="8" name="wrn.volume.2_5" vbProcedure="false">{#N/A,#N/A,FALSE,"Volume"}</definedName>
    <definedName function="false" hidden="true" localSheetId="8" name="wrn.volume.3" vbProcedure="false">{#N/A,#N/A,FALSE,"Volume"}</definedName>
    <definedName function="false" hidden="false" localSheetId="8" name="wrn.volume.3_1" vbProcedure="false">{#N/A,#N/A,FALSE,"Volume"}</definedName>
    <definedName function="false" hidden="false" localSheetId="8" name="wrn.volume.3_2" vbProcedure="false">{#N/A,#N/A,FALSE,"Volume"}</definedName>
    <definedName function="false" hidden="false" localSheetId="8" name="wrn.volume.3_3" vbProcedure="false">{#N/A,#N/A,FALSE,"Volume"}</definedName>
    <definedName function="false" hidden="false" localSheetId="8" name="wrn.volume.3_4" vbProcedure="false">{#N/A,#N/A,FALSE,"Volume"}</definedName>
    <definedName function="false" hidden="false" localSheetId="8" name="wrn.volume.3_5" vbProcedure="false">{#N/A,#N/A,FALSE,"Volume"}</definedName>
    <definedName function="false" hidden="false" localSheetId="8" name="wrn.VOLUME._1" vbProcedure="false">{#N/A,#N/A,FALSE,"Volume"}</definedName>
    <definedName function="false" hidden="false" localSheetId="8" name="wrn.VOLUME._2" vbProcedure="false">{#N/A,#N/A,FALSE,"Volume"}</definedName>
    <definedName function="false" hidden="false" localSheetId="8" name="wrn.VOLUME._3" vbProcedure="false">{#N/A,#N/A,FALSE,"Volume"}</definedName>
    <definedName function="false" hidden="false" localSheetId="8" name="wrn.VOLUME._4" vbProcedure="false">{#N/A,#N/A,FALSE,"Volume"}</definedName>
    <definedName function="false" hidden="false" localSheetId="8" name="wrn.VOLUME._5" vbProcedure="false">{#N/A,#N/A,FALSE,"Volume"}</definedName>
    <definedName function="false" hidden="true" localSheetId="8" name="WRN.VULUME" vbProcedure="false">{#N/A,#N/A,FALSE,"Volume"}</definedName>
    <definedName function="false" hidden="true" localSheetId="8"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8" name="wrn2.asdf" vbProcedure="false">{#N/A,#N/A,FALSE,"SHEET 1";#N/A,#N/A,FALSE,"Sheet4"}</definedName>
    <definedName function="false" hidden="false" localSheetId="8" name="wscolumn" vbProcedure="false">[106]Data!$W$19</definedName>
    <definedName function="false" hidden="false" localSheetId="8" name="WS_ID" vbProcedure="false">'[113]#REF'!$H$12</definedName>
    <definedName function="false" hidden="false" localSheetId="8" name="WS_LENGTH" vbProcedure="false">'[113]#REF'!$J$12</definedName>
    <definedName function="false" hidden="false" localSheetId="8" name="WS_OD" vbProcedure="false">'[113]#REF'!$F$12</definedName>
    <definedName function="false" hidden="false" localSheetId="8" name="wt" vbProcedure="false">'[115]Max-Torq'!$P$64</definedName>
    <definedName function="false" hidden="false" localSheetId="8" name="wtcasing" vbProcedure="false">[106]Data!$J$19</definedName>
    <definedName function="false" hidden="false" localSheetId="8" name="wtr_cumm" vbProcedure="false">'[93]well test sheet'!#ref!</definedName>
    <definedName function="false" hidden="false" localSheetId="8" name="wtr_rate" vbProcedure="false">'[93]well test sheet'!#ref!</definedName>
    <definedName function="false" hidden="false" localSheetId="8" name="wtworkstring" vbProcedure="false">[106]Data!$W$21</definedName>
    <definedName function="false" hidden="false" localSheetId="8" name="Wtype" vbProcedure="false">'[109]Liner Job Info'!$E$9</definedName>
    <definedName function="false" hidden="false" localSheetId="8" name="Wt_Bouyant" vbProcedure="false">'[108]Packer Calculation Sheet'!$I$34</definedName>
    <definedName function="false" hidden="false" localSheetId="8" name="Wt_w_Cmt" vbProcedure="false">'[109]Liner Job Info'!$D$34</definedName>
    <definedName function="false" hidden="false" localSheetId="8" name="Wt_W_Pkr_Tst" vbProcedure="false">'[109]Liner Job Info'!$D$36</definedName>
    <definedName function="false" hidden="false" localSheetId="8" name="X" vbProcedure="false">#ref!</definedName>
    <definedName function="false" hidden="false" localSheetId="8" name="X5_TO" vbProcedure="false">[129]RSS!$C$197</definedName>
    <definedName function="false" hidden="false" localSheetId="8" name="XCEED_TO" vbProcedure="false">[129]RSS!$G$201</definedName>
    <definedName function="false" hidden="false" localSheetId="8" name="XO" vbProcedure="false">#ref!</definedName>
    <definedName function="false" hidden="false" localSheetId="8" name="xoportdepth" vbProcedure="false">'[113]#REF'!$F$21</definedName>
    <definedName function="false" hidden="false" localSheetId="8" name="XO_DEPTH" vbProcedure="false">'[113]#REF'!$F$21</definedName>
    <definedName function="false" hidden="false" localSheetId="8" name="XO_PORT_DEPTH" vbProcedure="false">'[113]#REF'!$F$21</definedName>
    <definedName function="false" hidden="false" localSheetId="8" name="XTRA_TO" vbProcedure="false">[129]RSS!$E$201</definedName>
    <definedName function="false" hidden="true" localSheetId="8" name="xxx" vbProcedure="false">{#N/A,#N/A,FALSE,"Sheet1"}</definedName>
    <definedName function="false" hidden="false" localSheetId="8" name="YESNO" vbProcedure="false">[129]RSS!$E$139:$E$141</definedName>
    <definedName function="false" hidden="false" localSheetId="8" name="YJEJD" vbProcedure="false">'[140]tally checklist'!yjejd</definedName>
    <definedName function="false" hidden="false" localSheetId="8" name="yp" vbProcedure="false">'[115]Max-Torq'!$N$59</definedName>
    <definedName function="false" hidden="false" localSheetId="8" name="ypa" vbProcedure="false">'[115]Max-Torq'!$P$63</definedName>
    <definedName function="false" hidden="false" localSheetId="8" name="ypdtr" vbProcedure="false">'[115]Max-Torq'!$P$70</definedName>
    <definedName function="false" hidden="true" localSheetId="8" name="yyyyyyyyyyyy" vbProcedure="false">{"raatios",#N/A,FALSE,"A";"ratios",#N/A,FALSE,"B";"ratios",#N/A,FALSE,"C";"ratios",#N/A,FALSE,"D";"ratios",#N/A,FALSE,"F"}</definedName>
    <definedName function="false" hidden="false" localSheetId="8" name="Z" vbProcedure="false">#ref!</definedName>
    <definedName function="false" hidden="false" localSheetId="8" name="zone" vbProcedure="false">[5]WTR!$L$4</definedName>
    <definedName function="false" hidden="false" localSheetId="8" name="Zone1BHP" vbProcedure="false">'[94]Job Technical Info'!$G$49</definedName>
    <definedName function="false" hidden="false" localSheetId="8" name="Zone1BHT" vbProcedure="false">'[94]Job Technical Info'!$H$49</definedName>
    <definedName function="false" hidden="false" localSheetId="8" name="Zone1Bottom" vbProcedure="false">'[94]Job Technical Info'!$E$49</definedName>
    <definedName function="false" hidden="false" localSheetId="8" name="Zone1Dev" vbProcedure="false">'[94]Job Technical Info'!$F$49</definedName>
    <definedName function="false" hidden="false" localSheetId="8" name="Zone1FluidType" vbProcedure="false">'[94]Job Technical Info'!$I$49</definedName>
    <definedName function="false" hidden="false" localSheetId="8" name="Zone1FluidWt" vbProcedure="false">'[94]Job Technical Info'!$J$49</definedName>
    <definedName function="false" hidden="false" localSheetId="8" name="Zone1Name" vbProcedure="false">'[94]Job Technical Info'!$C$49</definedName>
    <definedName function="false" hidden="false" localSheetId="8" name="Zone1Top" vbProcedure="false">'[94]Job Technical Info'!$D$49</definedName>
    <definedName function="false" hidden="false" localSheetId="8" name="Zone2BHP" vbProcedure="false">'[94]Job Technical Info'!$G$50</definedName>
    <definedName function="false" hidden="false" localSheetId="8" name="Zone2BHT" vbProcedure="false">'[94]Job Technical Info'!$H$50</definedName>
    <definedName function="false" hidden="false" localSheetId="8" name="Zone2Bottom" vbProcedure="false">'[94]Job Technical Info'!$E$50</definedName>
    <definedName function="false" hidden="false" localSheetId="8" name="Zone2Dev" vbProcedure="false">'[94]Job Technical Info'!$F$50</definedName>
    <definedName function="false" hidden="false" localSheetId="8" name="Zone2FluidType" vbProcedure="false">'[94]Job Technical Info'!$I$50</definedName>
    <definedName function="false" hidden="false" localSheetId="8" name="Zone2FluidWt" vbProcedure="false">'[94]Job Technical Info'!$J$50</definedName>
    <definedName function="false" hidden="false" localSheetId="8" name="Zone2Name" vbProcedure="false">'[94]Job Technical Info'!$C$50</definedName>
    <definedName function="false" hidden="false" localSheetId="8" name="Zone2Top" vbProcedure="false">'[94]Job Technical Info'!$D$50</definedName>
    <definedName function="false" hidden="false" localSheetId="8" name="Zone3BHP" vbProcedure="false">'[94]Job Technical Info'!$G$51</definedName>
    <definedName function="false" hidden="false" localSheetId="8" name="Zone3BHT" vbProcedure="false">'[94]Job Technical Info'!$H$51</definedName>
    <definedName function="false" hidden="false" localSheetId="8" name="Zone3Bottom" vbProcedure="false">'[94]Job Technical Info'!$E$51</definedName>
    <definedName function="false" hidden="false" localSheetId="8" name="Zone3Dev" vbProcedure="false">'[94]Job Technical Info'!$F$51</definedName>
    <definedName function="false" hidden="false" localSheetId="8" name="Zone3FluidType" vbProcedure="false">'[94]Job Technical Info'!$I$51</definedName>
    <definedName function="false" hidden="false" localSheetId="8" name="Zone3FluidWt" vbProcedure="false">'[94]Job Technical Info'!$J$51</definedName>
    <definedName function="false" hidden="false" localSheetId="8" name="Zone3Name" vbProcedure="false">'[94]Job Technical Info'!$C$51</definedName>
    <definedName function="false" hidden="false" localSheetId="8" name="Zone3Top" vbProcedure="false">'[94]Job Technical Info'!$D$51</definedName>
    <definedName function="false" hidden="false" localSheetId="8" name="Zone4BHP" vbProcedure="false">'[94]Job Technical Info'!$G$52</definedName>
    <definedName function="false" hidden="false" localSheetId="8" name="Zone4BHT" vbProcedure="false">'[94]Job Technical Info'!$H$52</definedName>
    <definedName function="false" hidden="false" localSheetId="8" name="Zone4Bottom" vbProcedure="false">'[94]Job Technical Info'!$E$52</definedName>
    <definedName function="false" hidden="false" localSheetId="8" name="Zone4Dev" vbProcedure="false">'[94]Job Technical Info'!$F$52</definedName>
    <definedName function="false" hidden="false" localSheetId="8" name="Zone4FluidType" vbProcedure="false">'[94]Job Technical Info'!$I$52</definedName>
    <definedName function="false" hidden="false" localSheetId="8" name="Zone4FluidWt" vbProcedure="false">'[94]Job Technical Info'!$J$52</definedName>
    <definedName function="false" hidden="false" localSheetId="8" name="Zone4Name" vbProcedure="false">'[94]Job Technical Info'!$C$52</definedName>
    <definedName function="false" hidden="false" localSheetId="8" name="Zone4Top" vbProcedure="false">'[94]Job Technical Info'!$D$52</definedName>
    <definedName function="false" hidden="false" localSheetId="8" name="Zone5BHP" vbProcedure="false">'[94]Job Technical Info'!$G$53</definedName>
    <definedName function="false" hidden="false" localSheetId="8" name="Zone5BHT" vbProcedure="false">'[94]Job Technical Info'!$H$53</definedName>
    <definedName function="false" hidden="false" localSheetId="8" name="Zone5Bottom" vbProcedure="false">'[94]Job Technical Info'!$E$53</definedName>
    <definedName function="false" hidden="false" localSheetId="8" name="Zone5Dev" vbProcedure="false">'[94]Job Technical Info'!$F$53</definedName>
    <definedName function="false" hidden="false" localSheetId="8" name="Zone5FluidType" vbProcedure="false">'[94]Job Technical Info'!$I$53</definedName>
    <definedName function="false" hidden="false" localSheetId="8" name="Zone5FluidWt" vbProcedure="false">'[94]Job Technical Info'!$J$53</definedName>
    <definedName function="false" hidden="false" localSheetId="8" name="Zone5Name" vbProcedure="false">'[94]Job Technical Info'!$C$53</definedName>
    <definedName function="false" hidden="false" localSheetId="8" name="Zone5Top" vbProcedure="false">'[94]Job Technical Info'!$D$53</definedName>
    <definedName function="false" hidden="false" localSheetId="8" name="ZXP_Seal_Area" vbProcedure="false">[109]Test!$Z$38</definedName>
    <definedName function="false" hidden="false" localSheetId="8" name="Z_Fact_DH" vbProcedure="false">'[108]Tester Valve Calcs'!$F$23</definedName>
    <definedName function="false" hidden="false" localSheetId="8" name="Z_Fact_Surf" vbProcedure="false">'[108]Tester Valve Calcs'!$F$18</definedName>
    <definedName function="false" hidden="false" localSheetId="8" name="_" vbProcedure="false">[5]readings!#ref!</definedName>
    <definedName function="false" hidden="true" localSheetId="8" name="_1" vbProcedure="false">{#N/A,#N/A,FALSE,"Volume"}</definedName>
    <definedName function="false" hidden="false" localSheetId="8" name="_11Druckbereich" vbProcedure="false">[34]run_s!#ref!</definedName>
    <definedName function="false" hidden="true" localSheetId="8" name="_1234GRAPH_G" vbProcedure="false">[179]Run!$F$16:$F$514</definedName>
    <definedName function="false" hidden="false" localSheetId="8" name="_1Module2__2__.gaugeconok2" vbProcedure="false">[27]!_1Module2__2__.gaugeconok2</definedName>
    <definedName function="false" hidden="false" localSheetId="8" name="_1_" vbProcedure="false">#ref!</definedName>
    <definedName function="false" hidden="true" localSheetId="8" name="_2" vbProcedure="false">{#N/A,#N/A,FALSE,"Volume"}</definedName>
    <definedName function="false" hidden="false" localSheetId="8" name="_2Module2__2__.gaugeok2" vbProcedure="false">[27]!_2Module2__2__.gaugeok2</definedName>
    <definedName function="false" hidden="false" localSheetId="8" name="_3Module2__2__.gaugeselect2" vbProcedure="false">[27]!_3Module2__2__.gaugeselect2</definedName>
    <definedName function="false" hidden="false" localSheetId="8" name="_4Module2__2__.serialselect3" vbProcedure="false">[27]!_4Module2__2__.serialselect3</definedName>
    <definedName function="false" hidden="true" localSheetId="8" name="_5" vbProcedure="false">{#N/A,#N/A,FALSE,"Volume"}</definedName>
    <definedName function="false" hidden="false" localSheetId="8" name="_5Module2__2__.serialselect4" vbProcedure="false">[27]!_5Module2__2__.serialselect4</definedName>
    <definedName function="false" hidden="true" localSheetId="8" name="_a" vbProcedure="false">{#N/A,#N/A,FALSE,"Volume"}</definedName>
    <definedName function="false" hidden="true" localSheetId="8" name="_a1" vbProcedure="false">{#N/A,#N/A,FALSE,"Volume"}</definedName>
    <definedName function="false" hidden="true" localSheetId="8" name="_a2" vbProcedure="false">{#N/A,#N/A,FALSE,"Volume"}</definedName>
    <definedName function="false" hidden="true" localSheetId="8" name="_a3" vbProcedure="false">{#N/A,#N/A,FALSE,"Volume"}</definedName>
    <definedName function="false" hidden="true" localSheetId="8" name="_A4" vbProcedure="false">[179]Run!$B$18:$B$512</definedName>
    <definedName function="false" hidden="true" localSheetId="8" name="_aa" vbProcedure="false">{#N/A,#N/A,FALSE,"Volume"}</definedName>
    <definedName function="false" hidden="true" localSheetId="8" name="_aaa" vbProcedure="false">{#N/A,#N/A,FALSE,"Volume"}</definedName>
    <definedName function="false" hidden="true" localSheetId="8" name="_aaaaa" vbProcedure="false">{#N/A,#N/A,FALSE,"Volume"}</definedName>
    <definedName function="false" hidden="true" localSheetId="8" name="_aaaaaa" vbProcedure="false">{#N/A,#N/A,FALSE,"Volume"}</definedName>
    <definedName function="false" hidden="true" localSheetId="8" name="_ab" vbProcedure="false">{#N/A,#N/A,FALSE,"Volume"}</definedName>
    <definedName function="false" hidden="true" localSheetId="8" name="_ac" vbProcedure="false">{#N/A,#N/A,FALSE,"Volume"}</definedName>
    <definedName function="false" hidden="true" localSheetId="8" name="_acasdf" vbProcedure="false">{#N/A,#N/A,FALSE,"Volume"}</definedName>
    <definedName function="false" hidden="true" localSheetId="8" name="_acc" vbProcedure="false">{#N/A,#N/A,FALSE,"Volume"}</definedName>
    <definedName function="false" hidden="true" localSheetId="8" name="_ap1" vbProcedure="false">{#N/A,#N/A,FALSE,"Volume"}</definedName>
    <definedName function="false" hidden="true" localSheetId="8" name="_ap2" vbProcedure="false">{#N/A,#N/A,FALSE,"Volume"}</definedName>
    <definedName function="false" hidden="true" localSheetId="8" name="_ap3" vbProcedure="false">{#N/A,#N/A,FALSE,"Volume"}</definedName>
    <definedName function="false" hidden="true" localSheetId="8" name="_app1" vbProcedure="false">{#N/A,#N/A,FALSE,"Volume"}</definedName>
    <definedName function="false" hidden="true" localSheetId="8" name="_app2" vbProcedure="false">{#N/A,#N/A,FALSE,"Volume"}</definedName>
    <definedName function="false" hidden="true" localSheetId="8" name="_app3" vbProcedure="false">{#N/A,#N/A,FALSE,"Volume"}</definedName>
    <definedName function="false" hidden="true" localSheetId="8" name="_app4" vbProcedure="false">{#N/A,#N/A,FALSE,"Volume"}</definedName>
    <definedName function="false" hidden="true" localSheetId="8" name="_app5" vbProcedure="false">{#N/A,#N/A,FALSE,"Volume"}</definedName>
    <definedName function="false" hidden="true" localSheetId="8" name="_asdfas" vbProcedure="false">{#N/A,#N/A,FALSE,"Volume"}</definedName>
    <definedName function="false" hidden="false" localSheetId="8" name="_B" vbProcedure="false">#ref!</definedName>
    <definedName function="false" hidden="true" localSheetId="8" name="_b1" vbProcedure="false">{#N/A,#N/A,FALSE,"Volume"}</definedName>
    <definedName function="false" hidden="true" localSheetId="8" name="_b2" vbProcedure="false">{#N/A,#N/A,FALSE,"Volume"}</definedName>
    <definedName function="false" hidden="true" localSheetId="8" name="_b3" vbProcedure="false">{#N/A,#N/A,FALSE,"Volume"}</definedName>
    <definedName function="false" hidden="true" localSheetId="8" name="_b4" vbProcedure="false">{#N/A,#N/A,FALSE,"Volume"}</definedName>
    <definedName function="false" hidden="true" localSheetId="8" name="_b5" vbProcedure="false">{#N/A,#N/A,FALSE,"Volume"}</definedName>
    <definedName function="false" hidden="true" localSheetId="8" name="_bgn1" vbProcedure="false">{#N/A,#N/A,FALSE,"Sheet1"}</definedName>
    <definedName function="false" hidden="true" localSheetId="8" name="_b_0" vbProcedure="false">{#N/A,#N/A,FALSE,"Volume"}</definedName>
    <definedName function="false" hidden="true" localSheetId="8" name="_c" vbProcedure="false">{#N/A,#N/A,FALSE,"Volume"}</definedName>
    <definedName function="false" hidden="true" localSheetId="8" name="_c1" vbProcedure="false">{#N/A,#N/A,FALSE,"Volume"}</definedName>
    <definedName function="false" hidden="true" localSheetId="8" name="_c2" vbProcedure="false">{#N/A,#N/A,FALSE,"Volume"}</definedName>
    <definedName function="false" hidden="true" localSheetId="8" name="_c3" vbProcedure="false">{#N/A,#N/A,FALSE,"Volume"}</definedName>
    <definedName function="false" hidden="true" localSheetId="8" name="_c4" vbProcedure="false">{#N/A,#N/A,FALSE,"Volume"}</definedName>
    <definedName function="false" hidden="true" localSheetId="8" name="_cd1" vbProcedure="false">{#N/A,#N/A,FALSE,"Sheet1"}</definedName>
    <definedName function="false" hidden="true" localSheetId="8" name="_cf1" vbProcedure="false">{#N/A,#N/A,FALSE,"Sheet1"}</definedName>
    <definedName function="false" hidden="true" localSheetId="8" name="_d" vbProcedure="false">{#N/A,#N/A,FALSE,"Volume"}</definedName>
    <definedName function="false" hidden="true" localSheetId="8" name="_d1" vbProcedure="false">{#N/A,#N/A,FALSE,"Volume"}</definedName>
    <definedName function="false" hidden="true" localSheetId="8" name="_d2_" vbProcedure="false">{#N/A,#N/A,FALSE,"Volume"}</definedName>
    <definedName function="false" hidden="true" localSheetId="8" name="_d3" vbProcedure="false">{#N/A,#N/A,FALSE,"Volume"}</definedName>
    <definedName function="false" hidden="true" localSheetId="8" name="_d4" vbProcedure="false">{#N/A,#N/A,FALSE,"Volume"}</definedName>
    <definedName function="false" hidden="false" localSheetId="8" name="_DAT16" vbProcedure="false">'[37]sap serv 06-02'!#ref!</definedName>
    <definedName function="false" hidden="false" localSheetId="8" name="_DAT17" vbProcedure="false">'[37]sap serv 06-02'!#ref!</definedName>
    <definedName function="false" hidden="false" localSheetId="8" name="_DAT19" vbProcedure="false">'[37]sap serv 06-02'!#ref!</definedName>
    <definedName function="false" hidden="false" localSheetId="8" name="_DAT20" vbProcedure="false">'[37]sap serv 06-02'!#ref!</definedName>
    <definedName function="false" hidden="false" localSheetId="8" name="_DAT25" vbProcedure="false">'[37]sap serv 06-02'!#ref!</definedName>
    <definedName function="false" hidden="false" localSheetId="8" name="_DAT26" vbProcedure="false">'[37]sap serv 06-02'!#ref!</definedName>
    <definedName function="false" hidden="false" localSheetId="8" name="_DAT27" vbProcedure="false">'[37]sap serv 06-02'!#ref!</definedName>
    <definedName function="false" hidden="false" localSheetId="8" name="_DAT28" vbProcedure="false">'[37]sap serv 06-02'!#ref!</definedName>
    <definedName function="false" hidden="false" localSheetId="8" name="_DAT29" vbProcedure="false">'[37]sap serv 06-02'!#ref!</definedName>
    <definedName function="false" hidden="false" localSheetId="8" name="_DAT31" vbProcedure="false">'[37]sap serv 06-02'!#ref!</definedName>
    <definedName function="false" hidden="false" localSheetId="8" name="_DAT32" vbProcedure="false">'[37]sap serv 06-02'!#ref!</definedName>
    <definedName function="false" hidden="false" localSheetId="8" name="_DAT34" vbProcedure="false">'[37]sap serv 06-02'!#ref!</definedName>
    <definedName function="false" hidden="false" localSheetId="8" name="_DAT35" vbProcedure="false">'[37]sap serv 06-02'!#ref!</definedName>
    <definedName function="false" hidden="false" localSheetId="8" name="_DAT36" vbProcedure="false">'[37]sap serv 06-02'!#ref!</definedName>
    <definedName function="false" hidden="false" localSheetId="8" name="_DAT40" vbProcedure="false">'[37]sap serv 06-02'!#ref!</definedName>
    <definedName function="false" hidden="false" localSheetId="8" name="_DAT41" vbProcedure="false">'[37]sap serv 06-02'!#ref!</definedName>
    <definedName function="false" hidden="false" localSheetId="8" name="_DAT42" vbProcedure="false">'[37]sap serv 06-02'!#ref!</definedName>
    <definedName function="false" hidden="false" localSheetId="8" name="_DAT44" vbProcedure="false">'[37]sap serv 06-02'!#ref!</definedName>
    <definedName function="false" hidden="false" localSheetId="8" name="_DAT45" vbProcedure="false">'[37]sap serv 06-02'!#ref!</definedName>
    <definedName function="false" hidden="false" localSheetId="8" name="_DAT46" vbProcedure="false">'[37]sap serv 06-02'!#ref!</definedName>
    <definedName function="false" hidden="false" localSheetId="8" name="_DAT47" vbProcedure="false">'[37]sap serv 06-02'!#ref!</definedName>
    <definedName function="false" hidden="false" localSheetId="8" name="_DAT48" vbProcedure="false">'[37]sap serv 06-02'!#ref!</definedName>
    <definedName function="false" hidden="false" localSheetId="8" name="_DAT49" vbProcedure="false">'[37]sap serv 06-02'!#ref!</definedName>
    <definedName function="false" hidden="false" localSheetId="8" name="_DAT50" vbProcedure="false">'[37]sap serv 06-02'!#ref!</definedName>
    <definedName function="false" hidden="false" localSheetId="8" name="_DAT52" vbProcedure="false">'[37]sap serv 06-02'!#ref!</definedName>
    <definedName function="false" hidden="false" localSheetId="8" name="_DAT53" vbProcedure="false">'[37]sap serv 06-02'!#ref!</definedName>
    <definedName function="false" hidden="false" localSheetId="8" name="_DAT54" vbProcedure="false">'[37]sap serv 06-02'!#ref!</definedName>
    <definedName function="false" hidden="false" localSheetId="8" name="_DAT56" vbProcedure="false">'[37]sap serv 06-02'!#ref!</definedName>
    <definedName function="false" hidden="false" localSheetId="8" name="_DAT57" vbProcedure="false">'[37]sap serv 06-02'!#ref!</definedName>
    <definedName function="false" hidden="false" localSheetId="8" name="_DAT62" vbProcedure="false">'[37]sap serv 06-02'!#ref!</definedName>
    <definedName function="false" hidden="false" localSheetId="8" name="_DAT63" vbProcedure="false">'[37]sap serv 06-02'!#ref!</definedName>
    <definedName function="false" hidden="true" localSheetId="8" name="_e" vbProcedure="false">{#N/A,#N/A,FALSE,"Volume"}</definedName>
    <definedName function="false" hidden="true" localSheetId="8" name="_e1" vbProcedure="false">{#N/A,#N/A,FALSE,"Volume"}</definedName>
    <definedName function="false" hidden="true" localSheetId="8" name="_e2" vbProcedure="false">{#N/A,#N/A,FALSE,"Volume"}</definedName>
    <definedName function="false" hidden="true" localSheetId="8" name="_e3" vbProcedure="false">{#N/A,#N/A,FALSE,"Volume"}</definedName>
    <definedName function="false" hidden="true" localSheetId="8" name="_e4" vbProcedure="false">{#N/A,#N/A,FALSE,"Volume"}</definedName>
    <definedName function="false" hidden="false" localSheetId="8" name="_f" vbProcedure="false">'[2]run sheet'!#ref!</definedName>
    <definedName function="false" hidden="true" localSheetId="8" name="_f1" vbProcedure="false">{#N/A,#N/A,FALSE,"Volume"}</definedName>
    <definedName function="false" hidden="true" localSheetId="8" name="_f2" vbProcedure="false">{#N/A,#N/A,FALSE,"Volume"}</definedName>
    <definedName function="false" hidden="true" localSheetId="8" name="_f3" vbProcedure="false">{#N/A,#N/A,FALSE,"Volume"}</definedName>
    <definedName function="false" hidden="true" localSheetId="8" name="_f4" vbProcedure="false">{#N/A,#N/A,FALSE,"Volume"}</definedName>
    <definedName function="false" hidden="true" localSheetId="8" name="_f5" vbProcedure="false">{#N/A,#N/A,FALSE,"Volume"}</definedName>
    <definedName function="false" hidden="true" localSheetId="8" name="_f6" vbProcedure="false">{#N/A,#N/A,FALSE,"Volume"}</definedName>
    <definedName function="false" hidden="true" localSheetId="8" name="_f7" vbProcedure="false">{#N/A,#N/A,FALSE,"Volume"}</definedName>
    <definedName function="false" hidden="true" localSheetId="8" name="_Fill" vbProcedure="false">#ref!</definedName>
    <definedName function="false" hidden="true" localSheetId="8" name="_f_0" vbProcedure="false">{#N/A,#N/A,FALSE,"Volume"}</definedName>
    <definedName function="false" hidden="false" localSheetId="8" name="_g" vbProcedure="false">'[2]run sheet'!#ref!</definedName>
    <definedName function="false" hidden="true" localSheetId="8" name="_gmh1" vbProcedure="false">{#N/A,#N/A,FALSE,"Sheet1"}</definedName>
    <definedName function="false" hidden="true" localSheetId="8" name="_g_0" vbProcedure="false">{#N/A,#N/A,FALSE,"Volume"}</definedName>
    <definedName function="false" hidden="false" localSheetId="8" name="_h" vbProcedure="false">'[2]run sheet'!#ref!</definedName>
    <definedName function="false" hidden="true" localSheetId="8" name="_h_0" vbProcedure="false">{#N/A,#N/A,FALSE,"Volume"}</definedName>
    <definedName function="false" hidden="true" localSheetId="8" name="_i" vbProcedure="false">{#N/A,#N/A,FALSE,"Volume"}</definedName>
    <definedName function="false" hidden="true" localSheetId="8" name="_Key1" vbProcedure="false">#ref!</definedName>
    <definedName function="false" hidden="false" localSheetId="8" name="_lyc7" vbProcedure="false">[119]钻井日报表!$G$5</definedName>
    <definedName function="false" hidden="false" localSheetId="8" name="_num15" vbProcedure="false">'[31]data '!#ref!</definedName>
    <definedName function="false" hidden="true" localSheetId="8" name="_Order2" vbProcedure="false">255</definedName>
    <definedName function="false" hidden="true" localSheetId="8" name="_P" vbProcedure="false">{#N/A,#N/A,FALSE,"Volume"}</definedName>
    <definedName function="false" hidden="true" localSheetId="8" name="_P1" vbProcedure="false">{#N/A,#N/A,FALSE,"Volume"}</definedName>
    <definedName function="false" hidden="true" localSheetId="8" name="_P2" vbProcedure="false">{#N/A,#N/A,FALSE,"Volume"}</definedName>
    <definedName function="false" hidden="true" localSheetId="8" name="_P3" vbProcedure="false">{#N/A,#N/A,FALSE,"Volume"}</definedName>
    <definedName function="false" hidden="true" localSheetId="8" name="_P4" vbProcedure="false">{#N/A,#N/A,FALSE,"Volume"}</definedName>
    <definedName function="false" hidden="true" localSheetId="8" name="_pap1" vbProcedure="false">{#N/A,#N/A,FALSE,"Volume"}</definedName>
    <definedName function="false" hidden="true" localSheetId="8" name="_pap2" vbProcedure="false">{#N/A,#N/A,FALSE,"Volume"}</definedName>
    <definedName function="false" hidden="true" localSheetId="8" name="_pap3" vbProcedure="false">{#N/A,#N/A,FALSE,"Volume"}</definedName>
    <definedName function="false" hidden="true" localSheetId="8" name="_pap4" vbProcedure="false">{#N/A,#N/A,FALSE,"Volume"}</definedName>
    <definedName function="false" hidden="true" localSheetId="8" name="_pap5" vbProcedure="false">{#N/A,#N/A,FALSE,"Volume"}</definedName>
    <definedName function="false" hidden="false" localSheetId="8" name="_PPH1" vbProcedure="false">[40]!Calculate_Pipe</definedName>
    <definedName function="false" hidden="false" localSheetId="8" name="_q" vbProcedure="false">'[3]run sheet'!#ref!</definedName>
    <definedName function="false" hidden="false" localSheetId="8" name="_r06" vbProcedure="false">[41]!AutoCAD</definedName>
    <definedName function="false" hidden="true" localSheetId="8" name="_Regression_Out" vbProcedure="false">#ref!</definedName>
    <definedName function="false" hidden="true" localSheetId="8" name="_Regression_X" vbProcedure="false">#ref!</definedName>
    <definedName function="false" hidden="true" localSheetId="8" name="_Regression_Y" vbProcedure="false">#ref!</definedName>
    <definedName function="false" hidden="true" localSheetId="8" name="_Sort" vbProcedure="false">#ref!</definedName>
    <definedName function="false" hidden="false" localSheetId="8" name="_SPM1" vbProcedure="false">[16]!Macro1</definedName>
    <definedName function="false" hidden="false" localSheetId="8" name="_SSA1" vbProcedure="false">[43]!Macro46</definedName>
    <definedName function="false" hidden="false" localSheetId="8" name="_T" vbProcedure="false">'[4]cumulative temp diff'!#ref!</definedName>
    <definedName function="false" hidden="true" localSheetId="8" name="_Table1_In1" vbProcedure="false">[103]Run!$E$575</definedName>
    <definedName function="false" hidden="true" localSheetId="8" name="_Table1_Out" vbProcedure="false">[103]Run!$C$16:$E$577</definedName>
    <definedName function="false" hidden="true" localSheetId="8" name="_Table2_In1" vbProcedure="false">#ref!</definedName>
    <definedName function="false" hidden="true" localSheetId="8" name="_Table2_Out" vbProcedure="false">#ref!</definedName>
    <definedName function="false" hidden="false" localSheetId="8" name="_TST2" vbProcedure="false">'[109]Liner Job Info'!$O$7</definedName>
    <definedName function="false" hidden="true" localSheetId="8" name="_T_0" vbProcedure="false">{#N/A,#N/A,FALSE,"Volume"}</definedName>
    <definedName function="false" hidden="false" localSheetId="8" name="_UA38" vbProcedure="false">[27]!_UA38</definedName>
    <definedName function="false" hidden="false" localSheetId="8" name="_V" vbProcedure="false">#ref!</definedName>
    <definedName function="false" hidden="true" localSheetId="8" name="_wrn1" vbProcedure="false">{#N/A,#N/A,FALSE,"Volume"}</definedName>
    <definedName function="false" hidden="true" localSheetId="8" name="_x" vbProcedure="false">{#N/A,#N/A,FALSE,"Volume"}</definedName>
    <definedName function="false" hidden="true" localSheetId="8" name="_xa" vbProcedure="false">{#N/A,#N/A,FALSE,"Volume"}</definedName>
    <definedName function="false" hidden="true" localSheetId="8" name="_xb" vbProcedure="false">{#N/A,#N/A,FALSE,"Volume"}</definedName>
    <definedName function="false" hidden="true" localSheetId="8" name="_xc" vbProcedure="false">{#N/A,#N/A,FALSE,"Volume"}</definedName>
    <definedName function="false" hidden="false" localSheetId="8" name="_xlnm.Database" vbProcedure="false">#ref!</definedName>
    <definedName function="false" hidden="false" localSheetId="8" name="_xlnm.Extract" vbProcedure="false">[180]BOOK5!$C$1:$C$65536</definedName>
    <definedName function="false" hidden="true" localSheetId="8" name="_z" vbProcedure="false">{#N/A,#N/A,FALSE,"Volume"}</definedName>
    <definedName function="false" hidden="true" localSheetId="8" name="_z1" vbProcedure="false">{#N/A,#N/A,FALSE,"Volume"}</definedName>
    <definedName function="false" hidden="true" localSheetId="8" name="_z2" vbProcedure="false">{#N/A,#N/A,FALSE,"Volume"}</definedName>
    <definedName function="false" hidden="true" localSheetId="8" name="_z3" vbProcedure="false">{#N/A,#N/A,FALSE,"Volume"}</definedName>
    <definedName function="false" hidden="true" localSheetId="8" name="_z4" vbProcedure="false">{#N/A,#N/A,FALSE,"Volume"}</definedName>
    <definedName function="false" hidden="false" localSheetId="8" name="__" vbProcedure="false">'[113]#REF'!$E$29</definedName>
    <definedName function="false" hidden="true" localSheetId="8" name="__123Graph_A" vbProcedure="false">[103]Run!$B$18:$B$512</definedName>
    <definedName function="false" hidden="true" localSheetId="8" name="__123Graph_B" vbProcedure="false">'[102]Minimum Curve Method'!$K$9:$K$152</definedName>
    <definedName function="false" hidden="true" localSheetId="8" name="__123Graph_C" vbProcedure="false">[103]Run!$C$16:$C$512</definedName>
    <definedName function="false" hidden="true" localSheetId="8" name="__123Graph_D" vbProcedure="false">[103]Run!$D$15:$D$512</definedName>
    <definedName function="false" hidden="true" localSheetId="8" name="__123Graph_E" vbProcedure="false">[103]Run!$E$16:$E$514</definedName>
    <definedName function="false" hidden="true" localSheetId="8" name="__123Graph_F" vbProcedure="false">[103]Run!$F$16:$F$514</definedName>
    <definedName function="false" hidden="true" localSheetId="8" name="__123Graph_X" vbProcedure="false">'[102]Minimum Curve Method'!$K$9:$K$152</definedName>
    <definedName function="false" hidden="false" localSheetId="8" name="__1Module2__2__.gaugeconok2" vbProcedure="false">[27]!__1Module2__2__.gaugeconok2</definedName>
    <definedName function="false" hidden="false" localSheetId="8" name="__2Module2__2__.gaugeok2" vbProcedure="false">[27]!__2Module2__2__.gaugeok2</definedName>
    <definedName function="false" hidden="false" localSheetId="8" name="__3Module2__2__.gaugeselect2" vbProcedure="false">[27]!__3Module2__2__.gaugeselect2</definedName>
    <definedName function="false" hidden="false" localSheetId="8" name="__4Module2__2__.serialselect3" vbProcedure="false">[27]!__4Module2__2__.serialselect3</definedName>
    <definedName function="false" hidden="false" localSheetId="8" name="__5Module2__2__.serialselect4" vbProcedure="false">[27]!__5Module2__2__.serialselect4</definedName>
    <definedName function="false" hidden="true" localSheetId="8" name="__A4" vbProcedure="false">[179]Run!$B$18:$B$512</definedName>
    <definedName function="false" hidden="false" localSheetId="8" name="__bb2789" vbProcedure="false">[9]!Calculate_Pipe</definedName>
    <definedName function="false" hidden="false" localSheetId="8" name="__SPM1" vbProcedure="false">[16]!Macro1</definedName>
    <definedName function="false" hidden="false" localSheetId="8" name="__UA38" vbProcedure="false">[27]!__UA38</definedName>
    <definedName function="false" hidden="true" localSheetId="8" name="__wrn1" vbProcedure="false">{#N/A,#N/A,FALSE,"Volume"}</definedName>
    <definedName function="false" hidden="true" localSheetId="8" name="___A4" vbProcedure="false">[179]Run!$B$18:$B$512</definedName>
    <definedName function="false" hidden="false" localSheetId="8" name="___bb2789" vbProcedure="false">[9]!Calculate_Pipe</definedName>
    <definedName function="false" hidden="false" localSheetId="8" name="___SPM1" vbProcedure="false">[16]!Macro1</definedName>
    <definedName function="false" hidden="true" localSheetId="8" name="___wrn1" vbProcedure="false">{#N/A,#N/A,FALSE,"Volume"}</definedName>
    <definedName function="false" hidden="true" localSheetId="8" name="____A4" vbProcedure="false">[179]Run!$B$18:$B$512</definedName>
    <definedName function="false" hidden="false" localSheetId="8" name="____bb2789" vbProcedure="false">[9]!Calculate_Pipe</definedName>
    <definedName function="false" hidden="false" localSheetId="8" name="____SPM1" vbProcedure="false">[16]!Macro1</definedName>
    <definedName function="false" hidden="true" localSheetId="8" name="____wrn1" vbProcedure="false">{#N/A,#N/A,FALSE,"Volume"}</definedName>
    <definedName function="false" hidden="true" localSheetId="8" name="_____A4" vbProcedure="false">[179]Run!$B$18:$B$512</definedName>
    <definedName function="false" hidden="false" localSheetId="8" name="_____bb2789" vbProcedure="false">[9]!Calculate_Pipe</definedName>
    <definedName function="false" hidden="false" localSheetId="8" name="_____SPM1" vbProcedure="false">[16]!Macro1</definedName>
    <definedName function="false" hidden="true" localSheetId="8" name="_____wrn1" vbProcedure="false">{#N/A,#N/A,FALSE,"Volume"}</definedName>
    <definedName function="false" hidden="true" localSheetId="8" name="______A4" vbProcedure="false">[179]Run!$B$18:$B$512</definedName>
    <definedName function="false" hidden="false" localSheetId="8" name="______bb2789" vbProcedure="false">[9]!Calculate_Pipe</definedName>
    <definedName function="false" hidden="false" localSheetId="8" name="______SPM1" vbProcedure="false">[16]!Macro1</definedName>
    <definedName function="false" hidden="true" localSheetId="8" name="_______A4" vbProcedure="false">[179]Run!$B$18:$B$512</definedName>
    <definedName function="false" hidden="false" localSheetId="8" name="_______bb2789" vbProcedure="false">[9]!Calculate_Pipe</definedName>
    <definedName function="false" hidden="true" localSheetId="8" name="_______wrn1" vbProcedure="false">{#N/A,#N/A,FALSE,"Volume"}</definedName>
    <definedName function="false" hidden="true" localSheetId="8" name="________A4" vbProcedure="false">[179]Run!$B$18:$B$512</definedName>
    <definedName function="false" hidden="false" localSheetId="8" name="________bb2789" vbProcedure="false">[9]!Calculate_Pipe</definedName>
    <definedName function="false" hidden="true" localSheetId="8" name="_________A4" vbProcedure="false">[179]Run!$B$18:$B$512</definedName>
    <definedName function="false" hidden="false" localSheetId="8" name="_________bb2789" vbProcedure="false">[9]!Calculate_Pipe</definedName>
    <definedName function="false" hidden="true" localSheetId="8" name="_________wrn1" vbProcedure="false">{#N/A,#N/A,FALSE,"Volume"}</definedName>
    <definedName function="false" hidden="true" localSheetId="8" name="__________A4" vbProcedure="false">[179]Run!$B$18:$B$512</definedName>
    <definedName function="false" hidden="false" localSheetId="8" name="__________bb2789" vbProcedure="false">[14]!Calculate_Pipe</definedName>
    <definedName function="false" hidden="true" localSheetId="8" name="___________A4" vbProcedure="false">[179]Run!$B$18:$B$512</definedName>
    <definedName function="false" hidden="false" localSheetId="8" name="___________bb2789" vbProcedure="false">[14]!Calculate_Pipe</definedName>
    <definedName function="false" hidden="true" localSheetId="8" name="___________wrn1" vbProcedure="false">{#N/A,#N/A,FALSE,"Volume"}</definedName>
    <definedName function="false" hidden="true" localSheetId="8" name="____________A4" vbProcedure="false">[179]Run!$B$18:$B$512</definedName>
    <definedName function="false" hidden="false" localSheetId="8" name="____________bb2789" vbProcedure="false">[14]!Calculate_Pipe</definedName>
    <definedName function="false" hidden="true" localSheetId="8" name="____________wrn1" vbProcedure="false">{#N/A,#N/A,FALSE,"Volume"}</definedName>
    <definedName function="false" hidden="true" localSheetId="8" name="_____________A4" vbProcedure="false">[179]Run!$B$18:$B$512</definedName>
    <definedName function="false" hidden="false" localSheetId="8" name="_____________bb2789" vbProcedure="false">[14]!Calculate_Pipe</definedName>
    <definedName function="false" hidden="true" localSheetId="8" name="______________A4" vbProcedure="false">[179]Run!$B$18:$B$512</definedName>
    <definedName function="false" hidden="false" localSheetId="8" name="______________bb2789" vbProcedure="false">[14]!Calculate_Pipe</definedName>
    <definedName function="false" hidden="true" localSheetId="8" name="_______________A4" vbProcedure="false">[179]Run!$B$18:$B$512</definedName>
    <definedName function="false" hidden="false" localSheetId="8" name="_______________bb2789" vbProcedure="false">[14]!Calculate_Pipe</definedName>
    <definedName function="false" hidden="true" localSheetId="8" name="________________A4" vbProcedure="false">[179]Run!$B$18:$B$512</definedName>
    <definedName function="false" hidden="false" localSheetId="8" name="________________bb2789" vbProcedure="false">[9]!Calculate_Pipe</definedName>
    <definedName function="false" hidden="true" localSheetId="8" name="_________________A4" vbProcedure="false">[179]Run!$B$18:$B$512</definedName>
    <definedName function="false" hidden="true" localSheetId="8" name="__________________A4" vbProcedure="false">[179]Run!$B$18:$B$512</definedName>
    <definedName function="false" hidden="false" localSheetId="8" name="__________________bb2789" vbProcedure="false">[11]!Calculate_Pipe</definedName>
    <definedName function="false" hidden="true" localSheetId="8" name="___________________A4" vbProcedure="false">[179]Run!$B$18:$B$512</definedName>
    <definedName function="false" hidden="false" localSheetId="8" name="___________________bb2789" vbProcedure="false">[11]!Calculate_Pipe</definedName>
    <definedName function="false" hidden="true" localSheetId="8" name="____________________A4" vbProcedure="false">[100]Run!$B$18:$B$512</definedName>
    <definedName function="false" hidden="false" localSheetId="8" name="____________________bb2789" vbProcedure="false">[9]!Calculate_Pipe</definedName>
    <definedName function="false" hidden="true" localSheetId="8" name="_____________________A4" vbProcedure="false">[179]Run!$B$18:$B$512</definedName>
    <definedName function="false" hidden="false" localSheetId="8" name="_____________________bb2789" vbProcedure="false">[12]!Calculate_Pipe</definedName>
    <definedName function="false" hidden="true" localSheetId="8" name="______________________A4" vbProcedure="false">[100]Run!$B$18:$B$512</definedName>
    <definedName function="false" hidden="false" localSheetId="8" name="______________________bb2789" vbProcedure="false">[9]!Calculate_Pipe</definedName>
    <definedName function="false" hidden="true" localSheetId="8" name="_______________________A4" vbProcedure="false">[100]Run!$B$18:$B$512</definedName>
    <definedName function="false" hidden="false" localSheetId="8" name="_______________________bb2789" vbProcedure="false">[9]!Calculate_Pipe</definedName>
    <definedName function="false" hidden="true" localSheetId="8" name="________________________A4" vbProcedure="false">[100]Run!$B$18:$B$512</definedName>
    <definedName function="false" hidden="false" localSheetId="8" name="________________________bb2789" vbProcedure="false">[11]!Calculate_Pipe</definedName>
    <definedName function="false" hidden="false" localSheetId="8" name="_________________________bb2789" vbProcedure="false">[9]!Calculate_Pipe</definedName>
    <definedName function="false" hidden="true" localSheetId="8" name="__________________________A4" vbProcedure="false">[100]Run!$B$18:$B$512</definedName>
    <definedName function="false" hidden="true" localSheetId="8" name="___________________________A4" vbProcedure="false">[100]Run!$B$18:$B$512</definedName>
    <definedName function="false" hidden="false" localSheetId="8" name="歼击机" vbProcedure="false">[119]钻井日报表!$E$7</definedName>
    <definedName function="false" hidden="false" localSheetId="8" name="起始日期" vbProcedure="false">[181]钻井日报表!$B$1</definedName>
    <definedName function="false" hidden="true" localSheetId="9" name="a" vbProcedure="false">#ref!</definedName>
    <definedName function="false" hidden="false" localSheetId="9" name="AA" vbProcedure="false">#ref!</definedName>
    <definedName function="false" hidden="false" localSheetId="9" name="aa.macro111" vbProcedure="false">[48]!Prev.Macro111</definedName>
    <definedName function="false" hidden="false" localSheetId="9" name="aaaa" vbProcedure="false">[49]!Macro59</definedName>
    <definedName function="false" hidden="true" localSheetId="9" name="ABX" vbProcedure="false">[103]Run!$B$18:$B$512</definedName>
    <definedName function="false" hidden="false" localSheetId="9" name="addresstwo" vbProcedure="false">[54]data!#ref!</definedName>
    <definedName function="false" hidden="false" localSheetId="9" name="ADDSTAB" vbProcedure="false">[55]!ADDSTAB</definedName>
    <definedName function="false" hidden="false" localSheetId="9" name="adf" vbProcedure="false">[56]!Macro60</definedName>
    <definedName function="false" hidden="false" localSheetId="9" name="ae" vbProcedure="false">'[104]forecast 3YP'!$AD$6</definedName>
    <definedName function="false" hidden="true" localSheetId="9"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ALL" vbProcedure="false">'[44]7-30-04'!$W$55:$IV$7457</definedName>
    <definedName function="false" hidden="false" localSheetId="9" name="AMACRO.n2foam" vbProcedure="false">'[61]tool backload dt'!amacro.n2foam</definedName>
    <definedName function="false" hidden="false" localSheetId="9" name="Ambient_temp" vbProcedure="false">'[6]#ref'!#ref!</definedName>
    <definedName function="false" hidden="false" localSheetId="9" name="amis" vbProcedure="false">[105]Tally!$A$5:$J$825</definedName>
    <definedName function="false" hidden="false" localSheetId="9" name="ANDERGAUGE" vbProcedure="false">[55]!ANDERGAUGE</definedName>
    <definedName function="false" hidden="false" localSheetId="9" name="annularvol" vbProcedure="false">[106]Data!$F$13</definedName>
    <definedName function="false" hidden="false" localSheetId="9" name="Ao" vbProcedure="false">[107]Piston!$F$5</definedName>
    <definedName function="false" hidden="false" localSheetId="9" name="Ap" vbProcedure="false">[107]Piston!$F$6</definedName>
    <definedName function="false" hidden="false" localSheetId="9" name="Approver_Objectives" vbProcedure="false">'[70]well team goals'!#ref!</definedName>
    <definedName function="false" hidden="false" localSheetId="9" name="Approver_Well_Plan" vbProcedure="false">'[70]well team goals'!#ref!</definedName>
    <definedName function="false" hidden="false" localSheetId="9" name="ASDA" vbProcedure="false">[71]!Calculate_Pipe</definedName>
    <definedName function="false" hidden="false" localSheetId="9" name="ASS" vbProcedure="false">[72]!JointNumber</definedName>
    <definedName function="false" hidden="false" localSheetId="9" name="Assembly1" vbProcedure="false">[72]!Calculate_Pipe</definedName>
    <definedName function="false" hidden="false" localSheetId="9" name="assy.3" vbProcedure="false">[72]!Calculate_Pipe</definedName>
    <definedName function="false" hidden="false" localSheetId="9" name="ASSY.6" vbProcedure="false">[72]!Calculate_Pipe</definedName>
    <definedName function="false" hidden="false" localSheetId="9" name="ASSY2312" vbProcedure="false">[27]!Macro1</definedName>
    <definedName function="false" hidden="false" localSheetId="9" name="ASSY7" vbProcedure="false">[40]!Calculate_Pipe</definedName>
    <definedName function="false" hidden="false" localSheetId="9" name="ASSY_098" vbProcedure="false">[72]!JointNumber</definedName>
    <definedName function="false" hidden="false" localSheetId="9" name="ASSY_122" vbProcedure="false">[27]!Macro1</definedName>
    <definedName function="false" hidden="false" localSheetId="9" name="ASSY_123" vbProcedure="false">[72]!JointNumber</definedName>
    <definedName function="false" hidden="false" localSheetId="9" name="ASSY_2111" vbProcedure="false">[27]!Macro1</definedName>
    <definedName function="false" hidden="false" localSheetId="9" name="ASSY_231" vbProcedure="false">[27]!Macro1</definedName>
    <definedName function="false" hidden="false" localSheetId="9" name="ASSY_342" vbProcedure="false">[27]!Macro1</definedName>
    <definedName function="false" hidden="false" localSheetId="9" name="ASSY_36" vbProcedure="false">[27]!Macro1</definedName>
    <definedName function="false" hidden="false" localSheetId="9" name="ASSY_4" vbProcedure="false">[27]!Macro1</definedName>
    <definedName function="false" hidden="false" localSheetId="9" name="ASSY_432" vbProcedure="false">[27]!Macro1</definedName>
    <definedName function="false" hidden="false" localSheetId="9" name="assy_5" vbProcedure="false">[72]!JointNumber</definedName>
    <definedName function="false" hidden="false" localSheetId="9" name="assy_543" vbProcedure="false">[72]!JointNumber</definedName>
    <definedName function="false" hidden="false" localSheetId="9" name="Assy_765" vbProcedure="false">[72]!Calculate_Pipe</definedName>
    <definedName function="false" hidden="false" localSheetId="9" name="ASSy_blast" vbProcedure="false">[72]!Calculate_Pipe</definedName>
    <definedName function="false" hidden="false" localSheetId="9" name="ASSY_W2" vbProcedure="false">[72]!Calculate_Pipe</definedName>
    <definedName function="false" hidden="false" localSheetId="9" name="AutoCAD" vbProcedure="false">[41]!AutoCAD</definedName>
    <definedName function="false" hidden="false" localSheetId="9" name="AutoCAD_1" vbProcedure="false">[27]!AutoCAD</definedName>
    <definedName function="false" hidden="false" localSheetId="9" name="AutoCAD_10" vbProcedure="false">[27]!AutoCAD</definedName>
    <definedName function="false" hidden="false" localSheetId="9" name="AutoCAD_11" vbProcedure="false">[27]!AutoCAD</definedName>
    <definedName function="false" hidden="false" localSheetId="9" name="AutoCAD_2" vbProcedure="false">[27]!AutoCAD</definedName>
    <definedName function="false" hidden="false" localSheetId="9" name="AutoCAD_3" vbProcedure="false">[27]!AutoCAD</definedName>
    <definedName function="false" hidden="false" localSheetId="9" name="AutoCAD_4" vbProcedure="false">[27]!AutoCAD</definedName>
    <definedName function="false" hidden="false" localSheetId="9" name="AutoCAD_5" vbProcedure="false">[27]!AutoCAD</definedName>
    <definedName function="false" hidden="false" localSheetId="9" name="AutoCAD_6" vbProcedure="false">[27]!AutoCAD</definedName>
    <definedName function="false" hidden="false" localSheetId="9" name="AutoCAD_7" vbProcedure="false">[27]!AutoCAD</definedName>
    <definedName function="false" hidden="false" localSheetId="9" name="AutoCAD_8" vbProcedure="false">[27]!AutoCAD</definedName>
    <definedName function="false" hidden="false" localSheetId="9" name="AutoCAD_9" vbProcedure="false">[27]!AutoCAD</definedName>
    <definedName function="false" hidden="false" localSheetId="9" name="Aux_BHA_ID" vbProcedure="false">'[108]Job Calculation Sheet'!$F$20</definedName>
    <definedName function="false" hidden="false" localSheetId="9" name="Aux_BHA_OD" vbProcedure="false">'[108]Job Calculation Sheet'!$E$20</definedName>
    <definedName function="false" hidden="false" localSheetId="9" name="AvgJoint" vbProcedure="false">[109]DATA!$BO$2:$BO$9</definedName>
    <definedName function="false" hidden="false" localSheetId="9" name="AvgLength" vbProcedure="false">'[76]casing talley'!#ref!</definedName>
    <definedName function="false" hidden="true" localSheetId="9" name="axj" vbProcedure="false">{#N/A,#N/A,FALSE,"Sheet1"}</definedName>
    <definedName function="false" hidden="false" localSheetId="9" name="A_L" vbProcedure="false">'[47]12(762mm)套管'!#ref!</definedName>
    <definedName function="false" hidden="true" localSheetId="9" name="b" vbProcedure="false">#ref!</definedName>
    <definedName function="false" hidden="false" localSheetId="9" name="back" vbProcedure="false">'[61]tool backload dt'!back</definedName>
    <definedName function="false" hidden="false" localSheetId="9" name="BallMaterial" vbProcedure="false">[109]DATA!$BL$2:$BL$11</definedName>
    <definedName function="false" hidden="false" localSheetId="9" name="Ballooning_Area" vbProcedure="false">[109]Test!$M$18</definedName>
    <definedName function="false" hidden="false" localSheetId="9" name="Ballseat" vbProcedure="false">[109]DATA!$AG$2:$AG$9</definedName>
    <definedName function="false" hidden="false" localSheetId="9" name="BallSize" vbProcedure="false">[109]DATA!$BF$3:$BF$8</definedName>
    <definedName function="false" hidden="false" localSheetId="9" name="basicok" vbProcedure="false">'JOB ORDER '!basicok</definedName>
    <definedName function="false" hidden="false" localSheetId="9" name="BBB" vbProcedure="false">'[110]DD Worksheet'!$C$1</definedName>
    <definedName function="false" hidden="false" localSheetId="9" name="bbbbb" vbProcedure="false">[79]!Macro61</definedName>
    <definedName function="false" hidden="false" localSheetId="9" name="bbllm3" vbProcedure="false">'[109]Metric Conversions'!$B$69</definedName>
    <definedName function="false" hidden="false" localSheetId="9" name="bblstk" vbProcedure="false">'[109]Displacement Cal.'!$B$7</definedName>
    <definedName function="false" hidden="false" localSheetId="9" name="BD" vbProcedure="false">INDEX([111]DRAW!$A$2:$B$13,MATCH([112]AUTO_DHWS!$AV$15,[111]DRAW!$A$2:$A$13,0),2)</definedName>
    <definedName function="false" hidden="false" localSheetId="9" name="BD_SC" vbProcedure="false">INDEX([111]DRAW!$A$2:$B$13,MATCH([112]AUTO_DHWS!$AV$16,[111]DRAW!$A$2:$A$13,0),2)</definedName>
    <definedName function="false" hidden="false" localSheetId="9" name="BD_TB" vbProcedure="false">INDEX([111]DRAW!$A$2:$B$13,MATCH([112]AUTO_DHWS!$AV$9,[111]DRAW!$A$2:$A$13,0),2)</definedName>
    <definedName function="false" hidden="true" localSheetId="9" name="bgn" vbProcedure="false">{#N/A,#N/A,FALSE,"Sheet1"}</definedName>
    <definedName function="false" hidden="false" localSheetId="9" name="BHT" vbProcedure="false">'[94]Job Technical Info'!$D$42</definedName>
    <definedName function="false" hidden="false" localSheetId="9" name="Bitsize" vbProcedure="false">[109]DATA!$L$2:$L$41</definedName>
    <definedName function="false" hidden="false" localSheetId="9" name="bj_stroke" vbProcedure="false">'[109]Metric Conversions'!$B$35</definedName>
    <definedName function="false" hidden="false" localSheetId="9" name="bj_strokez" vbProcedure="false">'[109]Metric Conversions'!$C$35</definedName>
    <definedName function="false" hidden="false" localSheetId="9" name="BJ_Tens" vbProcedure="false">'[109]Liner Job Info'!$P$45</definedName>
    <definedName function="false" hidden="false" localSheetId="9" name="blanklength" vbProcedure="false">'[113]#REF'!$J$13</definedName>
    <definedName function="false" hidden="false" localSheetId="9" name="blankod" vbProcedure="false">'[113]#REF'!$F$13</definedName>
    <definedName function="false" hidden="false" localSheetId="9" name="BLANK_COVERED_NV" vbProcedure="false">'[113]#REF'!$G$111</definedName>
    <definedName function="false" hidden="false" localSheetId="9" name="BLANK_LENGTH" vbProcedure="false">'[113]#REF'!$J$13</definedName>
    <definedName function="false" hidden="false" localSheetId="9" name="BLANK_OD" vbProcedure="false">'[113]#REF'!$F$13</definedName>
    <definedName function="false" hidden="false" localSheetId="9" name="block" vbProcedure="false">[5]WTR!$I$5</definedName>
    <definedName function="false" hidden="false" localSheetId="9" name="Block_Field" vbProcedure="false">'[108]Pre-Job Info Sheet'!$D$7</definedName>
    <definedName function="false" hidden="false" localSheetId="9" name="BLock_TD_Wt" vbProcedure="false">'[30]Liner Job Info'!$D$33</definedName>
    <definedName function="false" hidden="false" localSheetId="9" name="Block_Wt" vbProcedure="false">'[109]Weight Calculations'!$H$14</definedName>
    <definedName function="false" hidden="false" localSheetId="9" name="bOB" vbProcedure="false">[114]Volumes!$K$1:$Y$76</definedName>
    <definedName function="false" hidden="false" localSheetId="9" name="BOT" vbProcedure="false">'[94]Job Technical Info'!$A$4</definedName>
    <definedName function="false" hidden="false" localSheetId="9" name="Bottom_Hole_Temp." vbProcedure="false">'[108]Pre-Job Info Sheet'!$B$34</definedName>
    <definedName function="false" hidden="false" localSheetId="9" name="Bottom_Perforation" vbProcedure="false">'[108]Pre-Job Info Sheet'!$B$29</definedName>
    <definedName function="false" hidden="false" localSheetId="9" name="Bottom_Shot" vbProcedure="false">'[108]TCP-BHA'!$H$36</definedName>
    <definedName function="false" hidden="false" localSheetId="9" name="BPLimit" vbProcedure="false">[83]!TubTable[[340]:[438]]</definedName>
    <definedName function="false" hidden="false" localSheetId="9" name="BR_Column" vbProcedure="false">null</definedName>
    <definedName function="false" hidden="false" localSheetId="9" name="BR_Unit" vbProcedure="false">null</definedName>
    <definedName function="false" hidden="false" localSheetId="9" name="bs" vbProcedure="false">'[115]Max-Torq'!$Q$79</definedName>
    <definedName function="false" hidden="false" localSheetId="9" name="bsw" vbProcedure="false">'[93]well test sheet'!#ref!</definedName>
    <definedName function="false" hidden="false" localSheetId="9" name="Budget_owner" vbProcedure="false">'[70]well specification'!#ref!</definedName>
    <definedName function="false" hidden="false" localSheetId="9" name="Buoy_Factor" vbProcedure="false">'[30]Liner Job Info'!$D$32</definedName>
    <definedName function="false" hidden="false" localSheetId="9" name="bxf" vbProcedure="false">'[115]Max-Torq'!$P$62</definedName>
    <definedName function="false" hidden="false" localSheetId="9" name="BypassRate" vbProcedure="false">[83]!TubTable[[340]:[438]]</definedName>
    <definedName function="false" hidden="true" localSheetId="9" name="Ca" vbProcedure="false">{#N/A,#N/A,FALSE,"Drlg Param Run 1-1";#N/A,#N/A,FALSE,"DDR (3)";#N/A,#N/A,FALSE,"BHA AT (1)";#N/A,#N/A,FALSE,"Downlinkbha";#N/A,#N/A,FALSE,"Job Status Report"}</definedName>
    <definedName function="false" hidden="false" localSheetId="9" name="CABLE2_1" vbProcedure="false">INDEX([111]DRAW!$L$52:$M$54,MATCH([112]AUTO_DHWS!$AY$8,[111]DRAW!$L$52:$L$54,0),2)</definedName>
    <definedName function="false" hidden="false" localSheetId="9" name="CABLE2_2" vbProcedure="false">INDEX([111]DRAW!$L$52:$M$56,MATCH([112]AUTO_DHWS!$AY$9,[111]DRAW!$L$52:$L$56,0),2)</definedName>
    <definedName function="false" hidden="false" localSheetId="9" name="CABLE_1" vbProcedure="false">INDEX([111]DRAW!$L$52:$M$53,MATCH([112]AUTO_DHWS!$AY$4,[111]DRAW!$L$52:$L$53,0),2)</definedName>
    <definedName function="false" hidden="false" localSheetId="9" name="CABLE_2" vbProcedure="false">INDEX([111]DRAW!$L$52:$M$56,MATCH([112]AUTO_DHWS!$AY$5,[111]DRAW!$L$52:$L$56,0),2)</definedName>
    <definedName function="false" hidden="false" localSheetId="9" name="CABLE_3" vbProcedure="false">INDEX([111]DRAW!$M$57:$N$63,MATCH([112]AUTO_DHWS!$AY$6,[111]DRAW!$M$57:$M$63,0),2)</definedName>
    <definedName function="false" hidden="false" localSheetId="9" name="CalculatePipe" vbProcedure="false">[72]!Calculate_Pipe</definedName>
    <definedName function="false" hidden="false" localSheetId="9" name="Calculate_Pipe" vbProcedure="false">[96]!Calculate_Pipe</definedName>
    <definedName function="false" hidden="false" localSheetId="9" name="Cancel" vbProcedure="false">[97]!Cancel</definedName>
    <definedName function="false" hidden="false" localSheetId="9" name="Capacities" vbProcedure="false">'[116]Kill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function="false" hidden="false" localSheetId="9" name="CAP_XO_PORT" vbProcedure="false">'[113]#REF'!$G$188</definedName>
    <definedName function="false" hidden="false" localSheetId="9" name="CARRIER_FL_WT" vbProcedure="false">'[113]#REF'!$F$67</definedName>
    <definedName function="false" hidden="false" localSheetId="9" name="CARR_FL_VISCOSITY" vbProcedure="false">'[113]#REF'!$I$106</definedName>
    <definedName function="false" hidden="false" localSheetId="9" name="CARR_FL_VOL_PREPACK" vbProcedure="false">'[113]#REF'!$F$47</definedName>
    <definedName function="false" hidden="false" localSheetId="9" name="Carr_fl_wt_prepack" vbProcedure="false">'[113]#REF'!$F$46</definedName>
    <definedName function="false" hidden="false" localSheetId="9" name="casingcolumn" vbProcedure="false">[106]Data!$J$17</definedName>
    <definedName function="false" hidden="false" localSheetId="9" name="casingid" vbProcedure="false">'[113]#REF'!$H$11</definedName>
    <definedName function="false" hidden="false" localSheetId="9" name="casingidref" vbProcedure="false">[106]Data!$GC$1</definedName>
    <definedName function="false" hidden="false" localSheetId="9" name="casinginfuserate" vbProcedure="false">'[113]#REF'!$K$50</definedName>
    <definedName function="false" hidden="false" localSheetId="9" name="casingliner" vbProcedure="false">[106]Data!$E$45</definedName>
    <definedName function="false" hidden="false" localSheetId="9" name="casingod" vbProcedure="false">'[113]#REF'!$F$11</definedName>
    <definedName function="false" hidden="false" localSheetId="9" name="CasingSize" vbProcedure="false">'[117]Well Installation Drawing'!$E$15</definedName>
    <definedName function="false" hidden="false" localSheetId="9" name="CasingWeight" vbProcedure="false">'[117]Well Installation Drawing'!$G$15</definedName>
    <definedName function="false" hidden="false" localSheetId="9" name="casingwt" vbProcedure="false">'[113]#REF'!$J$11</definedName>
    <definedName function="false" hidden="false" localSheetId="9" name="Casing_Collapsez" vbProcedure="false">'[109]Liner Job Info'!$J$14</definedName>
    <definedName function="false" hidden="false" localSheetId="9" name="Casing_I.D." vbProcedure="false">'[108]Job Calculation Sheet'!$F$13</definedName>
    <definedName function="false" hidden="false" localSheetId="9" name="Casing_Liner" vbProcedure="false">'[94]Installation Results #1'!$C$27</definedName>
    <definedName function="false" hidden="false" localSheetId="9" name="Casing_Size" vbProcedure="false">'[108]Pre-Job Info Sheet'!$D$15</definedName>
    <definedName function="false" hidden="false" localSheetId="9" name="Casing_Size_Weight" vbProcedure="false">'[108]TCP-BHA'!$I$5</definedName>
    <definedName function="false" hidden="false" localSheetId="9" name="Casing_Weight" vbProcedure="false">'[108]Pre-Job Info Sheet'!$D$16</definedName>
    <definedName function="false" hidden="false" localSheetId="9" name="CAS_BLNK_ANNULUS" vbProcedure="false">'[113]#REF'!$I$108</definedName>
    <definedName function="false" hidden="false" localSheetId="9" name="CAS_BLNK_VOL" vbProcedure="false">'[6]#ref'!#ref!</definedName>
    <definedName function="false" hidden="false" localSheetId="9" name="CAS_EXT_VOL" vbProcedure="false">'[6]#ref'!#ref!</definedName>
    <definedName function="false" hidden="false" localSheetId="9" name="CAS_ID" vbProcedure="false">'[113]#REF'!$H$11</definedName>
    <definedName function="false" hidden="false" localSheetId="9" name="CAS_OD" vbProcedure="false">'[113]#REF'!$J$11</definedName>
    <definedName function="false" hidden="false" localSheetId="9" name="CAS_SCR_VOL" vbProcedure="false">'[6]#ref'!#ref!</definedName>
    <definedName function="false" hidden="false" localSheetId="9" name="CAS_WT" vbProcedure="false">'[113]#REF'!$J$11</definedName>
    <definedName function="false" hidden="false" localSheetId="9" name="category" vbProcedure="false">[118]Sheet2!$A$70:$A$73</definedName>
    <definedName function="false" hidden="false" localSheetId="9" name="Cc" vbProcedure="false">0.3</definedName>
    <definedName function="false" hidden="false" localSheetId="9" name="ccc" vbProcedure="false">[119]钻井日报表!$I$7</definedName>
    <definedName function="false" hidden="false" localSheetId="9" name="ccccc" vbProcedure="false">[79]!Macro59</definedName>
    <definedName function="false" hidden="false" localSheetId="9" name="cdr" vbProcedure="false">'[93]well test sheet'!#ref!</definedName>
    <definedName function="false" hidden="false" localSheetId="9" name="CDWimdbase" vbProcedure="false">'[120]CD''s'!$A$2:$G$374</definedName>
    <definedName function="false" hidden="false" localSheetId="9" name="CementCompany" vbProcedure="false">[109]DATA!$BJ$2:$BJ$8</definedName>
    <definedName function="false" hidden="false" localSheetId="9" name="CENG" vbProcedure="false">[182]Reference!$A$2:$A$4</definedName>
    <definedName function="false" hidden="false" localSheetId="9" name="Centralizers" vbProcedure="false">[109]DATA!$AI$2:$AI$9</definedName>
    <definedName function="false" hidden="true" localSheetId="9" name="cf" vbProcedure="false">{#N/A,#N/A,FALSE,"Sheet1"}</definedName>
    <definedName function="false" hidden="true" localSheetId="9" name="Chart" vbProcedure="false">{#N/A,#N/A,FALSE,"Sheet1"}</definedName>
    <definedName function="false" hidden="true" localSheetId="9" name="chart1" vbProcedure="false">{#N/A,#N/A,FALSE,"Sheet1"}</definedName>
    <definedName function="false" hidden="false" localSheetId="9" name="Chemmac" vbProcedure="false">'[61]tool backload dt'!chemmac</definedName>
    <definedName function="false" hidden="false" localSheetId="9" name="cim" vbProcedure="false">[113]!Calculate_Pipe</definedName>
    <definedName function="false" hidden="false" localSheetId="9" name="CIPMACRO.n2foam" vbProcedure="false">'[61]tool backload dt'!cipmacro.n2foam</definedName>
    <definedName function="false" hidden="false" localSheetId="9" name="circsqz" vbProcedure="false">[5]WTR!$M$86</definedName>
    <definedName function="false" hidden="false" localSheetId="9" name="CIR_RATE_RESTRESS" vbProcedure="false">'[113]#REF'!$I$109</definedName>
    <definedName function="false" hidden="false" localSheetId="9" name="CIV" vbProcedure="false">INDEX([111]DRAW!$A$2:$B$13,MATCH([112]AUTO_DHWS!$AV$10,[111]DRAW!$A$2:$A$13,0),2)</definedName>
    <definedName function="false" hidden="false" localSheetId="9" name="CIV_2" vbProcedure="false">INDEX([111]DRAW!$A$2:$B$14,MATCH([112]AUTO_DHWS!$AV$14,[111]DRAW!$A$2:$A$13,0),2)</definedName>
    <definedName function="false" hidden="false" localSheetId="9" name="CIV_PDHG" vbProcedure="false">INDEX([111]DRAW!$A$2:$B$13,MATCH([112]AUTO_DHWS!$AV$11,[111]DRAW!$A$2:$A$13,0),2)</definedName>
    <definedName function="false" hidden="false" localSheetId="9" name="CLAMPON" vbProcedure="false">[55]!CLAMPON</definedName>
    <definedName function="false" hidden="false" localSheetId="9" name="CLEARCONTENTS" vbProcedure="false">[115]!CLEARCONTENTS</definedName>
    <definedName function="false" hidden="false" localSheetId="9" name="CLFluid1" vbProcedure="false">'[94]Installation Results #1'!$E$270</definedName>
    <definedName function="false" hidden="false" localSheetId="9" name="CLFluid10" vbProcedure="false">'[94]Installation Results #1'!$E$279</definedName>
    <definedName function="false" hidden="false" localSheetId="9" name="CLFluid11" vbProcedure="false">'[94]Installation Results #1'!$E$280</definedName>
    <definedName function="false" hidden="false" localSheetId="9" name="CLFluid12" vbProcedure="false">'[94]Installation Results #1'!$E$281</definedName>
    <definedName function="false" hidden="false" localSheetId="9" name="CLFluid13" vbProcedure="false">'[94]Installation Results #1'!$E$282</definedName>
    <definedName function="false" hidden="false" localSheetId="9" name="CLFluid14" vbProcedure="false">'[94]Installation Results #1'!$E$283</definedName>
    <definedName function="false" hidden="false" localSheetId="9" name="CLFluid15" vbProcedure="false">'[94]Installation Results #1'!$E$284</definedName>
    <definedName function="false" hidden="false" localSheetId="9" name="CLFluid2" vbProcedure="false">'[94]Installation Results #1'!$E$271</definedName>
    <definedName function="false" hidden="false" localSheetId="9" name="CLFluid3" vbProcedure="false">'[94]Installation Results #1'!$E$272</definedName>
    <definedName function="false" hidden="false" localSheetId="9" name="CLFluid4" vbProcedure="false">'[94]Installation Results #1'!$E$273</definedName>
    <definedName function="false" hidden="false" localSheetId="9" name="CLFluid5" vbProcedure="false">'[94]Installation Results #1'!$E$274</definedName>
    <definedName function="false" hidden="false" localSheetId="9" name="CLFluid6" vbProcedure="false">'[94]Installation Results #1'!$E$275</definedName>
    <definedName function="false" hidden="false" localSheetId="9" name="CLFluid7" vbProcedure="false">'[94]Installation Results #1'!$E$276</definedName>
    <definedName function="false" hidden="false" localSheetId="9" name="CLFluid8" vbProcedure="false">'[94]Installation Results #1'!$E$277</definedName>
    <definedName function="false" hidden="false" localSheetId="9" name="CLFluid9" vbProcedure="false">'[94]Installation Results #1'!$E$278</definedName>
    <definedName function="false" hidden="false" localSheetId="9" name="Clist" vbProcedure="false">OFFSET(INDIRECT(ADDRESS(MATCH('JOB ORDER '!CL_Wt,'JOB ORDER '!Objects,0)+1,2,,,"Casing Info")),0,1,COUNTIF('JOB ORDER '!Objects,'JOB ORDER '!CL_Wt),1)</definedName>
    <definedName function="false" hidden="false" localSheetId="9" name="CL_Wt" vbProcedure="false">'[109]Database Pg1'!$E$28</definedName>
    <definedName function="false" hidden="false" localSheetId="9" name="Objects" vbProcedure="false">'[109]Casing Info'!$B$2:$B$241</definedName>
    <definedName function="false" hidden="false" localSheetId="9" name="Clist2" vbProcedure="false">OFFSET(INDIRECT(ADDRESS(MATCH('JOB ORDER '!Hsize2,'JOB ORDER '!Objects,0)+1,2,,,"Casing Info")),0,1,COUNTIF('JOB ORDER '!Objects,'JOB ORDER '!Hsize2),1)</definedName>
    <definedName function="false" hidden="false" localSheetId="9" name="Hsize2" vbProcedure="false">'[109]Database Pg1'!$G$81</definedName>
    <definedName function="false" hidden="false" localSheetId="9" name="Clist3" vbProcedure="false">OFFSET(INDIRECT(ADDRESS(MATCH('JOB ORDER '!Hsize3,'JOB ORDER '!Objects,0)+1,2,,,"Casing Info")),0,1,COUNTIF('JOB ORDER '!Objects,'JOB ORDER '!Hsize3),1)</definedName>
    <definedName function="false" hidden="false" localSheetId="9" name="Hsize3" vbProcedure="false">'[109]Database Pg1'!$G$83</definedName>
    <definedName function="false" hidden="false" localSheetId="9" name="Clrmess" vbProcedure="false">[115]!Clrmess</definedName>
    <definedName function="false" hidden="false" localSheetId="9" name="CO2_" vbProcedure="false">'[94]Job Technical Info'!$L$42</definedName>
    <definedName function="false" hidden="false" localSheetId="9" name="CODELIST" vbProcedure="false">'[183]CODE SIN'!$A$3:$A$240</definedName>
    <definedName function="false" hidden="false" localSheetId="9" name="CODETAB" vbProcedure="false">'[183]CODE SIN'!$C$3:$AD$240</definedName>
    <definedName function="false" hidden="false" localSheetId="9" name="coections" vbProcedure="false">'JOB ORDER '!coections</definedName>
    <definedName function="false" hidden="false" localSheetId="9" name="COMP" vbProcedure="false">#ref!</definedName>
    <definedName function="false" hidden="false" localSheetId="9" name="company" vbProcedure="false">'[40]CPS Call Sheet'!$E$4</definedName>
    <definedName function="false" hidden="false" localSheetId="9" name="Company_Man" vbProcedure="false">'[62]Liner Job Info'!$E$7</definedName>
    <definedName function="false" hidden="false" localSheetId="9" name="Company_Name" vbProcedure="false">'[123]Liner Job Info'!$E$4</definedName>
    <definedName function="false" hidden="false" localSheetId="9" name="compfluidwt" vbProcedure="false">'[113]#REF'!$L$27</definedName>
    <definedName function="false" hidden="false" localSheetId="9" name="Compl._Fluid_Type" vbProcedure="false">'[108]Pre-Job Info Sheet'!$D$32</definedName>
    <definedName function="false" hidden="false" localSheetId="9" name="Compl._Fluid_Wt." vbProcedure="false">'[108]Pre-Job Info Sheet'!$D$33</definedName>
    <definedName function="false" hidden="false" localSheetId="9" name="COMPL_FL_VOL" vbProcedure="false">'[113]#REF'!$F$68</definedName>
    <definedName function="false" hidden="false" localSheetId="9" name="COMPL_FL_WT" vbProcedure="false">'[113]#REF'!$K$27</definedName>
    <definedName function="false" hidden="false" localSheetId="9" name="conections" vbProcedure="false">'JOB ORDER '!conections</definedName>
    <definedName function="false" hidden="true" localSheetId="9" name="Conflict1" vbProcedure="false">{#N/A,#N/A,FALSE,"Drlg Param Run 1-1";#N/A,#N/A,FALSE,"DDR (3)";#N/A,#N/A,FALSE,"BHA AT (1)";#N/A,#N/A,FALSE,"Downlinkbha";#N/A,#N/A,FALSE,"Job Status Report"}</definedName>
    <definedName function="false" hidden="false" localSheetId="9" name="conref" vbProcedure="false">[124]Price!$A$1:$A$65536</definedName>
    <definedName function="false" hidden="false" localSheetId="9" name="consequence" vbProcedure="false">[125]Sheet2!$A$1:$A$5</definedName>
    <definedName function="false" hidden="false" localSheetId="9" name="contract" vbProcedure="false">'[126]Call Sheet'!$E$3</definedName>
    <definedName function="false" hidden="false" localSheetId="9" name="contractnum" vbProcedure="false">'[31]data '!#ref!</definedName>
    <definedName function="false" hidden="false" localSheetId="9" name="contractor" vbProcedure="false">'[126]Call Sheet'!$E$6</definedName>
    <definedName function="false" hidden="false" localSheetId="9" name="Coordinator" vbProcedure="false">'[94]Job Technical Info'!$G$10</definedName>
    <definedName function="false" hidden="false" localSheetId="9" name="COPYDESGN" vbProcedure="false">[55]!COPYDESGN</definedName>
    <definedName function="false" hidden="false" localSheetId="9" name="CoRep" vbProcedure="false">'[94]Job Technical Info'!$C$16</definedName>
    <definedName function="false" hidden="false" localSheetId="9" name="corrlist2" vbProcedure="false">OFFSET(INDIRECT(ADDRESS(MATCH('JOB ORDER '!Hsize2,'JOB ORDER '!Objects,0)+1,2,,,"Casing Info")),0,1,COUNTIF('JOB ORDER '!Objects,[27]!Liner1_OD),1)</definedName>
    <definedName function="false" hidden="false" localSheetId="9" name="corrlist4" vbProcedure="false">OFFSET(INDIRECT(ADDRESS(MATCH('JOB ORDER '!Hanger_Size,'JOB ORDER '!Objects,0)+1,2,,,"Casing Info")),0,1,COUNTIF('JOB ORDER '!Objects, 'JOB ORDER '!Hanger_Size),1)</definedName>
    <definedName function="false" hidden="false" localSheetId="9" name="Hanger_Size" vbProcedure="false">'[109]Database Pg1'!$G$79</definedName>
    <definedName function="false" hidden="false" localSheetId="9" name="Cotry" vbProcedure="false">'[109]Liner Job Info'!$E$10</definedName>
    <definedName function="false" hidden="false" localSheetId="9" name="Countries" vbProcedure="false">[109]DATA!$BR$1:$BR$196</definedName>
    <definedName function="false" hidden="false" localSheetId="9" name="COUNTRY" vbProcedure="false">'[127]Master data'!$A$2:$A$239</definedName>
    <definedName function="false" hidden="false" localSheetId="9" name="county" vbProcedure="false">'[40]CPS Call Sheet'!$P$7</definedName>
    <definedName function="false" hidden="false" localSheetId="9" name="Crack_DH" vbProcedure="false">'[108]Tester Valve Calcs'!$F$31</definedName>
    <definedName function="false" hidden="false" localSheetId="9" name="Crack_Press" vbProcedure="false">'[108]Tester Valve Calcs'!$F$13</definedName>
    <definedName function="false" hidden="false" localSheetId="9" name="crs" vbProcedure="false">[128]RSS!$E$199:$E$205</definedName>
    <definedName function="false" hidden="false" localSheetId="9" name="CRS_FLOAT_VALVE" vbProcedure="false">[129]RSS!$O$177:$O$180</definedName>
    <definedName function="false" hidden="false" localSheetId="9" name="CRS_FLOW_KIT" vbProcedure="false">[129]RSS!$E$181:$E$184</definedName>
    <definedName function="false" hidden="false" localSheetId="9" name="CRS_STAB" vbProcedure="false">[129]RSS!$E$191:$E$197</definedName>
    <definedName function="false" hidden="false" localSheetId="9" name="Csg" vbProcedure="false">[6]Sheet1!$G$1:$G$3</definedName>
    <definedName function="false" hidden="false" localSheetId="9" name="CsgDrift1" vbProcedure="false">'[94]Job Technical Info'!$G$25</definedName>
    <definedName function="false" hidden="false" localSheetId="9" name="CsgDrift2" vbProcedure="false">'[94]Job Technical Info'!$G$26</definedName>
    <definedName function="false" hidden="false" localSheetId="9" name="CsgDrift3" vbProcedure="false">'[94]Job Technical Info'!$G$27</definedName>
    <definedName function="false" hidden="false" localSheetId="9" name="CsgDrift4" vbProcedure="false">'[94]Job Technical Info'!$G$28</definedName>
    <definedName function="false" hidden="false" localSheetId="9" name="CsgGrd1" vbProcedure="false">'[94]Job Technical Info'!$H$25</definedName>
    <definedName function="false" hidden="false" localSheetId="9" name="CsgGrd2" vbProcedure="false">'[94]Job Technical Info'!$H$26</definedName>
    <definedName function="false" hidden="false" localSheetId="9" name="CsgGrd3" vbProcedure="false">'[94]Job Technical Info'!$H$27</definedName>
    <definedName function="false" hidden="false" localSheetId="9" name="CsgGrd4" vbProcedure="false">'[94]Job Technical Info'!$H$28</definedName>
    <definedName function="false" hidden="false" localSheetId="9" name="CsgID1" vbProcedure="false">'[94]Job Technical Info'!$F$25</definedName>
    <definedName function="false" hidden="false" localSheetId="9" name="CsgID2" vbProcedure="false">'[94]Job Technical Info'!$F$26</definedName>
    <definedName function="false" hidden="false" localSheetId="9" name="CsgID3" vbProcedure="false">'[94]Job Technical Info'!$F$27</definedName>
    <definedName function="false" hidden="false" localSheetId="9" name="CsgID4" vbProcedure="false">'[94]Job Technical Info'!$F$28</definedName>
    <definedName function="false" hidden="false" localSheetId="9" name="CsgSz1" vbProcedure="false">'[94]Job Technical Info'!$D$25</definedName>
    <definedName function="false" hidden="false" localSheetId="9" name="CsgSz2" vbProcedure="false">'[94]Job Technical Info'!$D$26</definedName>
    <definedName function="false" hidden="false" localSheetId="9" name="CsgSz3" vbProcedure="false">'[94]Job Technical Info'!$D$27</definedName>
    <definedName function="false" hidden="false" localSheetId="9" name="CsgSz4" vbProcedure="false">'[94]Job Technical Info'!$D$28</definedName>
    <definedName function="false" hidden="false" localSheetId="9" name="CsgThd1" vbProcedure="false">'[94]Job Technical Info'!$J$25</definedName>
    <definedName function="false" hidden="false" localSheetId="9" name="CsgThd2" vbProcedure="false">'[94]Job Technical Info'!$J$26</definedName>
    <definedName function="false" hidden="false" localSheetId="9" name="CsgThd3" vbProcedure="false">'[94]Job Technical Info'!$J$27</definedName>
    <definedName function="false" hidden="false" localSheetId="9" name="CsgThd4" vbProcedure="false">'[94]Job Technical Info'!$J$28</definedName>
    <definedName function="false" hidden="false" localSheetId="9" name="CsgWt" vbProcedure="false">[6]Sheet1!$H$1:$H$10</definedName>
    <definedName function="false" hidden="false" localSheetId="9" name="CsgWt1" vbProcedure="false">'[94]Job Technical Info'!$E$25</definedName>
    <definedName function="false" hidden="false" localSheetId="9" name="CsgWt2" vbProcedure="false">'[94]Job Technical Info'!$E$26</definedName>
    <definedName function="false" hidden="false" localSheetId="9" name="CsgWt3" vbProcedure="false">'[94]Job Technical Info'!$E$27</definedName>
    <definedName function="false" hidden="false" localSheetId="9" name="CsgWt4" vbProcedure="false">'[94]Job Technical Info'!$E$28</definedName>
    <definedName function="false" hidden="false" localSheetId="9" name="Csg_Bst" vbProcedure="false">'[109]Metric Conversions'!$B$43</definedName>
    <definedName function="false" hidden="false" localSheetId="9" name="Csg_Burstz" vbProcedure="false">'[109]Liner Job Info'!$H$14</definedName>
    <definedName function="false" hidden="false" localSheetId="9" name="Csg_Dft" vbProcedure="false">'[109]Liner Job Info'!$L$14</definedName>
    <definedName function="false" hidden="false" localSheetId="9" name="CSG_DPTH" vbProcedure="false">'[130]Metric Conversions'!$B$15</definedName>
    <definedName function="false" hidden="false" localSheetId="9" name="CSG_DPTHz" vbProcedure="false">'[109]Liner Job Info'!$P$14</definedName>
    <definedName function="false" hidden="false" localSheetId="9" name="CSG_Grd" vbProcedure="false">'[130]Liner Job Info'!$D$14</definedName>
    <definedName function="false" hidden="false" localSheetId="9" name="CSG_ID" vbProcedure="false">'[109]Liner Job Info'!$B$14</definedName>
    <definedName function="false" hidden="false" localSheetId="9" name="CSG_ID_Area" vbProcedure="false">[109]Test!$Z$39</definedName>
    <definedName function="false" hidden="false" localSheetId="9" name="CSG_MYS" vbProcedure="false">[131]DATA!$J$3:$J$22</definedName>
    <definedName function="false" hidden="false" localSheetId="9" name="CSG_OD" vbProcedure="false">'[130]Liner Job Info'!$A$14</definedName>
    <definedName function="false" hidden="false" localSheetId="9" name="CSG_Thread" vbProcedure="false">'[130]Liner Job Info'!$E$14</definedName>
    <definedName function="false" hidden="false" localSheetId="9" name="Csg_Wt" vbProcedure="false">'[130]Liner Job Info'!$C$14</definedName>
    <definedName function="false" hidden="false" localSheetId="9" name="CsShoeDepth" vbProcedure="false">'[94]Job Technical Info'!$F$40</definedName>
    <definedName function="false" hidden="false" localSheetId="9" name="CU.FT." vbProcedure="false">'[113]#REF'!$E$23</definedName>
    <definedName function="false" hidden="false" localSheetId="9" name="currency" vbProcedure="false">[54]data!#ref!</definedName>
    <definedName function="false" hidden="false" localSheetId="9" name="Customer" vbProcedure="false">'[94]Job Technical Info'!$C$12</definedName>
    <definedName function="false" hidden="false" localSheetId="9" name="customer1" vbProcedure="false">[132]Data!$A$1:$A$65536</definedName>
    <definedName function="false" hidden="false" localSheetId="9" name="Customer2" vbProcedure="false">[132]Data!$B$1:$B$65536</definedName>
    <definedName function="false" hidden="false" localSheetId="9" name="CustomerName" vbProcedure="false">'[138]job info sheet'!#ref!</definedName>
    <definedName function="false" hidden="false" localSheetId="9" name="customerrep" vbProcedure="false">'[113]#REF'!$E$6</definedName>
    <definedName function="false" hidden="false" localSheetId="9" name="Cyl_Yield" vbProcedure="false">'[46]liner job info'!#ref!</definedName>
    <definedName function="false" hidden="false" localSheetId="9" name="d" vbProcedure="false">'[1]run sheet'!#ref!</definedName>
    <definedName function="false" hidden="false" localSheetId="9" name="DAADA" vbProcedure="false">[113]!Calculate_Pipe</definedName>
    <definedName function="false" hidden="false" localSheetId="9" name="DAD" vbProcedure="false">'[140]tally checklist'!dad</definedName>
    <definedName function="false" hidden="false" localSheetId="9" name="DADAA" vbProcedure="false">'[140]tally checklist'!dadaa</definedName>
    <definedName function="false" hidden="false" localSheetId="9" name="DAEFF" vbProcedure="false">'[140]tally checklist'!daeff</definedName>
    <definedName function="false" hidden="false" localSheetId="9" name="DAPage" vbProcedure="false">'[94]Data Acq. Results'!$S$5</definedName>
    <definedName function="false" hidden="false" localSheetId="9" name="data1" vbProcedure="false">#ref!</definedName>
    <definedName function="false" hidden="false" localSheetId="9" name="DC" vbProcedure="false">'[44]7-30-04'!$GO$7457</definedName>
    <definedName function="false" hidden="false" localSheetId="9" name="dd" vbProcedure="false">null</definedName>
    <definedName function="false" hidden="false" localSheetId="9" name="dddd" vbProcedure="false">[142]试油成果记录!#ref!</definedName>
    <definedName function="false" hidden="false" localSheetId="9" name="decdhm" vbProcedure="false">'[133]Personal Expense Dec-95 (MH)'!$K$5</definedName>
    <definedName function="false" hidden="false" localSheetId="9" name="decdlr" vbProcedure="false">'[133]Personal Expense Dec-95 (MH)'!$H$5</definedName>
    <definedName function="false" hidden="false" localSheetId="9" name="decfrc" vbProcedure="false">'[133]Personal Expense Dec-95 (MH)'!$I$5</definedName>
    <definedName function="false" hidden="false" localSheetId="9" name="decpnd" vbProcedure="false">'[133]Personal Expense Dec-95 (MH)'!$G$5</definedName>
    <definedName function="false" hidden="false" localSheetId="9" name="decrl" vbProcedure="false">'[133]Personal Expense Dec-95 (MH)'!$J$5</definedName>
    <definedName function="false" hidden="false" localSheetId="9" name="decrup" vbProcedure="false">'[133]Personal Expense Dec-95 (MH)'!$L$5</definedName>
    <definedName function="false" hidden="false" localSheetId="9" name="decrupees" vbProcedure="false">'[133]Cash Expense December-95'!$H$6</definedName>
    <definedName function="false" hidden="false" localSheetId="9" name="deliveredto" vbProcedure="false">'[31]data '!#ref!</definedName>
    <definedName function="false" hidden="false" localSheetId="9" name="deliverto" vbProcedure="false">[54]data!#ref!</definedName>
    <definedName function="false" hidden="false" localSheetId="9" name="delma" vbProcedure="false">[145]!JointNumber</definedName>
    <definedName function="false" hidden="false" localSheetId="9" name="DENG" vbProcedure="false">[182]Reference!$B$2:$B$12</definedName>
    <definedName function="false" hidden="false" localSheetId="9" name="DEPTH_TAGGED_PREPACK" vbProcedure="false">'[113]#REF'!$F$80</definedName>
    <definedName function="false" hidden="false" localSheetId="9" name="DEQ" vbProcedure="false">'[140]tally checklist'!deq</definedName>
    <definedName function="false" hidden="false" localSheetId="9" name="Desired_Set_Down" vbProcedure="false">'[108]Packer Calculation Sheet'!$G$47</definedName>
    <definedName function="false" hidden="false" localSheetId="9" name="Dev" vbProcedure="false">'[109]Liner Job Info'!$D$30</definedName>
    <definedName function="false" hidden="false" localSheetId="9" name="DEVIATION" vbProcedure="false">'[113]#REF'!$F$24</definedName>
    <definedName function="false" hidden="false" localSheetId="9" name="dftg" vbProcedure="false">'[134]井口装置示意图-4'!$E$1:$E$65536</definedName>
    <definedName function="false" hidden="false" localSheetId="9" name="DiameterConversion" vbProcedure="false">[94]Lists!$AD$3</definedName>
    <definedName function="false" hidden="false" localSheetId="9" name="Diff_Across_Ball" vbProcedure="false">'[108]Tester Valve Calcs'!$F$30</definedName>
    <definedName function="false" hidden="false" localSheetId="9" name="Disp._Fluid_Type" vbProcedure="false">'[108]Pre-Job Info Sheet'!$D$37</definedName>
    <definedName function="false" hidden="false" localSheetId="9" name="Disp._Fluid_Weight" vbProcedure="false">'[108]Pre-Job Info Sheet'!$D$38</definedName>
    <definedName function="false" hidden="false" localSheetId="9" name="Displacement" vbProcedure="false">[109]DATA!$AJ$2:$AJ$12</definedName>
    <definedName function="false" hidden="false" localSheetId="9" name="DisplacementMethod" vbProcedure="false">[109]DATA!$AS$2:$AS$4</definedName>
    <definedName function="false" hidden="false" localSheetId="9" name="Disp_Fluid_Wt" vbProcedure="false">'[108]Job Calculation Sheet'!$D$30</definedName>
    <definedName function="false" hidden="false" localSheetId="9" name="District" vbProcedure="false">'[30]Liner Job Info'!$O$4</definedName>
    <definedName function="false" hidden="false" localSheetId="9" name="DistrictPh" vbProcedure="false">'[94]Job Technical Info'!$G$11</definedName>
    <definedName function="false" hidden="false" localSheetId="9" name="Districts" vbProcedure="false">[109]DATA!$A$6:$A$437</definedName>
    <definedName function="false" hidden="false" localSheetId="9" name="diverterlbs" vbProcedure="false">[5]WTR!$G$59</definedName>
    <definedName function="false" hidden="false" localSheetId="9" name="DIV_MIX_RATIO" vbProcedure="false">'[113]#REF'!$K$55</definedName>
    <definedName function="false" hidden="false" localSheetId="9" name="DL" vbProcedure="false">[107]Piston!$F$21</definedName>
    <definedName function="false" hidden="false" localSheetId="9" name="do" vbProcedure="false">[145]!JointNumber</definedName>
    <definedName function="false" hidden="false" localSheetId="9" name="docNum" vbProcedure="false">[49]Revision_History!$G$6&amp;" "&amp;[49]Revision_History!$H$6</definedName>
    <definedName function="false" hidden="false" localSheetId="9" name="DocTitle" vbProcedure="false">'[94]Job Technical Info'!$C$2</definedName>
    <definedName function="false" hidden="false" localSheetId="9" name="Doc_Rev" vbProcedure="false">'[30]Liner Job Info'!$A$2</definedName>
    <definedName function="false" hidden="false" localSheetId="9" name="DP1_Cap" vbProcedure="false">'[109]Liner Job Info'!$G$22</definedName>
    <definedName function="false" hidden="false" localSheetId="9" name="DP1_conn" vbProcedure="false">'[130]Liner Job Info'!$J$22</definedName>
    <definedName function="false" hidden="false" localSheetId="9" name="DP1_Grd" vbProcedure="false">'[130]Liner Job Info'!$F$22</definedName>
    <definedName function="false" hidden="false" localSheetId="9" name="DP1_ID" vbProcedure="false">'[109]Liner Job Info'!$E$22</definedName>
    <definedName function="false" hidden="false" localSheetId="9" name="DP1_Leng" vbProcedure="false">'[130]Metric Conversions'!$B$20</definedName>
    <definedName function="false" hidden="false" localSheetId="9" name="DP1_Lengz" vbProcedure="false">'[109]Liner Job Info'!$I$22</definedName>
    <definedName function="false" hidden="false" localSheetId="9" name="DP1_MYS" vbProcedure="false">'[109]Liner Job Info'!$AD$31</definedName>
    <definedName function="false" hidden="false" localSheetId="9" name="DP1_OD" vbProcedure="false">'[130]Liner Job Info'!$C$22</definedName>
    <definedName function="false" hidden="false" localSheetId="9" name="DP1_Tens" vbProcedure="false">'[109]Liner Job Info'!$M$22</definedName>
    <definedName function="false" hidden="false" localSheetId="9" name="DP1_Volz" vbProcedure="false">'[109]Metric Conversions'!$C$70</definedName>
    <definedName function="false" hidden="false" localSheetId="9" name="DP1_Wt_inmud" vbProcedure="false">'[109]Weight Calculations'!$H$8</definedName>
    <definedName function="false" hidden="false" localSheetId="9" name="DP1_Wt_Per_Ft" vbProcedure="false">'[130]Liner Job Info'!$D$22</definedName>
    <definedName function="false" hidden="false" localSheetId="9" name="DP1_X_Csg_Volz" vbProcedure="false">'[109]Metric Conversions'!$C$85</definedName>
    <definedName function="false" hidden="false" localSheetId="9" name="DP2_Cap" vbProcedure="false">'[109]Liner Job Info'!$G$23</definedName>
    <definedName function="false" hidden="false" localSheetId="9" name="DP2_conn" vbProcedure="false">'[130]Liner Job Info'!$J$23</definedName>
    <definedName function="false" hidden="false" localSheetId="9" name="DP2_Cross_Sect" vbProcedure="false">'[46]liner job info'!#ref!</definedName>
    <definedName function="false" hidden="false" localSheetId="9" name="DP2_Grd" vbProcedure="false">'[130]Liner Job Info'!$F$23</definedName>
    <definedName function="false" hidden="false" localSheetId="9" name="DP2_ID" vbProcedure="false">'[109]Liner Job Info'!$E$23</definedName>
    <definedName function="false" hidden="false" localSheetId="9" name="DP2_Leng" vbProcedure="false">'[130]Metric Conversions'!$B$21</definedName>
    <definedName function="false" hidden="false" localSheetId="9" name="DP2_Lengz" vbProcedure="false">'[109]Liner Job Info'!$I$23</definedName>
    <definedName function="false" hidden="false" localSheetId="9" name="DP2_MYS" vbProcedure="false">'[109]Liner Job Info'!$AD$32</definedName>
    <definedName function="false" hidden="false" localSheetId="9" name="DP2_OD" vbProcedure="false">'[130]Liner Job Info'!$C$23</definedName>
    <definedName function="false" hidden="false" localSheetId="9" name="DP2_Tens" vbProcedure="false">'[109]Liner Job Info'!$M$23</definedName>
    <definedName function="false" hidden="false" localSheetId="9" name="DP2_Volz" vbProcedure="false">'[109]Metric Conversions'!$C$71</definedName>
    <definedName function="false" hidden="false" localSheetId="9" name="DP2_Wt_inmud" vbProcedure="false">'[109]Weight Calculations'!$H$9</definedName>
    <definedName function="false" hidden="false" localSheetId="9" name="DP2_Wt_Per_Ft" vbProcedure="false">'[130]Liner Job Info'!$D$23</definedName>
    <definedName function="false" hidden="false" localSheetId="9" name="DP2_X_Csg_Volz" vbProcedure="false">'[109]Metric Conversions'!$C$86</definedName>
    <definedName function="false" hidden="false" localSheetId="9" name="DP3_bbl_per_ft" vbProcedure="false">'[46]liner job info'!#ref!</definedName>
    <definedName function="false" hidden="false" localSheetId="9" name="DP3_Cap" vbProcedure="false">'[109]Liner Job Info'!$G$24</definedName>
    <definedName function="false" hidden="false" localSheetId="9" name="DP3_COnn" vbProcedure="false">'[130]Liner Job Info'!$J$24</definedName>
    <definedName function="false" hidden="false" localSheetId="9" name="DP3_Grd" vbProcedure="false">'[130]Liner Job Info'!$F$24</definedName>
    <definedName function="false" hidden="false" localSheetId="9" name="DP3_ID" vbProcedure="false">'[109]Liner Job Info'!$E$24</definedName>
    <definedName function="false" hidden="false" localSheetId="9" name="DP3_Leng" vbProcedure="false">'[130]Metric Conversions'!$B$22</definedName>
    <definedName function="false" hidden="false" localSheetId="9" name="DP3_Lengz" vbProcedure="false">'[109]Liner Job Info'!$I$24</definedName>
    <definedName function="false" hidden="false" localSheetId="9" name="DP3_MYS" vbProcedure="false">'[109]Liner Job Info'!$AD$33</definedName>
    <definedName function="false" hidden="false" localSheetId="9" name="DP3_OD" vbProcedure="false">'[130]Liner Job Info'!$C$24</definedName>
    <definedName function="false" hidden="false" localSheetId="9" name="DP3_Tens" vbProcedure="false">'[109]Liner Job Info'!$M$24</definedName>
    <definedName function="false" hidden="false" localSheetId="9" name="DP3_Volz" vbProcedure="false">'[109]Metric Conversions'!$C$72</definedName>
    <definedName function="false" hidden="false" localSheetId="9" name="DP3_Wt_inmud" vbProcedure="false">'[109]Weight Calculations'!$H$10</definedName>
    <definedName function="false" hidden="false" localSheetId="9" name="DP3_Wt_Per_Ft" vbProcedure="false">'[130]Liner Job Info'!$D$24</definedName>
    <definedName function="false" hidden="false" localSheetId="9" name="DP3_X_Csg_Volz" vbProcedure="false">'[109]Metric Conversions'!$C$87</definedName>
    <definedName function="false" hidden="false" localSheetId="9" name="DP4_Cap" vbProcedure="false">'[109]Liner Job Info'!$G$25</definedName>
    <definedName function="false" hidden="false" localSheetId="9" name="DP4_COnn" vbProcedure="false">'[130]Liner Job Info'!$J$25</definedName>
    <definedName function="false" hidden="false" localSheetId="9" name="DP4_Grd" vbProcedure="false">'[130]Liner Job Info'!$F$25</definedName>
    <definedName function="false" hidden="false" localSheetId="9" name="DP4_ID" vbProcedure="false">'[109]Liner Job Info'!$E$25</definedName>
    <definedName function="false" hidden="false" localSheetId="9" name="DP4_Leng" vbProcedure="false">'[130]Metric Conversions'!$B$23</definedName>
    <definedName function="false" hidden="false" localSheetId="9" name="DP4_Lengz" vbProcedure="false">'[109]Liner Job Info'!$I$25</definedName>
    <definedName function="false" hidden="false" localSheetId="9" name="DP4_MYS" vbProcedure="false">'[109]Liner Job Info'!$AD$34</definedName>
    <definedName function="false" hidden="false" localSheetId="9" name="DP4_OD" vbProcedure="false">'[130]Liner Job Info'!$C$25</definedName>
    <definedName function="false" hidden="false" localSheetId="9" name="DP4_Tens" vbProcedure="false">'[109]Liner Job Info'!$M$25</definedName>
    <definedName function="false" hidden="false" localSheetId="9" name="DP4_Volz" vbProcedure="false">'[109]Metric Conversions'!$C$73</definedName>
    <definedName function="false" hidden="false" localSheetId="9" name="DP4_Wt_inmud" vbProcedure="false">'[109]Weight Calculations'!$H$11</definedName>
    <definedName function="false" hidden="false" localSheetId="9" name="DP4_Wt_Per_Ft" vbProcedure="false">'[130]Liner Job Info'!$D$25</definedName>
    <definedName function="false" hidden="false" localSheetId="9" name="DP4_X_Csg_Volz" vbProcedure="false">'[109]Metric Conversions'!$C$88</definedName>
    <definedName function="false" hidden="false" localSheetId="9" name="DP5_bbl_per_ft" vbProcedure="false">'[109]Liner Job Info'!$AT$73</definedName>
    <definedName function="false" hidden="false" localSheetId="9" name="DP5_COnn" vbProcedure="false">'[130]Liner Job Info'!$J$26</definedName>
    <definedName function="false" hidden="false" localSheetId="9" name="DP5_Grd" vbProcedure="false">'[130]Liner Job Info'!$F$26</definedName>
    <definedName function="false" hidden="false" localSheetId="9" name="DP5_ID" vbProcedure="false">'[109]Liner Job Info'!$E$26</definedName>
    <definedName function="false" hidden="false" localSheetId="9" name="DP5_Leng" vbProcedure="false">'[130]Metric Conversions'!$B$24</definedName>
    <definedName function="false" hidden="false" localSheetId="9" name="DP5_Lengz" vbProcedure="false">'[109]Liner Job Info'!$I$26</definedName>
    <definedName function="false" hidden="false" localSheetId="9" name="DP5_MYS" vbProcedure="false">'[109]Liner Job Info'!$AD$35</definedName>
    <definedName function="false" hidden="false" localSheetId="9" name="DP5_OD" vbProcedure="false">'[130]Liner Job Info'!$C$26</definedName>
    <definedName function="false" hidden="false" localSheetId="9" name="DP5_Tens" vbProcedure="false">'[109]Liner Job Info'!$M$26</definedName>
    <definedName function="false" hidden="false" localSheetId="9" name="DP5_Volz" vbProcedure="false">'[109]Metric Conversions'!$C$74</definedName>
    <definedName function="false" hidden="false" localSheetId="9" name="DP5_Wt_inmud" vbProcedure="false">'[109]Weight Calculations'!$H$12</definedName>
    <definedName function="false" hidden="false" localSheetId="9" name="DP5_Wt_Per_Ft" vbProcedure="false">'[130]Liner Job Info'!$D$26</definedName>
    <definedName function="false" hidden="false" localSheetId="9" name="DP5_X_Csg_Volz" vbProcedure="false">'[109]Metric Conversions'!$C$89</definedName>
    <definedName function="false" hidden="false" localSheetId="9" name="dpdt" vbProcedure="false">'[136]WCT-Ft'!$Q$4:$X$18</definedName>
    <definedName function="false" hidden="false" localSheetId="9" name="DPi" vbProcedure="false">[107]Piston!$F$10</definedName>
    <definedName function="false" hidden="false" localSheetId="9" name="DPia" vbProcedure="false">[107]Balooning!$F$9</definedName>
    <definedName function="false" hidden="false" localSheetId="9" name="DPNumber_35" vbProcedure="false">'[137]DP Length'!$A$3:$A$1000</definedName>
    <definedName function="false" hidden="false" localSheetId="9" name="DPNumber_5" vbProcedure="false">'[137]DP Length'!$C$3:$C$1000</definedName>
    <definedName function="false" hidden="false" localSheetId="9" name="DPo" vbProcedure="false">[107]Piston!$F$11</definedName>
    <definedName function="false" hidden="false" localSheetId="9" name="DPoa" vbProcedure="false">[107]Balooning!$F$10</definedName>
    <definedName function="false" hidden="false" localSheetId="9" name="DPThread" vbProcedure="false">[109]DATA!$AA$44:$AA$94</definedName>
    <definedName function="false" hidden="false" localSheetId="9" name="DPTTL_HYD_LENTH" vbProcedure="false">'[109]Weight Calculations'!$F$46</definedName>
    <definedName function="false" hidden="false" localSheetId="9" name="DP_MYS" vbProcedure="false">[109]DATA!$AB$2:$AB$6</definedName>
    <definedName function="false" hidden="false" localSheetId="9" name="DP_Plus_Block" vbProcedure="false">'[109]Weight Calculations'!$H$15</definedName>
    <definedName function="false" hidden="false" localSheetId="9" name="DP_PSI" vbProcedure="false">'[109]Metric Conversions'!$B$49</definedName>
    <definedName function="false" hidden="false" localSheetId="9" name="DP_PSIz" vbProcedure="false">'[109]Liner Job Info'!$D$35</definedName>
    <definedName function="false" hidden="false" localSheetId="9" name="DP_SF" vbProcedure="false">'[109]Liner Job Info'!$R$27</definedName>
    <definedName function="false" hidden="false" localSheetId="9" name="drawblanks" vbProcedure="false">'[140]tally checklist'!drawblanks</definedName>
    <definedName function="false" hidden="false" localSheetId="9" name="drawlinerfirst" vbProcedure="false">'[140]tally checklist'!drawlinerfirst</definedName>
    <definedName function="false" hidden="false" localSheetId="9" name="drawlinersecond" vbProcedure="false">'[140]tally checklist'!drawlinersecond</definedName>
    <definedName function="false" hidden="false" localSheetId="9" name="drawmiscellaneous" vbProcedure="false">'[140]tally checklist'!drawmiscellaneous</definedName>
    <definedName function="false" hidden="false" localSheetId="9" name="drawproductionfirst" vbProcedure="false">'[140]tally checklist'!drawproductionfirst</definedName>
    <definedName function="false" hidden="false" localSheetId="9" name="drawproductionsecond" vbProcedure="false">'[140]tally checklist'!drawproductionsecond</definedName>
    <definedName function="false" hidden="false" localSheetId="9" name="drawquantum" vbProcedure="false">'[140]tally checklist'!drawquantum</definedName>
    <definedName function="false" hidden="false" localSheetId="9" name="drawscreens" vbProcedure="false">'[140]tally checklist'!drawscreens</definedName>
    <definedName function="false" hidden="false" localSheetId="9" name="drawshearsubs" vbProcedure="false">'[140]tally checklist'!drawshearsubs</definedName>
    <definedName function="false" hidden="false" localSheetId="9" name="drawsump" vbProcedure="false">'[140]tally checklist'!drawsump</definedName>
    <definedName function="false" hidden="false" localSheetId="9" name="draw_blanks" vbProcedure="false">'[140]tally checklist'!draw_blanks</definedName>
    <definedName function="false" hidden="false" localSheetId="9" name="draw_linerfirst" vbProcedure="false">'[140]tally checklist'!draw_linerfirst</definedName>
    <definedName function="false" hidden="false" localSheetId="9" name="draw_linersecond" vbProcedure="false">'[140]tally checklist'!draw_linersecond</definedName>
    <definedName function="false" hidden="false" localSheetId="9" name="draw_miscellaneous" vbProcedure="false">'[140]tally checklist'!draw_miscellaneous</definedName>
    <definedName function="false" hidden="false" localSheetId="9" name="draw_productionfirst" vbProcedure="false">'[140]tally checklist'!draw_productionfirst</definedName>
    <definedName function="false" hidden="false" localSheetId="9" name="draw_productionsecond" vbProcedure="false">'[140]tally checklist'!draw_productionsecond</definedName>
    <definedName function="false" hidden="false" localSheetId="9" name="draw_quantum" vbProcedure="false">'[140]tally checklist'!draw_quantum</definedName>
    <definedName function="false" hidden="false" localSheetId="9" name="draw_screens" vbProcedure="false">'[140]tally checklist'!draw_screens</definedName>
    <definedName function="false" hidden="false" localSheetId="9" name="draw_shearsubs" vbProcedure="false">'[140]tally checklist'!draw_shearsubs</definedName>
    <definedName function="false" hidden="false" localSheetId="9" name="draw_sump" vbProcedure="false">'[140]tally checklist'!draw_sump</definedName>
    <definedName function="false" hidden="false" localSheetId="9" name="DRILLER" vbProcedure="false">#ref!</definedName>
    <definedName function="false" hidden="false" localSheetId="9" name="DRILLER2" vbProcedure="false">[155]!Calculate_Pipe</definedName>
    <definedName function="false" hidden="false" localSheetId="9" name="Drillpipesize" vbProcedure="false">[109]DATA!$X$2:$X$10</definedName>
    <definedName function="false" hidden="false" localSheetId="9" name="Drillpipetype" vbProcedure="false">[109]DATA!$AA$2:$AA$6</definedName>
    <definedName function="false" hidden="false" localSheetId="9" name="Drillpipeweight" vbProcedure="false">[109]DATA!$Z$2:$Z$36</definedName>
    <definedName function="false" hidden="false" localSheetId="9" name="Druckbereich_MI" vbProcedure="false">'[138]Dev-Baker'!$A$1:$J$46</definedName>
    <definedName function="false" hidden="false" localSheetId="9" name="Druckbereich_S3" vbProcedure="false">'[158]run_s.xls'!#ref!</definedName>
    <definedName function="false" hidden="false" localSheetId="9" name="dtr" vbProcedure="false">'[115]Max-Torq'!$P$77</definedName>
    <definedName function="false" hidden="false" localSheetId="9" name="DWS" vbProcedure="false">'[111]DWS2023'!$A$4:$AD$257</definedName>
    <definedName function="false" hidden="false" localSheetId="9" name="ED" vbProcedure="false">[72]!Calculate_Pipe</definedName>
    <definedName function="false" hidden="false" localSheetId="9" name="edd" vbProcedure="false">[160]!Calculate_Pipe</definedName>
    <definedName function="false" hidden="false" localSheetId="9" name="Eff_Date" vbProcedure="false">'[94]Job Technical Info'!$L$3</definedName>
    <definedName function="false" hidden="false" localSheetId="9" name="EJYETYJEJ" vbProcedure="false">'[140]tally checklist'!ejyetyjej</definedName>
    <definedName function="false" hidden="false" localSheetId="9" name="Element_Rating" vbProcedure="false">'[109]Metric Conversions'!$B$57</definedName>
    <definedName function="false" hidden="false" localSheetId="9" name="Element_Ratingz" vbProcedure="false">'[109]Liner Job Info'!$P$41</definedName>
    <definedName function="false" hidden="false" localSheetId="9" name="equipmenttype" vbProcedure="false">[54]data!#ref!</definedName>
    <definedName function="false" hidden="false" localSheetId="9" name="error" vbProcedure="false">[106]Data!$F$10</definedName>
    <definedName function="false" hidden="false" localSheetId="9" name="ertert" vbProcedure="false">[164]试压!#ref!</definedName>
    <definedName function="false" hidden="false" localSheetId="9" name="ES_pricelist" vbProcedure="false">[139]Pricelist!$A$8:$B$18</definedName>
    <definedName function="false" hidden="false" localSheetId="9" name="ex" vbProcedure="false">[145]!JointNumber</definedName>
    <definedName function="false" hidden="false" localSheetId="9" name="Expected_Job_Date" vbProcedure="false">'[108]Pre-Job Info Sheet'!$D$5</definedName>
    <definedName function="false" hidden="false" localSheetId="9" name="Explosive_Type" vbProcedure="false">'[108]TCP-BHA'!$E$7</definedName>
    <definedName function="false" hidden="false" localSheetId="9" name="EXP_1" vbProcedure="false">INDEX([111]DRAW!$A$2:$B$13,MATCH([112]AUTO_DHWS!$AV$7,[111]DRAW!$A$2:$A$13,0),2)</definedName>
    <definedName function="false" hidden="false" localSheetId="9" name="EXT_LENGTH" vbProcedure="false">'[6]#ref'!#ref!</definedName>
    <definedName function="false" hidden="false" localSheetId="9" name="F" vbProcedure="false">[140]Parts!$A$1:$I$65536</definedName>
    <definedName function="false" hidden="false" localSheetId="9" name="FB" vbProcedure="false">[170]!Calculate_Pipe</definedName>
    <definedName function="false" hidden="false" localSheetId="9" name="fdg" vbProcedure="false">[119]钻井日报表!$G$7</definedName>
    <definedName function="false" hidden="false" localSheetId="9" name="februpees" vbProcedure="false">'[141]Cash Expense March-96'!$H$6</definedName>
    <definedName function="false" hidden="true" localSheetId="9"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FEWFW" vbProcedure="false">'[140]tally checklist'!fewfw</definedName>
    <definedName function="false" hidden="false" localSheetId="9" name="fff" vbProcedure="false">'[140]tally checklist'!fff</definedName>
    <definedName function="false" hidden="false" localSheetId="9" name="ffff" vbProcedure="false">[174]!Prev.Macro113</definedName>
    <definedName function="false" hidden="false" localSheetId="9" name="final" vbProcedure="false">[145]!JointNumber</definedName>
    <definedName function="false" hidden="false" localSheetId="9" name="FJNDEF" vbProcedure="false">'[140]tally checklist'!fjndef</definedName>
    <definedName function="false" hidden="false" localSheetId="9" name="Floatequipment" vbProcedure="false">[109]DATA!$AM$2:$AM$9</definedName>
    <definedName function="false" hidden="false" localSheetId="9" name="FluidType" vbProcedure="false">'[94]Job Technical Info'!$F$42</definedName>
    <definedName function="false" hidden="false" localSheetId="9" name="FluidWt" vbProcedure="false">'[94]Job Technical Info'!$H$42</definedName>
    <definedName function="false" hidden="false" localSheetId="9" name="Form._Pressure" vbProcedure="false">'[108]Pre-Job Info Sheet'!$B$33</definedName>
    <definedName function="false" hidden="false" localSheetId="9" name="formation" vbProcedure="false">[54]data!#ref!</definedName>
    <definedName function="false" hidden="false" localSheetId="9" name="fracgrad" vbProcedure="false">[5]WTR!$L$38</definedName>
    <definedName function="false" hidden="false" localSheetId="9" name="fracpress" vbProcedure="false">'[113]#REF'!$L$25</definedName>
    <definedName function="false" hidden="false" localSheetId="9" name="frictionpressure" vbProcedure="false">[106]Data!$F$8</definedName>
    <definedName function="false" hidden="false" localSheetId="9" name="FRONT" vbProcedure="false">'[142]DAILY RPT'!$A$1:$Y$67</definedName>
    <definedName function="false" hidden="false" localSheetId="9" name="ftormeters" vbProcedure="false">'[109]Metric Conversions'!$B$14</definedName>
    <definedName function="false" hidden="false" localSheetId="9" name="Gamma_Quadrant" vbProcedure="false">[129]RSS!$N$139:$N$144</definedName>
    <definedName function="false" hidden="false" localSheetId="9" name="gasrate" vbProcedure="false">'[93]well test sheet'!#ref!</definedName>
    <definedName function="false" hidden="false" localSheetId="9" name="gas_cumm" vbProcedure="false">'[93]well test sheet'!#ref!</definedName>
    <definedName function="false" hidden="false" localSheetId="9" name="Gauge" vbProcedure="false">'[7]Drop-Down Items'!$D$74:$D$92</definedName>
    <definedName function="false" hidden="false" localSheetId="9" name="Gaugecancel" vbProcedure="false">'JOB ORDER '!Gaugecancel</definedName>
    <definedName function="false" hidden="false" localSheetId="9" name="gaugeconok" vbProcedure="false">'JOB ORDER '!gaugeconok</definedName>
    <definedName function="false" hidden="false" localSheetId="9" name="gaugeconok2" vbProcedure="false">'JOB ORDER '!gaugeconok2</definedName>
    <definedName function="false" hidden="false" localSheetId="9" name="gaugeok" vbProcedure="false">'JOB ORDER '!gaugeok</definedName>
    <definedName function="false" hidden="false" localSheetId="9" name="gaugeok2" vbProcedure="false">'JOB ORDER '!gaugeok2</definedName>
    <definedName function="false" hidden="false" localSheetId="9" name="gaugeselect" vbProcedure="false">'JOB ORDER '!gaugeselect</definedName>
    <definedName function="false" hidden="false" localSheetId="9" name="gaugeselect2" vbProcedure="false">'JOB ORDER '!gaugeselect2</definedName>
    <definedName function="false" hidden="true" localSheetId="9" name="gdsg" vbProcedure="false">[103]Run!$C$16:$C$512</definedName>
    <definedName function="false" hidden="false" localSheetId="9" name="GFTTC" vbProcedure="false">[145]!JointNumber</definedName>
    <definedName function="false" hidden="false" localSheetId="9" name="GGGR" vbProcedure="false">'[140]tally checklist'!gggr</definedName>
    <definedName function="false" hidden="false" localSheetId="9" name="GL" vbProcedure="false">'[182]offset data'!#ref!</definedName>
    <definedName function="false" hidden="false" localSheetId="9" name="GLM" vbProcedure="false">[72]!Calculate_Pipe</definedName>
    <definedName function="false" hidden="false" localSheetId="9" name="GLM_1" vbProcedure="false">INDEX([111]DRAW!$A$2:$B$13,MATCH([112]AUTO_DHWS!$AV$3,[111]DRAW!$A$2:$A$13,0),2)</definedName>
    <definedName function="false" hidden="false" localSheetId="9" name="GLM_2" vbProcedure="false">INDEX([111]DRAW!$A$2:$B$13,MATCH([112]AUTO_DHWS!$AV$4,[111]DRAW!$A$2:$A$13,0),2)</definedName>
    <definedName function="false" hidden="false" localSheetId="9" name="GLM_3" vbProcedure="false">INDEX([111]DRAW!$A$2:$B$13,MATCH([112]AUTO_DHWS!$AV$5,[111]DRAW!$A$2:$A$13,0),2)</definedName>
    <definedName function="false" hidden="false" localSheetId="9" name="GLM_4" vbProcedure="false">INDEX([111]DRAW!$A$2:$B$13,MATCH([112]AUTO_DHWS!$AV$6,[111]DRAW!$A$2:$A$13,0),2)</definedName>
    <definedName function="false" hidden="true" localSheetId="9" name="Gmh" vbProcedure="false">{#N/A,#N/A,FALSE,"Sheet1"}</definedName>
    <definedName function="false" hidden="false" localSheetId="9" name="gor" vbProcedure="false">'[93]well test sheet'!#ref!</definedName>
    <definedName function="false" hidden="false" localSheetId="9" name="gpbreakerconc" vbProcedure="false">'[113]#REF'!$K$68</definedName>
    <definedName function="false" hidden="false" localSheetId="9" name="gpbreakertype" vbProcedure="false">'[113]#REF'!$K$67</definedName>
    <definedName function="false" hidden="false" localSheetId="9" name="gpcarriertype" vbProcedure="false">[5]WTR!$G$83</definedName>
    <definedName function="false" hidden="false" localSheetId="9" name="gpcarriervis" vbProcedure="false">'[113]#REF'!$K$66</definedName>
    <definedName function="false" hidden="false" localSheetId="9" name="gpcarriervol" vbProcedure="false">'[113]#REF'!$F$69</definedName>
    <definedName function="false" hidden="false" localSheetId="9" name="gpcarrierwt" vbProcedure="false">'[113]#REF'!$F$67</definedName>
    <definedName function="false" hidden="false" localSheetId="9" name="gpextlength" vbProcedure="false">'[113]#REF'!$J$15</definedName>
    <definedName function="false" hidden="false" localSheetId="9" name="gpextod" vbProcedure="false">'[113]#REF'!$F$15</definedName>
    <definedName function="false" hidden="false" localSheetId="9" name="gpgel" vbProcedure="false">'[113]#REF'!$K$65</definedName>
    <definedName function="false" hidden="false" localSheetId="9" name="gplbs" vbProcedure="false">'[113]#REF'!$F$64</definedName>
    <definedName function="false" hidden="false" localSheetId="9" name="gpmixratio" vbProcedure="false">[5]WTR!$M$81</definedName>
    <definedName function="false" hidden="false" localSheetId="9" name="gppumprate" vbProcedure="false">[5]WTR!$F$88</definedName>
    <definedName function="false" hidden="false" localSheetId="9" name="gpslurrydens" vbProcedure="false">'[113]#REF'!$F$70</definedName>
    <definedName function="false" hidden="false" localSheetId="9" name="GP_EXT_OD" vbProcedure="false">'[113]#REF'!$F$15</definedName>
    <definedName function="false" hidden="false" localSheetId="9" name="GP_MIX_RATIO" vbProcedure="false">'[113]#REF'!$K$64</definedName>
    <definedName function="false" hidden="false" localSheetId="9" name="GP_SLURRY_VOL" vbProcedure="false">'[113]#REF'!$F$69</definedName>
    <definedName function="false" hidden="false" localSheetId="9" name="GQGQ" vbProcedure="false">'[140]tally checklist'!gqgq</definedName>
    <definedName function="false" hidden="false" localSheetId="9" name="GQQ" vbProcedure="false">'[140]tally checklist'!gqq</definedName>
    <definedName function="false" hidden="false" localSheetId="9" name="gravelsize" vbProcedure="false">[5]WTR!$G$82</definedName>
    <definedName function="false" hidden="false" localSheetId="9" name="GRAVEL_IN_CSG." vbProcedure="false">'[113]#REF'!XEP1048377</definedName>
    <definedName function="false" hidden="false" localSheetId="9" name="GroupID" vbProcedure="false">[109]DATA!$Q$2:$Q$268</definedName>
    <definedName function="false" hidden="false" localSheetId="9" name="Group_ID" vbProcedure="false">[131]DATA!$Q$2:$Q$268</definedName>
    <definedName function="false" hidden="false" localSheetId="9" name="GRQ" vbProcedure="false">'[140]tally checklist'!grq</definedName>
    <definedName function="false" hidden="true" localSheetId="9" name="GUB24SECWELL" vbProcedure="false">[143]Sheet1!$A$181:$H$210</definedName>
    <definedName function="false" hidden="false" localSheetId="9" name="Gun_Size" vbProcedure="false">'[108]TCP-BHA'!$F$5</definedName>
    <definedName function="false" hidden="false" localSheetId="9" name="GWS" vbProcedure="false">'[140]tally checklist'!gws</definedName>
    <definedName function="false" hidden="false" localSheetId="9" name="h" vbProcedure="false">[144]Tally!$A$5:$H$1064</definedName>
    <definedName function="false" hidden="false" localSheetId="9" name="H2S" vbProcedure="false">'[94]Job Technical Info'!$L$41</definedName>
    <definedName function="false" hidden="false" localSheetId="9" name="Hangerfunction" vbProcedure="false">[109]DATA!$AH$2:$AH$9</definedName>
    <definedName function="false" hidden="false" localSheetId="9" name="Hassan" vbProcedure="false">[185]!Macro1</definedName>
    <definedName function="false" hidden="false" localSheetId="9" name="HAUL_Thread" vbProcedure="false">[109]DATA!$BM$22:$BM$114</definedName>
    <definedName function="false" hidden="false" localSheetId="9" name="hesfluid" vbProcedure="false">[54]data!#ref!</definedName>
    <definedName function="false" hidden="true" localSheetId="9" name="hgh" vbProcedure="false">[103]Run!$D$15:$D$512</definedName>
    <definedName function="false" hidden="false" localSheetId="9" name="HGR_OL_Packoff_In" vbProcedure="false">[109]Test!$M$36</definedName>
    <definedName function="false" hidden="false" localSheetId="9" name="hhp" vbProcedure="false">'[93]well test sheet'!#ref!</definedName>
    <definedName function="false" hidden="false" localSheetId="9" name="hj" vbProcedure="false">[187]bha!#ref!</definedName>
    <definedName function="false" hidden="false" localSheetId="9" name="HKWT" vbProcedure="false">[119]钻井日报表!$E$7</definedName>
    <definedName function="false" hidden="false" localSheetId="9" name="Hngr_Bst" vbProcedure="false">'[109]Metric Conversions'!$B$50</definedName>
    <definedName function="false" hidden="false" localSheetId="9" name="Hngr_Bstz" vbProcedure="false">'[109]Liner Job Info'!$D$39</definedName>
    <definedName function="false" hidden="false" localSheetId="9" name="Hngr_OL_PO_out" vbProcedure="false">[109]Test!$M$30</definedName>
    <definedName function="false" hidden="false" localSheetId="9" name="Hngr_Overload_Cmt_Setup" vbProcedure="false">[109]Test!$M$42</definedName>
    <definedName function="false" hidden="false" localSheetId="9" name="Hngr_Tens" vbProcedure="false">'[109]Liner Job Info'!$D$40</definedName>
    <definedName function="false" hidden="false" localSheetId="9" name="Hng_Cap" vbProcedure="false">'[109]Liner Job Info'!$D$41</definedName>
    <definedName function="false" hidden="false" localSheetId="9" name="holevol" vbProcedure="false">'[61]tool backload dt'!holevol</definedName>
    <definedName function="false" hidden="false" localSheetId="9" name="hpb" vbProcedure="false">'[93]well test sheet'!#ref!</definedName>
    <definedName function="false" hidden="false" localSheetId="9" name="HR_Turns" vbProcedure="false">'[109]Weight Calculations'!$Q$36</definedName>
    <definedName function="false" hidden="true" localSheetId="9" name="HTML_Control" vbProcedure="false">{"'Operator &amp; Well Info.'!$A$1:$F$16"}</definedName>
    <definedName function="false" hidden="false" localSheetId="9" name="hwdpdt" vbProcedure="false">'[136]WCT-Ft'!$Q$19:$X$24</definedName>
    <definedName function="false" hidden="false" localSheetId="9" name="hy" vbProcedure="false">[49]!Prev.Macro106</definedName>
    <definedName function="false" hidden="false" localSheetId="9" name="Hyd._Pressure" vbProcedure="false">'[108]Job Calculation Sheet'!$H$28</definedName>
    <definedName function="false" hidden="false" localSheetId="9" name="Hyd_at_TV" vbProcedure="false">'[108]Tester Valve Calcs'!$F$21</definedName>
    <definedName function="false" hidden="false" localSheetId="9" name="Hyd_Effect_Force" vbProcedure="false">'[109]Weight Calculations'!$F$47</definedName>
    <definedName function="false" hidden="false" localSheetId="9" name="Hyd_force_element" vbProcedure="false">[109]Test!$M$17</definedName>
    <definedName function="false" hidden="false" localSheetId="9" name="HyfloSeatID" vbProcedure="false">[109]DATA!$AY$2:$AY$4</definedName>
    <definedName function="false" hidden="false" localSheetId="9" name="HyfloSeatNumber" vbProcedure="false">[109]DATA!$AZ$2:$AZ$5</definedName>
    <definedName function="false" hidden="false" localSheetId="9" name="HyfloSupplier" vbProcedure="false">[109]DATA!$BA$2:$BA$5</definedName>
    <definedName function="false" hidden="false" localSheetId="9" name="idlist" vbProcedure="false">[106]Data!$GD$2:$GE$237</definedName>
    <definedName function="false" hidden="false" localSheetId="9" name="IDUnit" vbProcedure="false">'[94]Job Technical Info'!$F$24</definedName>
    <definedName function="false" hidden="false" localSheetId="9" name="impdwg" vbProcedure="false">[27]!impdwg</definedName>
    <definedName function="false" hidden="false" localSheetId="9" name="impdwg_1" vbProcedure="false">'JOB ORDER '!impdwg</definedName>
    <definedName function="false" hidden="false" localSheetId="9" name="impdwg_10" vbProcedure="false">'JOB ORDER '!impdwg</definedName>
    <definedName function="false" hidden="false" localSheetId="9" name="impdwg_11" vbProcedure="false">'JOB ORDER '!impdwg</definedName>
    <definedName function="false" hidden="false" localSheetId="9" name="impdwg_2" vbProcedure="false">'JOB ORDER '!impdwg</definedName>
    <definedName function="false" hidden="false" localSheetId="9" name="impdwg_3" vbProcedure="false">'JOB ORDER '!impdwg</definedName>
    <definedName function="false" hidden="false" localSheetId="9" name="impdwg_4" vbProcedure="false">'JOB ORDER '!impdwg</definedName>
    <definedName function="false" hidden="false" localSheetId="9" name="impdwg_5" vbProcedure="false">'JOB ORDER '!impdwg</definedName>
    <definedName function="false" hidden="false" localSheetId="9" name="impdwg_6" vbProcedure="false">'JOB ORDER '!impdwg</definedName>
    <definedName function="false" hidden="false" localSheetId="9" name="impdwg_7" vbProcedure="false">'JOB ORDER '!impdwg</definedName>
    <definedName function="false" hidden="false" localSheetId="9" name="impdwg_8" vbProcedure="false">'JOB ORDER '!impdwg</definedName>
    <definedName function="false" hidden="false" localSheetId="9" name="impdwg_9" vbProcedure="false">'JOB ORDER '!impdwg</definedName>
    <definedName function="false" hidden="false" localSheetId="9" name="Inc" vbProcedure="false">[119]钻井日报表!$G$8</definedName>
    <definedName function="false" hidden="false" localSheetId="9" name="InclinationData" vbProcedure="false">OFFSET([27]!Inclination,2,0,COUNT(#ref!),1)</definedName>
    <definedName function="false" hidden="true" localSheetId="9"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Index_Client" vbProcedure="false">'[145]Job File Index'!$B$7</definedName>
    <definedName function="false" hidden="false" localSheetId="9" name="INFUSER_RATE" vbProcedure="false">'[113]#REF'!$F$71</definedName>
    <definedName function="false" hidden="false" localSheetId="9" name="INFUSER_RATE_PREPACK" vbProcedure="false">'[113]#REF'!$F$50</definedName>
    <definedName function="false" hidden="false" localSheetId="9" name="Insert_New_Page" vbProcedure="false">[41]!Insert_New_Page</definedName>
    <definedName function="false" hidden="false" localSheetId="9" name="Insert_New_Page_1" vbProcedure="false">[27]!Insert_New_Page</definedName>
    <definedName function="false" hidden="false" localSheetId="9" name="Insert_New_Page_10" vbProcedure="false">[27]!Insert_New_Page</definedName>
    <definedName function="false" hidden="false" localSheetId="9" name="Insert_New_Page_11" vbProcedure="false">[27]!Insert_New_Page</definedName>
    <definedName function="false" hidden="false" localSheetId="9" name="Insert_New_Page_2" vbProcedure="false">[27]!Insert_New_Page</definedName>
    <definedName function="false" hidden="false" localSheetId="9" name="Insert_New_Page_3" vbProcedure="false">[27]!Insert_New_Page</definedName>
    <definedName function="false" hidden="false" localSheetId="9" name="Insert_New_Page_4" vbProcedure="false">[27]!Insert_New_Page</definedName>
    <definedName function="false" hidden="false" localSheetId="9" name="Insert_New_Page_5" vbProcedure="false">[27]!Insert_New_Page</definedName>
    <definedName function="false" hidden="false" localSheetId="9" name="Insert_New_Page_6" vbProcedure="false">[27]!Insert_New_Page</definedName>
    <definedName function="false" hidden="false" localSheetId="9" name="Insert_New_Page_7" vbProcedure="false">[27]!Insert_New_Page</definedName>
    <definedName function="false" hidden="false" localSheetId="9" name="Insert_New_Page_8" vbProcedure="false">[27]!Insert_New_Page</definedName>
    <definedName function="false" hidden="false" localSheetId="9" name="Insert_New_Page_9" vbProcedure="false">[27]!Insert_New_Page</definedName>
    <definedName function="false" hidden="false" localSheetId="9" name="Inverse_Balloon_Area" vbProcedure="false">[109]Test!$M$19</definedName>
    <definedName function="false" hidden="false" localSheetId="9" name="isip" vbProcedure="false">[5]WTR!$G$41</definedName>
    <definedName function="false" hidden="false" localSheetId="9" name="Issue" vbProcedure="false">'[146]Title Page'!$Q$2:$Q$20</definedName>
    <definedName function="false" hidden="true" localSheetId="9" name="J" vbProcedure="false">#ref!</definedName>
    <definedName function="false" hidden="false" localSheetId="9" name="janrupees" vbProcedure="false">'[147]Cash Expense January-96'!$H$6</definedName>
    <definedName function="false" hidden="false" localSheetId="9" name="JEYJD" vbProcedure="false">'[140]tally checklist'!jeyjd</definedName>
    <definedName function="false" hidden="false" localSheetId="9" name="JK" vbProcedure="false">'[148]CSG13'!$B$5</definedName>
    <definedName function="false" hidden="false" localSheetId="9" name="JobCenterID" vbProcedure="false">'[94]Job Technical Info'!$C$10</definedName>
    <definedName function="false" hidden="false" localSheetId="9" name="JobEndDate" vbProcedure="false">'[138]job info sheet'!#ref!</definedName>
    <definedName function="false" hidden="false" localSheetId="9" name="JobNumber" vbProcedure="false">'[129]Front Page Info'!$C$4</definedName>
    <definedName function="false" hidden="false" localSheetId="9" name="jobpurpose1" vbProcedure="false">[132]Data!$L$1:$L$65536</definedName>
    <definedName function="false" hidden="false" localSheetId="9" name="JobType" vbProcedure="false">[6]Sheet1!$A$11:$A$16</definedName>
    <definedName function="false" hidden="false" localSheetId="9" name="Jobtype1" vbProcedure="false">[132]Data!$N$1:$N$65536</definedName>
    <definedName function="false" hidden="false" localSheetId="9" name="Job_date" vbProcedure="false">'[108]TCP-BHA'!$D$5</definedName>
    <definedName function="false" hidden="false" localSheetId="9" name="Job_Name" vbProcedure="false">'[30]Liner Job Info'!$E$5</definedName>
    <definedName function="false" hidden="false" localSheetId="9" name="Job_Type" vbProcedure="false">'[12]JCSI 12'!$AB$29:$AB$42</definedName>
    <definedName function="false" hidden="false" localSheetId="9" name="JointNumber" vbProcedure="false">[96]!JointNumber</definedName>
    <definedName function="false" hidden="false" localSheetId="9" name="JOINTNUMBER23" vbProcedure="false">[72]!JointNumber</definedName>
    <definedName function="false" hidden="false" localSheetId="9" name="JOINTNYMBER4" vbProcedure="false">[72]!JointNumber</definedName>
    <definedName function="false" hidden="true" localSheetId="9" name="JOYCE" vbProcedure="false">#ref!</definedName>
    <definedName function="false" hidden="false" localSheetId="9" name="JRJTRJT" vbProcedure="false">'[140]tally checklist'!jrjtrjt</definedName>
    <definedName function="false" hidden="false" localSheetId="9" name="JtCount" vbProcedure="false">'[76]casing talley'!#ref!</definedName>
    <definedName function="false" hidden="false" localSheetId="9" name="JTNFN" vbProcedure="false">'[140]tally checklist'!jtnfn</definedName>
    <definedName function="false" hidden="true" localSheetId="9" name="jun" vbProcedure="false">{#N/A,#N/A,FALSE,"Sheet1"}</definedName>
    <definedName function="false" hidden="true" localSheetId="9" name="June" vbProcedure="false">{#N/A,#N/A,FALSE,"Sheet1"}</definedName>
    <definedName function="false" hidden="true" localSheetId="9" name="June1" vbProcedure="false">{#N/A,#N/A,FALSE,"Sheet1"}</definedName>
    <definedName function="false" hidden="false" localSheetId="9" name="junk" vbProcedure="false">{#N/A,#N/A,FALSE,"Volume"}</definedName>
    <definedName function="false" hidden="false" localSheetId="9" name="junk1" vbProcedure="false">{#N/A,#N/A,FALSE,"Volume"}</definedName>
    <definedName function="false" hidden="false" localSheetId="9" name="junk2" vbProcedure="false">{#N/A,#N/A,FALSE,"Volume"}</definedName>
    <definedName function="false" hidden="false" localSheetId="9" name="junk3" vbProcedure="false">{#N/A,#N/A,FALSE,"Volume"}</definedName>
    <definedName function="false" hidden="false" localSheetId="9" name="junk4" vbProcedure="false">{#N/A,#N/A,FALSE,"Volume"}</definedName>
    <definedName function="false" hidden="true" localSheetId="9" name="k" vbProcedure="false">#ref!</definedName>
    <definedName function="false" hidden="false" localSheetId="9" name="Kill_Fluid_Type" vbProcedure="false">'[108]TCP-BHA'!$G$7</definedName>
    <definedName function="false" hidden="false" localSheetId="9" name="Kill_Fluid_Wt" vbProcedure="false">'[108]TCP-BHA'!$F$7</definedName>
    <definedName function="false" hidden="false" localSheetId="9" name="KK" vbProcedure="false">[27]!Macro1</definedName>
    <definedName function="false" hidden="false" localSheetId="9" name="KL" vbProcedure="false">[149]BHA!$C$4</definedName>
    <definedName function="false" hidden="false" localSheetId="9" name="KO" vbProcedure="false">'[148]CSG13'!$F$6</definedName>
    <definedName function="false" hidden="false" localSheetId="9" name="KRR" vbProcedure="false">'[140]tally checklist'!krr</definedName>
    <definedName function="false" hidden="false" localSheetId="9" name="KUYUKR" vbProcedure="false">'[140]tally checklist'!kuyukr</definedName>
    <definedName function="false" hidden="false" localSheetId="9" name="landoffshore" vbProcedure="false">[54]data!#ref!</definedName>
    <definedName function="false" hidden="false" localSheetId="9" name="LastCsgString" vbProcedure="false">[109]DATA!$AU$2:$AU$4</definedName>
    <definedName function="false" hidden="false" localSheetId="9" name="latlong" vbProcedure="false">'[126]Call Sheet'!$P$7</definedName>
    <definedName function="false" hidden="false" localSheetId="9" name="LC" vbProcedure="false">INDEX([111]DRAW!$J$13:$K$22,MATCH([112]AUTO_DHWS!$BC$4,[111]DRAW!$J$13:$J$22,0),2)</definedName>
    <definedName function="false" hidden="false" localSheetId="9" name="LCJobType" vbProcedure="false">'[94]Installation Results #1'!$C$306</definedName>
    <definedName function="false" hidden="false" localSheetId="9" name="LC_TYPE" vbProcedure="false">INDEX([111]DRAW!$P$68:$Q$70,MATCH([111]DRAW!$Q$67,[111]DRAW!$P$68:$P$70,0),2)</definedName>
    <definedName function="false" hidden="false" localSheetId="9" name="Lead_Slurry_in_12.25__OH" vbProcedure="false">'[150]Cmt Csg'!$C$6</definedName>
    <definedName function="false" hidden="false" localSheetId="9" name="lease" vbProcedure="false">[5]WTR!$I$6</definedName>
    <definedName function="false" hidden="false" localSheetId="9" name="Lease1" vbProcedure="false">'[108]TCP-BHA'!$A$7</definedName>
    <definedName function="false" hidden="false" localSheetId="9" name="Lengths" vbProcedure="false">'[116]Kill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function="false" hidden="false" localSheetId="9" name="Likelihood" vbProcedure="false">[125]Sheet2!$C$1:$C$5</definedName>
    <definedName function="false" hidden="false" localSheetId="9" name="Liner1_Burst" vbProcedure="false">'[109]Metric Conversions'!$B$45</definedName>
    <definedName function="false" hidden="false" localSheetId="9" name="Liner1_Burstz" vbProcedure="false">'[109]Liner Job Info'!$J$17</definedName>
    <definedName function="false" hidden="false" localSheetId="9" name="Liner1_Cap" vbProcedure="false">'[109]Liner Job Info'!$P$17</definedName>
    <definedName function="false" hidden="false" localSheetId="9" name="Liner1_Collapsez" vbProcedure="false">'[109]Liner Job Info'!$L$17</definedName>
    <definedName function="false" hidden="false" localSheetId="9" name="Liner1_ID" vbProcedure="false">'[109]Liner Job Info'!$D$17</definedName>
    <definedName function="false" hidden="false" localSheetId="9" name="Liner1_Length" vbProcedure="false">'[130]Metric Conversions'!$B$17</definedName>
    <definedName function="false" hidden="false" localSheetId="9" name="Liner1_Lengthz" vbProcedure="false">'[109]Liner Job Info'!$R$17</definedName>
    <definedName function="false" hidden="false" localSheetId="9" name="Liner1_OD" vbProcedure="false">'[130]Liner Job Info'!$C$17</definedName>
    <definedName function="false" hidden="false" localSheetId="9" name="Liner1_Thread" vbProcedure="false">'[130]Liner Job Info'!$H$17</definedName>
    <definedName function="false" hidden="false" localSheetId="9" name="Liner1_Wt_in_Mud" vbProcedure="false">'[109]Weight Calculations'!$H$16</definedName>
    <definedName function="false" hidden="false" localSheetId="9" name="Liner1_Wt_Per_Ft" vbProcedure="false">'[130]Liner Job Info'!$E$17</definedName>
    <definedName function="false" hidden="false" localSheetId="9" name="Liner2_Burst" vbProcedure="false">'[109]Metric Conversions'!$B$46</definedName>
    <definedName function="false" hidden="false" localSheetId="9" name="Liner2_Burstz" vbProcedure="false">'[109]Liner Job Info'!$J$18</definedName>
    <definedName function="false" hidden="false" localSheetId="9" name="Liner2_Cap" vbProcedure="false">'[109]Liner Job Info'!$P$18</definedName>
    <definedName function="false" hidden="false" localSheetId="9" name="Liner2_Collapsez" vbProcedure="false">'[109]Liner Job Info'!$L$18</definedName>
    <definedName function="false" hidden="false" localSheetId="9" name="Liner2_ID" vbProcedure="false">'[109]Liner Job Info'!$D$18</definedName>
    <definedName function="false" hidden="false" localSheetId="9" name="Liner2_Length" vbProcedure="false">'[130]Metric Conversions'!$B$18</definedName>
    <definedName function="false" hidden="false" localSheetId="9" name="Liner2_Lengthz" vbProcedure="false">'[109]Liner Job Info'!$R$18</definedName>
    <definedName function="false" hidden="false" localSheetId="9" name="Liner2_OD" vbProcedure="false">'[130]Liner Job Info'!$C$18</definedName>
    <definedName function="false" hidden="false" localSheetId="9" name="Liner2_Thread" vbProcedure="false">'[130]Liner Job Info'!$H$18</definedName>
    <definedName function="false" hidden="false" localSheetId="9" name="Liner2_Wt_in_Mud" vbProcedure="false">'[109]Weight Calculations'!$H$17</definedName>
    <definedName function="false" hidden="false" localSheetId="9" name="Liner2_Wt_Per_FT" vbProcedure="false">'[130]Liner Job Info'!$E$18</definedName>
    <definedName function="false" hidden="false" localSheetId="9" name="Linertype" vbProcedure="false">[109]DATA!$W$2:$W$12</definedName>
    <definedName function="false" hidden="false" localSheetId="9" name="Liner_I.D." vbProcedure="false">'[108]Job Calculation Sheet'!$F$14</definedName>
    <definedName function="false" hidden="false" localSheetId="9" name="Liner_ID_Area" vbProcedure="false">[109]Test!$V$40</definedName>
    <definedName function="false" hidden="false" localSheetId="9" name="Liner_Size" vbProcedure="false">'[108]Pre-Job Info Sheet'!$D$17</definedName>
    <definedName function="false" hidden="false" localSheetId="9" name="Liner_Top__MD" vbProcedure="false">'[108]Pre-Job Info Sheet'!$D$19</definedName>
    <definedName function="false" hidden="false" localSheetId="9" name="Liner_Weight" vbProcedure="false">'[108]Pre-Job Info Sheet'!$D$18</definedName>
    <definedName function="false" hidden="true" localSheetId="9" name="lkj" vbProcedure="false">[103]Run!$B$18:$B$512</definedName>
    <definedName function="false" hidden="false" localSheetId="9" name="Lnr1_Grade" vbProcedure="false">'[130]Liner Job Info'!$F$17</definedName>
    <definedName function="false" hidden="false" localSheetId="9" name="Lnr1_Vol" vbProcedure="false">'[109]Metric Conversions'!$B$77</definedName>
    <definedName function="false" hidden="false" localSheetId="9" name="Lnr1_Volz" vbProcedure="false">'[109]Metric Conversions'!$C$77</definedName>
    <definedName function="false" hidden="false" localSheetId="9" name="Lnr1_X_OH_Volz" vbProcedure="false">'[109]Metric Conversions'!$C$82</definedName>
    <definedName function="false" hidden="false" localSheetId="9" name="Lnr2_Grade" vbProcedure="false">'[130]Liner Job Info'!$F$18</definedName>
    <definedName function="false" hidden="false" localSheetId="9" name="Lnr2_Vol" vbProcedure="false">'[109]Metric Conversions'!$B$78</definedName>
    <definedName function="false" hidden="false" localSheetId="9" name="Lnr2_Volz" vbProcedure="false">'[109]Metric Conversions'!$C$78</definedName>
    <definedName function="false" hidden="false" localSheetId="9" name="Lnr2_X_OH_Volz" vbProcedure="false">'[109]Metric Conversions'!$C$83</definedName>
    <definedName function="false" hidden="false" localSheetId="9" name="LnrDrift1" vbProcedure="false">'[94]Job Technical Info'!$G$29</definedName>
    <definedName function="false" hidden="false" localSheetId="9" name="LnrDrift2" vbProcedure="false">'[94]Job Technical Info'!$G$30</definedName>
    <definedName function="false" hidden="false" localSheetId="9" name="LnrGrd1" vbProcedure="false">'[94]Job Technical Info'!$H$29</definedName>
    <definedName function="false" hidden="false" localSheetId="9" name="LnrGrd2" vbProcedure="false">'[94]Job Technical Info'!$H$30</definedName>
    <definedName function="false" hidden="false" localSheetId="9" name="LnrID1" vbProcedure="false">'[94]Job Technical Info'!$F$29</definedName>
    <definedName function="false" hidden="false" localSheetId="9" name="LnrID2" vbProcedure="false">'[94]Job Technical Info'!$F$30</definedName>
    <definedName function="false" hidden="false" localSheetId="9" name="LnrSz1" vbProcedure="false">'[94]Job Technical Info'!$D$29</definedName>
    <definedName function="false" hidden="false" localSheetId="9" name="LnrSz2" vbProcedure="false">'[94]Job Technical Info'!$D$30</definedName>
    <definedName function="false" hidden="false" localSheetId="9" name="LnrThd1" vbProcedure="false">'[94]Job Technical Info'!$J$29</definedName>
    <definedName function="false" hidden="false" localSheetId="9" name="LnrThd2" vbProcedure="false">'[94]Job Technical Info'!$J$30</definedName>
    <definedName function="false" hidden="false" localSheetId="9" name="LnrWt1" vbProcedure="false">'[94]Job Technical Info'!$E$29</definedName>
    <definedName function="false" hidden="false" localSheetId="9" name="LnrWt2" vbProcedure="false">'[94]Job Technical Info'!$E$30</definedName>
    <definedName function="false" hidden="false" localSheetId="9" name="Lnr_Shoe_Depth" vbProcedure="false">'[130]Metric Conversions'!$B$29</definedName>
    <definedName function="false" hidden="false" localSheetId="9" name="Loaded" vbProcedure="false">'[108]Pre-Job Info Sheet'!$B$19</definedName>
    <definedName function="false" hidden="false" localSheetId="9" name="Location" vbProcedure="false">[60]auf_screen!#ref!</definedName>
    <definedName function="false" hidden="true" localSheetId="9" name="loudout" vbProcedure="false">[151]Run!$D$15:$D$512</definedName>
    <definedName function="false" hidden="false" localSheetId="9" name="LS" vbProcedure="false">'[189]amberjack a32ream'!#ref!</definedName>
    <definedName function="false" hidden="false" localSheetId="9" name="LSD" vbProcedure="false">'[138]job info sheet'!#ref!</definedName>
    <definedName function="false" hidden="false" localSheetId="9" name="LTP" vbProcedure="false">INDEX([111]DRAW!$D$14:$E$15,MATCH([112]AUTO_DHWS!$BB$7,[111]DRAW!$D$14:$D$15,0),2)</definedName>
    <definedName function="false" hidden="true" localSheetId="9" name="M" vbProcedure="false">#ref!</definedName>
    <definedName function="false" hidden="false" localSheetId="9" name="Macro1" vbProcedure="false">[16]!Macro1</definedName>
    <definedName function="false" hidden="false" localSheetId="9" name="Macro112" vbProcedure="false">[56]!Macro59</definedName>
    <definedName function="false" hidden="false" localSheetId="9" name="Macro2" vbProcedure="false">[27]!Macro2</definedName>
    <definedName function="false" hidden="false" localSheetId="9" name="Macro22" vbProcedure="false">[27]!Macro22</definedName>
    <definedName function="false" hidden="false" localSheetId="9" name="Macro22_1" vbProcedure="false">'JOB ORDER '!Macro22</definedName>
    <definedName function="false" hidden="false" localSheetId="9" name="Macro22_10" vbProcedure="false">'JOB ORDER '!Macro22</definedName>
    <definedName function="false" hidden="false" localSheetId="9" name="Macro22_11" vbProcedure="false">'JOB ORDER '!Macro22</definedName>
    <definedName function="false" hidden="false" localSheetId="9" name="Macro22_2" vbProcedure="false">'JOB ORDER '!Macro22</definedName>
    <definedName function="false" hidden="false" localSheetId="9" name="Macro22_3" vbProcedure="false">'JOB ORDER '!Macro22</definedName>
    <definedName function="false" hidden="false" localSheetId="9" name="Macro22_4" vbProcedure="false">'JOB ORDER '!Macro22</definedName>
    <definedName function="false" hidden="false" localSheetId="9" name="Macro22_5" vbProcedure="false">'JOB ORDER '!Macro22</definedName>
    <definedName function="false" hidden="false" localSheetId="9" name="Macro22_6" vbProcedure="false">'JOB ORDER '!Macro22</definedName>
    <definedName function="false" hidden="false" localSheetId="9" name="Macro22_7" vbProcedure="false">'JOB ORDER '!Macro22</definedName>
    <definedName function="false" hidden="false" localSheetId="9" name="Macro22_8" vbProcedure="false">'JOB ORDER '!Macro22</definedName>
    <definedName function="false" hidden="false" localSheetId="9" name="Macro22_9" vbProcedure="false">'JOB ORDER '!Macro22</definedName>
    <definedName function="false" hidden="false" localSheetId="9" name="Macro233" vbProcedure="false">[27]!Macro1</definedName>
    <definedName function="false" hidden="false" localSheetId="9" name="Macro2_1" vbProcedure="false">'JOB ORDER '!Macro2</definedName>
    <definedName function="false" hidden="false" localSheetId="9" name="Macro2_10" vbProcedure="false">'JOB ORDER '!Macro2</definedName>
    <definedName function="false" hidden="false" localSheetId="9" name="Macro2_11" vbProcedure="false">'JOB ORDER '!Macro2</definedName>
    <definedName function="false" hidden="false" localSheetId="9" name="Macro2_2" vbProcedure="false">'JOB ORDER '!Macro2</definedName>
    <definedName function="false" hidden="false" localSheetId="9" name="Macro2_3" vbProcedure="false">'JOB ORDER '!Macro2</definedName>
    <definedName function="false" hidden="false" localSheetId="9" name="Macro2_4" vbProcedure="false">'JOB ORDER '!Macro2</definedName>
    <definedName function="false" hidden="false" localSheetId="9" name="Macro2_5" vbProcedure="false">'JOB ORDER '!Macro2</definedName>
    <definedName function="false" hidden="false" localSheetId="9" name="Macro2_6" vbProcedure="false">'JOB ORDER '!Macro2</definedName>
    <definedName function="false" hidden="false" localSheetId="9" name="Macro2_7" vbProcedure="false">'JOB ORDER '!Macro2</definedName>
    <definedName function="false" hidden="false" localSheetId="9" name="Macro2_8" vbProcedure="false">'JOB ORDER '!Macro2</definedName>
    <definedName function="false" hidden="false" localSheetId="9" name="Macro2_9" vbProcedure="false">'JOB ORDER '!Macro2</definedName>
    <definedName function="false" hidden="false" localSheetId="9" name="Macro3" vbProcedure="false">[27]!Macro3</definedName>
    <definedName function="false" hidden="false" localSheetId="9" name="Macro3_1" vbProcedure="false">'JOB ORDER '!Macro3</definedName>
    <definedName function="false" hidden="false" localSheetId="9" name="Macro3_10" vbProcedure="false">'JOB ORDER '!Macro3</definedName>
    <definedName function="false" hidden="false" localSheetId="9" name="Macro3_11" vbProcedure="false">'JOB ORDER '!Macro3</definedName>
    <definedName function="false" hidden="false" localSheetId="9" name="Macro3_2" vbProcedure="false">'JOB ORDER '!Macro3</definedName>
    <definedName function="false" hidden="false" localSheetId="9" name="Macro3_3" vbProcedure="false">'JOB ORDER '!Macro3</definedName>
    <definedName function="false" hidden="false" localSheetId="9" name="Macro3_4" vbProcedure="false">'JOB ORDER '!Macro3</definedName>
    <definedName function="false" hidden="false" localSheetId="9" name="Macro3_5" vbProcedure="false">'JOB ORDER '!Macro3</definedName>
    <definedName function="false" hidden="false" localSheetId="9" name="Macro3_6" vbProcedure="false">'JOB ORDER '!Macro3</definedName>
    <definedName function="false" hidden="false" localSheetId="9" name="Macro3_7" vbProcedure="false">'JOB ORDER '!Macro3</definedName>
    <definedName function="false" hidden="false" localSheetId="9" name="Macro3_8" vbProcedure="false">'JOB ORDER '!Macro3</definedName>
    <definedName function="false" hidden="false" localSheetId="9" name="Macro3_9" vbProcedure="false">'JOB ORDER '!Macro3</definedName>
    <definedName function="false" hidden="false" localSheetId="9" name="Make_Up_Torque_Of_Weak_Link" vbProcedure="false">'[109]Liner Job Info'!$P$50</definedName>
    <definedName function="false" hidden="false" localSheetId="9" name="MaPSDensity" vbProcedure="false">'[94]SetUp Tab'!$G$25</definedName>
    <definedName function="false" hidden="false" localSheetId="9" name="MaPSDiameter" vbProcedure="false">'[94]SetUp Tab'!$G$23</definedName>
    <definedName function="false" hidden="false" localSheetId="9" name="MaPSFlowRate" vbProcedure="false">'[94]SetUp Tab'!$G$26</definedName>
    <definedName function="false" hidden="false" localSheetId="9" name="MaPSLength" vbProcedure="false">'[94]SetUp Tab'!$E$23</definedName>
    <definedName function="false" hidden="false" localSheetId="9" name="MaPSMass" vbProcedure="false">[94]Lists!$BJ$3</definedName>
    <definedName function="false" hidden="false" localSheetId="9" name="MaPSPressure" vbProcedure="false">'[94]SetUp Tab'!$G$24</definedName>
    <definedName function="false" hidden="false" localSheetId="9" name="MaPSTemp" vbProcedure="false">'[94]SetUp Tab'!$E$26</definedName>
    <definedName function="false" hidden="false" localSheetId="9" name="MaPSWeight" vbProcedure="false">'[94]SetUp Tab'!$E$24</definedName>
    <definedName function="false" hidden="false" localSheetId="9" name="marrupees" vbProcedure="false">'[152]Cash Expsense March-96'!$H$6</definedName>
    <definedName function="false" hidden="false" localSheetId="9" name="Material" vbProcedure="false">[109]DATA!$I$3:$I$22</definedName>
    <definedName function="false" hidden="false" localSheetId="9" name="Max._Deviation" vbProcedure="false">'[108]Pre-Job Info Sheet'!$B$36</definedName>
    <definedName function="false" hidden="false" localSheetId="9" name="MaxDev" vbProcedure="false">'[94]Job Technical Info'!$F$41</definedName>
    <definedName function="false" hidden="false" localSheetId="9" name="Max_Bump_psi" vbProcedure="false">'[109]Metric Conversions'!$B$59</definedName>
    <definedName function="false" hidden="false" localSheetId="9" name="Max_Bump_psiz" vbProcedure="false">'[109]Metric Conversions'!$C$59</definedName>
    <definedName function="false" hidden="false" localSheetId="9" name="Max_Test_Cmt_Setup" vbProcedure="false">'[109]Metric Conversions'!$B$62</definedName>
    <definedName function="false" hidden="false" localSheetId="9" name="Max_Test_Cmt_Setupz" vbProcedure="false">'[109]Metric Conversions'!$C$62</definedName>
    <definedName function="false" hidden="false" localSheetId="9" name="Max_Test_Seals_In" vbProcedure="false">'[109]Metric Conversions'!$B$61</definedName>
    <definedName function="false" hidden="false" localSheetId="9" name="Max_Test_Seals_Inz" vbProcedure="false">'[109]Metric Conversions'!$C$61</definedName>
    <definedName function="false" hidden="false" localSheetId="9" name="Max_test_seals_out" vbProcedure="false">'[109]Metric Conversions'!$B$60</definedName>
    <definedName function="false" hidden="false" localSheetId="9" name="Max_test_seals_outz" vbProcedure="false">'[109]Metric Conversions'!$C$60</definedName>
    <definedName function="false" hidden="false" localSheetId="9" name="Max_Turns" vbProcedure="false">'[109]Weight Calculations'!$T$36</definedName>
    <definedName function="false" hidden="false" localSheetId="9" name="MDData" vbProcedure="false">OFFSET([27]!MDForInclination,2,0,COUNT(#ref!),1)</definedName>
    <definedName function="false" hidden="false" localSheetId="9" name="MeteringTime" vbProcedure="false">[109]DATA!$BG$2:$BG$42</definedName>
    <definedName function="false" hidden="false" localSheetId="9" name="Min._Ten_Sett_Tool_Assy" vbProcedure="false">'[109]Weight Calculations'!$S$60</definedName>
    <definedName function="false" hidden="false" localSheetId="9" name="Min_DP_Tens" vbProcedure="false">'[109]Weight Calculations'!$W$61</definedName>
    <definedName function="false" hidden="false" localSheetId="9" name="Min_Ft_Release_RH" vbProcedure="false">'[109]Metric Conversions'!$B$39</definedName>
    <definedName function="false" hidden="false" localSheetId="9" name="Min_Ft_Release_RHz" vbProcedure="false">'[109]Metric Conversions'!$C$39</definedName>
    <definedName function="false" hidden="false" localSheetId="9" name="mobile" vbProcedure="false">'[126]Call Sheet'!$R$5</definedName>
    <definedName function="false" hidden="false" localSheetId="9" name="Module1.draw_productionfirst" vbProcedure="false">'[140]tally checklist'!module1.draw_productionfirst</definedName>
    <definedName function="false" hidden="false" localSheetId="9" name="Module1.draw_productionsecond" vbProcedure="false">'[140]tally checklist'!module1.draw_productionsecond</definedName>
    <definedName function="false" hidden="false" localSheetId="9" name="Module1.impdwg" vbProcedure="false">[27]!Module1.impdwg</definedName>
    <definedName function="false" hidden="false" localSheetId="9" name="Module1.impdwg_1" vbProcedure="false">'JOB ORDER '!Module1.impdwg</definedName>
    <definedName function="false" hidden="false" localSheetId="9" name="Module1.impdwg_10" vbProcedure="false">'JOB ORDER '!Module1.impdwg</definedName>
    <definedName function="false" hidden="false" localSheetId="9" name="Module1.impdwg_11" vbProcedure="false">'JOB ORDER '!Module1.impdwg</definedName>
    <definedName function="false" hidden="false" localSheetId="9" name="Module1.impdwg_2" vbProcedure="false">'JOB ORDER '!Module1.impdwg</definedName>
    <definedName function="false" hidden="false" localSheetId="9" name="Module1.impdwg_3" vbProcedure="false">'JOB ORDER '!Module1.impdwg</definedName>
    <definedName function="false" hidden="false" localSheetId="9" name="Module1.impdwg_4" vbProcedure="false">'JOB ORDER '!Module1.impdwg</definedName>
    <definedName function="false" hidden="false" localSheetId="9" name="Module1.impdwg_5" vbProcedure="false">'JOB ORDER '!Module1.impdwg</definedName>
    <definedName function="false" hidden="false" localSheetId="9" name="Module1.impdwg_6" vbProcedure="false">'JOB ORDER '!Module1.impdwg</definedName>
    <definedName function="false" hidden="false" localSheetId="9" name="Module1.impdwg_7" vbProcedure="false">'JOB ORDER '!Module1.impdwg</definedName>
    <definedName function="false" hidden="false" localSheetId="9" name="Module1.impdwg_8" vbProcedure="false">'JOB ORDER '!Module1.impdwg</definedName>
    <definedName function="false" hidden="false" localSheetId="9" name="Module1.impdwg_9" vbProcedure="false">'JOB ORDER '!Module1.impdwg</definedName>
    <definedName function="false" hidden="false" localSheetId="9" name="Module4.drawblanks" vbProcedure="false">'[140]tally checklist'!module4.drawblanks</definedName>
    <definedName function="false" hidden="false" localSheetId="9" name="Module4.drawlinerfirst" vbProcedure="false">'[140]tally checklist'!module4.drawlinerfirst</definedName>
    <definedName function="false" hidden="false" localSheetId="9" name="Module4.drawlinersecond" vbProcedure="false">'[140]tally checklist'!module4.drawlinersecond</definedName>
    <definedName function="false" hidden="false" localSheetId="9" name="Module4.drawmiscellaneous" vbProcedure="false">'[140]tally checklist'!module4.drawmiscellaneous</definedName>
    <definedName function="false" hidden="false" localSheetId="9" name="Module4.drawproductionfirst" vbProcedure="false">'[140]tally checklist'!module4.drawproductionfirst</definedName>
    <definedName function="false" hidden="false" localSheetId="9" name="Module4.drawproductionsecond" vbProcedure="false">'[140]tally checklist'!module4.drawproductionsecond</definedName>
    <definedName function="false" hidden="false" localSheetId="9" name="Module4.drawquantum" vbProcedure="false">'[140]tally checklist'!module4.drawquantum</definedName>
    <definedName function="false" hidden="false" localSheetId="9" name="Module4.drawscreens" vbProcedure="false">'[140]tally checklist'!module4.drawscreens</definedName>
    <definedName function="false" hidden="false" localSheetId="9" name="Module4.drawshearsubs" vbProcedure="false">'[140]tally checklist'!module4.drawshearsubs</definedName>
    <definedName function="false" hidden="false" localSheetId="9" name="Module4.drawsump" vbProcedure="false">'[140]tally checklist'!module4.drawsump</definedName>
    <definedName function="false" hidden="false" localSheetId="9" name="Module4.textfive" vbProcedure="false">'[140]tally checklist'!module4.textfive</definedName>
    <definedName function="false" hidden="false" localSheetId="9" name="Module4.textfivehalf" vbProcedure="false">'[140]tally checklist'!module4.textfivehalf</definedName>
    <definedName function="false" hidden="false" localSheetId="9" name="Module4.textninefiveeightfourfirst" vbProcedure="false">'[140]tally checklist'!module4.textninefiveeightfourfirst</definedName>
    <definedName function="false" hidden="false" localSheetId="9" name="Module4.textninefiveeightfoursecond" vbProcedure="false">'[140]tally checklist'!module4.textninefiveeightfoursecond</definedName>
    <definedName function="false" hidden="false" localSheetId="9" name="Module4.textninefiveeightsixfirst" vbProcedure="false">'[140]tally checklist'!module4.textninefiveeightsixfirst</definedName>
    <definedName function="false" hidden="false" localSheetId="9" name="Module4.textninefiveeightsixsecond" vbProcedure="false">'[140]tally checklist'!module4.textninefiveeightsixsecond</definedName>
    <definedName function="false" hidden="false" localSheetId="9" name="Module4.textsevenfiveeightfour" vbProcedure="false">'[140]tally checklist'!module4.textsevenfiveeightfour</definedName>
    <definedName function="false" hidden="false" localSheetId="9" name="Module4.textsevenfiveeightthree" vbProcedure="false">'[140]tally checklist'!module4.textsevenfiveeightthree</definedName>
    <definedName function="false" hidden="false" localSheetId="9" name="Module4.textsevenfour" vbProcedure="false">'[140]tally checklist'!module4.textsevenfour</definedName>
    <definedName function="false" hidden="false" localSheetId="9" name="Module4.textseventhree" vbProcedure="false">'[140]tally checklist'!module4.textseventhree</definedName>
    <definedName function="false" hidden="false" localSheetId="9" name="Month" vbProcedure="false">[60]auf_screen!#ref!</definedName>
    <definedName function="false" hidden="true" localSheetId="9" name="mr" vbProcedure="false">{#N/A,#N/A,FALSE,"Sheet1"}</definedName>
    <definedName function="false" hidden="false" localSheetId="9" name="Mudtype" vbProcedure="false">[109]DATA!$N$2:$N$18</definedName>
    <definedName function="false" hidden="false" localSheetId="9" name="Mudwt" vbProcedure="false">"Dialog2_Edit Box 5"</definedName>
    <definedName function="false" hidden="false" localSheetId="9" name="Mud_Type" vbProcedure="false">'[7]Drop-Down Items'!$D$4:$D$14</definedName>
    <definedName function="false" hidden="false" localSheetId="9" name="Mud_Wt" vbProcedure="false">'[130]Metric Conversions'!$B$66</definedName>
    <definedName function="false" hidden="false" localSheetId="9" name="Mud_Wtz" vbProcedure="false">'[109]Liner Job Info'!$D$31</definedName>
    <definedName function="false" hidden="false" localSheetId="9" name="MULE_SHOE_DEPTH" vbProcedure="false">'[113]#REF'!$F$182</definedName>
    <definedName function="false" hidden="false" localSheetId="9" name="MW" vbProcedure="false">#ref!,#ref!,#ref!,#ref!,#ref!</definedName>
    <definedName function="false" hidden="false" localSheetId="9" name="MWD" vbProcedure="false">[6]Sheet1!$F$10:$F$12</definedName>
    <definedName function="false" hidden="false" localSheetId="9" name="my" vbProcedure="false">[145]!JointNumber</definedName>
    <definedName function="false" hidden="false" localSheetId="9" name="m_choke" vbProcedure="false">'[93]well test sheet'!#ref!</definedName>
    <definedName function="false" hidden="false" localSheetId="9" name="n" vbProcedure="false">'[140]tally checklist'!n</definedName>
    <definedName function="false" hidden="false" localSheetId="9" name="N2_Precharge" vbProcedure="false">'[108]Tester Valve Calcs'!$F$16</definedName>
    <definedName function="false" hidden="false" localSheetId="9" name="N2_Press_DH" vbProcedure="false">'[108]Tester Valve Calcs'!$F$29</definedName>
    <definedName function="false" hidden="false" localSheetId="9" name="N2_Stroke" vbProcedure="false">'[108]Tester Valve Calcs'!$M$18</definedName>
    <definedName function="false" hidden="false" localSheetId="9" name="N2_Temp_DH" vbProcedure="false">'[108]Tester Valve Calcs'!$F$22</definedName>
    <definedName function="false" hidden="false" localSheetId="9" name="N2_Temp_Surf" vbProcedure="false">'[108]Tester Valve Calcs'!$F$17</definedName>
    <definedName function="false" hidden="false" localSheetId="9" name="N2_Vol_DH" vbProcedure="false">'[108]Tester Valve Calcs'!$F$25</definedName>
    <definedName function="false" hidden="false" localSheetId="9" name="N2_Vol_Surf" vbProcedure="false">'[108]Tester Valve Calcs'!$F$14</definedName>
    <definedName function="false" hidden="false" localSheetId="9" name="nb" vbProcedure="false">'[134]井口装置示意图-4'!$E$1:$E$65536</definedName>
    <definedName function="false" hidden="false" localSheetId="9" name="netperf" vbProcedure="false">[5]WTR!$G$33</definedName>
    <definedName function="false" hidden="false" localSheetId="9" name="NET_PERFS" vbProcedure="false">'[113]#REF'!$F$20</definedName>
    <definedName function="false" hidden="false" localSheetId="9" name="NewData" vbProcedure="false">'[132]New Contract'!$A$1:$G$65536</definedName>
    <definedName function="false" hidden="false" localSheetId="9" name="NewDes" vbProcedure="false">'[132]New Contract'!$A$1:$A$65536</definedName>
    <definedName function="false" hidden="false" localSheetId="9" name="newrisk" vbProcedure="false">[125]Sheet2!$D$1:$D$3</definedName>
    <definedName function="false" hidden="false" localSheetId="9" name="NextTD" vbProcedure="false">'[153]Lookahd EA'!$E$1:$N$3</definedName>
    <definedName function="false" hidden="true" localSheetId="9"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9"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9"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NH4CL" vbProcedure="false">'[6]#ref'!#ref!</definedName>
    <definedName function="false" hidden="false" localSheetId="9" name="NM" vbProcedure="false">[16]!Macro1</definedName>
    <definedName function="false" hidden="false" localSheetId="9" name="No" vbProcedure="false">'[154]BPR LOG'!$A$1:$A$1048576</definedName>
    <definedName function="false" hidden="false" localSheetId="9" name="NOofTools" vbProcedure="false">[109]DATA!$BP$2:$BP$12</definedName>
    <definedName function="false" hidden="false" localSheetId="9" name="O" vbProcedure="false">'[155]Report Long(Esso)'!$E$4</definedName>
    <definedName function="false" hidden="false" localSheetId="9" name="odcasing" vbProcedure="false">[106]Data!$J$16</definedName>
    <definedName function="false" hidden="false" localSheetId="9" name="ODSizes" vbProcedure="false">[94]Lists!$AF$3:$AF$42</definedName>
    <definedName function="false" hidden="false" localSheetId="9" name="ODUnit" vbProcedure="false">'[94]Job Technical Info'!$D$24</definedName>
    <definedName function="false" hidden="false" localSheetId="9" name="odworkstring" vbProcedure="false">[106]Data!$W$18</definedName>
    <definedName function="false" hidden="false" localSheetId="9" name="office" vbProcedure="false">'[126]Call Sheet'!$AH$5</definedName>
    <definedName function="false" hidden="false" localSheetId="9" name="Offshore_Block" vbProcedure="false">'[108]TCP-BHA'!$A$9</definedName>
    <definedName function="false" hidden="false" localSheetId="9" name="ogr" vbProcedure="false">'[156]Test Data'!$T$8:$T$16,'[156]Test Data'!$T$18:$T$122,'[156]Test Data'!$T$132:$T$247</definedName>
    <definedName function="false" hidden="false" localSheetId="9" name="OHoleID" vbProcedure="false">'[94]Job Technical Info'!$B$40</definedName>
    <definedName function="false" hidden="false" localSheetId="9" name="OHoleLength" vbProcedure="false">'[94]Job Technical Info'!$D$40</definedName>
    <definedName function="false" hidden="false" localSheetId="9" name="OH_Dia" vbProcedure="false">'[109]Liner Job Info'!$Q$14</definedName>
    <definedName function="false" hidden="false" localSheetId="9" name="oilrate" vbProcedure="false">'[93]well test sheet'!#ref!</definedName>
    <definedName function="false" hidden="false" localSheetId="9" name="oil_cumm" vbProcedure="false">'[93]well test sheet'!#ref!</definedName>
    <definedName function="false" hidden="true" localSheetId="9"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ONBOARD" vbProcedure="false">'[157]Initial Tally'!$G$4</definedName>
    <definedName function="false" hidden="false" localSheetId="9" name="onefive" vbProcedure="false">[54]data!#ref!</definedName>
    <definedName function="false" hidden="false" localSheetId="9" name="OP_1" vbProcedure="false">[158]Data!$F$1:$F$3</definedName>
    <definedName function="false" hidden="false" localSheetId="9" name="Overbalance" vbProcedure="false">'[108]Pre-Job Info Sheet'!$D$34</definedName>
    <definedName function="false" hidden="false" localSheetId="9" name="Overlap" vbProcedure="false">'[109]Metric Conversions'!$B$16</definedName>
    <definedName function="false" hidden="false" localSheetId="9" name="Overlapz" vbProcedure="false">'[109]Liner Job Info'!$R$14</definedName>
    <definedName function="false" hidden="false" localSheetId="9" name="Overlap_Volz" vbProcedure="false">'[109]Metric Conversions'!$C$84</definedName>
    <definedName function="false" hidden="true" localSheetId="9" name="P" vbProcedure="false">{#N/A,#N/A,FALSE,"Drlg Param Run 1-1";#N/A,#N/A,FALSE,"DDR (3)";#N/A,#N/A,FALSE,"BHA AT (1)";#N/A,#N/A,FALSE,"Downlinkbha";#N/A,#N/A,FALSE,"Job Status Report"}</definedName>
    <definedName function="false" hidden="false" localSheetId="9" name="PACKER" vbProcedure="false">INDEX([111]DRAW!$A$2:$B$13,MATCH([112]AUTO_DHWS!$AV$8,[111]DRAW!$A$2:$A$13,0),2)</definedName>
    <definedName function="false" hidden="false" localSheetId="9" name="PackerDepth" vbProcedure="false">'[76]casing talley'!#ref!</definedName>
    <definedName function="false" hidden="false" localSheetId="9" name="PACKER_2" vbProcedure="false">INDEX([111]DRAW!$D$13:$E$14,MATCH([112]AUTO_DHWS!$AV$12,[111]DRAW!$D$13:$D$14,0),2)</definedName>
    <definedName function="false" hidden="false" localSheetId="9" name="Packer_Rotation" vbProcedure="false">'[109]Liner Job Info'!$P$40</definedName>
    <definedName function="false" hidden="false" localSheetId="9" name="Packer_Set_In" vbProcedure="false">'[108]Pre-Job Info Sheet'!$D$22</definedName>
    <definedName function="false" hidden="false" localSheetId="9" name="PackOff" vbProcedure="false">[109]DATA!$AP$2:$AP$6</definedName>
    <definedName function="false" hidden="false" localSheetId="9" name="PackoffXDP1_Pist_Area" vbProcedure="false">'[109]Liner Job Info'!$AF$2</definedName>
    <definedName function="false" hidden="false" localSheetId="9" name="PackoffXDP2_Pist_Area" vbProcedure="false">'[109]Liner Job Info'!$AF$3</definedName>
    <definedName function="false" hidden="false" localSheetId="9" name="PackoffXDP3_Pist_Area" vbProcedure="false">'[109]Liner Job Info'!$AG$28</definedName>
    <definedName function="false" hidden="false" localSheetId="9" name="PackoffXDP4_Pist_Area" vbProcedure="false">'[109]Liner Job Info'!$AG$29</definedName>
    <definedName function="false" hidden="false" localSheetId="9" name="PackoffXDP5_Pist_Area" vbProcedure="false">'[109]Liner Job Info'!$AG$30</definedName>
    <definedName function="false" hidden="false" localSheetId="9" name="Packoff_Pist_Area" vbProcedure="false">'[109]Liner Job Info'!$AG$31</definedName>
    <definedName function="false" hidden="false" localSheetId="9" name="Packoff_Stinger_OD" vbProcedure="false">'[109]Liner Job Info'!$P$42</definedName>
    <definedName function="false" hidden="true" localSheetId="9" name="Para3" vbProcedure="false">{#N/A,#N/A,FALSE,"Drlg Param Run 1-1";#N/A,#N/A,FALSE,"DDR (3)";#N/A,#N/A,FALSE,"BHA AT (1)";#N/A,#N/A,FALSE,"Downlinkbha";#N/A,#N/A,FALSE,"Job Status Report"}</definedName>
    <definedName function="false" hidden="false" localSheetId="9" name="Parish" vbProcedure="false">'[108]TCP-BHA'!$C$9</definedName>
    <definedName function="false" hidden="false" localSheetId="9" name="Parish_County" vbProcedure="false">'[108]Pre-Job Info Sheet'!$D$9</definedName>
    <definedName function="false" hidden="false" localSheetId="9" name="PBTD" vbProcedure="false">'[76]casing talley'!#ref!</definedName>
    <definedName function="false" hidden="false" localSheetId="9" name="Pckr_Body_Bst" vbProcedure="false">'[109]Metric Conversions'!$B$52</definedName>
    <definedName function="false" hidden="false" localSheetId="9" name="Pckr_Body_Bstz" vbProcedure="false">'[109]Liner Job Info'!$P$32</definedName>
    <definedName function="false" hidden="false" localSheetId="9" name="Pckr_Body_Collz" vbProcedure="false">'[109]Liner Job Info'!$P$33</definedName>
    <definedName function="false" hidden="false" localSheetId="9" name="Pckr_Body_Tens" vbProcedure="false">'[109]Liner Job Info'!$P$34</definedName>
    <definedName function="false" hidden="false" localSheetId="9" name="Pckr_Seal_Surf_OD" vbProcedure="false">'[109]Liner Job Info'!$P$31</definedName>
    <definedName function="false" hidden="false" localSheetId="9" name="Pckr_Sett_Force" vbProcedure="false">'[109]Liner Job Info'!$P$39</definedName>
    <definedName function="false" hidden="false" localSheetId="9" name="PDHG_2" vbProcedure="false">INDEX([111]DRAW!$A$2:$B$13,MATCH([112]AUTO_DHWS!$AV$13,[111]DRAW!$A$2:$A$13,0),2)</definedName>
    <definedName function="false" hidden="false" localSheetId="9" name="PD_SOFTWARE" vbProcedure="false">[129]RSS!$J$148:$J$152</definedName>
    <definedName function="false" hidden="false" localSheetId="9" name="PD_STAB" vbProcedure="false">[129]RSS!$R$131:$R$160</definedName>
    <definedName function="false" hidden="false" localSheetId="9" name="Perf._Interval" vbProcedure="false">'[108]Pre-Job Info Sheet'!$B$17</definedName>
    <definedName function="false" hidden="false" localSheetId="9" name="Perf._Interval_2" vbProcedure="false">'[108]Pre-Job Info Sheet'!$B$18</definedName>
    <definedName function="false" hidden="false" localSheetId="9" name="perfbottom" vbProcedure="false">[5]WTR!$I$32</definedName>
    <definedName function="false" hidden="false" localSheetId="9" name="PerfDepth" vbProcedure="false">'[76]casing talley'!#ref!</definedName>
    <definedName function="false" hidden="false" localSheetId="9" name="perftop" vbProcedure="false">[5]WTR!$G$32</definedName>
    <definedName function="false" hidden="false" localSheetId="9" name="PERF_BOTTOM" vbProcedure="false">'[113]#REF'!$H$19</definedName>
    <definedName function="false" hidden="false" localSheetId="9" name="PERF_SLURRY" vbProcedure="false">'[113]#REF'!$H$198</definedName>
    <definedName function="false" hidden="false" localSheetId="9" name="PERF_TOP" vbProcedure="false">'[113]#REF'!$F$19</definedName>
    <definedName function="false" hidden="false" localSheetId="9" name="PERF_VOL" vbProcedure="false">'[113]#REF'!$J$12</definedName>
    <definedName function="false" hidden="false" localSheetId="9" name="perm" vbProcedure="false">[106]Data!$G$56</definedName>
    <definedName function="false" hidden="false" localSheetId="9" name="perm1" vbProcedure="false">[106]Data!$G$57</definedName>
    <definedName function="false" hidden="false" localSheetId="9" name="Personnel1" vbProcedure="false">[132]Data!$P$1:$P$65536</definedName>
    <definedName function="false" hidden="false" localSheetId="9" name="Perv.Macro140" vbProcedure="false">[49]!Prev.Macro102</definedName>
    <definedName function="false" hidden="false" localSheetId="9" name="Phasing" vbProcedure="false">'[108]Pre-Job Info Sheet'!$B$23</definedName>
    <definedName function="false" hidden="false" localSheetId="9" name="Phone" vbProcedure="false">'[117]Well Installation Drawing'!$K$11</definedName>
    <definedName function="false" hidden="false" localSheetId="9" name="pick1_958x475_system" vbProcedure="false">'[140]tally checklist'!pick1_958x475_system</definedName>
    <definedName function="false" hidden="false" localSheetId="9" name="pick1_958x6_system" vbProcedure="false">'[140]tally checklist'!pick1_958x6_system</definedName>
    <definedName function="false" hidden="false" localSheetId="9" name="pick1_production" vbProcedure="false">'[140]tally checklist'!pick1_production</definedName>
    <definedName function="false" hidden="false" localSheetId="9" name="pick2_958x475_system" vbProcedure="false">'[140]tally checklist'!pick2_958x475_system</definedName>
    <definedName function="false" hidden="false" localSheetId="9" name="pick2_958x6_system" vbProcedure="false">'[140]tally checklist'!pick2_958x6_system</definedName>
    <definedName function="false" hidden="false" localSheetId="9" name="pick2_production" vbProcedure="false">'[140]tally checklist'!pick2_production</definedName>
    <definedName function="false" hidden="false" localSheetId="9" name="pick_512_system" vbProcedure="false">'[140]tally checklist'!pick_512_system</definedName>
    <definedName function="false" hidden="false" localSheetId="9" name="pick_5_system" vbProcedure="false">'[140]tally checklist'!pick_5_system</definedName>
    <definedName function="false" hidden="false" localSheetId="9" name="pick_758x314_system" vbProcedure="false">'[140]tally checklist'!pick_758x314_system</definedName>
    <definedName function="false" hidden="false" localSheetId="9" name="pick_758x4_system" vbProcedure="false">'[140]tally checklist'!pick_758x4_system</definedName>
    <definedName function="false" hidden="false" localSheetId="9" name="pick_7x314_system" vbProcedure="false">'[140]tally checklist'!pick_7x314_system</definedName>
    <definedName function="false" hidden="false" localSheetId="9" name="pick_7x4_system" vbProcedure="false">'[140]tally checklist'!pick_7x4_system</definedName>
    <definedName function="false" hidden="false" localSheetId="9" name="pick_blanks" vbProcedure="false">'[140]tally checklist'!pick_blanks</definedName>
    <definedName function="false" hidden="false" localSheetId="9" name="pick_liner" vbProcedure="false">'[140]tally checklist'!pick_liner</definedName>
    <definedName function="false" hidden="false" localSheetId="9" name="pick_liner2" vbProcedure="false">'[140]tally checklist'!pick_liner2</definedName>
    <definedName function="false" hidden="false" localSheetId="9" name="pick_miscellaneous" vbProcedure="false">'[140]tally checklist'!pick_miscellaneous</definedName>
    <definedName function="false" hidden="false" localSheetId="9" name="pick_quantum" vbProcedure="false">'[140]tally checklist'!pick_quantum</definedName>
    <definedName function="false" hidden="false" localSheetId="9" name="pick_screens" vbProcedure="false">'[140]tally checklist'!pick_screens</definedName>
    <definedName function="false" hidden="false" localSheetId="9" name="pick_shearsubs" vbProcedure="false">'[140]tally checklist'!pick_shearsubs</definedName>
    <definedName function="false" hidden="false" localSheetId="9" name="pick_sump" vbProcedure="false">'[140]tally checklist'!pick_sump</definedName>
    <definedName function="false" hidden="false" localSheetId="9" name="PistArea_Packoff_to_DP_OD" vbProcedure="false">[109]Test!$M$16</definedName>
    <definedName function="false" hidden="false" localSheetId="9" name="Piston_Disp" vbProcedure="false">'[108]Tester Valve Calcs'!$M$16</definedName>
    <definedName function="false" hidden="false" localSheetId="9" name="Pist_Area_Csg_ID_to_DP1_OD" vbProcedure="false">[109]Test!$U$26</definedName>
    <definedName function="false" hidden="false" localSheetId="9" name="Pist_Area_Csg_ID_to_DP2_OD" vbProcedure="false">[109]Test!$U$27</definedName>
    <definedName function="false" hidden="false" localSheetId="9" name="Pist_Area_Csg_ID_to_DP3_OD" vbProcedure="false">[109]Test!$U$28</definedName>
    <definedName function="false" hidden="false" localSheetId="9" name="Pist_Area_Csg_ID_to_DP4_OD" vbProcedure="false">[109]Test!$U$29</definedName>
    <definedName function="false" hidden="false" localSheetId="9" name="Pist_Area_Csg_ID_to_DP5_OD" vbProcedure="false">[109]Test!$U$30</definedName>
    <definedName function="false" hidden="false" localSheetId="9" name="Pist_Area_from_CsgID_to_Packoff_OD" vbProcedure="false">[109]Test!$M$14</definedName>
    <definedName function="false" hidden="false" localSheetId="9" name="Pist_Area_PackoffOD_DP2_OD" vbProcedure="false">[109]Test!$Y$27</definedName>
    <definedName function="false" hidden="false" localSheetId="9" name="Pist_Area_PackoffOD_DP4_OD" vbProcedure="false">[109]Test!$Y$29</definedName>
    <definedName function="false" hidden="false" localSheetId="9" name="Pist_Area_PackoffOD_DP5_OD" vbProcedure="false">[109]Test!$Y$30</definedName>
    <definedName function="false" hidden="false" localSheetId="9" name="Pist_Area_PackoffOD_to_DP1_OD" vbProcedure="false">[109]Test!$Y$26</definedName>
    <definedName function="false" hidden="false" localSheetId="9" name="Pist_Area_PackoffOD_to_DP3_OD" vbProcedure="false">[109]Test!$Y$28</definedName>
    <definedName function="false" hidden="false" localSheetId="9" name="plotm" vbProcedure="false">'[61]tool backload dt'!plotm</definedName>
    <definedName function="false" hidden="false" localSheetId="9" name="PlugMethod" vbProcedure="false">[109]DATA!$BI$2:$BI$6</definedName>
    <definedName function="false" hidden="false" localSheetId="9" name="Plugs" vbProcedure="false">[109]DATA!$AL$2:$AL$13</definedName>
    <definedName function="false" hidden="false" localSheetId="9" name="Plug_Bmp_Hngr_Ovr_Ld" vbProcedure="false">[109]Test!$M$25</definedName>
    <definedName function="false" hidden="false" localSheetId="9" name="Plug_Bmp_psi_wo_DP" vbProcedure="false">[109]Test!$M$23</definedName>
    <definedName function="false" hidden="false" localSheetId="9" name="Plug_Bmp_psi_w_DP" vbProcedure="false">[109]Test!$M$24</definedName>
    <definedName function="false" hidden="false" localSheetId="9" name="Plug_Press_Rating" vbProcedure="false">'[109]Metric Conversions'!$B$51</definedName>
    <definedName function="false" hidden="false" localSheetId="9" name="Plug_Press_Ratingz" vbProcedure="false">'[109]Liner Job Info'!$D$43</definedName>
    <definedName function="false" hidden="false" localSheetId="9" name="Plug_Temp_Rating" vbProcedure="false">'[109]Liner Job Info'!$D$44</definedName>
    <definedName function="false" hidden="false" localSheetId="9" name="po" vbProcedure="false">[159]Drillers!$O$20</definedName>
    <definedName function="false" hidden="false" localSheetId="9" name="Ported_Sub" vbProcedure="false">'[108]TCP-BHA'!$H$30</definedName>
    <definedName function="false" hidden="false" localSheetId="9" name="Pos_of_Ball" vbProcedure="false">'[108]Tester Valve Calcs'!$F$12</definedName>
    <definedName function="false" hidden="false" localSheetId="9" name="PoundConversion" vbProcedure="false">[94]Lists!$AD$4</definedName>
    <definedName function="false" hidden="false" localSheetId="9" name="POWERV_TO" vbProcedure="false">[129]RSS!$A$206</definedName>
    <definedName function="false" hidden="false" localSheetId="9" name="ppgsggcc" vbProcedure="false">'[109]Metric Conversions'!$B$65</definedName>
    <definedName function="false" hidden="false" localSheetId="9" name="pph" vbProcedure="false">[40]!Calculate_Pipe</definedName>
    <definedName function="false" hidden="false" localSheetId="9" name="pre.Macro220" vbProcedure="false">[49]!Prev.Macro110</definedName>
    <definedName function="false" hidden="false" localSheetId="9" name="pregpstim" vbProcedure="false">[5]WTR!$G$48</definedName>
    <definedName function="false" hidden="false" localSheetId="9" name="PREPACK_MIX_RATIO" vbProcedure="false">'[113]#REF'!$K$44</definedName>
    <definedName function="false" hidden="false" localSheetId="9" name="pressure1" vbProcedure="false">[106]Data!$C$2</definedName>
    <definedName function="false" hidden="false" localSheetId="9" name="pressure10" vbProcedure="false">[106]Data!$C$11</definedName>
    <definedName function="false" hidden="false" localSheetId="9" name="pressure2" vbProcedure="false">[106]Data!$C$3</definedName>
    <definedName function="false" hidden="false" localSheetId="9" name="pressure3" vbProcedure="false">[106]Data!$C$4</definedName>
    <definedName function="false" hidden="false" localSheetId="9" name="pressure4" vbProcedure="false">[106]Data!$C$5</definedName>
    <definedName function="false" hidden="false" localSheetId="9" name="pressure5" vbProcedure="false">[106]Data!$C$6</definedName>
    <definedName function="false" hidden="false" localSheetId="9" name="pressure6" vbProcedure="false">[106]Data!$C$7</definedName>
    <definedName function="false" hidden="false" localSheetId="9" name="pressure7" vbProcedure="false">[106]Data!$C$8</definedName>
    <definedName function="false" hidden="false" localSheetId="9" name="pressure8" vbProcedure="false">[106]Data!$C$9</definedName>
    <definedName function="false" hidden="false" localSheetId="9" name="pressure9" vbProcedure="false">[106]Data!$C$10</definedName>
    <definedName function="false" hidden="false" localSheetId="9" name="pressurea" vbProcedure="false">[106]Data!$D$2</definedName>
    <definedName function="false" hidden="false" localSheetId="9" name="pressureb" vbProcedure="false">[106]Data!$D$3</definedName>
    <definedName function="false" hidden="false" localSheetId="9" name="pressurec" vbProcedure="false">[106]Data!$D$4</definedName>
    <definedName function="false" hidden="false" localSheetId="9" name="pressured" vbProcedure="false">[106]Data!$D$5</definedName>
    <definedName function="false" hidden="false" localSheetId="9" name="pressuree" vbProcedure="false">[106]Data!$D$6</definedName>
    <definedName function="false" hidden="false" localSheetId="9" name="pressuref" vbProcedure="false">[106]Data!$D$7</definedName>
    <definedName function="false" hidden="false" localSheetId="9" name="pressureg" vbProcedure="false">[106]Data!$D$8</definedName>
    <definedName function="false" hidden="false" localSheetId="9" name="pressureh" vbProcedure="false">[106]Data!$D$9</definedName>
    <definedName function="false" hidden="false" localSheetId="9" name="pressurei" vbProcedure="false">[106]Data!$D$10</definedName>
    <definedName function="false" hidden="false" localSheetId="9" name="pressurej" vbProcedure="false">[106]Data!$D$11</definedName>
    <definedName function="false" hidden="false" localSheetId="9" name="Pressures" vbProcedure="false">'[116]Kill Sheet - Horizontal'!$W$27,'[116]Kill Sheet - Horizontal'!$W$31,'[116]Kill Sheet - Horizontal'!$W$32</definedName>
    <definedName function="false" hidden="false" localSheetId="9" name="prev.Macro150" vbProcedure="false">[49]!Prev.Macro122</definedName>
    <definedName function="false" hidden="false" localSheetId="9" name="prev.Macro200" vbProcedure="false">[49]!Prev.Macro128</definedName>
    <definedName function="false" hidden="false" localSheetId="9" name="Prev.Macro242" vbProcedure="false">[49]!Prev.Macro106</definedName>
    <definedName function="false" hidden="false" localSheetId="9" name="pricelist" vbProcedure="false">[139]Pricelist!$A$8:$B$11</definedName>
    <definedName function="false" hidden="false" localSheetId="9" name="print" vbProcedure="false">'[160]2003 SSWE LINE ITEMS'!$A$1:$V$302</definedName>
    <definedName function="false" hidden="false" localSheetId="9" name="PRODPKR" vbProcedure="false">INDEX([78]PKR!$A$2:$B$15,MATCH([78]INPUT!$H$37,[78]PKR!$A$2:$A$15,0),2)</definedName>
    <definedName function="false" hidden="false" localSheetId="9" name="production" vbProcedure="false">[162]WTR!$L$6</definedName>
    <definedName function="false" hidden="false" localSheetId="9" name="profitcntr1" vbProcedure="false">[132]Data!$I$1:$I$65536</definedName>
    <definedName function="false" hidden="false" localSheetId="9" name="Project" vbProcedure="false">'[94]Job Technical Info'!$G$12</definedName>
    <definedName function="false" hidden="false" localSheetId="9" name="ProppantName" vbProcedure="false">'[94]Installation Results #1'!$B$326</definedName>
    <definedName function="false" hidden="false" localSheetId="9" name="PSI" vbProcedure="false">'[75]tester valve calcs'!#ref!</definedName>
    <definedName function="false" hidden="false" localSheetId="9" name="psia_array" vbProcedure="false">{"HMR","HMR-GT","ZI Probe","Spartek","Omega SP"}</definedName>
    <definedName function="false" hidden="false" localSheetId="9" name="psibarkpa" vbProcedure="false">'[109]Metric Conversions'!$B$42</definedName>
    <definedName function="false" hidden="false" localSheetId="9" name="psig_array" vbProcedure="false">{"RPG-3","RPG-4"}</definedName>
    <definedName function="false" hidden="false" localSheetId="9" name="psl" vbProcedure="false">[54]data!#ref!</definedName>
    <definedName function="false" hidden="false" localSheetId="9" name="Pstn_Force_Actual" vbProcedure="false">'[109]Weight Calculations'!$H$26</definedName>
    <definedName function="false" hidden="false" localSheetId="9" name="PS_pricelist" vbProcedure="false">[139]Pricelist!$A$22:$B$35</definedName>
    <definedName function="false" hidden="false" localSheetId="9" name="ptdtr" vbProcedure="false">'[115]Max-Torq'!$P$71</definedName>
    <definedName function="false" hidden="false" localSheetId="9" name="PU_Dogs" vbProcedure="false">'[109]Metric Conversions'!$B$25</definedName>
    <definedName function="false" hidden="false" localSheetId="9" name="PU_Dogsz" vbProcedure="false">'[109]Liner Job Info'!$P$47</definedName>
    <definedName function="false" hidden="false" localSheetId="9" name="PU_Packoffz" vbProcedure="false">'[109]Liner Job Info'!$P$48</definedName>
    <definedName function="false" hidden="false" localSheetId="9" name="pv" vbProcedure="false">'[7]Drop-Down Items'!$R$7:$R$9</definedName>
    <definedName function="false" hidden="false" localSheetId="9" name="q" vbProcedure="false">'[88]Report Long(Esso)'!$E$2</definedName>
    <definedName function="false" hidden="false" localSheetId="9" name="QPNum" vbProcedure="false">'[94]Job Technical Info'!$K$11</definedName>
    <definedName function="false" hidden="true" localSheetId="9" name="qqq" vbProcedure="false">{#N/A,#N/A,FALSE,"Drlg Param Run 1-1";#N/A,#N/A,FALSE,"DDR (3)";#N/A,#N/A,FALSE,"BHA AT (1)";#N/A,#N/A,FALSE,"Downlinkbha";#N/A,#N/A,FALSE,"Job Status Report"}</definedName>
    <definedName function="false" hidden="false" localSheetId="9" name="quantum" vbProcedure="false">'[140]tally checklist'!quantum</definedName>
    <definedName function="false" hidden="false" localSheetId="9" name="Range1" vbProcedure="false">OFFSET([249]sheet1!$e$5, 1, 0,[249]sheet1!$e$2,1)</definedName>
    <definedName function="false" hidden="false" localSheetId="9" name="rate" vbProcedure="false">[106]Data!$F$7</definedName>
    <definedName function="false" hidden="false" localSheetId="9" name="rate1" vbProcedure="false">[106]Data!$A$2</definedName>
    <definedName function="false" hidden="false" localSheetId="9" name="rate10" vbProcedure="false">[106]Data!$A$11</definedName>
    <definedName function="false" hidden="false" localSheetId="9" name="rate2" vbProcedure="false">[106]Data!$A$3</definedName>
    <definedName function="false" hidden="false" localSheetId="9" name="rate3" vbProcedure="false">[106]Data!$A$4</definedName>
    <definedName function="false" hidden="false" localSheetId="9" name="rate4" vbProcedure="false">[106]Data!$A$5</definedName>
    <definedName function="false" hidden="false" localSheetId="9" name="rate5" vbProcedure="false">[106]Data!$A$6</definedName>
    <definedName function="false" hidden="false" localSheetId="9" name="rate6" vbProcedure="false">[106]Data!$A$7</definedName>
    <definedName function="false" hidden="false" localSheetId="9" name="rate7" vbProcedure="false">[106]Data!$A$8</definedName>
    <definedName function="false" hidden="false" localSheetId="9" name="rate8" vbProcedure="false">[106]Data!$A$9</definedName>
    <definedName function="false" hidden="false" localSheetId="9" name="rate9" vbProcedure="false">[106]Data!$A$10</definedName>
    <definedName function="false" hidden="false" localSheetId="9" name="raw_tally_lower" vbProcedure="false">'[164]2B Raw Rig Tally'!$B$13:$D$501</definedName>
    <definedName function="false" hidden="false" localSheetId="9" name="raw_tally_upper" vbProcedure="false">'[164]2B Raw Rig Tally'!$F$13:$H$501</definedName>
    <definedName function="false" hidden="false" localSheetId="9" name="Reasons" vbProcedure="false">'[146]Title Page'!$O$2:$O$23</definedName>
    <definedName function="false" hidden="false" localSheetId="9" name="Recalc" vbProcedure="false">[115]!Recalc</definedName>
    <definedName function="false" hidden="false" localSheetId="9" name="Region" vbProcedure="false">'[94]SetUp Tab'!$D$15</definedName>
    <definedName function="false" hidden="false" localSheetId="9" name="Regions" vbProcedure="false">[18]Criteria!$B$2:$B$11</definedName>
    <definedName function="false" hidden="false" localSheetId="9" name="Rem_DP1_Tens" vbProcedure="false">'[109]Weight Calculations'!$W$53</definedName>
    <definedName function="false" hidden="false" localSheetId="9" name="Rem_DP2_Tens" vbProcedure="false">'[109]Weight Calculations'!$W$54</definedName>
    <definedName function="false" hidden="false" localSheetId="9" name="Rem_DP3_Tens" vbProcedure="false">'[109]Weight Calculations'!$W$55</definedName>
    <definedName function="false" hidden="false" localSheetId="9" name="Rem_DP4_Tens" vbProcedure="false">'[109]Weight Calculations'!$W$59</definedName>
    <definedName function="false" hidden="false" localSheetId="9" name="Rem_DP5_Tens" vbProcedure="false">'[109]Weight Calculations'!$W$60</definedName>
    <definedName function="false" hidden="false" localSheetId="9" name="Rentalequipment" vbProcedure="false">[109]DATA!$R$2:$R$79</definedName>
    <definedName function="false" hidden="false" localSheetId="9" name="Rental_Tool_ID" vbProcedure="false">[109]DATA!$S$2:$S$79</definedName>
    <definedName function="false" hidden="false" localSheetId="9" name="RESE" vbProcedure="false">'[140]tally checklist'!rese</definedName>
    <definedName function="false" hidden="false" localSheetId="9" name="reservoir15" vbProcedure="false">'[70]geological prognosis'!#ref!</definedName>
    <definedName function="false" hidden="false" localSheetId="9" name="reservoir16" vbProcedure="false">'[70]geological prognosis'!#ref!</definedName>
    <definedName function="false" hidden="false" localSheetId="9" name="reservoir17" vbProcedure="false">'[70]geological prognosis'!#ref!</definedName>
    <definedName function="false" hidden="false" localSheetId="9" name="reservoir18" vbProcedure="false">'[70]geological prognosis'!#ref!</definedName>
    <definedName function="false" hidden="false" localSheetId="9" name="reservoir19" vbProcedure="false">'[70]geological prognosis'!#ref!</definedName>
    <definedName function="false" hidden="false" localSheetId="9" name="reservoir20" vbProcedure="false">'[70]geological prognosis'!#ref!</definedName>
    <definedName function="false" hidden="false" localSheetId="9" name="reservoir21" vbProcedure="false">'[70]geological prognosis'!#ref!</definedName>
    <definedName function="false" hidden="false" localSheetId="9" name="reservoir22" vbProcedure="false">'[70]geological prognosis'!#ref!</definedName>
    <definedName function="false" hidden="false" localSheetId="9" name="reservoir23" vbProcedure="false">'[70]geological prognosis'!#ref!</definedName>
    <definedName function="false" hidden="false" localSheetId="9" name="reservoir24" vbProcedure="false">'[70]geological prognosis'!#ref!</definedName>
    <definedName function="false" hidden="false" localSheetId="9" name="reservoir25" vbProcedure="false">'[70]geological prognosis'!#ref!</definedName>
    <definedName function="false" hidden="false" localSheetId="9" name="reservoir26" vbProcedure="false">'[70]geological prognosis'!#ref!</definedName>
    <definedName function="false" hidden="false" localSheetId="9" name="reservoir27" vbProcedure="false">'[70]geological prognosis'!#ref!</definedName>
    <definedName function="false" hidden="false" localSheetId="9" name="reservoir28" vbProcedure="false">'[70]geological prognosis'!#ref!</definedName>
    <definedName function="false" hidden="false" localSheetId="9" name="reservoir29" vbProcedure="false">'[70]geological prognosis'!#ref!</definedName>
    <definedName function="false" hidden="false" localSheetId="9" name="resrevoir09" vbProcedure="false">'[70]geological prognosis'!#ref!</definedName>
    <definedName function="false" hidden="false" localSheetId="9" name="resrevoir10" vbProcedure="false">'[70]geological prognosis'!#ref!</definedName>
    <definedName function="false" hidden="false" localSheetId="9" name="resrevoir12" vbProcedure="false">'[70]geological prognosis'!#ref!</definedName>
    <definedName function="false" hidden="false" localSheetId="9" name="resrevoir13" vbProcedure="false">'[70]geological prognosis'!#ref!</definedName>
    <definedName function="false" hidden="false" localSheetId="9" name="resrevoir14" vbProcedure="false">'[70]geological prognosis'!#ref!</definedName>
    <definedName function="false" hidden="false" localSheetId="9" name="ret" vbProcedure="false">[119]钻井日报表!$G$3</definedName>
    <definedName function="false" hidden="false" localSheetId="9" name="Rev_XX" vbProcedure="false">'[94]Job Technical Info'!$L$4</definedName>
    <definedName function="false" hidden="false" localSheetId="9" name="rhstretchz" vbProcedure="false">'[109]Metric Conversions'!$C$38</definedName>
    <definedName function="false" hidden="false" localSheetId="9" name="RH_SHEAR" vbProcedure="false">'[109]Weight Calculations'!$H$21</definedName>
    <definedName function="false" hidden="false" localSheetId="9" name="RH_SHEAR_LNGTH" vbProcedure="false">'[109]Metric Conversions'!$B$37</definedName>
    <definedName function="false" hidden="false" localSheetId="9" name="RH_SHEAR_LNGTHz" vbProcedure="false">'[109]Metric Conversions'!$C$37</definedName>
    <definedName function="false" hidden="false" localSheetId="9" name="Rig" vbProcedure="false">'[130]Liner Job Info'!$E$8</definedName>
    <definedName function="false" hidden="false" localSheetId="9" name="rigcontractor1" vbProcedure="false">[132]Data!$G$1:$G$65536</definedName>
    <definedName function="false" hidden="false" localSheetId="9" name="Rigname1" vbProcedure="false">[132]Data!$E$1:$E$65536</definedName>
    <definedName function="false" hidden="false" localSheetId="9" name="RigPh" vbProcedure="false">'[94]Job Technical Info'!$G$17</definedName>
    <definedName function="false" hidden="false" localSheetId="9" name="Rig_Name" vbProcedure="false">'[108]Pre-Job Info Sheet'!$D$11</definedName>
    <definedName function="false" hidden="false" localSheetId="9" name="Rig_Output" vbProcedure="false">'[109]Displacement Cal.'!$G$7</definedName>
    <definedName function="false" hidden="false" localSheetId="9" name="RI_LC_Z2_ANSWERS_SCPacker1" vbProcedure="false">'[165]LowerCompletions - Risk Index'!$G$56</definedName>
    <definedName function="false" hidden="false" localSheetId="9" name="RI_LC_Z3_ANSWERS_SCPacker1" vbProcedure="false">'[165]LowerCompletions - Risk Index'!$G$69</definedName>
    <definedName function="false" hidden="false" localSheetId="9" name="RI_LC_Z4_ANSWERS_SCPacker1" vbProcedure="false">'[165]LowerCompletions - Risk Index'!$G$82</definedName>
    <definedName function="false" hidden="false" localSheetId="9" name="RI_LC_Z5_ANSWERS_SCPacker1" vbProcedure="false">'[165]LowerCompletions - Risk Index'!$G$95</definedName>
    <definedName function="false" hidden="false" localSheetId="9" name="Rotation" vbProcedure="false">[109]DATA!$AK$2:$AK$10</definedName>
    <definedName function="false" hidden="false" localSheetId="9" name="Rpt_Average_Header1" vbProcedure="false">#ref!</definedName>
    <definedName function="false" hidden="false" localSheetId="9" name="Rpt_Average_Header2" vbProcedure="false">#ref!</definedName>
    <definedName function="false" hidden="false" localSheetId="9" name="Rpt_Comments" vbProcedure="false">#ref!</definedName>
    <definedName function="false" hidden="false" localSheetId="9" name="Rpt_Logo_Left" vbProcedure="false">#ref!</definedName>
    <definedName function="false" hidden="false" localSheetId="9" name="Rpt_Logo_Right" vbProcedure="false">#ref!</definedName>
    <definedName function="false" hidden="true" localSheetId="9" name="rrr" vbProcedure="false">{#N/A,#N/A,FALSE,"Sheet1"}</definedName>
    <definedName function="false" hidden="false" localSheetId="9" name="RSS_TO_COMPLETE" vbProcedure="false">[129]RSS!$K$197</definedName>
    <definedName function="false" hidden="false" localSheetId="9" name="rtb" vbProcedure="false">'[115]Max-Torq'!$P$61</definedName>
    <definedName function="false" hidden="false" localSheetId="9" name="Runningtool" vbProcedure="false">[109]DATA!$AO$2:$AO$8</definedName>
    <definedName function="false" hidden="false" localSheetId="9" name="Rupees" vbProcedure="false">'[141]Cash Expense March-96'!$H$6</definedName>
    <definedName function="false" hidden="false" localSheetId="9" name="R_Group_ID" vbProcedure="false">[109]DATA!$T$2:$T$79</definedName>
    <definedName function="false" hidden="false" localSheetId="9" name="S" vbProcedure="false">'[1]run sheet'!#ref!</definedName>
    <definedName function="false" hidden="false" localSheetId="9" name="Salesequipment" vbProcedure="false">[109]DATA!$O$2:$O$268</definedName>
    <definedName function="false" hidden="false" localSheetId="9" name="Salesman" vbProcedure="false">'[108]Pre-Job Info Sheet'!$B$7</definedName>
    <definedName function="false" hidden="false" localSheetId="9" name="Sales_Explosive_Type" vbProcedure="false">'[108]Pre-Job Info Sheet'!$B$24</definedName>
    <definedName function="false" hidden="false" localSheetId="9" name="Sales_Gun_Size" vbProcedure="false">'[108]Pre-Job Info Sheet'!$B$21</definedName>
    <definedName function="false" hidden="false" localSheetId="9" name="Sales_Lease" vbProcedure="false">'[108]Pre-Job Info Sheet'!$D$8</definedName>
    <definedName function="false" hidden="false" localSheetId="9" name="Sales_SPF" vbProcedure="false">'[108]Pre-Job Info Sheet'!$B$22</definedName>
    <definedName function="false" hidden="false" localSheetId="9" name="Sales_Ticket_Number" vbProcedure="false">'[30]Liner Job Info'!$E$11</definedName>
    <definedName function="false" hidden="false" localSheetId="9" name="Sales_Underbalance" vbProcedure="false">'[108]Pre-Job Info Sheet'!$D$35</definedName>
    <definedName function="false" hidden="false" localSheetId="9" name="Sales_Well_Name" vbProcedure="false">'[108]Pre-Job Info Sheet'!$D$6</definedName>
    <definedName function="false" hidden="false" localSheetId="9" name="salinity" vbProcedure="false">'[93]well test sheet'!#ref!</definedName>
    <definedName function="false" hidden="false" localSheetId="9" name="SANDOUT_PRESSURE" vbProcedure="false">'[113]#REF'!$I$107</definedName>
    <definedName function="false" hidden="false" localSheetId="9" name="SAND_ABOVE_PERFS_PREPACK" vbProcedure="false">'[113]#REF'!$F$175</definedName>
    <definedName function="false" hidden="false" localSheetId="9" name="SAND_DIVERTER" vbProcedure="false">'[113]#REF'!$F$56</definedName>
    <definedName function="false" hidden="false" localSheetId="9" name="SAND_GP" vbProcedure="false">'[113]#REF'!$F$64</definedName>
    <definedName function="false" hidden="false" localSheetId="9" name="SAND_IN_CAS_BLNK" vbProcedure="false">'[6]#ref'!#ref!</definedName>
    <definedName function="false" hidden="false" localSheetId="9" name="SAND_IN_CAS_EXT" vbProcedure="false">'[6]#ref'!#ref!</definedName>
    <definedName function="false" hidden="false" localSheetId="9" name="SAND_IN_CAS_PREPACK" vbProcedure="false">'[113]#REF'!$F$81</definedName>
    <definedName function="false" hidden="false" localSheetId="9" name="SAND_IN_CAS_SCR" vbProcedure="false">'[6]#ref'!#ref!</definedName>
    <definedName function="false" hidden="false" localSheetId="9" name="SAND_IN_PERFS" vbProcedure="false">'[113]#REF'!$I$185</definedName>
    <definedName function="false" hidden="false" localSheetId="9" name="SAND_IN_PERFS_PP" vbProcedure="false">'[113]#REF'!$F$82</definedName>
    <definedName function="false" hidden="false" localSheetId="9" name="SAND_PASS_XO_PORT" vbProcedure="false">'[113]#REF'!$E$195</definedName>
    <definedName function="false" hidden="false" localSheetId="9" name="SAND_PERMEABILITY" vbProcedure="false">'[113]#REF'!$I$105</definedName>
    <definedName function="false" hidden="false" localSheetId="9" name="SAND_PLACED_GP" vbProcedure="false">'[113]#REF'!$F$95</definedName>
    <definedName function="false" hidden="false" localSheetId="9" name="SAND_PREPACK" vbProcedure="false">'[113]#REF'!$F$44</definedName>
    <definedName function="false" hidden="false" localSheetId="9" name="SAND_PUMPED_GP" vbProcedure="false">'[113]#REF'!$F$92</definedName>
    <definedName function="false" hidden="false" localSheetId="9" name="SAND_PUMPED_PREPACK" vbProcedure="false">'[113]#REF'!$F$78</definedName>
    <definedName function="false" hidden="false" localSheetId="9" name="SAND_REVOUT_GP" vbProcedure="false">'[113]#REF'!$F$93</definedName>
    <definedName function="false" hidden="false" localSheetId="9" name="SAND_REVOUT_PREPACK" vbProcedure="false">'[113]#REF'!$F$79</definedName>
    <definedName function="false" hidden="false" localSheetId="9" name="Save_Document" vbProcedure="false">[27]!Save_Document</definedName>
    <definedName function="false" hidden="false" localSheetId="9" name="Save_Document_1" vbProcedure="false">'JOB ORDER '!Save_Document</definedName>
    <definedName function="false" hidden="false" localSheetId="9" name="Save_Document_10" vbProcedure="false">'JOB ORDER '!Save_Document</definedName>
    <definedName function="false" hidden="false" localSheetId="9" name="Save_Document_11" vbProcedure="false">'JOB ORDER '!Save_Document</definedName>
    <definedName function="false" hidden="false" localSheetId="9" name="Save_Document_2" vbProcedure="false">'JOB ORDER '!Save_Document</definedName>
    <definedName function="false" hidden="false" localSheetId="9" name="Save_Document_3" vbProcedure="false">'JOB ORDER '!Save_Document</definedName>
    <definedName function="false" hidden="false" localSheetId="9" name="Save_Document_4" vbProcedure="false">'JOB ORDER '!Save_Document</definedName>
    <definedName function="false" hidden="false" localSheetId="9" name="Save_Document_5" vbProcedure="false">'JOB ORDER '!Save_Document</definedName>
    <definedName function="false" hidden="false" localSheetId="9" name="Save_Document_6" vbProcedure="false">'JOB ORDER '!Save_Document</definedName>
    <definedName function="false" hidden="false" localSheetId="9" name="Save_Document_7" vbProcedure="false">'JOB ORDER '!Save_Document</definedName>
    <definedName function="false" hidden="false" localSheetId="9" name="Save_Document_8" vbProcedure="false">'JOB ORDER '!Save_Document</definedName>
    <definedName function="false" hidden="false" localSheetId="9" name="Save_Document_9" vbProcedure="false">'JOB ORDER '!Save_Document</definedName>
    <definedName function="false" hidden="false" localSheetId="9" name="SCB" vbProcedure="false">[129]RSS!$B$136:$B$144</definedName>
    <definedName function="false" hidden="false" localSheetId="9" name="SCHE" vbProcedure="false">[16]!Macro1</definedName>
    <definedName function="false" hidden="true" localSheetId="9"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9"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screenguage" vbProcedure="false">'[113]#REF'!$H$14</definedName>
    <definedName function="false" hidden="false" localSheetId="9" name="screenidlist" vbProcedure="false">[106]Data!$E$79:$F$127</definedName>
    <definedName function="false" hidden="false" localSheetId="9" name="screenlength" vbProcedure="false">'[113]#REF'!$J$14</definedName>
    <definedName function="false" hidden="false" localSheetId="9" name="screenod" vbProcedure="false">'[113]#REF'!$F$14</definedName>
    <definedName function="false" hidden="false" localSheetId="9" name="screentype" vbProcedure="false">'[113]#REF'!$M$14</definedName>
    <definedName function="false" hidden="false" localSheetId="9" name="SCREEN_LENGTH" vbProcedure="false">'[113]#REF'!$J$13</definedName>
    <definedName function="false" hidden="false" localSheetId="9" name="SCREEN_OD" vbProcedure="false">'[113]#REF'!$F$14</definedName>
    <definedName function="false" hidden="false" localSheetId="9" name="sd" vbProcedure="false">null</definedName>
    <definedName function="false" hidden="false" localSheetId="9" name="SDE_23" vbProcedure="false">[72]!Calculate_Pipe</definedName>
    <definedName function="false" hidden="false" localSheetId="9" name="SeatID" vbProcedure="false">[109]DATA!$BC$2:$BC$6</definedName>
    <definedName function="false" hidden="false" localSheetId="9" name="SeatNumber" vbProcedure="false">[109]DATA!$BD$2:$BD$7</definedName>
    <definedName function="false" hidden="false" localSheetId="9" name="SeatShear" vbProcedure="false">[109]DATA!$BE$2:$BE$4</definedName>
    <definedName function="false" hidden="false" localSheetId="9" name="SeatType" vbProcedure="false">[109]DATA!$BB$2:$BB$4</definedName>
    <definedName function="false" hidden="false" localSheetId="9" name="sep_press" vbProcedure="false">'[93]well test sheet'!#ref!</definedName>
    <definedName function="false" hidden="false" localSheetId="9" name="sep_temp" vbProcedure="false">'[93]well test sheet'!#ref!</definedName>
    <definedName function="false" hidden="false" localSheetId="9" name="serialselect1" vbProcedure="false">'JOB ORDER '!serialselect1</definedName>
    <definedName function="false" hidden="false" localSheetId="9" name="serialselect2" vbProcedure="false">'JOB ORDER '!serialselect2</definedName>
    <definedName function="false" hidden="false" localSheetId="9" name="serialselect3" vbProcedure="false">'JOB ORDER '!serialselect3</definedName>
    <definedName function="false" hidden="false" localSheetId="9" name="serialselect4" vbProcedure="false">'JOB ORDER '!serialselect4</definedName>
    <definedName function="false" hidden="false" localSheetId="9" name="ServiceCenter" vbProcedure="false">'[117]Well Installation Drawing'!$L$13</definedName>
    <definedName function="false" hidden="false" localSheetId="9" name="SETTLEMENT_RATE" vbProcedure="false">'[113]#REF'!$I$120</definedName>
    <definedName function="false" hidden="false" localSheetId="9" name="Sett_Tool_Tens" vbProcedure="false">'[109]Liner Job Info'!$P$44</definedName>
    <definedName function="false" hidden="false" localSheetId="9" name="Shear_HR_Mech_Release" vbProcedure="false">'[109]Liner Job Info'!$P$49</definedName>
    <definedName function="false" hidden="false" localSheetId="9" name="SHER" vbProcedure="false">'[140]tally checklist'!sher</definedName>
    <definedName function="false" hidden="false" localSheetId="9" name="shippedvia" vbProcedure="false">'[31]data '!#ref!</definedName>
    <definedName function="false" hidden="true" localSheetId="9" name="shit" vbProcedure="false">{#N/A,#N/A,FALSE,"Sheet1"}</definedName>
    <definedName function="false" hidden="false" localSheetId="9" name="SHO" vbProcedure="false">[119]钻井日报表!$G$3</definedName>
    <definedName function="false" hidden="false" localSheetId="9" name="ShoeTrack_Vol" vbProcedure="false">'[109]Metric Conversions'!$B$76</definedName>
    <definedName function="false" hidden="false" localSheetId="9" name="ShoeTrack_Volz" vbProcedure="false">'[109]Metric Conversions'!$C$76</definedName>
    <definedName function="false" hidden="false" localSheetId="9" name="Shoe_Track_Length" vbProcedure="false">'[109]Metric Conversions'!$B$19</definedName>
    <definedName function="false" hidden="false" localSheetId="9" name="Shoe_Track_Lengthz" vbProcedure="false">'[109]Liner Job Info'!$D$19</definedName>
    <definedName function="false" hidden="false" localSheetId="9" name="Show_1" vbProcedure="false">[41]!Show_1</definedName>
    <definedName function="false" hidden="false" localSheetId="9" name="Show_1_1" vbProcedure="false">[27]!Show_1</definedName>
    <definedName function="false" hidden="false" localSheetId="9" name="Show_1_10" vbProcedure="false">[27]!Show_1</definedName>
    <definedName function="false" hidden="false" localSheetId="9" name="Show_1_11" vbProcedure="false">[27]!Show_1</definedName>
    <definedName function="false" hidden="false" localSheetId="9" name="Show_1_2" vbProcedure="false">[27]!Show_1</definedName>
    <definedName function="false" hidden="false" localSheetId="9" name="Show_1_3" vbProcedure="false">[27]!Show_1</definedName>
    <definedName function="false" hidden="false" localSheetId="9" name="Show_1_4" vbProcedure="false">[27]!Show_1</definedName>
    <definedName function="false" hidden="false" localSheetId="9" name="Show_1_5" vbProcedure="false">[27]!Show_1</definedName>
    <definedName function="false" hidden="false" localSheetId="9" name="Show_1_6" vbProcedure="false">[27]!Show_1</definedName>
    <definedName function="false" hidden="false" localSheetId="9" name="Show_1_7" vbProcedure="false">[27]!Show_1</definedName>
    <definedName function="false" hidden="false" localSheetId="9" name="Show_1_8" vbProcedure="false">[27]!Show_1</definedName>
    <definedName function="false" hidden="false" localSheetId="9" name="Show_1_9" vbProcedure="false">[27]!Show_1</definedName>
    <definedName function="false" hidden="false" localSheetId="9" name="Show_2" vbProcedure="false">[41]!Show_2</definedName>
    <definedName function="false" hidden="false" localSheetId="9" name="Show_2_1" vbProcedure="false">[27]!Show_2</definedName>
    <definedName function="false" hidden="false" localSheetId="9" name="Show_2_10" vbProcedure="false">[27]!Show_2</definedName>
    <definedName function="false" hidden="false" localSheetId="9" name="Show_2_11" vbProcedure="false">[27]!Show_2</definedName>
    <definedName function="false" hidden="false" localSheetId="9" name="Show_2_2" vbProcedure="false">[27]!Show_2</definedName>
    <definedName function="false" hidden="false" localSheetId="9" name="Show_2_3" vbProcedure="false">[27]!Show_2</definedName>
    <definedName function="false" hidden="false" localSheetId="9" name="Show_2_4" vbProcedure="false">[27]!Show_2</definedName>
    <definedName function="false" hidden="false" localSheetId="9" name="Show_2_5" vbProcedure="false">[27]!Show_2</definedName>
    <definedName function="false" hidden="false" localSheetId="9" name="Show_2_6" vbProcedure="false">[27]!Show_2</definedName>
    <definedName function="false" hidden="false" localSheetId="9" name="Show_2_7" vbProcedure="false">[27]!Show_2</definedName>
    <definedName function="false" hidden="false" localSheetId="9" name="Show_2_8" vbProcedure="false">[27]!Show_2</definedName>
    <definedName function="false" hidden="false" localSheetId="9" name="Show_2_9" vbProcedure="false">[27]!Show_2</definedName>
    <definedName function="false" hidden="false" localSheetId="9" name="Size" vbProcedure="false">#ref!</definedName>
    <definedName function="false" hidden="false" localSheetId="9" name="SJT_DEPTH" vbProcedure="false">'[113]#REF'!$F$22</definedName>
    <definedName function="false" hidden="false" localSheetId="9" name="SJ_DEPTH" vbProcedure="false">'[113]#REF'!$F$22</definedName>
    <definedName function="false" hidden="false" localSheetId="9" name="SL" vbProcedure="false">[149]BHA!$C$3</definedName>
    <definedName function="false" hidden="false" localSheetId="9" name="SleeveLength" vbProcedure="false">[109]DATA!$AV$2:$AV$4</definedName>
    <definedName function="false" hidden="false" localSheetId="9" name="SLURRY_DENSITY" vbProcedure="false">'[113]#REF'!$F$70</definedName>
    <definedName function="false" hidden="false" localSheetId="9" name="SLURRY_VOL_PREPACK" vbProcedure="false">'[113]#REF'!$F$48</definedName>
    <definedName function="false" hidden="false" localSheetId="9" name="soldto" vbProcedure="false">'[126]Call Sheet'!$AL$3</definedName>
    <definedName function="false" hidden="true" localSheetId="9" name="sort" vbProcedure="false">[166]Sheet1!$A$181:$H$210</definedName>
    <definedName function="false" hidden="false" localSheetId="9" name="SORT_AREA" vbProcedure="false">'[167]DI-ESTI'!$A$8:$R$489</definedName>
    <definedName function="false" hidden="true" localSheetId="9" name="Spacedout" vbProcedure="false">{#N/A,#N/A,FALSE,"Drlg Param Run 1-1";#N/A,#N/A,FALSE,"DDR (3)";#N/A,#N/A,FALSE,"BHA AT (1)";#N/A,#N/A,FALSE,"Downlinkbha";#N/A,#N/A,FALSE,"Job Status Report"}</definedName>
    <definedName function="false" hidden="false" localSheetId="9" name="SpacerType" vbProcedure="false">[109]DATA!$BK$2:$BK$7</definedName>
    <definedName function="false" hidden="false" localSheetId="9" name="Spiral_Type" vbProcedure="false">[109]DATA!$BM$2:$BM$5</definedName>
    <definedName function="false" hidden="false" localSheetId="9" name="ssdsd" vbProcedure="false">'[140]tally checklist'!ssdsd</definedName>
    <definedName function="false" hidden="false" localSheetId="9" name="SSID" vbProcedure="false">'[109]Liner Job Info'!$O$6</definedName>
    <definedName function="false" hidden="true" localSheetId="9" name="sss" vbProcedure="false">{#N/A,#N/A,FALSE,"Drlg Param Run 1-1";#N/A,#N/A,FALSE,"DDR (3)";#N/A,#N/A,FALSE,"BHA AT (1)";#N/A,#N/A,FALSE,"Downlinkbha";#N/A,#N/A,FALSE,"Job Status Report"}</definedName>
    <definedName function="false" hidden="false" localSheetId="9" name="stages" vbProcedure="false">[5]WTR!$G$52</definedName>
    <definedName function="false" hidden="false" localSheetId="9" name="Stage_Number" vbProcedure="false">'[108]Pre-Job Info Sheet'!$B$15</definedName>
    <definedName function="false" hidden="false" localSheetId="9" name="Start_Here" vbProcedure="false">'[168]9.625 TCP String'!$B$10</definedName>
    <definedName function="false" hidden="false" localSheetId="9" name="state" vbProcedure="false">'[40]CPS Call Sheet'!$AC$7</definedName>
    <definedName function="false" hidden="false" localSheetId="9" name="status" vbProcedure="false">'[154]BPR LOG'!$H$1:$H$1048576</definedName>
    <definedName function="false" hidden="false" localSheetId="9" name="Stretch_DP1_Lnr_Wt" vbProcedure="false">'[109]Metric Conversions'!$B$30</definedName>
    <definedName function="false" hidden="false" localSheetId="9" name="Stretch_DP1_Lnr_Wtz" vbProcedure="false">'[109]Metric Conversions'!$C$30</definedName>
    <definedName function="false" hidden="false" localSheetId="9" name="Stretch_DP2_Lnr_Wt" vbProcedure="false">'[109]Metric Conversions'!$B$31</definedName>
    <definedName function="false" hidden="false" localSheetId="9" name="Stretch_DP2_Lnr_Wtz" vbProcedure="false">'[109]Metric Conversions'!$C$31</definedName>
    <definedName function="false" hidden="false" localSheetId="9" name="Stretch_DP3_Lnr_Wt" vbProcedure="false">'[109]Metric Conversions'!$B$32</definedName>
    <definedName function="false" hidden="false" localSheetId="9" name="Stretch_DP3_Lnr_Wtz" vbProcedure="false">'[109]Metric Conversions'!$C$32</definedName>
    <definedName function="false" hidden="false" localSheetId="9" name="Stretch_DP4_Lnr_Wt" vbProcedure="false">'[109]Metric Conversions'!$B$33</definedName>
    <definedName function="false" hidden="false" localSheetId="9" name="Stretch_DP4_Lnr_Wtz" vbProcedure="false">'[109]Metric Conversions'!$C$33</definedName>
    <definedName function="false" hidden="false" localSheetId="9" name="Stretch_DP5_Lnr_Wt" vbProcedure="false">'[109]Metric Conversions'!$B$34</definedName>
    <definedName function="false" hidden="false" localSheetId="9" name="Stretch_DP5_Lnr_Wtz" vbProcedure="false">'[109]Metric Conversions'!$C$34</definedName>
    <definedName function="false" hidden="false" localSheetId="9" name="Stretch_TTL_Lnr_Wt" vbProcedure="false">'[109]Metric Conversions'!$B$36</definedName>
    <definedName function="false" hidden="false" localSheetId="9" name="Stretch_TTL_Lnr_Wtz" vbProcedure="false">'[109]Metric Conversions'!$C$36</definedName>
    <definedName function="false" hidden="false" localSheetId="9" name="SubSeaTVD_Column" vbProcedure="false">null</definedName>
    <definedName function="false" hidden="false" localSheetId="9" name="SubSeaTVD_Unit" vbProcedure="false">null</definedName>
    <definedName function="false" hidden="false" localSheetId="9" name="SUMP_DEPTH" vbProcedure="false">'[113]#REF'!$F$23</definedName>
    <definedName function="false" hidden="false" localSheetId="9" name="Surfaceequipment" vbProcedure="false">[109]DATA!$AQ$2:$AQ$11</definedName>
    <definedName function="false" hidden="false" localSheetId="9" name="surfacefracpressure" vbProcedure="false">[106]Data!$F$4</definedName>
    <definedName function="false" hidden="false" localSheetId="9" name="Surf_Equip_Tens" vbProcedure="false">'[109]Liner Job Info'!$P$46</definedName>
    <definedName function="false" hidden="false" localSheetId="9" name="Svy_Print_Area" vbProcedure="false">'[168]9.625 TCP String'!$B$12:$I$3772</definedName>
    <definedName function="false" hidden="false" localSheetId="9" name="SWELL_PKR" vbProcedure="false">INDEX([111]PKR!$F$2:$G$10,MATCH([111]PKR!$H$1,[111]PKR!$F$2:$F$10,0),2)</definedName>
    <definedName function="false" hidden="false" localSheetId="9" name="t." vbProcedure="false">[49]!Prev.Macro102</definedName>
    <definedName function="false" hidden="false" localSheetId="9" name="Tally" vbProcedure="false">[169]Tally!$A$5:$C$1004</definedName>
    <definedName function="false" hidden="false" localSheetId="9" name="Tally_2" vbProcedure="false">[169]Tally!$E$5:$G$1004</definedName>
    <definedName function="false" hidden="false" localSheetId="9" name="Tally_3" vbProcedure="false">[169]Tally!$I$5:$K$1004</definedName>
    <definedName function="false" hidden="false" localSheetId="9" name="Taper_String_Grade" vbProcedure="false">'[108]Pre-Job Info Sheet'!$D$31</definedName>
    <definedName function="false" hidden="false" localSheetId="9" name="Taper_String_Size" vbProcedure="false">'[108]Pre-Job Info Sheet'!$D$29</definedName>
    <definedName function="false" hidden="false" localSheetId="9" name="Taper_String_Type" vbProcedure="false">'[108]Pre-Job Info Sheet'!$D$28</definedName>
    <definedName function="false" hidden="false" localSheetId="9" name="Taper_String_Wt._Ft." vbProcedure="false">'[108]Pre-Job Info Sheet'!$D$30</definedName>
    <definedName function="false" hidden="true" localSheetId="9"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Target" vbProcedure="false">#ref!,#ref!</definedName>
    <definedName function="false" hidden="false" localSheetId="9" name="TARIQ" vbProcedure="false">[145]!Calculate_Pipe</definedName>
    <definedName function="false" hidden="false" localSheetId="9" name="TbgDrift1" vbProcedure="false">'[94]Job Technical Info'!$G$35</definedName>
    <definedName function="false" hidden="false" localSheetId="9" name="TbgDrift2" vbProcedure="false">'[94]Job Technical Info'!$G$36</definedName>
    <definedName function="false" hidden="false" localSheetId="9" name="TbgDrift3" vbProcedure="false">'[94]Job Technical Info'!$G$37</definedName>
    <definedName function="false" hidden="false" localSheetId="9" name="TbgDrift4" vbProcedure="false">'[94]Job Technical Info'!$G$38</definedName>
    <definedName function="false" hidden="false" localSheetId="9" name="TbgGrade" vbProcedure="false">[170]MUT!$O$3:$O$4</definedName>
    <definedName function="false" hidden="false" localSheetId="9" name="TbgGrd1" vbProcedure="false">'[94]Job Technical Info'!$H$35</definedName>
    <definedName function="false" hidden="false" localSheetId="9" name="TbgGrd2" vbProcedure="false">'[94]Job Technical Info'!$H$36</definedName>
    <definedName function="false" hidden="false" localSheetId="9" name="TbgGrd3" vbProcedure="false">'[94]Job Technical Info'!$H$37</definedName>
    <definedName function="false" hidden="false" localSheetId="9" name="TbgGrd4" vbProcedure="false">'[94]Job Technical Info'!$H$38</definedName>
    <definedName function="false" hidden="false" localSheetId="9" name="TbgID1" vbProcedure="false">'[94]Job Technical Info'!$F$35</definedName>
    <definedName function="false" hidden="false" localSheetId="9" name="TbgID2" vbProcedure="false">'[94]Job Technical Info'!$F$36</definedName>
    <definedName function="false" hidden="false" localSheetId="9" name="TbgID3" vbProcedure="false">'[94]Job Technical Info'!$F$37</definedName>
    <definedName function="false" hidden="false" localSheetId="9" name="TbgID4" vbProcedure="false">'[94]Job Technical Info'!$F$38</definedName>
    <definedName function="false" hidden="false" localSheetId="9" name="TbgSz1" vbProcedure="false">'[94]Job Technical Info'!$D$35</definedName>
    <definedName function="false" hidden="false" localSheetId="9" name="TbgSz2" vbProcedure="false">'[94]Job Technical Info'!$D$36</definedName>
    <definedName function="false" hidden="false" localSheetId="9" name="TbgSz3" vbProcedure="false">'[94]Job Technical Info'!$D$37</definedName>
    <definedName function="false" hidden="false" localSheetId="9" name="TbgSz4" vbProcedure="false">'[94]Job Technical Info'!$D$38</definedName>
    <definedName function="false" hidden="false" localSheetId="9" name="TbgThd1" vbProcedure="false">'[94]Job Technical Info'!$J$35</definedName>
    <definedName function="false" hidden="false" localSheetId="9" name="TbgThd2" vbProcedure="false">'[94]Job Technical Info'!$J$36</definedName>
    <definedName function="false" hidden="false" localSheetId="9" name="TbgThd3" vbProcedure="false">'[94]Job Technical Info'!$J$37</definedName>
    <definedName function="false" hidden="false" localSheetId="9" name="TbgThd4" vbProcedure="false">'[94]Job Technical Info'!$J$38</definedName>
    <definedName function="false" hidden="false" localSheetId="9" name="TbgWt1" vbProcedure="false">'[94]Job Technical Info'!$E$35</definedName>
    <definedName function="false" hidden="false" localSheetId="9" name="TbgWt2" vbProcedure="false">'[94]Job Technical Info'!$E$36</definedName>
    <definedName function="false" hidden="false" localSheetId="9" name="TbgWt3" vbProcedure="false">'[94]Job Technical Info'!$E$37</definedName>
    <definedName function="false" hidden="false" localSheetId="9" name="TbgWt4" vbProcedure="false">'[94]Job Technical Info'!$E$38</definedName>
    <definedName function="false" hidden="false" localSheetId="9" name="TB_Ext_API_Coll" vbProcedure="false">'[109]Metric Conversions'!$B$55</definedName>
    <definedName function="false" hidden="false" localSheetId="9" name="TB_Ext_API_Collz" vbProcedure="false">'[109]Liner Job Info'!$P$37</definedName>
    <definedName function="false" hidden="false" localSheetId="9" name="TB_Ext_Bst" vbProcedure="false">'[109]Metric Conversions'!$B$54</definedName>
    <definedName function="false" hidden="false" localSheetId="9" name="TB_Ext_Bstz" vbProcedure="false">'[109]Liner Job Info'!$P$36</definedName>
    <definedName function="false" hidden="false" localSheetId="9" name="TB_EXT_ID" vbProcedure="false">'[109]Liner Job Info'!$P$35</definedName>
    <definedName function="false" hidden="false" localSheetId="9" name="TB_Ext_Yield_Collz" vbProcedure="false">'[109]Liner Job Info'!$P$38</definedName>
    <definedName function="false" hidden="false" localSheetId="9" name="TD_Depth_md" vbProcedure="false">'[70]well specification'!#ref!</definedName>
    <definedName function="false" hidden="false" localSheetId="9" name="TD_md" vbProcedure="false">'[70]well specification'!#ref!</definedName>
    <definedName function="false" hidden="false" localSheetId="9" name="tedtr" vbProcedure="false">'[115]Max-Torq'!$P$72</definedName>
    <definedName function="false" hidden="true" localSheetId="9"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tens" vbProcedure="false">'[115]Max-Torq'!$N$58</definedName>
    <definedName function="false" hidden="false" localSheetId="9" name="terry1" vbProcedure="false">{#N/A,#N/A,FALSE,"Volume"}</definedName>
    <definedName function="false" hidden="false" localSheetId="9" name="terry2" vbProcedure="false">{#N/A,#N/A,FALSE,"Volume"}</definedName>
    <definedName function="false" hidden="false" localSheetId="9" name="terry3" vbProcedure="false">{#N/A,#N/A,FALSE,"Volume"}</definedName>
    <definedName function="false" hidden="false" localSheetId="9" name="terry4" vbProcedure="false">{#N/A,#N/A,FALSE,"Volume"}</definedName>
    <definedName function="false" hidden="false" localSheetId="9" name="terry5" vbProcedure="false">{#N/A,#N/A,FALSE,"Volume"}</definedName>
    <definedName function="false" hidden="false" localSheetId="9" name="TEST" vbProcedure="false">#ref!</definedName>
    <definedName function="false" hidden="false" localSheetId="9" name="Test_po_out_1" vbProcedure="false">[109]Test!$M$28</definedName>
    <definedName function="false" hidden="false" localSheetId="9" name="Test_po_out_2" vbProcedure="false">[109]Test!$M$29</definedName>
    <definedName function="false" hidden="false" localSheetId="9" name="textfive" vbProcedure="false">'[140]tally checklist'!textfive</definedName>
    <definedName function="false" hidden="false" localSheetId="9" name="textfivehalf" vbProcedure="false">'[140]tally checklist'!textfivehalf</definedName>
    <definedName function="false" hidden="false" localSheetId="9" name="textninefiveeightfourfirst" vbProcedure="false">'[140]tally checklist'!textninefiveeightfourfirst</definedName>
    <definedName function="false" hidden="false" localSheetId="9" name="textninefiveeightfoursecond" vbProcedure="false">'[140]tally checklist'!textninefiveeightfoursecond</definedName>
    <definedName function="false" hidden="false" localSheetId="9" name="textninefiveeightsixfirst" vbProcedure="false">'[140]tally checklist'!textninefiveeightsixfirst</definedName>
    <definedName function="false" hidden="false" localSheetId="9" name="textninefiveeightsixsecond" vbProcedure="false">'[140]tally checklist'!textninefiveeightsixsecond</definedName>
    <definedName function="false" hidden="false" localSheetId="9" name="textsevenfiveeightfour" vbProcedure="false">'[140]tally checklist'!textsevenfiveeightfour</definedName>
    <definedName function="false" hidden="false" localSheetId="9" name="textsevenfiveeightthree" vbProcedure="false">'[140]tally checklist'!textsevenfiveeightthree</definedName>
    <definedName function="false" hidden="false" localSheetId="9" name="textsevenfour" vbProcedure="false">'[140]tally checklist'!textsevenfour</definedName>
    <definedName function="false" hidden="false" localSheetId="9" name="textseventhree" vbProcedure="false">'[140]tally checklist'!textseventhree</definedName>
    <definedName function="false" hidden="false" localSheetId="9" name="text_five" vbProcedure="false">'[140]tally checklist'!text_five</definedName>
    <definedName function="false" hidden="false" localSheetId="9" name="text_fivehalf" vbProcedure="false">'[140]tally checklist'!text_fivehalf</definedName>
    <definedName function="false" hidden="false" localSheetId="9" name="text_ninefiveeightfourfirst" vbProcedure="false">'[140]tally checklist'!text_ninefiveeightfourfirst</definedName>
    <definedName function="false" hidden="false" localSheetId="9" name="text_ninefiveeightfoursecond" vbProcedure="false">'[140]tally checklist'!text_ninefiveeightfoursecond</definedName>
    <definedName function="false" hidden="false" localSheetId="9" name="text_ninefiveeightsixfirst" vbProcedure="false">'[140]tally checklist'!text_ninefiveeightsixfirst</definedName>
    <definedName function="false" hidden="false" localSheetId="9" name="text_ninefiveeightsixsecond" vbProcedure="false">'[140]tally checklist'!text_ninefiveeightsixsecond</definedName>
    <definedName function="false" hidden="false" localSheetId="9" name="text_sevenfiveeightfour" vbProcedure="false">'[140]tally checklist'!text_sevenfiveeightfour</definedName>
    <definedName function="false" hidden="false" localSheetId="9" name="text_sevenfiveeightthree" vbProcedure="false">'[140]tally checklist'!text_sevenfiveeightthree</definedName>
    <definedName function="false" hidden="false" localSheetId="9" name="text_sevenfour" vbProcedure="false">'[140]tally checklist'!text_sevenfour</definedName>
    <definedName function="false" hidden="false" localSheetId="9" name="text_seventhree" vbProcedure="false">'[140]tally checklist'!text_seventhree</definedName>
    <definedName function="false" hidden="false" localSheetId="9" name="tgrade" vbProcedure="false">[157]Control!$D$9</definedName>
    <definedName function="false" hidden="false" localSheetId="9" name="TGW" vbProcedure="false">'[140]tally checklist'!tgw</definedName>
    <definedName function="false" hidden="false" localSheetId="9" name="ThreadCon" vbProcedure="false">[171]MUT!$R$3:$R$9</definedName>
    <definedName function="false" hidden="false" localSheetId="9" name="ticketdate" vbProcedure="false">'[126]Call Sheet'!$AH$1</definedName>
    <definedName function="false" hidden="false" localSheetId="9" name="tickettype" vbProcedure="false">[54]data!#ref!</definedName>
    <definedName function="false" hidden="false" localSheetId="9" name="time" vbProcedure="false">'[93]well test sheet'!#ref!</definedName>
    <definedName function="false" hidden="false" localSheetId="9" name="TLCENG" vbProcedure="false">[182]Reference!$D$2</definedName>
    <definedName function="false" hidden="false" localSheetId="9" name="TLDENG" vbProcedure="false">[182]Reference!$C$2</definedName>
    <definedName function="false" hidden="false" localSheetId="9" name="TLDOPS" vbProcedure="false">[182]Reference!$E$2:$E$3</definedName>
    <definedName function="false" hidden="false" localSheetId="9" name="TOL" vbProcedure="false">'[130]Metric Conversions'!$B$28</definedName>
    <definedName function="false" hidden="false" localSheetId="9" name="TOLz" vbProcedure="false">'[109]Liner Job Info'!$I$19</definedName>
    <definedName function="false" hidden="false" localSheetId="9" name="ToolMaterial" vbProcedure="false">[109]DATA!$BN$2:$BN$8</definedName>
    <definedName function="false" hidden="false" localSheetId="9" name="Tool_ID" vbProcedure="false">[109]DATA!$P$2:$P$268</definedName>
    <definedName function="false" hidden="false" localSheetId="9" name="TOPPKRIMG" vbProcedure="false">INDEX([172]PKR!$A$16:$B$17,MATCH([172]INPUT!$G$56,[172]PKR!$A$16:$A$17,0),2)</definedName>
    <definedName function="false" hidden="false" localSheetId="9" name="TOPPKRIMG_1" vbProcedure="false">INDEX([78]PKR!$A$16:$B$18,MATCH([78]INPUT!$G$56,[78]PKR!$A$16:$A$18,0),2)</definedName>
    <definedName function="false" hidden="false" localSheetId="9" name="Top_Drive_y_n" vbProcedure="false">'[46]liner job info'!#ref!</definedName>
    <definedName function="false" hidden="false" localSheetId="9" name="Top_Perf._TVD" vbProcedure="false">'[108]Pre-Job Info Sheet'!$B$30</definedName>
    <definedName function="false" hidden="false" localSheetId="9" name="Top_Perforation" vbProcedure="false">'[108]Pre-Job Info Sheet'!$B$28</definedName>
    <definedName function="false" hidden="false" localSheetId="9" name="Total_DP_Wt" vbProcedure="false">'[109]Weight Calculations'!$H$13</definedName>
    <definedName function="false" hidden="false" localSheetId="9" name="Total_Length_of_BHA" vbProcedure="false">'[108]TCP-BHA'!$H$47</definedName>
    <definedName function="false" hidden="false" localSheetId="9" name="TOT_ANN_CAP" vbProcedure="false">'[113]#REF'!$G$189</definedName>
    <definedName function="false" hidden="false" localSheetId="9" name="Tot_Bottoms_Upz" vbProcedure="false">'[109]Metric Conversions'!$C$90</definedName>
    <definedName function="false" hidden="false" localSheetId="9" name="TOT_CAP_HOLE" vbProcedure="false">'[113]#REF'!$G$190</definedName>
    <definedName function="false" hidden="false" localSheetId="9" name="Tot_DP_Vol" vbProcedure="false">'[109]Metric Conversions'!$B$75</definedName>
    <definedName function="false" hidden="false" localSheetId="9" name="Tot_DP_Volz" vbProcedure="false">'[109]Metric Conversions'!$C$75</definedName>
    <definedName function="false" hidden="false" localSheetId="9" name="Tot_Liner_Wt" vbProcedure="false">'[109]Weight Calculations'!$H$18</definedName>
    <definedName function="false" hidden="false" localSheetId="9" name="Tot_Lnr_Vol_to_LC" vbProcedure="false">'[109]Metric Conversions'!$B$79</definedName>
    <definedName function="false" hidden="false" localSheetId="9" name="Tot_Lnr_Vol_to_LCz" vbProcedure="false">'[109]Metric Conversions'!$C$79</definedName>
    <definedName function="false" hidden="false" localSheetId="9" name="TOT_SAND_2B_PUMPED" vbProcedure="false">'[6]#ref'!#ref!</definedName>
    <definedName function="false" hidden="false" localSheetId="9" name="TOT_SAND_COV_BLANK" vbProcedure="false">'[113]#REF'!$H$136</definedName>
    <definedName function="false" hidden="false" localSheetId="9" name="TOT_SAND_COV_SCREEN" vbProcedure="false">'[113]#REF'!$H$135</definedName>
    <definedName function="false" hidden="false" localSheetId="9" name="TOT_SAND_IN_PERFS" vbProcedure="false">'[113]#REF'!$F$137</definedName>
    <definedName function="false" hidden="false" localSheetId="9" name="TOT_SAND_PLACED" vbProcedure="false">'[113]#REF'!$F$131</definedName>
    <definedName function="false" hidden="false" localSheetId="9" name="TOT_SAND_REVOUT" vbProcedure="false">'[6]#ref'!#ref!</definedName>
    <definedName function="false" hidden="false" localSheetId="9" name="Tot_Vol_to_Bump_Plugs" vbProcedure="false">'[109]Metric Conversions'!$B$80</definedName>
    <definedName function="false" hidden="false" localSheetId="9" name="Tot_Vol_to_Bump_Plugsz" vbProcedure="false">'[109]Metric Conversions'!$C$80</definedName>
    <definedName function="false" hidden="false" localSheetId="9" name="Tot_Vol_to_Shoez" vbProcedure="false">'[109]Metric Conversions'!$C$81</definedName>
    <definedName function="false" hidden="false" localSheetId="9" name="tpermit" vbProcedure="false">[157]Control!$D$5</definedName>
    <definedName function="false" hidden="false" localSheetId="9" name="TQW" vbProcedure="false">'[140]tally checklist'!tqw</definedName>
    <definedName function="false" hidden="false" localSheetId="9" name="tr" vbProcedure="false">null</definedName>
    <definedName function="false" hidden="false" localSheetId="9" name="transport" vbProcedure="false">[54]data!#ref!</definedName>
    <definedName function="false" hidden="false" localSheetId="9" name="treatment" vbProcedure="false">[54]data!#ref!</definedName>
    <definedName function="false" hidden="false" localSheetId="9" name="try" vbProcedure="false">[173]Calculos!$K$3:$V$31</definedName>
    <definedName function="false" hidden="false" localSheetId="9" name="TR_Column" vbProcedure="false">null</definedName>
    <definedName function="false" hidden="false" localSheetId="9" name="TR_Unit" vbProcedure="false">null</definedName>
    <definedName function="false" hidden="false" localSheetId="9" name="tshoe" vbProcedure="false">[157]Drillers!$Q$20</definedName>
    <definedName function="false" hidden="false" localSheetId="9" name="tsize" vbProcedure="false">[157]Control!$D$7</definedName>
    <definedName function="false" hidden="false" localSheetId="9" name="TST" vbProcedure="false">'[30]Liner Job Info'!$O$5</definedName>
    <definedName function="false" hidden="false" localSheetId="9" name="tstickup" vbProcedure="false">[157]Drillers!$O$20</definedName>
    <definedName function="false" hidden="false" localSheetId="9" name="TS_pricelist" vbProcedure="false">[139]Pricelist!$A$57:$B$65</definedName>
    <definedName function="false" hidden="false" localSheetId="9" name="Tubing" vbProcedure="false">[174]Tubing!$B$7:$I$142</definedName>
    <definedName function="false" hidden="false" localSheetId="9" name="TubingAverage" vbProcedure="false">((SUM(NosOfTubing))-(MakeupLoss*COUNT(NosOfTubing)))/COUNT(NosOfTubing)</definedName>
    <definedName function="false" hidden="false" localSheetId="9" name="TubingOD" vbProcedure="false">[94]Lists!$AH$3:$AH$297</definedName>
    <definedName function="false" hidden="false" localSheetId="9" name="TubingSizes" vbProcedure="false">[94]Lists!$H$2:$H$14</definedName>
    <definedName function="false" hidden="false" localSheetId="9" name="tubingweight" vbProcedure="false">[83]!TubTable[id LIST (in)]</definedName>
    <definedName function="false" hidden="false" localSheetId="9" name="TVD_MID_PERF" vbProcedure="false">'[113]#REF'!$F$25</definedName>
    <definedName function="false" hidden="false" localSheetId="9" name="TV_TVD" vbProcedure="false">'[108]Tester Valve Calcs'!$F$20</definedName>
    <definedName function="false" hidden="false" localSheetId="9" name="TV_Vol" vbProcedure="false">'[108]Tester Valve Calcs'!$M$17</definedName>
    <definedName function="false" hidden="false" localSheetId="9" name="tweight" vbProcedure="false">[157]Control!$D$8</definedName>
    <definedName function="false" hidden="false" localSheetId="9" name="twell" vbProcedure="false">[157]Control!$D$4</definedName>
    <definedName function="false" hidden="true" localSheetId="9"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TYJEJE" vbProcedure="false">'[140]tally checklist'!tyjeje</definedName>
    <definedName function="false" hidden="false" localSheetId="9" name="TYPE" vbProcedure="false">'[58]7-30-04'!#ref!</definedName>
    <definedName function="false" hidden="false" localSheetId="9" name="TYPEOFPLUG" vbProcedure="false">'[175]DATA CALL OUT'!$C$1:$C$65536</definedName>
    <definedName function="false" hidden="false" localSheetId="9" name="T_ABOP" vbProcedure="false">'[94]Physical Barrier Check Form'!$B$15</definedName>
    <definedName function="false" hidden="false" localSheetId="9" name="T_BFluidColumn" vbProcedure="false">'[94]Physical Barrier Check Form'!$B$19</definedName>
    <definedName function="false" hidden="false" localSheetId="9" name="T_BHP" vbProcedure="false">'[94]Job Technical Info'!$A$42</definedName>
    <definedName function="false" hidden="false" localSheetId="9" name="T_BHT" vbProcedure="false">'[94]Job Technical Info'!$C$42</definedName>
    <definedName function="false" hidden="false" localSheetId="9" name="T_Casing1" vbProcedure="false">'[94]Job Technical Info'!$B$25</definedName>
    <definedName function="false" hidden="false" localSheetId="9" name="T_Casing2" vbProcedure="false">'[94]Job Technical Info'!$B$26</definedName>
    <definedName function="false" hidden="false" localSheetId="9" name="T_Casing3" vbProcedure="false">'[94]Job Technical Info'!$B$27</definedName>
    <definedName function="false" hidden="false" localSheetId="9" name="T_Casing4" vbProcedure="false">'[94]Job Technical Info'!$B$28</definedName>
    <definedName function="false" hidden="false" localSheetId="9" name="T_Ccasing" vbProcedure="false">'[94]Physical Barrier Check Form'!$B$23</definedName>
    <definedName function="false" hidden="false" localSheetId="9" name="T_CustomerProject" vbProcedure="false">[94]Schematic!$A$8</definedName>
    <definedName function="false" hidden="false" localSheetId="9" name="T_C_H" vbProcedure="false">'[47]12(762mm)套管'!#ref!</definedName>
    <definedName function="false" hidden="false" localSheetId="9" name="T_Description" vbProcedure="false">[94]Schematic!$D$31</definedName>
    <definedName function="false" hidden="false" localSheetId="9" name="T_District" vbProcedure="false">'[94]Physical Barrier Check Form'!$B$4</definedName>
    <definedName function="false" hidden="false" localSheetId="9" name="T_DProductionPacker" vbProcedure="false">'[94]Physical Barrier Check Form'!$B$27</definedName>
    <definedName function="false" hidden="false" localSheetId="9" name="T_Drift" vbProcedure="false">'[94]Job Technical Info'!$G$23</definedName>
    <definedName function="false" hidden="false" localSheetId="9" name="T_EBridgePlug" vbProcedure="false">'[94]Physical Barrier Check Form'!$B$31</definedName>
    <definedName function="false" hidden="false" localSheetId="9" name="T_FluidType" vbProcedure="false">'[94]Job Technical Info'!$E$42</definedName>
    <definedName function="false" hidden="false" localSheetId="9" name="T_FluidWeight" vbProcedure="false">'[94]Job Technical Info'!$G$42</definedName>
    <definedName function="false" hidden="false" localSheetId="9" name="T_FOtherBarriers" vbProcedure="false">'[94]Physical Barrier Check Form'!$B$35</definedName>
    <definedName function="false" hidden="false" localSheetId="9" name="T_Grade" vbProcedure="false">'[94]Job Technical Info'!$H$23</definedName>
    <definedName function="false" hidden="false" localSheetId="9" name="T_ID" vbProcedure="false">'[94]Job Technical Info'!$F$23</definedName>
    <definedName function="false" hidden="false" localSheetId="9" name="T_Length" vbProcedure="false">[94]Schematic!$M$31</definedName>
    <definedName function="false" hidden="false" localSheetId="9" name="T_Liner1" vbProcedure="false">'[94]Job Technical Info'!$B$29</definedName>
    <definedName function="false" hidden="false" localSheetId="9" name="T_Liner2" vbProcedure="false">'[94]Job Technical Info'!$B$30</definedName>
    <definedName function="false" hidden="false" localSheetId="9" name="T_MaxDev" vbProcedure="false">[94]Schematic!$M$10</definedName>
    <definedName function="false" hidden="false" localSheetId="9" name="T_No" vbProcedure="false">[94]Schematic!$C$31</definedName>
    <definedName function="false" hidden="false" localSheetId="9" name="T_Notes" vbProcedure="false">'[94]Physical Barrier Check Form'!$H$13</definedName>
    <definedName function="false" hidden="false" localSheetId="9" name="T_OD" vbProcedure="false">'[94]Job Technical Info'!$D$23</definedName>
    <definedName function="false" hidden="false" localSheetId="9" name="T_Thread" vbProcedure="false">'[94]Job Technical Info'!$J$23</definedName>
    <definedName function="false" hidden="false" localSheetId="9" name="T_Tubing1" vbProcedure="false">'[94]Job Technical Info'!$B$35</definedName>
    <definedName function="false" hidden="false" localSheetId="9" name="T_Tubing2" vbProcedure="false">'[94]Job Technical Info'!$B$36</definedName>
    <definedName function="false" hidden="false" localSheetId="9" name="T_Tubing3" vbProcedure="false">'[94]Job Technical Info'!$B$37</definedName>
    <definedName function="false" hidden="false" localSheetId="9" name="T_Tubing4" vbProcedure="false">'[94]Job Technical Info'!$B$38</definedName>
    <definedName function="false" hidden="false" localSheetId="9" name="T_Tubulars" vbProcedure="false">'[94]Job Technical Info'!$B$23</definedName>
    <definedName function="false" hidden="false" localSheetId="9" name="T_Weight" vbProcedure="false">'[94]Job Technical Info'!$E$23</definedName>
    <definedName function="false" hidden="false" localSheetId="9" name="T_Workstring1" vbProcedure="false">'[94]Job Technical Info'!$B$31</definedName>
    <definedName function="false" hidden="false" localSheetId="9" name="T_Workstring2" vbProcedure="false">'[94]Job Technical Info'!$B$32</definedName>
    <definedName function="false" hidden="false" localSheetId="9" name="T_Workstring3" vbProcedure="false">'[94]Job Technical Info'!$B$33</definedName>
    <definedName function="false" hidden="false" localSheetId="9" name="T_Workstring4" vbProcedure="false">'[94]Job Technical Info'!$B$34</definedName>
    <definedName function="false" hidden="false" localSheetId="9" name="U" vbProcedure="false">[176]Lists!$A$1:$A$3</definedName>
    <definedName function="false" hidden="false" localSheetId="9" name="Underbalance" vbProcedure="false">'[108]Job Calculation Sheet'!$H$34</definedName>
    <definedName function="false" hidden="true" localSheetId="9" name="UNI_AA_VERSION" vbProcedure="false">"322.2.0"</definedName>
    <definedName function="false" hidden="false" localSheetId="9" name="Used" vbProcedure="false">[109]DATA!$AR$2:$AR$3</definedName>
    <definedName function="false" hidden="false" localSheetId="9" name="Using_Hanger" vbProcedure="false">'[109]Liner Job Info'!$D$38</definedName>
    <definedName function="false" hidden="false" localSheetId="9" name="Using_Packer" vbProcedure="false">'[109]Liner Job Info'!$P$30</definedName>
    <definedName function="false" hidden="false" localSheetId="9" name="VALIDCURR" vbProcedure="false">[177]Currency!$A$1:$A$170</definedName>
    <definedName function="false" hidden="false" localSheetId="9" name="Vallist" vbProcedure="false">'[109]Casing Info'!$A$2:$A$34</definedName>
    <definedName function="false" hidden="false" localSheetId="9" name="vallist2" vbProcedure="false">#N/A</definedName>
    <definedName function="false" hidden="false" localSheetId="9" name="vbcode.draw_blanks" vbProcedure="false">'[140]tally checklist'!vbcode.draw_blanks</definedName>
    <definedName function="false" hidden="false" localSheetId="9" name="vbcode.draw_linerfirst" vbProcedure="false">'[140]tally checklist'!vbcode.draw_linerfirst</definedName>
    <definedName function="false" hidden="false" localSheetId="9" name="vbcode.draw_linersecond" vbProcedure="false">'[140]tally checklist'!vbcode.draw_linersecond</definedName>
    <definedName function="false" hidden="false" localSheetId="9" name="vbcode.draw_miscellaneous" vbProcedure="false">'[140]tally checklist'!vbcode.draw_miscellaneous</definedName>
    <definedName function="false" hidden="false" localSheetId="9" name="vbcode.draw_productionfirst" vbProcedure="false">'[140]tally checklist'!vbcode.draw_productionfirst</definedName>
    <definedName function="false" hidden="false" localSheetId="9" name="vbcode.draw_productionsecond" vbProcedure="false">'[140]tally checklist'!vbcode.draw_productionsecond</definedName>
    <definedName function="false" hidden="false" localSheetId="9" name="vbcode.draw_quantum" vbProcedure="false">'[140]tally checklist'!vbcode.draw_quantum</definedName>
    <definedName function="false" hidden="false" localSheetId="9" name="vbcode.draw_screens" vbProcedure="false">'[140]tally checklist'!vbcode.draw_screens</definedName>
    <definedName function="false" hidden="false" localSheetId="9" name="vbcode.draw_shearsubs" vbProcedure="false">'[140]tally checklist'!vbcode.draw_shearsubs</definedName>
    <definedName function="false" hidden="false" localSheetId="9" name="vbcode.draw_sump" vbProcedure="false">'[140]tally checklist'!vbcode.draw_sump</definedName>
    <definedName function="false" hidden="false" localSheetId="9" name="vbcode.text_five" vbProcedure="false">'[140]tally checklist'!vbcode.text_five</definedName>
    <definedName function="false" hidden="false" localSheetId="9" name="vbcode.text_fivehalf" vbProcedure="false">'[140]tally checklist'!vbcode.text_fivehalf</definedName>
    <definedName function="false" hidden="false" localSheetId="9" name="vbcode.text_ninefiveeightfourfirst" vbProcedure="false">'[140]tally checklist'!vbcode.text_ninefiveeightfourfirst</definedName>
    <definedName function="false" hidden="false" localSheetId="9" name="vbcode.text_ninefiveeightfoursecond" vbProcedure="false">'[140]tally checklist'!vbcode.text_ninefiveeightfoursecond</definedName>
    <definedName function="false" hidden="false" localSheetId="9" name="vbcode.text_ninefiveeightsixfirst" vbProcedure="false">'[140]tally checklist'!vbcode.text_ninefiveeightsixfirst</definedName>
    <definedName function="false" hidden="false" localSheetId="9" name="vbcode.text_ninefiveeightsixsecond" vbProcedure="false">'[140]tally checklist'!vbcode.text_ninefiveeightsixsecond</definedName>
    <definedName function="false" hidden="false" localSheetId="9" name="vbcode.text_sevenfiveeightfour" vbProcedure="false">'[140]tally checklist'!vbcode.text_sevenfiveeightfour</definedName>
    <definedName function="false" hidden="false" localSheetId="9" name="vbcode.text_sevenfiveeightthree" vbProcedure="false">'[140]tally checklist'!vbcode.text_sevenfiveeightthree</definedName>
    <definedName function="false" hidden="false" localSheetId="9" name="vbcode.text_sevenfour" vbProcedure="false">'[140]tally checklist'!vbcode.text_sevenfour</definedName>
    <definedName function="false" hidden="false" localSheetId="9" name="vbcode.text_seventhree" vbProcedure="false">'[140]tally checklist'!vbcode.text_seventhree</definedName>
    <definedName function="false" hidden="false" localSheetId="9" name="Verticaldepth" vbProcedure="false">'[129]Front Page Info'!$C$18</definedName>
    <definedName function="false" hidden="false" localSheetId="9" name="vfdvf" vbProcedure="false">[174]!Macro61</definedName>
    <definedName function="false" hidden="false" localSheetId="9" name="volume1" vbProcedure="false">{#N/A,#N/A,FALSE,"Volume"}</definedName>
    <definedName function="false" hidden="false" localSheetId="9" name="VOL_MULE_SHOE" vbProcedure="false">'[113]#REF'!$F$178</definedName>
    <definedName function="false" hidden="false" localSheetId="9" name="VS" vbProcedure="false">'[95]MACRO125 '!$F$6</definedName>
    <definedName function="false" hidden="false" localSheetId="9" name="vvv" vbProcedure="false">[119]钻井日报表!$E$7</definedName>
    <definedName function="false" hidden="false" localSheetId="9" name="vvvdf" vbProcedure="false">[119]钻井日报表!$G$8</definedName>
    <definedName function="false" hidden="false" localSheetId="9" name="vvvvv" vbProcedure="false">[79]!Macro60</definedName>
    <definedName function="false" hidden="false" localSheetId="9" name="WBJobRev" vbProcedure="false">'[94]Job Technical Info'!$C$11</definedName>
    <definedName function="false" hidden="false" localSheetId="9" name="Weak_DP" vbProcedure="false">'[109]Weight Calculations'!$V$63</definedName>
    <definedName function="false" hidden="false" localSheetId="9" name="Weak_link" vbProcedure="false">'[109]Weight Calculations'!$R$61</definedName>
    <definedName function="false" hidden="false" localSheetId="9" name="Week" vbProcedure="false">[18]Criteria!$A$2:$A$51</definedName>
    <definedName function="false" hidden="false" localSheetId="9" name="weight" vbProcedure="false">'[7]Drop-Down Items'!$M$7:$M$10</definedName>
    <definedName function="false" hidden="true" localSheetId="9"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9" name="wellcategory1" vbProcedure="false">[132]Data!$K$1:$K$65536</definedName>
    <definedName function="false" hidden="false" localSheetId="9" name="Welllocation1" vbProcedure="false">[132]Data!$M$1:$M$65536</definedName>
    <definedName function="false" hidden="false" localSheetId="9" name="WellMD" vbProcedure="false">'[94]Job Technical Info'!$H$41</definedName>
    <definedName function="false" hidden="false" localSheetId="9" name="WellNo" vbProcedure="false">'[30]Liner Job Info'!$E$6</definedName>
    <definedName function="false" hidden="false" localSheetId="9" name="WellTVD" vbProcedure="false">'[94]Job Technical Info'!$J$41</definedName>
    <definedName function="false" hidden="false" localSheetId="9" name="welltype" vbProcedure="false">'[113]#REF'!$F$18</definedName>
    <definedName function="false" hidden="false" localSheetId="9" name="Welltype2" vbProcedure="false">[178]Data!$H$1:$H$65536</definedName>
    <definedName function="false" hidden="false" localSheetId="9" name="Well_Name" vbProcedure="false">'[108]TCP-BHA'!$C$7</definedName>
    <definedName function="false" hidden="false" localSheetId="9" name="Well_Number" vbProcedure="false">'[62]Liner Job Info'!$E$6</definedName>
    <definedName function="false" hidden="false" localSheetId="9" name="well_type" vbProcedure="false">'[7]Drop-Down Items'!$D$43:$D$48</definedName>
    <definedName function="false" hidden="false" localSheetId="9" name="Well_Type__Oil_Gas" vbProcedure="false">'[108]Pre-Job Info Sheet'!$B$31</definedName>
    <definedName function="false" hidden="false" localSheetId="9" name="WHP" vbProcedure="false">#ref!</definedName>
    <definedName function="false" hidden="false" localSheetId="9" name="wht" vbProcedure="false">'[93]well test sheet'!#ref!</definedName>
    <definedName function="false" hidden="false" localSheetId="9" name="wiperplugunity" vbProcedure="false">[109]Test!$G$18</definedName>
    <definedName function="false" hidden="false" localSheetId="9" name="WkstrDrift1" vbProcedure="false">'[94]Job Technical Info'!$G$31</definedName>
    <definedName function="false" hidden="false" localSheetId="9" name="WkstrDrift2" vbProcedure="false">'[94]Job Technical Info'!$G$32</definedName>
    <definedName function="false" hidden="false" localSheetId="9" name="WkstrDrift3" vbProcedure="false">'[94]Job Technical Info'!$G$33</definedName>
    <definedName function="false" hidden="false" localSheetId="9" name="WkstrDrift4" vbProcedure="false">'[94]Job Technical Info'!$G$34</definedName>
    <definedName function="false" hidden="false" localSheetId="9" name="WkstrGrd1" vbProcedure="false">'[94]Job Technical Info'!$H$31</definedName>
    <definedName function="false" hidden="false" localSheetId="9" name="WkstrGrd2" vbProcedure="false">'[94]Job Technical Info'!$H$32</definedName>
    <definedName function="false" hidden="false" localSheetId="9" name="WkstrGrd3" vbProcedure="false">'[94]Job Technical Info'!$H$33</definedName>
    <definedName function="false" hidden="false" localSheetId="9" name="WkstrGrd4" vbProcedure="false">'[94]Job Technical Info'!$H$34</definedName>
    <definedName function="false" hidden="false" localSheetId="9" name="WkstrID1" vbProcedure="false">'[94]Job Technical Info'!$F$31</definedName>
    <definedName function="false" hidden="false" localSheetId="9" name="WkstrID2" vbProcedure="false">'[94]Job Technical Info'!$F$32</definedName>
    <definedName function="false" hidden="false" localSheetId="9" name="WkstrID3" vbProcedure="false">'[94]Job Technical Info'!$F$33</definedName>
    <definedName function="false" hidden="false" localSheetId="9" name="WkstrID4" vbProcedure="false">'[94]Job Technical Info'!$F$34</definedName>
    <definedName function="false" hidden="false" localSheetId="9" name="WkstrSz1" vbProcedure="false">'[94]Job Technical Info'!$D$31</definedName>
    <definedName function="false" hidden="false" localSheetId="9" name="WkstrSz2" vbProcedure="false">'[94]Job Technical Info'!$D$32</definedName>
    <definedName function="false" hidden="false" localSheetId="9" name="WkstrSz3" vbProcedure="false">'[94]Job Technical Info'!$D$33</definedName>
    <definedName function="false" hidden="false" localSheetId="9" name="WkstrSz4" vbProcedure="false">'[94]Job Technical Info'!$D$34</definedName>
    <definedName function="false" hidden="false" localSheetId="9" name="WkstrThd1" vbProcedure="false">'[94]Job Technical Info'!$J$31</definedName>
    <definedName function="false" hidden="false" localSheetId="9" name="WkstrThd2" vbProcedure="false">'[94]Job Technical Info'!$J$32</definedName>
    <definedName function="false" hidden="false" localSheetId="9" name="WkstrThd3" vbProcedure="false">'[94]Job Technical Info'!$J$33</definedName>
    <definedName function="false" hidden="false" localSheetId="9" name="WkstrThd4" vbProcedure="false">'[94]Job Technical Info'!$J$34</definedName>
    <definedName function="false" hidden="false" localSheetId="9" name="WkstrWt1" vbProcedure="false">'[94]Job Technical Info'!$E$31</definedName>
    <definedName function="false" hidden="false" localSheetId="9" name="WkstrWt2" vbProcedure="false">'[94]Job Technical Info'!$E$32</definedName>
    <definedName function="false" hidden="false" localSheetId="9" name="WkstrWt3" vbProcedure="false">'[94]Job Technical Info'!$E$33</definedName>
    <definedName function="false" hidden="false" localSheetId="9" name="WkstrWt4" vbProcedure="false">'[94]Job Technical Info'!$E$34</definedName>
    <definedName function="false" hidden="false" localSheetId="9" name="workstringid" vbProcedure="false">'[113]#REF'!$H$12</definedName>
    <definedName function="false" hidden="false" localSheetId="9" name="workstringidref" vbProcedure="false">[106]Data!$GC$3</definedName>
    <definedName function="false" hidden="false" localSheetId="9" name="workstringlength" vbProcedure="false">'[113]#REF'!$J$12</definedName>
    <definedName function="false" hidden="false" localSheetId="9" name="workstringod" vbProcedure="false">'[113]#REF'!$F$12</definedName>
    <definedName function="false" hidden="false" localSheetId="9" name="workstringtable" vbProcedure="false">[83]!CasingTable[#data]</definedName>
    <definedName function="false" hidden="false" localSheetId="9" name="workstringwt" vbProcedure="false">'[113]#REF'!$M$12</definedName>
    <definedName function="false" hidden="false" localSheetId="9" name="Workstring_Grade" vbProcedure="false">'[108]Pre-Job Info Sheet'!$D$27</definedName>
    <definedName function="false" hidden="false" localSheetId="9" name="Workstring_ID" vbProcedure="false">'[108]Job Calculation Sheet'!$F$16</definedName>
    <definedName function="false" hidden="false" localSheetId="9" name="Workstring_Length" vbProcedure="false">'[108]TCP-BHA'!$G$12</definedName>
    <definedName function="false" hidden="false" localSheetId="9" name="Workstring_Size" vbProcedure="false">'[108]Pre-Job Info Sheet'!$D$25</definedName>
    <definedName function="false" hidden="false" localSheetId="9" name="Workstring_Type" vbProcedure="false">'[108]Pre-Job Info Sheet'!$D$24</definedName>
    <definedName function="false" hidden="false" localSheetId="9" name="Workstring_Wt._Ft." vbProcedure="false">'[108]Pre-Job Info Sheet'!$D$26</definedName>
    <definedName function="false" hidden="true" localSheetId="9" name="wrn.ASDF." vbProcedure="false">{#N/A,#N/A,FALSE,"SHEET 1";#N/A,#N/A,FALSE,"Sheet4"}</definedName>
    <definedName function="false" hidden="true" localSheetId="9" name="wrn.AT._.Reports." vbProcedure="false">{#N/A,#N/A,FALSE,"Drlg Param Run 1-1";#N/A,#N/A,FALSE,"DDR (3)";#N/A,#N/A,FALSE,"BHA AT (1)";#N/A,#N/A,FALSE,"Downlinkbha";#N/A,#N/A,FALSE,"Job Status Report"}</definedName>
    <definedName function="false" hidden="true" localSheetId="9" name="wrn.CD_MST." vbProcedure="false">{#N/A,#N/A,FALSE,"Sheet1"}</definedName>
    <definedName function="false" hidden="true" localSheetId="9" name="wrn.DST_TCP." vbProcedure="false">{#N/A,#N/A,FALSE,"INFO";#N/A,#N/A,FALSE,"PCT";#N/A,#N/A,FALSE,"DISCS";#N/A,#N/A,FALSE,"DISC TABLE";#N/A,#N/A,FALSE,"CUSHION";#N/A,#N/A,FALSE,"HYDRAULICS";#N/A,#N/A,FALSE,"MCCV";#N/A,#N/A,FALSE,"HDF";#N/A,#N/A,FALSE,"GUNS";#N/A,#N/A,FALSE,"GUNDATA"}</definedName>
    <definedName function="false" hidden="true" localSheetId="9" name="wrn.SUMMARY." vbProcedure="false">{#N/A,#N/A,FALSE,"JUNK"}</definedName>
    <definedName function="false" hidden="false" localSheetId="9" name="wrn.VOLUME." vbProcedure="false">{#N/A,#N/A,FALSE,"Volume"}</definedName>
    <definedName function="false" hidden="false" localSheetId="9" name="wrn.volume.2" vbProcedure="false">{#N/A,#N/A,FALSE,"Volume"}</definedName>
    <definedName function="false" hidden="false" localSheetId="9" name="wrn.volume.2_1" vbProcedure="false">{#N/A,#N/A,FALSE,"Volume"}</definedName>
    <definedName function="false" hidden="false" localSheetId="9" name="wrn.volume.2_2" vbProcedure="false">{#N/A,#N/A,FALSE,"Volume"}</definedName>
    <definedName function="false" hidden="false" localSheetId="9" name="wrn.volume.2_3" vbProcedure="false">{#N/A,#N/A,FALSE,"Volume"}</definedName>
    <definedName function="false" hidden="false" localSheetId="9" name="wrn.volume.2_4" vbProcedure="false">{#N/A,#N/A,FALSE,"Volume"}</definedName>
    <definedName function="false" hidden="false" localSheetId="9" name="wrn.volume.2_5" vbProcedure="false">{#N/A,#N/A,FALSE,"Volume"}</definedName>
    <definedName function="false" hidden="false" localSheetId="9" name="wrn.volume.3" vbProcedure="false">{#N/A,#N/A,FALSE,"Volume"}</definedName>
    <definedName function="false" hidden="false" localSheetId="9" name="wrn.volume.3_1" vbProcedure="false">{#N/A,#N/A,FALSE,"Volume"}</definedName>
    <definedName function="false" hidden="false" localSheetId="9" name="wrn.volume.3_2" vbProcedure="false">{#N/A,#N/A,FALSE,"Volume"}</definedName>
    <definedName function="false" hidden="false" localSheetId="9" name="wrn.volume.3_3" vbProcedure="false">{#N/A,#N/A,FALSE,"Volume"}</definedName>
    <definedName function="false" hidden="false" localSheetId="9" name="wrn.volume.3_4" vbProcedure="false">{#N/A,#N/A,FALSE,"Volume"}</definedName>
    <definedName function="false" hidden="false" localSheetId="9" name="wrn.volume.3_5" vbProcedure="false">{#N/A,#N/A,FALSE,"Volume"}</definedName>
    <definedName function="false" hidden="false" localSheetId="9" name="wrn.VOLUME._1" vbProcedure="false">{#N/A,#N/A,FALSE,"Volume"}</definedName>
    <definedName function="false" hidden="false" localSheetId="9" name="wrn.VOLUME._2" vbProcedure="false">{#N/A,#N/A,FALSE,"Volume"}</definedName>
    <definedName function="false" hidden="false" localSheetId="9" name="wrn.VOLUME._3" vbProcedure="false">{#N/A,#N/A,FALSE,"Volume"}</definedName>
    <definedName function="false" hidden="false" localSheetId="9" name="wrn.VOLUME._4" vbProcedure="false">{#N/A,#N/A,FALSE,"Volume"}</definedName>
    <definedName function="false" hidden="false" localSheetId="9" name="wrn.VOLUME._5" vbProcedure="false">{#N/A,#N/A,FALSE,"Volume"}</definedName>
    <definedName function="false" hidden="false" localSheetId="9" name="WRN.VULUME" vbProcedure="false">{#N/A,#N/A,FALSE,"Volume"}</definedName>
    <definedName function="false" hidden="true" localSheetId="9"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9" name="wrn2.asdf" vbProcedure="false">{#N/A,#N/A,FALSE,"SHEET 1";#N/A,#N/A,FALSE,"Sheet4"}</definedName>
    <definedName function="false" hidden="false" localSheetId="9" name="wscolumn" vbProcedure="false">[106]Data!$W$19</definedName>
    <definedName function="false" hidden="false" localSheetId="9" name="WS_ID" vbProcedure="false">'[113]#REF'!$H$12</definedName>
    <definedName function="false" hidden="false" localSheetId="9" name="WS_LENGTH" vbProcedure="false">'[113]#REF'!$J$12</definedName>
    <definedName function="false" hidden="false" localSheetId="9" name="WS_OD" vbProcedure="false">'[113]#REF'!$F$12</definedName>
    <definedName function="false" hidden="false" localSheetId="9" name="wt" vbProcedure="false">'[115]Max-Torq'!$P$64</definedName>
    <definedName function="false" hidden="false" localSheetId="9" name="wtcasing" vbProcedure="false">[106]Data!$J$19</definedName>
    <definedName function="false" hidden="false" localSheetId="9" name="wtr_cumm" vbProcedure="false">'[93]well test sheet'!#ref!</definedName>
    <definedName function="false" hidden="false" localSheetId="9" name="wtr_rate" vbProcedure="false">'[93]well test sheet'!#ref!</definedName>
    <definedName function="false" hidden="false" localSheetId="9" name="wtworkstring" vbProcedure="false">[106]Data!$W$21</definedName>
    <definedName function="false" hidden="false" localSheetId="9" name="Wtype" vbProcedure="false">'[109]Liner Job Info'!$E$9</definedName>
    <definedName function="false" hidden="false" localSheetId="9" name="Wt_Bouyant" vbProcedure="false">'[108]Packer Calculation Sheet'!$I$34</definedName>
    <definedName function="false" hidden="false" localSheetId="9" name="Wt_w_Cmt" vbProcedure="false">'[109]Liner Job Info'!$D$34</definedName>
    <definedName function="false" hidden="false" localSheetId="9" name="Wt_W_Pkr_Tst" vbProcedure="false">'[109]Liner Job Info'!$D$36</definedName>
    <definedName function="false" hidden="false" localSheetId="9" name="X" vbProcedure="false">#ref!</definedName>
    <definedName function="false" hidden="false" localSheetId="9" name="X5_TO" vbProcedure="false">[129]RSS!$C$197</definedName>
    <definedName function="false" hidden="false" localSheetId="9" name="XCEED_TO" vbProcedure="false">[129]RSS!$G$201</definedName>
    <definedName function="false" hidden="false" localSheetId="9" name="xoportdepth" vbProcedure="false">'[113]#REF'!$F$21</definedName>
    <definedName function="false" hidden="false" localSheetId="9" name="XO_DEPTH" vbProcedure="false">'[113]#REF'!$F$21</definedName>
    <definedName function="false" hidden="false" localSheetId="9" name="XO_PORT_DEPTH" vbProcedure="false">'[113]#REF'!$F$21</definedName>
    <definedName function="false" hidden="false" localSheetId="9" name="XTRA_TO" vbProcedure="false">[129]RSS!$E$201</definedName>
    <definedName function="false" hidden="true" localSheetId="9" name="xxx" vbProcedure="false">{#N/A,#N/A,FALSE,"Sheet1"}</definedName>
    <definedName function="false" hidden="false" localSheetId="9" name="YESNO" vbProcedure="false">[129]RSS!$E$139:$E$141</definedName>
    <definedName function="false" hidden="false" localSheetId="9" name="YJEJD" vbProcedure="false">'[140]tally checklist'!yjejd</definedName>
    <definedName function="false" hidden="false" localSheetId="9" name="yp" vbProcedure="false">'[115]Max-Torq'!$N$59</definedName>
    <definedName function="false" hidden="false" localSheetId="9" name="ypa" vbProcedure="false">'[115]Max-Torq'!$P$63</definedName>
    <definedName function="false" hidden="false" localSheetId="9" name="ypdtr" vbProcedure="false">'[115]Max-Torq'!$P$70</definedName>
    <definedName function="false" hidden="false" localSheetId="9" name="zone" vbProcedure="false">[5]WTR!$L$4</definedName>
    <definedName function="false" hidden="false" localSheetId="9" name="Zone1BHP" vbProcedure="false">'[94]Job Technical Info'!$G$49</definedName>
    <definedName function="false" hidden="false" localSheetId="9" name="Zone1BHT" vbProcedure="false">'[94]Job Technical Info'!$H$49</definedName>
    <definedName function="false" hidden="false" localSheetId="9" name="Zone1Bottom" vbProcedure="false">'[94]Job Technical Info'!$E$49</definedName>
    <definedName function="false" hidden="false" localSheetId="9" name="Zone1Dev" vbProcedure="false">'[94]Job Technical Info'!$F$49</definedName>
    <definedName function="false" hidden="false" localSheetId="9" name="Zone1FluidType" vbProcedure="false">'[94]Job Technical Info'!$I$49</definedName>
    <definedName function="false" hidden="false" localSheetId="9" name="Zone1FluidWt" vbProcedure="false">'[94]Job Technical Info'!$J$49</definedName>
    <definedName function="false" hidden="false" localSheetId="9" name="Zone1Name" vbProcedure="false">'[94]Job Technical Info'!$C$49</definedName>
    <definedName function="false" hidden="false" localSheetId="9" name="Zone1Top" vbProcedure="false">'[94]Job Technical Info'!$D$49</definedName>
    <definedName function="false" hidden="false" localSheetId="9" name="Zone2BHP" vbProcedure="false">'[94]Job Technical Info'!$G$50</definedName>
    <definedName function="false" hidden="false" localSheetId="9" name="Zone2BHT" vbProcedure="false">'[94]Job Technical Info'!$H$50</definedName>
    <definedName function="false" hidden="false" localSheetId="9" name="Zone2Bottom" vbProcedure="false">'[94]Job Technical Info'!$E$50</definedName>
    <definedName function="false" hidden="false" localSheetId="9" name="Zone2Dev" vbProcedure="false">'[94]Job Technical Info'!$F$50</definedName>
    <definedName function="false" hidden="false" localSheetId="9" name="Zone2FluidType" vbProcedure="false">'[94]Job Technical Info'!$I$50</definedName>
    <definedName function="false" hidden="false" localSheetId="9" name="Zone2FluidWt" vbProcedure="false">'[94]Job Technical Info'!$J$50</definedName>
    <definedName function="false" hidden="false" localSheetId="9" name="Zone2Name" vbProcedure="false">'[94]Job Technical Info'!$C$50</definedName>
    <definedName function="false" hidden="false" localSheetId="9" name="Zone2Top" vbProcedure="false">'[94]Job Technical Info'!$D$50</definedName>
    <definedName function="false" hidden="false" localSheetId="9" name="Zone3BHP" vbProcedure="false">'[94]Job Technical Info'!$G$51</definedName>
    <definedName function="false" hidden="false" localSheetId="9" name="Zone3BHT" vbProcedure="false">'[94]Job Technical Info'!$H$51</definedName>
    <definedName function="false" hidden="false" localSheetId="9" name="Zone3Bottom" vbProcedure="false">'[94]Job Technical Info'!$E$51</definedName>
    <definedName function="false" hidden="false" localSheetId="9" name="Zone3Dev" vbProcedure="false">'[94]Job Technical Info'!$F$51</definedName>
    <definedName function="false" hidden="false" localSheetId="9" name="Zone3FluidType" vbProcedure="false">'[94]Job Technical Info'!$I$51</definedName>
    <definedName function="false" hidden="false" localSheetId="9" name="Zone3FluidWt" vbProcedure="false">'[94]Job Technical Info'!$J$51</definedName>
    <definedName function="false" hidden="false" localSheetId="9" name="Zone3Name" vbProcedure="false">'[94]Job Technical Info'!$C$51</definedName>
    <definedName function="false" hidden="false" localSheetId="9" name="Zone3Top" vbProcedure="false">'[94]Job Technical Info'!$D$51</definedName>
    <definedName function="false" hidden="false" localSheetId="9" name="Zone4BHP" vbProcedure="false">'[94]Job Technical Info'!$G$52</definedName>
    <definedName function="false" hidden="false" localSheetId="9" name="Zone4BHT" vbProcedure="false">'[94]Job Technical Info'!$H$52</definedName>
    <definedName function="false" hidden="false" localSheetId="9" name="Zone4Bottom" vbProcedure="false">'[94]Job Technical Info'!$E$52</definedName>
    <definedName function="false" hidden="false" localSheetId="9" name="Zone4Dev" vbProcedure="false">'[94]Job Technical Info'!$F$52</definedName>
    <definedName function="false" hidden="false" localSheetId="9" name="Zone4FluidType" vbProcedure="false">'[94]Job Technical Info'!$I$52</definedName>
    <definedName function="false" hidden="false" localSheetId="9" name="Zone4FluidWt" vbProcedure="false">'[94]Job Technical Info'!$J$52</definedName>
    <definedName function="false" hidden="false" localSheetId="9" name="Zone4Name" vbProcedure="false">'[94]Job Technical Info'!$C$52</definedName>
    <definedName function="false" hidden="false" localSheetId="9" name="Zone4Top" vbProcedure="false">'[94]Job Technical Info'!$D$52</definedName>
    <definedName function="false" hidden="false" localSheetId="9" name="Zone5BHP" vbProcedure="false">'[94]Job Technical Info'!$G$53</definedName>
    <definedName function="false" hidden="false" localSheetId="9" name="Zone5BHT" vbProcedure="false">'[94]Job Technical Info'!$H$53</definedName>
    <definedName function="false" hidden="false" localSheetId="9" name="Zone5Bottom" vbProcedure="false">'[94]Job Technical Info'!$E$53</definedName>
    <definedName function="false" hidden="false" localSheetId="9" name="Zone5Dev" vbProcedure="false">'[94]Job Technical Info'!$F$53</definedName>
    <definedName function="false" hidden="false" localSheetId="9" name="Zone5FluidType" vbProcedure="false">'[94]Job Technical Info'!$I$53</definedName>
    <definedName function="false" hidden="false" localSheetId="9" name="Zone5FluidWt" vbProcedure="false">'[94]Job Technical Info'!$J$53</definedName>
    <definedName function="false" hidden="false" localSheetId="9" name="Zone5Name" vbProcedure="false">'[94]Job Technical Info'!$C$53</definedName>
    <definedName function="false" hidden="false" localSheetId="9" name="Zone5Top" vbProcedure="false">'[94]Job Technical Info'!$D$53</definedName>
    <definedName function="false" hidden="false" localSheetId="9" name="ZXP_Seal_Area" vbProcedure="false">[109]Test!$Z$38</definedName>
    <definedName function="false" hidden="false" localSheetId="9" name="Z_Fact_DH" vbProcedure="false">'[108]Tester Valve Calcs'!$F$23</definedName>
    <definedName function="false" hidden="false" localSheetId="9" name="Z_Fact_Surf" vbProcedure="false">'[108]Tester Valve Calcs'!$F$18</definedName>
    <definedName function="false" hidden="false" localSheetId="9" name="_" vbProcedure="false">[5]readings!#ref!</definedName>
    <definedName function="false" hidden="false" localSheetId="9" name="_1" vbProcedure="false">{#N/A,#N/A,FALSE,"Volume"}</definedName>
    <definedName function="false" hidden="false" localSheetId="9" name="_11Druckbereich" vbProcedure="false">[34]run_s!#ref!</definedName>
    <definedName function="false" hidden="true" localSheetId="9" name="_1234GRAPH_G" vbProcedure="false">[179]Run!$F$16:$F$514</definedName>
    <definedName function="false" hidden="false" localSheetId="9" name="_1Module2__2__.gaugeconok2" vbProcedure="false">'JOB ORDER '!_1Module2__2__.gaugeconok2</definedName>
    <definedName function="false" hidden="false" localSheetId="9" name="_2" vbProcedure="false">{#N/A,#N/A,FALSE,"Volume"}</definedName>
    <definedName function="false" hidden="false" localSheetId="9" name="_2Module2__2__.gaugeok2" vbProcedure="false">'JOB ORDER '!_2Module2__2__.gaugeok2</definedName>
    <definedName function="false" hidden="false" localSheetId="9" name="_3Module2__2__.gaugeselect2" vbProcedure="false">'JOB ORDER '!_3Module2__2__.gaugeselect2</definedName>
    <definedName function="false" hidden="false" localSheetId="9" name="_4Module2__2__.serialselect3" vbProcedure="false">'JOB ORDER '!_4Module2__2__.serialselect3</definedName>
    <definedName function="false" hidden="false" localSheetId="9" name="_5" vbProcedure="false">{#N/A,#N/A,FALSE,"Volume"}</definedName>
    <definedName function="false" hidden="false" localSheetId="9" name="_5Module2__2__.serialselect4" vbProcedure="false">'JOB ORDER '!_5Module2__2__.serialselect4</definedName>
    <definedName function="false" hidden="false" localSheetId="9" name="_A" vbProcedure="false">'[1]run sheet'!#ref!</definedName>
    <definedName function="false" hidden="false" localSheetId="9" name="_a1" vbProcedure="false">{#N/A,#N/A,FALSE,"Volume"}</definedName>
    <definedName function="false" hidden="false" localSheetId="9" name="_a2" vbProcedure="false">{#N/A,#N/A,FALSE,"Volume"}</definedName>
    <definedName function="false" hidden="false" localSheetId="9" name="_a3" vbProcedure="false">{#N/A,#N/A,FALSE,"Volume"}</definedName>
    <definedName function="false" hidden="true" localSheetId="9" name="_A4" vbProcedure="false">[179]Run!$B$18:$B$512</definedName>
    <definedName function="false" hidden="false" localSheetId="9" name="_aa" vbProcedure="false">{#N/A,#N/A,FALSE,"Volume"}</definedName>
    <definedName function="false" hidden="false" localSheetId="9" name="_aaa" vbProcedure="false">{#N/A,#N/A,FALSE,"Volume"}</definedName>
    <definedName function="false" hidden="false" localSheetId="9" name="_aaaaa" vbProcedure="false">{#N/A,#N/A,FALSE,"Volume"}</definedName>
    <definedName function="false" hidden="false" localSheetId="9" name="_aaaaaa" vbProcedure="false">{#N/A,#N/A,FALSE,"Volume"}</definedName>
    <definedName function="false" hidden="false" localSheetId="9" name="_ab" vbProcedure="false">{#N/A,#N/A,FALSE,"Volume"}</definedName>
    <definedName function="false" hidden="false" localSheetId="9" name="_ac" vbProcedure="false">{#N/A,#N/A,FALSE,"Volume"}</definedName>
    <definedName function="false" hidden="false" localSheetId="9" name="_acasdf" vbProcedure="false">{#N/A,#N/A,FALSE,"Volume"}</definedName>
    <definedName function="false" hidden="false" localSheetId="9" name="_acc" vbProcedure="false">{#N/A,#N/A,FALSE,"Volume"}</definedName>
    <definedName function="false" hidden="false" localSheetId="9" name="_ap1" vbProcedure="false">{#N/A,#N/A,FALSE,"Volume"}</definedName>
    <definedName function="false" hidden="false" localSheetId="9" name="_ap2" vbProcedure="false">{#N/A,#N/A,FALSE,"Volume"}</definedName>
    <definedName function="false" hidden="false" localSheetId="9" name="_ap3" vbProcedure="false">{#N/A,#N/A,FALSE,"Volume"}</definedName>
    <definedName function="false" hidden="false" localSheetId="9" name="_app1" vbProcedure="false">{#N/A,#N/A,FALSE,"Volume"}</definedName>
    <definedName function="false" hidden="false" localSheetId="9" name="_app2" vbProcedure="false">{#N/A,#N/A,FALSE,"Volume"}</definedName>
    <definedName function="false" hidden="false" localSheetId="9" name="_app3" vbProcedure="false">{#N/A,#N/A,FALSE,"Volume"}</definedName>
    <definedName function="false" hidden="false" localSheetId="9" name="_app4" vbProcedure="false">{#N/A,#N/A,FALSE,"Volume"}</definedName>
    <definedName function="false" hidden="false" localSheetId="9" name="_app5" vbProcedure="false">{#N/A,#N/A,FALSE,"Volume"}</definedName>
    <definedName function="false" hidden="false" localSheetId="9" name="_asdfas" vbProcedure="false">{#N/A,#N/A,FALSE,"Volume"}</definedName>
    <definedName function="false" hidden="false" localSheetId="9" name="_a_0" vbProcedure="false">{#N/A,#N/A,FALSE,"Volume"}</definedName>
    <definedName function="false" hidden="false" localSheetId="9" name="_b" vbProcedure="false">{#N/A,#N/A,FALSE,"Volume"}</definedName>
    <definedName function="false" hidden="false" localSheetId="9" name="_b1" vbProcedure="false">{#N/A,#N/A,FALSE,"Volume"}</definedName>
    <definedName function="false" hidden="false" localSheetId="9" name="_b2" vbProcedure="false">{#N/A,#N/A,FALSE,"Volume"}</definedName>
    <definedName function="false" hidden="false" localSheetId="9" name="_b3" vbProcedure="false">{#N/A,#N/A,FALSE,"Volume"}</definedName>
    <definedName function="false" hidden="false" localSheetId="9" name="_b4" vbProcedure="false">{#N/A,#N/A,FALSE,"Volume"}</definedName>
    <definedName function="false" hidden="false" localSheetId="9" name="_b5" vbProcedure="false">{#N/A,#N/A,FALSE,"Volume"}</definedName>
    <definedName function="false" hidden="false" localSheetId="9" name="_bb2789" vbProcedure="false">[9]!Calculate_Pipe</definedName>
    <definedName function="false" hidden="true" localSheetId="9" name="_bgn1" vbProcedure="false">{#N/A,#N/A,FALSE,"Sheet1"}</definedName>
    <definedName function="false" hidden="false" localSheetId="9" name="_C" vbProcedure="false">'[1]run sheet'!#ref!</definedName>
    <definedName function="false" hidden="false" localSheetId="9" name="_c1" vbProcedure="false">{#N/A,#N/A,FALSE,"Volume"}</definedName>
    <definedName function="false" hidden="false" localSheetId="9" name="_c2" vbProcedure="false">{#N/A,#N/A,FALSE,"Volume"}</definedName>
    <definedName function="false" hidden="false" localSheetId="9" name="_c3" vbProcedure="false">{#N/A,#N/A,FALSE,"Volume"}</definedName>
    <definedName function="false" hidden="false" localSheetId="9" name="_c4" vbProcedure="false">{#N/A,#N/A,FALSE,"Volume"}</definedName>
    <definedName function="false" hidden="true" localSheetId="9" name="_cd1" vbProcedure="false">{#N/A,#N/A,FALSE,"Sheet1"}</definedName>
    <definedName function="false" hidden="true" localSheetId="9" name="_cf1" vbProcedure="false">{#N/A,#N/A,FALSE,"Sheet1"}</definedName>
    <definedName function="false" hidden="false" localSheetId="9" name="_c_0" vbProcedure="false">{#N/A,#N/A,FALSE,"Volume"}</definedName>
    <definedName function="false" hidden="false" localSheetId="9" name="_D" vbProcedure="false">'[1]run sheet'!#ref!</definedName>
    <definedName function="false" hidden="false" localSheetId="9" name="_d1" vbProcedure="false">{#N/A,#N/A,FALSE,"Volume"}</definedName>
    <definedName function="false" hidden="false" localSheetId="9" name="_d2_" vbProcedure="false">{#N/A,#N/A,FALSE,"Volume"}</definedName>
    <definedName function="false" hidden="false" localSheetId="9" name="_d3" vbProcedure="false">{#N/A,#N/A,FALSE,"Volume"}</definedName>
    <definedName function="false" hidden="false" localSheetId="9" name="_d4" vbProcedure="false">{#N/A,#N/A,FALSE,"Volume"}</definedName>
    <definedName function="false" hidden="false" localSheetId="9" name="_DAT16" vbProcedure="false">'[37]sap serv 06-02'!#ref!</definedName>
    <definedName function="false" hidden="false" localSheetId="9" name="_DAT17" vbProcedure="false">'[37]sap serv 06-02'!#ref!</definedName>
    <definedName function="false" hidden="false" localSheetId="9" name="_DAT19" vbProcedure="false">'[37]sap serv 06-02'!#ref!</definedName>
    <definedName function="false" hidden="false" localSheetId="9" name="_DAT20" vbProcedure="false">'[37]sap serv 06-02'!#ref!</definedName>
    <definedName function="false" hidden="false" localSheetId="9" name="_DAT25" vbProcedure="false">'[37]sap serv 06-02'!#ref!</definedName>
    <definedName function="false" hidden="false" localSheetId="9" name="_DAT26" vbProcedure="false">'[37]sap serv 06-02'!#ref!</definedName>
    <definedName function="false" hidden="false" localSheetId="9" name="_DAT27" vbProcedure="false">'[37]sap serv 06-02'!#ref!</definedName>
    <definedName function="false" hidden="false" localSheetId="9" name="_DAT28" vbProcedure="false">'[37]sap serv 06-02'!#ref!</definedName>
    <definedName function="false" hidden="false" localSheetId="9" name="_DAT29" vbProcedure="false">'[37]sap serv 06-02'!#ref!</definedName>
    <definedName function="false" hidden="false" localSheetId="9" name="_DAT31" vbProcedure="false">'[37]sap serv 06-02'!#ref!</definedName>
    <definedName function="false" hidden="false" localSheetId="9" name="_DAT32" vbProcedure="false">'[37]sap serv 06-02'!#ref!</definedName>
    <definedName function="false" hidden="false" localSheetId="9" name="_DAT34" vbProcedure="false">'[37]sap serv 06-02'!#ref!</definedName>
    <definedName function="false" hidden="false" localSheetId="9" name="_DAT35" vbProcedure="false">'[37]sap serv 06-02'!#ref!</definedName>
    <definedName function="false" hidden="false" localSheetId="9" name="_DAT36" vbProcedure="false">'[37]sap serv 06-02'!#ref!</definedName>
    <definedName function="false" hidden="false" localSheetId="9" name="_DAT40" vbProcedure="false">'[37]sap serv 06-02'!#ref!</definedName>
    <definedName function="false" hidden="false" localSheetId="9" name="_DAT41" vbProcedure="false">'[37]sap serv 06-02'!#ref!</definedName>
    <definedName function="false" hidden="false" localSheetId="9" name="_DAT42" vbProcedure="false">'[37]sap serv 06-02'!#ref!</definedName>
    <definedName function="false" hidden="false" localSheetId="9" name="_DAT44" vbProcedure="false">'[37]sap serv 06-02'!#ref!</definedName>
    <definedName function="false" hidden="false" localSheetId="9" name="_DAT45" vbProcedure="false">'[37]sap serv 06-02'!#ref!</definedName>
    <definedName function="false" hidden="false" localSheetId="9" name="_DAT46" vbProcedure="false">'[37]sap serv 06-02'!#ref!</definedName>
    <definedName function="false" hidden="false" localSheetId="9" name="_DAT47" vbProcedure="false">'[37]sap serv 06-02'!#ref!</definedName>
    <definedName function="false" hidden="false" localSheetId="9" name="_DAT48" vbProcedure="false">'[37]sap serv 06-02'!#ref!</definedName>
    <definedName function="false" hidden="false" localSheetId="9" name="_DAT49" vbProcedure="false">'[37]sap serv 06-02'!#ref!</definedName>
    <definedName function="false" hidden="false" localSheetId="9" name="_DAT50" vbProcedure="false">'[37]sap serv 06-02'!#ref!</definedName>
    <definedName function="false" hidden="false" localSheetId="9" name="_DAT52" vbProcedure="false">'[37]sap serv 06-02'!#ref!</definedName>
    <definedName function="false" hidden="false" localSheetId="9" name="_DAT53" vbProcedure="false">'[37]sap serv 06-02'!#ref!</definedName>
    <definedName function="false" hidden="false" localSheetId="9" name="_DAT54" vbProcedure="false">'[37]sap serv 06-02'!#ref!</definedName>
    <definedName function="false" hidden="false" localSheetId="9" name="_DAT56" vbProcedure="false">'[37]sap serv 06-02'!#ref!</definedName>
    <definedName function="false" hidden="false" localSheetId="9" name="_DAT57" vbProcedure="false">'[37]sap serv 06-02'!#ref!</definedName>
    <definedName function="false" hidden="false" localSheetId="9" name="_DAT62" vbProcedure="false">'[37]sap serv 06-02'!#ref!</definedName>
    <definedName function="false" hidden="false" localSheetId="9" name="_DAT63" vbProcedure="false">'[37]sap serv 06-02'!#ref!</definedName>
    <definedName function="false" hidden="false" localSheetId="9" name="_d_0" vbProcedure="false">{#N/A,#N/A,FALSE,"Volume"}</definedName>
    <definedName function="false" hidden="false" localSheetId="9" name="_E" vbProcedure="false">'[1]run sheet'!#ref!</definedName>
    <definedName function="false" hidden="false" localSheetId="9" name="_e1" vbProcedure="false">{#N/A,#N/A,FALSE,"Volume"}</definedName>
    <definedName function="false" hidden="false" localSheetId="9" name="_e2" vbProcedure="false">{#N/A,#N/A,FALSE,"Volume"}</definedName>
    <definedName function="false" hidden="false" localSheetId="9" name="_e3" vbProcedure="false">{#N/A,#N/A,FALSE,"Volume"}</definedName>
    <definedName function="false" hidden="false" localSheetId="9" name="_e4" vbProcedure="false">{#N/A,#N/A,FALSE,"Volume"}</definedName>
    <definedName function="false" hidden="false" localSheetId="9" name="_e_0" vbProcedure="false">{#N/A,#N/A,FALSE,"Volume"}</definedName>
    <definedName function="false" hidden="false" localSheetId="9" name="_f" vbProcedure="false">'[2]run sheet'!#ref!</definedName>
    <definedName function="false" hidden="false" localSheetId="9" name="_f1" vbProcedure="false">{#N/A,#N/A,FALSE,"Volume"}</definedName>
    <definedName function="false" hidden="false" localSheetId="9" name="_f2" vbProcedure="false">{#N/A,#N/A,FALSE,"Volume"}</definedName>
    <definedName function="false" hidden="false" localSheetId="9" name="_f3" vbProcedure="false">{#N/A,#N/A,FALSE,"Volume"}</definedName>
    <definedName function="false" hidden="false" localSheetId="9" name="_f4" vbProcedure="false">{#N/A,#N/A,FALSE,"Volume"}</definedName>
    <definedName function="false" hidden="false" localSheetId="9" name="_f5" vbProcedure="false">{#N/A,#N/A,FALSE,"Volume"}</definedName>
    <definedName function="false" hidden="false" localSheetId="9" name="_f6" vbProcedure="false">{#N/A,#N/A,FALSE,"Volume"}</definedName>
    <definedName function="false" hidden="false" localSheetId="9" name="_f7" vbProcedure="false">{#N/A,#N/A,FALSE,"Volume"}</definedName>
    <definedName function="false" hidden="true" localSheetId="9" name="_Fill" vbProcedure="false">#ref!</definedName>
    <definedName function="false" hidden="false" localSheetId="9" name="_f_0" vbProcedure="false">{#N/A,#N/A,FALSE,"Volume"}</definedName>
    <definedName function="false" hidden="false" localSheetId="9" name="_g" vbProcedure="false">'[2]run sheet'!#ref!</definedName>
    <definedName function="false" hidden="true" localSheetId="9" name="_gmh1" vbProcedure="false">{#N/A,#N/A,FALSE,"Sheet1"}</definedName>
    <definedName function="false" hidden="false" localSheetId="9" name="_g_0" vbProcedure="false">{#N/A,#N/A,FALSE,"Volume"}</definedName>
    <definedName function="false" hidden="false" localSheetId="9" name="_h" vbProcedure="false">'[2]run sheet'!#ref!</definedName>
    <definedName function="false" hidden="false" localSheetId="9" name="_h_0" vbProcedure="false">{#N/A,#N/A,FALSE,"Volume"}</definedName>
    <definedName function="false" hidden="false" localSheetId="9" name="_I" vbProcedure="false">'[1]run sheet'!#ref!</definedName>
    <definedName function="false" hidden="false" localSheetId="9" name="_i_0" vbProcedure="false">{#N/A,#N/A,FALSE,"Volume"}</definedName>
    <definedName function="false" hidden="true" localSheetId="9" name="_Key1" vbProcedure="false">#ref!</definedName>
    <definedName function="false" hidden="false" localSheetId="9" name="_L" vbProcedure="false">'[1]run sheet'!#ref!</definedName>
    <definedName function="false" hidden="false" localSheetId="9" name="_lyc7" vbProcedure="false">[119]钻井日报表!$G$5</definedName>
    <definedName function="false" hidden="false" localSheetId="9" name="_N" vbProcedure="false">'[1]run sheet'!#ref!</definedName>
    <definedName function="false" hidden="false" localSheetId="9" name="_num15" vbProcedure="false">'[31]data '!#ref!</definedName>
    <definedName function="false" hidden="true" localSheetId="9" name="_Order2" vbProcedure="false">255</definedName>
    <definedName function="false" hidden="false" localSheetId="9" name="_P" vbProcedure="false">{#N/A,#N/A,FALSE,"Volume"}</definedName>
    <definedName function="false" hidden="false" localSheetId="9" name="_P1" vbProcedure="false">{#N/A,#N/A,FALSE,"Volume"}</definedName>
    <definedName function="false" hidden="false" localSheetId="9" name="_P2" vbProcedure="false">{#N/A,#N/A,FALSE,"Volume"}</definedName>
    <definedName function="false" hidden="false" localSheetId="9" name="_P3" vbProcedure="false">{#N/A,#N/A,FALSE,"Volume"}</definedName>
    <definedName function="false" hidden="false" localSheetId="9" name="_P4" vbProcedure="false">{#N/A,#N/A,FALSE,"Volume"}</definedName>
    <definedName function="false" hidden="false" localSheetId="9" name="_pap1" vbProcedure="false">{#N/A,#N/A,FALSE,"Volume"}</definedName>
    <definedName function="false" hidden="false" localSheetId="9" name="_pap2" vbProcedure="false">{#N/A,#N/A,FALSE,"Volume"}</definedName>
    <definedName function="false" hidden="false" localSheetId="9" name="_pap3" vbProcedure="false">{#N/A,#N/A,FALSE,"Volume"}</definedName>
    <definedName function="false" hidden="false" localSheetId="9" name="_pap4" vbProcedure="false">{#N/A,#N/A,FALSE,"Volume"}</definedName>
    <definedName function="false" hidden="false" localSheetId="9" name="_pap5" vbProcedure="false">{#N/A,#N/A,FALSE,"Volume"}</definedName>
    <definedName function="false" hidden="false" localSheetId="9" name="_PPH1" vbProcedure="false">[40]!Calculate_Pipe</definedName>
    <definedName function="false" hidden="false" localSheetId="9" name="_q" vbProcedure="false">'[3]run sheet'!#ref!</definedName>
    <definedName function="false" hidden="false" localSheetId="9" name="_r06" vbProcedure="false">[41]!AutoCAD</definedName>
    <definedName function="false" hidden="true" localSheetId="9" name="_Sort" vbProcedure="false">#ref!</definedName>
    <definedName function="false" hidden="false" localSheetId="9" name="_SPM1" vbProcedure="false">[16]!Macro1</definedName>
    <definedName function="false" hidden="false" localSheetId="9" name="_SSA1" vbProcedure="false">[43]!Macro46</definedName>
    <definedName function="false" hidden="false" localSheetId="9" name="_T" vbProcedure="false">'[4]cumulative temp diff'!#ref!</definedName>
    <definedName function="false" hidden="true" localSheetId="9" name="_Table1_In1" vbProcedure="false">[103]Run!$E$575</definedName>
    <definedName function="false" hidden="true" localSheetId="9" name="_Table1_Out" vbProcedure="false">[103]Run!$C$16:$E$577</definedName>
    <definedName function="false" hidden="false" localSheetId="9" name="_TST2" vbProcedure="false">'[109]Liner Job Info'!$O$7</definedName>
    <definedName function="false" hidden="false" localSheetId="9" name="_T_0" vbProcedure="false">{#N/A,#N/A,FALSE,"Volume"}</definedName>
    <definedName function="false" hidden="false" localSheetId="9" name="_UA38" vbProcedure="false">'JOB ORDER '!_UA38</definedName>
    <definedName function="false" hidden="false" localSheetId="9" name="_wrn1" vbProcedure="false">{#N/A,#N/A,FALSE,"Volume"}</definedName>
    <definedName function="false" hidden="false" localSheetId="9" name="_x" vbProcedure="false">{#N/A,#N/A,FALSE,"Volume"}</definedName>
    <definedName function="false" hidden="false" localSheetId="9" name="_xa" vbProcedure="false">{#N/A,#N/A,FALSE,"Volume"}</definedName>
    <definedName function="false" hidden="false" localSheetId="9" name="_xb" vbProcedure="false">{#N/A,#N/A,FALSE,"Volume"}</definedName>
    <definedName function="false" hidden="false" localSheetId="9" name="_xc" vbProcedure="false">{#N/A,#N/A,FALSE,"Volume"}</definedName>
    <definedName function="false" hidden="false" localSheetId="9" name="_xlnm.Extract" vbProcedure="false">[180]BOOK5!$C$1:$C$65536</definedName>
    <definedName function="false" hidden="false" localSheetId="9" name="_Z" vbProcedure="false">'[1]run sheet'!#ref!</definedName>
    <definedName function="false" hidden="false" localSheetId="9" name="_z1" vbProcedure="false">{#N/A,#N/A,FALSE,"Volume"}</definedName>
    <definedName function="false" hidden="false" localSheetId="9" name="_z2" vbProcedure="false">{#N/A,#N/A,FALSE,"Volume"}</definedName>
    <definedName function="false" hidden="false" localSheetId="9" name="_z3" vbProcedure="false">{#N/A,#N/A,FALSE,"Volume"}</definedName>
    <definedName function="false" hidden="false" localSheetId="9" name="_z4" vbProcedure="false">{#N/A,#N/A,FALSE,"Volume"}</definedName>
    <definedName function="false" hidden="false" localSheetId="9" name="_z_0" vbProcedure="false">{#N/A,#N/A,FALSE,"Volume"}</definedName>
    <definedName function="false" hidden="false" localSheetId="9" name="__" vbProcedure="false">'[113]#REF'!$E$29</definedName>
    <definedName function="false" hidden="true" localSheetId="9" name="__123Graph_A" vbProcedure="false">[103]Run!$B$18:$B$512</definedName>
    <definedName function="false" hidden="true" localSheetId="9" name="__123Graph_B" vbProcedure="false">'[102]Minimum Curve Method'!$K$9:$K$152</definedName>
    <definedName function="false" hidden="true" localSheetId="9" name="__123Graph_C" vbProcedure="false">[103]Run!$C$16:$C$512</definedName>
    <definedName function="false" hidden="true" localSheetId="9" name="__123Graph_D" vbProcedure="false">[103]Run!$D$15:$D$512</definedName>
    <definedName function="false" hidden="true" localSheetId="9" name="__123Graph_E" vbProcedure="false">[103]Run!$E$16:$E$514</definedName>
    <definedName function="false" hidden="true" localSheetId="9" name="__123Graph_F" vbProcedure="false">[103]Run!$F$16:$F$514</definedName>
    <definedName function="false" hidden="true" localSheetId="9" name="__123Graph_X" vbProcedure="false">'[102]Minimum Curve Method'!$K$9:$K$152</definedName>
    <definedName function="false" hidden="false" localSheetId="9" name="__1Module2__2__.gaugeconok2" vbProcedure="false">'JOB ORDER '!__1Module2__2__.gaugeconok2</definedName>
    <definedName function="false" hidden="false" localSheetId="9" name="__2Module2__2__.gaugeok2" vbProcedure="false">'JOB ORDER '!__2Module2__2__.gaugeok2</definedName>
    <definedName function="false" hidden="false" localSheetId="9" name="__3Module2__2__.gaugeselect2" vbProcedure="false">'JOB ORDER '!__3Module2__2__.gaugeselect2</definedName>
    <definedName function="false" hidden="false" localSheetId="9" name="__4Module2__2__.serialselect3" vbProcedure="false">'JOB ORDER '!__4Module2__2__.serialselect3</definedName>
    <definedName function="false" hidden="false" localSheetId="9" name="__5Module2__2__.serialselect4" vbProcedure="false">'JOB ORDER '!__5Module2__2__.serialselect4</definedName>
    <definedName function="false" hidden="true" localSheetId="9" name="__A4" vbProcedure="false">[179]Run!$B$18:$B$512</definedName>
    <definedName function="false" hidden="false" localSheetId="9" name="__bb2789" vbProcedure="false">[9]!Calculate_Pipe</definedName>
    <definedName function="false" hidden="false" localSheetId="9" name="__SPM1" vbProcedure="false">[16]!Macro1</definedName>
    <definedName function="false" hidden="false" localSheetId="9" name="__UA38" vbProcedure="false">'JOB ORDER '!__UA38</definedName>
    <definedName function="false" hidden="false" localSheetId="9" name="__wrn1" vbProcedure="false">{#N/A,#N/A,FALSE,"Volume"}</definedName>
    <definedName function="false" hidden="true" localSheetId="9" name="___A4" vbProcedure="false">[179]Run!$B$18:$B$512</definedName>
    <definedName function="false" hidden="false" localSheetId="9" name="___bb2789" vbProcedure="false">[9]!Calculate_Pipe</definedName>
    <definedName function="false" hidden="false" localSheetId="9" name="___SPM1" vbProcedure="false">[16]!Macro1</definedName>
    <definedName function="false" hidden="false" localSheetId="9" name="___wrn1" vbProcedure="false">{#N/A,#N/A,FALSE,"Volume"}</definedName>
    <definedName function="false" hidden="true" localSheetId="9" name="____A4" vbProcedure="false">[179]Run!$B$18:$B$512</definedName>
    <definedName function="false" hidden="false" localSheetId="9" name="____bb2789" vbProcedure="false">[9]!Calculate_Pipe</definedName>
    <definedName function="false" hidden="false" localSheetId="9" name="____SPM1" vbProcedure="false">[16]!Macro1</definedName>
    <definedName function="false" hidden="false" localSheetId="9" name="____wrn1" vbProcedure="false">{#N/A,#N/A,FALSE,"Volume"}</definedName>
    <definedName function="false" hidden="true" localSheetId="9" name="_____A4" vbProcedure="false">[179]Run!$B$18:$B$512</definedName>
    <definedName function="false" hidden="false" localSheetId="9" name="_____bb2789" vbProcedure="false">[14]!Calculate_Pipe</definedName>
    <definedName function="false" hidden="false" localSheetId="9" name="_____SPM1" vbProcedure="false">[16]!Macro1</definedName>
    <definedName function="false" hidden="false" localSheetId="9" name="_____wrn1" vbProcedure="false">{#N/A,#N/A,FALSE,"Volume"}</definedName>
    <definedName function="false" hidden="true" localSheetId="9" name="______A4" vbProcedure="false">[179]Run!$B$18:$B$512</definedName>
    <definedName function="false" hidden="false" localSheetId="9" name="______bb2789" vbProcedure="false">[14]!Calculate_Pipe</definedName>
    <definedName function="false" hidden="false" localSheetId="9" name="______SPM1" vbProcedure="false">[16]!Macro1</definedName>
    <definedName function="false" hidden="true" localSheetId="9" name="_______A4" vbProcedure="false">[179]Run!$B$18:$B$512</definedName>
    <definedName function="false" hidden="false" localSheetId="9" name="_______bb2789" vbProcedure="false">[14]!Calculate_Pipe</definedName>
    <definedName function="false" hidden="false" localSheetId="9" name="_______wrn1" vbProcedure="false">{#N/A,#N/A,FALSE,"Volume"}</definedName>
    <definedName function="false" hidden="true" localSheetId="9" name="________A4" vbProcedure="false">[179]Run!$B$18:$B$512</definedName>
    <definedName function="false" hidden="false" localSheetId="9" name="________bb2789" vbProcedure="false">[14]!Calculate_Pipe</definedName>
    <definedName function="false" hidden="true" localSheetId="9" name="_________A4" vbProcedure="false">[179]Run!$B$18:$B$512</definedName>
    <definedName function="false" hidden="false" localSheetId="9" name="_________bb2789" vbProcedure="false">[14]!Calculate_Pipe</definedName>
    <definedName function="false" hidden="false" localSheetId="9" name="_________wrn1" vbProcedure="false">{#N/A,#N/A,FALSE,"Volume"}</definedName>
    <definedName function="false" hidden="true" localSheetId="9" name="__________A4" vbProcedure="false">[179]Run!$B$18:$B$512</definedName>
    <definedName function="false" hidden="false" localSheetId="9" name="__________bb2789" vbProcedure="false">[14]!Calculate_Pipe</definedName>
    <definedName function="false" hidden="true" localSheetId="9" name="___________A4" vbProcedure="false">[179]Run!$B$18:$B$512</definedName>
    <definedName function="false" hidden="false" localSheetId="9" name="___________bb2789" vbProcedure="false">[14]!Calculate_Pipe</definedName>
    <definedName function="false" hidden="false" localSheetId="9" name="___________wrn1" vbProcedure="false">{#N/A,#N/A,FALSE,"Volume"}</definedName>
    <definedName function="false" hidden="true" localSheetId="9" name="____________A4" vbProcedure="false">[179]Run!$B$18:$B$512</definedName>
    <definedName function="false" hidden="false" localSheetId="9" name="____________bb2789" vbProcedure="false">[14]!Calculate_Pipe</definedName>
    <definedName function="false" hidden="false" localSheetId="9" name="____________wrn1" vbProcedure="false">{#N/A,#N/A,FALSE,"Volume"}</definedName>
    <definedName function="false" hidden="true" localSheetId="9" name="_____________A4" vbProcedure="false">[179]Run!$B$18:$B$512</definedName>
    <definedName function="false" hidden="false" localSheetId="9" name="_____________bb2789" vbProcedure="false">[14]!Calculate_Pipe</definedName>
    <definedName function="false" hidden="true" localSheetId="9" name="______________A4" vbProcedure="false">[179]Run!$B$18:$B$512</definedName>
    <definedName function="false" hidden="false" localSheetId="9" name="______________bb2789" vbProcedure="false">[14]!Calculate_Pipe</definedName>
    <definedName function="false" hidden="true" localSheetId="9" name="_______________A4" vbProcedure="false">[179]Run!$B$18:$B$512</definedName>
    <definedName function="false" hidden="false" localSheetId="9" name="_______________bb2789" vbProcedure="false">[14]!Calculate_Pipe</definedName>
    <definedName function="false" hidden="true" localSheetId="9" name="________________A4" vbProcedure="false">[179]Run!$B$18:$B$512</definedName>
    <definedName function="false" hidden="false" localSheetId="9" name="________________bb2789" vbProcedure="false">[9]!Calculate_Pipe</definedName>
    <definedName function="false" hidden="true" localSheetId="9" name="_________________A4" vbProcedure="false">[179]Run!$B$18:$B$512</definedName>
    <definedName function="false" hidden="false" localSheetId="9" name="_________________bb2789" vbProcedure="false">[9]!Calculate_Pipe</definedName>
    <definedName function="false" hidden="true" localSheetId="9" name="__________________A4" vbProcedure="false">[179]Run!$B$18:$B$512</definedName>
    <definedName function="false" hidden="false" localSheetId="9" name="__________________bb2789" vbProcedure="false">[11]!Calculate_Pipe</definedName>
    <definedName function="false" hidden="true" localSheetId="9" name="___________________A4" vbProcedure="false">[179]Run!$B$18:$B$512</definedName>
    <definedName function="false" hidden="false" localSheetId="9" name="___________________bb2789" vbProcedure="false">[11]!Calculate_Pipe</definedName>
    <definedName function="false" hidden="true" localSheetId="9" name="____________________A4" vbProcedure="false">[184]Run!$B$18:$B$512</definedName>
    <definedName function="false" hidden="false" localSheetId="9" name="____________________bb2789" vbProcedure="false">[9]!Calculate_Pipe</definedName>
    <definedName function="false" hidden="true" localSheetId="9" name="_____________________A4" vbProcedure="false">[179]Run!$B$18:$B$512</definedName>
    <definedName function="false" hidden="false" localSheetId="9" name="_____________________bb2789" vbProcedure="false">[12]!Calculate_Pipe</definedName>
    <definedName function="false" hidden="true" localSheetId="9" name="______________________A4" vbProcedure="false">[179]Run!$B$18:$B$512</definedName>
    <definedName function="false" hidden="false" localSheetId="9" name="______________________bb2789" vbProcedure="false">[9]!Calculate_Pipe</definedName>
    <definedName function="false" hidden="true" localSheetId="9" name="_______________________A4" vbProcedure="false">[184]Run!$B$18:$B$512</definedName>
    <definedName function="false" hidden="false" localSheetId="9" name="_______________________bb2789" vbProcedure="false">[9]!Calculate_Pipe</definedName>
    <definedName function="false" hidden="true" localSheetId="9" name="________________________A4" vbProcedure="false">[179]Run!$B$18:$B$512</definedName>
    <definedName function="false" hidden="false" localSheetId="9" name="________________________bb2789" vbProcedure="false">[11]!Calculate_Pipe</definedName>
    <definedName function="false" hidden="false" localSheetId="9" name="_________________________bb2789" vbProcedure="false">[9]!Calculate_Pipe</definedName>
    <definedName function="false" hidden="true" localSheetId="9" name="__________________________A4" vbProcedure="false">[184]Run!$B$18:$B$512</definedName>
    <definedName function="false" hidden="false" localSheetId="9" name="歼击机" vbProcedure="false">[119]钻井日报表!$E$7</definedName>
    <definedName function="false" hidden="false" localSheetId="9" name="起始日期" vbProcedure="false">[181]钻井日报表!$B$1</definedName>
    <definedName function="false" hidden="true" localSheetId="10" name="a" vbProcedure="false">#ref!</definedName>
    <definedName function="false" hidden="false" localSheetId="10" name="AA" vbProcedure="false">#ref!</definedName>
    <definedName function="false" hidden="false" localSheetId="10" name="aa.macro111" vbProcedure="false">[48]!Prev.Macro111</definedName>
    <definedName function="false" hidden="false" localSheetId="10" name="aaaa" vbProcedure="false">[49]!Macro59</definedName>
    <definedName function="false" hidden="true" localSheetId="10" name="ABX" vbProcedure="false">[1]Run!$B$18:$B$512</definedName>
    <definedName function="false" hidden="false" localSheetId="10" name="addresstwo" vbProcedure="false">[53]data!#ref!</definedName>
    <definedName function="false" hidden="false" localSheetId="10" name="ADDSTAB" vbProcedure="false">[55]!ADDSTAB</definedName>
    <definedName function="false" hidden="false" localSheetId="10" name="adf" vbProcedure="false">[56]!Macro60</definedName>
    <definedName function="false" hidden="false" localSheetId="10" name="ae" vbProcedure="false">'[104]forecast 3YP'!$AD$6</definedName>
    <definedName function="false" hidden="true" localSheetId="10" name="AFE19R"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ALL" vbProcedure="false">'[44]7-30-04'!$W$55:$IV$7457</definedName>
    <definedName function="false" hidden="false" localSheetId="10" name="alwyn1" vbProcedure="false">#ref!</definedName>
    <definedName function="false" hidden="false" localSheetId="10" name="AMACRO.n2foam" vbProcedure="false">'[61]tool backload dt'!amacro.n2foam</definedName>
    <definedName function="false" hidden="false" localSheetId="10" name="Ambient_temp" vbProcedure="false">'[6]#ref'!#ref!</definedName>
    <definedName function="false" hidden="false" localSheetId="10" name="amis" vbProcedure="false">[105]Tally!$A$5:$J$825</definedName>
    <definedName function="false" hidden="false" localSheetId="10" name="ANDERGAUGE" vbProcedure="false">[55]!ANDERGAUGE</definedName>
    <definedName function="false" hidden="false" localSheetId="10" name="annularvol" vbProcedure="false">[106]Data!$F$13</definedName>
    <definedName function="false" hidden="false" localSheetId="10" name="Ao" vbProcedure="false">[107]Piston!$F$5</definedName>
    <definedName function="false" hidden="false" localSheetId="10" name="Ap" vbProcedure="false">[107]Piston!$F$6</definedName>
    <definedName function="false" hidden="false" localSheetId="10" name="Approver_Objectives" vbProcedure="false">'[70]well team goals'!#ref!</definedName>
    <definedName function="false" hidden="false" localSheetId="10" name="Approver_Well_Plan" vbProcedure="false">'[70]well team goals'!#ref!</definedName>
    <definedName function="false" hidden="false" localSheetId="10" name="ASDA" vbProcedure="false">[71]!Calculate_Pipe</definedName>
    <definedName function="false" hidden="false" localSheetId="10" name="ASS" vbProcedure="false">[72]!JointNumber</definedName>
    <definedName function="false" hidden="false" localSheetId="10" name="Assembly1" vbProcedure="false">[72]!Calculate_Pipe</definedName>
    <definedName function="false" hidden="false" localSheetId="10" name="assy.3" vbProcedure="false">[72]!Calculate_Pipe</definedName>
    <definedName function="false" hidden="false" localSheetId="10" name="ASSY.6" vbProcedure="false">[72]!Calculate_Pipe</definedName>
    <definedName function="false" hidden="false" localSheetId="10" name="ASSY2312" vbProcedure="false">[26]!Macro1</definedName>
    <definedName function="false" hidden="false" localSheetId="10" name="ASSY7" vbProcedure="false">[40]!Calculate_Pipe</definedName>
    <definedName function="false" hidden="false" localSheetId="10" name="ASSY_098" vbProcedure="false">[72]!JointNumber</definedName>
    <definedName function="false" hidden="false" localSheetId="10" name="ASSY_122" vbProcedure="false">[26]!Macro1</definedName>
    <definedName function="false" hidden="false" localSheetId="10" name="ASSY_123" vbProcedure="false">[72]!JointNumber</definedName>
    <definedName function="false" hidden="false" localSheetId="10" name="ASSY_2111" vbProcedure="false">[26]!Macro1</definedName>
    <definedName function="false" hidden="false" localSheetId="10" name="ASSY_231" vbProcedure="false">[26]!Macro1</definedName>
    <definedName function="false" hidden="false" localSheetId="10" name="ASSY_342" vbProcedure="false">[26]!Macro1</definedName>
    <definedName function="false" hidden="false" localSheetId="10" name="ASSY_36" vbProcedure="false">[26]!Macro1</definedName>
    <definedName function="false" hidden="false" localSheetId="10" name="ASSY_4" vbProcedure="false">[26]!Macro1</definedName>
    <definedName function="false" hidden="false" localSheetId="10" name="ASSY_432" vbProcedure="false">[26]!Macro1</definedName>
    <definedName function="false" hidden="false" localSheetId="10" name="assy_5" vbProcedure="false">[72]!JointNumber</definedName>
    <definedName function="false" hidden="false" localSheetId="10" name="assy_543" vbProcedure="false">[72]!JointNumber</definedName>
    <definedName function="false" hidden="false" localSheetId="10" name="Assy_765" vbProcedure="false">[72]!Calculate_Pipe</definedName>
    <definedName function="false" hidden="false" localSheetId="10" name="ASSy_blast" vbProcedure="false">[72]!Calculate_Pipe</definedName>
    <definedName function="false" hidden="false" localSheetId="10" name="ASSY_W2" vbProcedure="false">[72]!Calculate_Pipe</definedName>
    <definedName function="false" hidden="false" localSheetId="10" name="AutoCAD" vbProcedure="false">[41]!AutoCAD</definedName>
    <definedName function="false" hidden="false" localSheetId="10" name="AutoCAD_1" vbProcedure="false">'FINAL TALLY'!AutoCAD</definedName>
    <definedName function="false" hidden="false" localSheetId="10" name="AutoCAD_10" vbProcedure="false">'FINAL TALLY'!AutoCAD</definedName>
    <definedName function="false" hidden="false" localSheetId="10" name="AutoCAD_11" vbProcedure="false">'FINAL TALLY'!AutoCAD</definedName>
    <definedName function="false" hidden="false" localSheetId="10" name="AutoCAD_2" vbProcedure="false">'FINAL TALLY'!AutoCAD</definedName>
    <definedName function="false" hidden="false" localSheetId="10" name="AutoCAD_3" vbProcedure="false">'FINAL TALLY'!AutoCAD</definedName>
    <definedName function="false" hidden="false" localSheetId="10" name="AutoCAD_4" vbProcedure="false">'FINAL TALLY'!AutoCAD</definedName>
    <definedName function="false" hidden="false" localSheetId="10" name="AutoCAD_5" vbProcedure="false">'FINAL TALLY'!AutoCAD</definedName>
    <definedName function="false" hidden="false" localSheetId="10" name="AutoCAD_6" vbProcedure="false">'FINAL TALLY'!AutoCAD</definedName>
    <definedName function="false" hidden="false" localSheetId="10" name="AutoCAD_7" vbProcedure="false">'FINAL TALLY'!AutoCAD</definedName>
    <definedName function="false" hidden="false" localSheetId="10" name="AutoCAD_8" vbProcedure="false">'FINAL TALLY'!AutoCAD</definedName>
    <definedName function="false" hidden="false" localSheetId="10" name="AutoCAD_9" vbProcedure="false">'FINAL TALLY'!AutoCAD</definedName>
    <definedName function="false" hidden="false" localSheetId="10" name="Aux_BHA_ID" vbProcedure="false">'[108]Job Calculation Sheet'!$F$20</definedName>
    <definedName function="false" hidden="false" localSheetId="10" name="Aux_BHA_OD" vbProcedure="false">'[108]Job Calculation Sheet'!$E$20</definedName>
    <definedName function="false" hidden="false" localSheetId="10" name="AvgJoint" vbProcedure="false">[11]DATA!$BO$2:$BO$9</definedName>
    <definedName function="false" hidden="false" localSheetId="10" name="AvgLength" vbProcedure="false">'[76]casing talley'!#ref!</definedName>
    <definedName function="false" hidden="true" localSheetId="10" name="axj" vbProcedure="false">{#N/A,#N/A,FALSE,"Sheet1"}</definedName>
    <definedName function="false" hidden="false" localSheetId="10" name="A_L" vbProcedure="false">'[47]12(762mm)套管'!#ref!</definedName>
    <definedName function="false" hidden="true" localSheetId="10" name="b" vbProcedure="false">#ref!</definedName>
    <definedName function="false" hidden="false" localSheetId="10" name="back" vbProcedure="false">'[61]tool backload dt'!back</definedName>
    <definedName function="false" hidden="false" localSheetId="10" name="BallMaterial" vbProcedure="false">[11]DATA!$BL$2:$BL$11</definedName>
    <definedName function="false" hidden="false" localSheetId="10" name="Ballooning_Area" vbProcedure="false">[11]Test!$M$18</definedName>
    <definedName function="false" hidden="false" localSheetId="10" name="Ballseat" vbProcedure="false">[11]DATA!$AG$2:$AG$9</definedName>
    <definedName function="false" hidden="false" localSheetId="10" name="BallSize" vbProcedure="false">[11]DATA!$BF$3:$BF$8</definedName>
    <definedName function="false" hidden="false" localSheetId="10" name="basicok" vbProcedure="false">[26]!basicok</definedName>
    <definedName function="false" hidden="false" localSheetId="10" name="BBB" vbProcedure="false">'[110]DD Worksheet'!$C$1</definedName>
    <definedName function="false" hidden="false" localSheetId="10" name="bbbbb" vbProcedure="false">[79]!Macro61</definedName>
    <definedName function="false" hidden="false" localSheetId="10" name="bbllm3" vbProcedure="false">'[11]Metric Conversions'!$B$69</definedName>
    <definedName function="false" hidden="false" localSheetId="10" name="bblstk" vbProcedure="false">'[11]Displacement Cal.'!$B$7</definedName>
    <definedName function="false" hidden="false" localSheetId="10" name="BD" vbProcedure="false">INDEX([111]DRAW!$A$2:$B$13,MATCH([112]AUTO_DHWS!$AV$15,[111]DRAW!$A$2:$A$13,0),2)</definedName>
    <definedName function="false" hidden="false" localSheetId="10" name="BD_SC" vbProcedure="false">INDEX([111]DRAW!$A$2:$B$13,MATCH([112]AUTO_DHWS!$AV$16,[111]DRAW!$A$2:$A$13,0),2)</definedName>
    <definedName function="false" hidden="false" localSheetId="10" name="BD_TB" vbProcedure="false">INDEX([111]DRAW!$A$2:$B$13,MATCH([112]AUTO_DHWS!$AV$9,[111]DRAW!$A$2:$A$13,0),2)</definedName>
    <definedName function="false" hidden="true" localSheetId="10" name="bgn" vbProcedure="false">{#N/A,#N/A,FALSE,"Sheet1"}</definedName>
    <definedName function="false" hidden="false" localSheetId="10" name="bhr" vbProcedure="false">#ref!</definedName>
    <definedName function="false" hidden="false" localSheetId="10" name="BHRR" vbProcedure="false">#ref!</definedName>
    <definedName function="false" hidden="false" localSheetId="10" name="BHT" vbProcedure="false">'[94]Job Technical Info'!$D$42</definedName>
    <definedName function="false" hidden="false" localSheetId="10" name="Bitsize" vbProcedure="false">[11]DATA!$L$2:$L$41</definedName>
    <definedName function="false" hidden="false" localSheetId="10" name="bj_stroke" vbProcedure="false">'[11]Metric Conversions'!$B$35</definedName>
    <definedName function="false" hidden="false" localSheetId="10" name="bj_strokez" vbProcedure="false">'[11]Metric Conversions'!$C$35</definedName>
    <definedName function="false" hidden="false" localSheetId="10" name="BJ_Tens" vbProcedure="false">'[11]Liner Job Info'!$P$45</definedName>
    <definedName function="false" hidden="false" localSheetId="10" name="blanklength" vbProcedure="false">'[113]#REF'!$J$13</definedName>
    <definedName function="false" hidden="false" localSheetId="10" name="blankod" vbProcedure="false">'[113]#REF'!$F$13</definedName>
    <definedName function="false" hidden="false" localSheetId="10" name="BLANK_COVERED_NV" vbProcedure="false">'[113]#REF'!$G$111</definedName>
    <definedName function="false" hidden="false" localSheetId="10" name="BLANK_LENGTH" vbProcedure="false">'[113]#REF'!$J$13</definedName>
    <definedName function="false" hidden="false" localSheetId="10" name="BLANK_OD" vbProcedure="false">'[113]#REF'!$F$13</definedName>
    <definedName function="false" hidden="false" localSheetId="10" name="BlFl" vbProcedure="false">#ref!</definedName>
    <definedName function="false" hidden="false" localSheetId="10" name="block" vbProcedure="false">[5]WTR!$I$5</definedName>
    <definedName function="false" hidden="false" localSheetId="10" name="Block_Field" vbProcedure="false">'[108]Pre-Job Info Sheet'!$D$7</definedName>
    <definedName function="false" hidden="false" localSheetId="10" name="BLock_TD_Wt" vbProcedure="false">'[30]Liner Job Info'!$D$33</definedName>
    <definedName function="false" hidden="false" localSheetId="10" name="Block_Wt" vbProcedure="false">'[11]Weight Calculations'!$H$14</definedName>
    <definedName function="false" hidden="false" localSheetId="10" name="bOB" vbProcedure="false">[114]Volumes!$K$1:$Y$76</definedName>
    <definedName function="false" hidden="false" localSheetId="10" name="BOT" vbProcedure="false">'[94]Job Technical Info'!$A$4</definedName>
    <definedName function="false" hidden="false" localSheetId="10" name="Bottom_Hole_Temp." vbProcedure="false">'[108]Pre-Job Info Sheet'!$B$34</definedName>
    <definedName function="false" hidden="false" localSheetId="10" name="Bottom_Perforation" vbProcedure="false">'[108]Pre-Job Info Sheet'!$B$29</definedName>
    <definedName function="false" hidden="false" localSheetId="10" name="Bottom_Shot" vbProcedure="false">'[108]TCP-BHA'!$H$36</definedName>
    <definedName function="false" hidden="false" localSheetId="10" name="BPLimit" vbProcedure="false">[83]!TubTable[[340]:[438]]</definedName>
    <definedName function="false" hidden="false" localSheetId="10" name="BR_Column" vbProcedure="false">null</definedName>
    <definedName function="false" hidden="false" localSheetId="10" name="BR_Unit" vbProcedure="false">null</definedName>
    <definedName function="false" hidden="false" localSheetId="10" name="bs" vbProcedure="false">'[115]Max-Torq'!$Q$79</definedName>
    <definedName function="false" hidden="false" localSheetId="10" name="bsw" vbProcedure="false">'[93]well test sheet'!#ref!</definedName>
    <definedName function="false" hidden="false" localSheetId="10" name="Budget_owner" vbProcedure="false">'[70]well specification'!#ref!</definedName>
    <definedName function="false" hidden="false" localSheetId="10" name="Buoy_Factor" vbProcedure="false">'[30]Liner Job Info'!$D$32</definedName>
    <definedName function="false" hidden="false" localSheetId="10" name="bxf" vbProcedure="false">'[115]Max-Torq'!$P$62</definedName>
    <definedName function="false" hidden="false" localSheetId="10" name="BypassRate" vbProcedure="false">[83]!TubTable[[340]:[438]]</definedName>
    <definedName function="false" hidden="true" localSheetId="10" name="Ca" vbProcedure="false">{#N/A,#N/A,FALSE,"Drlg Param Run 1-1";#N/A,#N/A,FALSE,"DDR (3)";#N/A,#N/A,FALSE,"BHA AT (1)";#N/A,#N/A,FALSE,"Downlinkbha";#N/A,#N/A,FALSE,"Job Status Report"}</definedName>
    <definedName function="false" hidden="false" localSheetId="10" name="CABLE2_1" vbProcedure="false">INDEX([111]DRAW!$L$52:$M$54,MATCH([112]AUTO_DHWS!$AY$8,[111]DRAW!$L$52:$L$54,0),2)</definedName>
    <definedName function="false" hidden="false" localSheetId="10" name="CABLE2_2" vbProcedure="false">INDEX([111]DRAW!$L$52:$M$56,MATCH([112]AUTO_DHWS!$AY$9,[111]DRAW!$L$52:$L$56,0),2)</definedName>
    <definedName function="false" hidden="false" localSheetId="10" name="CABLE_1" vbProcedure="false">INDEX([111]DRAW!$L$52:$M$53,MATCH([112]AUTO_DHWS!$AY$4,[111]DRAW!$L$52:$L$53,0),2)</definedName>
    <definedName function="false" hidden="false" localSheetId="10" name="CABLE_2" vbProcedure="false">INDEX([111]DRAW!$L$52:$M$56,MATCH([112]AUTO_DHWS!$AY$5,[111]DRAW!$L$52:$L$56,0),2)</definedName>
    <definedName function="false" hidden="false" localSheetId="10" name="CABLE_3" vbProcedure="false">INDEX([111]DRAW!$M$57:$N$63,MATCH([112]AUTO_DHWS!$AY$6,[111]DRAW!$M$57:$M$63,0),2)</definedName>
    <definedName function="false" hidden="false" localSheetId="10" name="CalculatePipe" vbProcedure="false">[72]!Calculate_Pipe</definedName>
    <definedName function="false" hidden="false" localSheetId="10" name="Calculate_Pipe" vbProcedure="false">[96]!Calculate_Pipe</definedName>
    <definedName function="false" hidden="false" localSheetId="10" name="Cancel" vbProcedure="false">[97]!Cancel</definedName>
    <definedName function="false" hidden="false" localSheetId="10" name="Capacities" vbProcedure="false">'[116]Kill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function="false" hidden="false" localSheetId="10" name="CAP_XO_PORT" vbProcedure="false">'[113]#REF'!$G$188</definedName>
    <definedName function="false" hidden="false" localSheetId="10" name="CARRIER_FL_WT" vbProcedure="false">'[113]#REF'!$F$67</definedName>
    <definedName function="false" hidden="false" localSheetId="10" name="CARR_FL_VISCOSITY" vbProcedure="false">'[113]#REF'!$I$106</definedName>
    <definedName function="false" hidden="false" localSheetId="10" name="CARR_FL_VOL_PREPACK" vbProcedure="false">'[113]#REF'!$F$47</definedName>
    <definedName function="false" hidden="false" localSheetId="10" name="Carr_fl_wt_prepack" vbProcedure="false">'[113]#REF'!$F$46</definedName>
    <definedName function="false" hidden="false" localSheetId="10" name="casingcolumn" vbProcedure="false">[106]Data!$J$17</definedName>
    <definedName function="false" hidden="false" localSheetId="10" name="casingid" vbProcedure="false">'[113]#REF'!$H$11</definedName>
    <definedName function="false" hidden="false" localSheetId="10" name="casingidref" vbProcedure="false">[106]Data!$GC$1</definedName>
    <definedName function="false" hidden="false" localSheetId="10" name="casinginfuserate" vbProcedure="false">'[113]#REF'!$K$50</definedName>
    <definedName function="false" hidden="false" localSheetId="10" name="casingliner" vbProcedure="false">[106]Data!$E$45</definedName>
    <definedName function="false" hidden="false" localSheetId="10" name="casingod" vbProcedure="false">'[113]#REF'!$F$11</definedName>
    <definedName function="false" hidden="false" localSheetId="10" name="CasingSize" vbProcedure="false">'[117]Well Installation Drawing'!$E$15</definedName>
    <definedName function="false" hidden="false" localSheetId="10" name="CasingWeight" vbProcedure="false">'[117]Well Installation Drawing'!$G$15</definedName>
    <definedName function="false" hidden="false" localSheetId="10" name="casingwt" vbProcedure="false">'[113]#REF'!$J$11</definedName>
    <definedName function="false" hidden="false" localSheetId="10" name="Casing_Collapsez" vbProcedure="false">'[11]Liner Job Info'!$J$14</definedName>
    <definedName function="false" hidden="false" localSheetId="10" name="Casing_I.D." vbProcedure="false">'[108]Job Calculation Sheet'!$F$13</definedName>
    <definedName function="false" hidden="false" localSheetId="10" name="Casing_Liner" vbProcedure="false">'[94]Installation Results #1'!$C$27</definedName>
    <definedName function="false" hidden="false" localSheetId="10" name="Casing_Size" vbProcedure="false">'[108]Pre-Job Info Sheet'!$D$15</definedName>
    <definedName function="false" hidden="false" localSheetId="10" name="Casing_Size_Weight" vbProcedure="false">'[108]TCP-BHA'!$I$5</definedName>
    <definedName function="false" hidden="false" localSheetId="10" name="Casing_Weight" vbProcedure="false">'[108]Pre-Job Info Sheet'!$D$16</definedName>
    <definedName function="false" hidden="false" localSheetId="10" name="CAS_BLNK_ANNULUS" vbProcedure="false">'[113]#REF'!$I$108</definedName>
    <definedName function="false" hidden="false" localSheetId="10" name="CAS_BLNK_VOL" vbProcedure="false">'[6]#ref'!#ref!</definedName>
    <definedName function="false" hidden="false" localSheetId="10" name="CAS_EXT_VOL" vbProcedure="false">'[6]#ref'!#ref!</definedName>
    <definedName function="false" hidden="false" localSheetId="10" name="CAS_ID" vbProcedure="false">'[113]#REF'!$H$11</definedName>
    <definedName function="false" hidden="false" localSheetId="10" name="CAS_OD" vbProcedure="false">'[113]#REF'!$J$11</definedName>
    <definedName function="false" hidden="false" localSheetId="10" name="CAS_SCR_VOL" vbProcedure="false">'[6]#ref'!#ref!</definedName>
    <definedName function="false" hidden="false" localSheetId="10" name="CAS_WT" vbProcedure="false">'[113]#REF'!$J$11</definedName>
    <definedName function="false" hidden="false" localSheetId="10" name="category" vbProcedure="false">[118]Sheet2!$A$70:$A$73</definedName>
    <definedName function="false" hidden="false" localSheetId="10" name="Cc" vbProcedure="false">0.3</definedName>
    <definedName function="false" hidden="false" localSheetId="10" name="ccc" vbProcedure="false">[119]钻井日报表!$I$7</definedName>
    <definedName function="false" hidden="false" localSheetId="10" name="ccccc" vbProcedure="false">[79]!Macro59</definedName>
    <definedName function="false" hidden="false" localSheetId="10" name="cdr" vbProcedure="false">'[93]well test sheet'!#ref!</definedName>
    <definedName function="false" hidden="false" localSheetId="10" name="CDWimdbase" vbProcedure="false">'[120]CD''s'!$A$2:$G$374</definedName>
    <definedName function="false" hidden="false" localSheetId="10" name="CementCompany" vbProcedure="false">[11]DATA!$BJ$2:$BJ$8</definedName>
    <definedName function="false" hidden="false" localSheetId="10" name="CENG" vbProcedure="false">[185]Reference!$A$2:$A$4</definedName>
    <definedName function="false" hidden="false" localSheetId="10" name="Centralizers" vbProcedure="false">[11]DATA!$AI$2:$AI$9</definedName>
    <definedName function="false" hidden="true" localSheetId="10" name="cf" vbProcedure="false">{#N/A,#N/A,FALSE,"Sheet1"}</definedName>
    <definedName function="false" hidden="true" localSheetId="10" name="Chart" vbProcedure="false">{#N/A,#N/A,FALSE,"Sheet1"}</definedName>
    <definedName function="false" hidden="true" localSheetId="10" name="chart1" vbProcedure="false">{#N/A,#N/A,FALSE,"Sheet1"}</definedName>
    <definedName function="false" hidden="false" localSheetId="10" name="Chemmac" vbProcedure="false">'[61]tool backload dt'!chemmac</definedName>
    <definedName function="false" hidden="false" localSheetId="10" name="Choice" vbProcedure="false">[26]Lists!$A$1:$A$3</definedName>
    <definedName function="false" hidden="false" localSheetId="10" name="cim" vbProcedure="false">[112]!Calculate_Pipe</definedName>
    <definedName function="false" hidden="false" localSheetId="10" name="CIPMACRO.n2foam" vbProcedure="false">'[61]tool backload dt'!cipmacro.n2foam</definedName>
    <definedName function="false" hidden="false" localSheetId="10" name="circsqz" vbProcedure="false">[5]WTR!$M$86</definedName>
    <definedName function="false" hidden="false" localSheetId="10" name="CIR_RATE_RESTRESS" vbProcedure="false">'[113]#REF'!$I$109</definedName>
    <definedName function="false" hidden="false" localSheetId="10" name="CIV" vbProcedure="false">INDEX([111]DRAW!$A$2:$B$13,MATCH([112]AUTO_DHWS!$AV$10,[111]DRAW!$A$2:$A$13,0),2)</definedName>
    <definedName function="false" hidden="false" localSheetId="10" name="CIV_2" vbProcedure="false">INDEX([111]DRAW!$A$2:$B$14,MATCH([112]AUTO_DHWS!$AV$14,[111]DRAW!$A$2:$A$13,0),2)</definedName>
    <definedName function="false" hidden="false" localSheetId="10" name="CIV_PDHG" vbProcedure="false">INDEX([111]DRAW!$A$2:$B$13,MATCH([112]AUTO_DHWS!$AV$11,[111]DRAW!$A$2:$A$13,0),2)</definedName>
    <definedName function="false" hidden="false" localSheetId="10" name="CLAMPON" vbProcedure="false">[55]!CLAMPON</definedName>
    <definedName function="false" hidden="false" localSheetId="10" name="CLEARCONTENTS" vbProcedure="false">[115]!CLEARCONTENTS</definedName>
    <definedName function="false" hidden="false" localSheetId="10" name="CLFluid1" vbProcedure="false">'[94]Installation Results #1'!$E$270</definedName>
    <definedName function="false" hidden="false" localSheetId="10" name="CLFluid10" vbProcedure="false">'[94]Installation Results #1'!$E$279</definedName>
    <definedName function="false" hidden="false" localSheetId="10" name="CLFluid11" vbProcedure="false">'[94]Installation Results #1'!$E$280</definedName>
    <definedName function="false" hidden="false" localSheetId="10" name="CLFluid12" vbProcedure="false">'[94]Installation Results #1'!$E$281</definedName>
    <definedName function="false" hidden="false" localSheetId="10" name="CLFluid13" vbProcedure="false">'[94]Installation Results #1'!$E$282</definedName>
    <definedName function="false" hidden="false" localSheetId="10" name="CLFluid14" vbProcedure="false">'[94]Installation Results #1'!$E$283</definedName>
    <definedName function="false" hidden="false" localSheetId="10" name="CLFluid15" vbProcedure="false">'[94]Installation Results #1'!$E$284</definedName>
    <definedName function="false" hidden="false" localSheetId="10" name="CLFluid2" vbProcedure="false">'[94]Installation Results #1'!$E$271</definedName>
    <definedName function="false" hidden="false" localSheetId="10" name="CLFluid3" vbProcedure="false">'[94]Installation Results #1'!$E$272</definedName>
    <definedName function="false" hidden="false" localSheetId="10" name="CLFluid4" vbProcedure="false">'[94]Installation Results #1'!$E$273</definedName>
    <definedName function="false" hidden="false" localSheetId="10" name="CLFluid5" vbProcedure="false">'[94]Installation Results #1'!$E$274</definedName>
    <definedName function="false" hidden="false" localSheetId="10" name="CLFluid6" vbProcedure="false">'[94]Installation Results #1'!$E$275</definedName>
    <definedName function="false" hidden="false" localSheetId="10" name="CLFluid7" vbProcedure="false">'[94]Installation Results #1'!$E$276</definedName>
    <definedName function="false" hidden="false" localSheetId="10" name="CLFluid8" vbProcedure="false">'[94]Installation Results #1'!$E$277</definedName>
    <definedName function="false" hidden="false" localSheetId="10" name="CLFluid9" vbProcedure="false">'[94]Installation Results #1'!$E$278</definedName>
    <definedName function="false" hidden="false" localSheetId="10" name="Clist" vbProcedure="false">OFFSET(INDIRECT(ADDRESS(MATCH('FINAL TALLY'!CL_Wt,'FINAL TALLY'!Objects,0)+1,2,,,"Casing Info")),0,1,COUNTIF('FINAL TALLY'!Objects,'FINAL TALLY'!CL_Wt),1)</definedName>
    <definedName function="false" hidden="false" localSheetId="10" name="CL_Wt" vbProcedure="false">'[11]Database Pg1'!$E$28</definedName>
    <definedName function="false" hidden="false" localSheetId="10" name="Objects" vbProcedure="false">'[11]Casing Info'!$B$2:$B$241</definedName>
    <definedName function="false" hidden="false" localSheetId="10" name="Clist2" vbProcedure="false">OFFSET(INDIRECT(ADDRESS(MATCH('FINAL TALLY'!Hsize2,'FINAL TALLY'!Objects,0)+1,2,,,"Casing Info")),0,1,COUNTIF('FINAL TALLY'!Objects,'FINAL TALLY'!Hsize2),1)</definedName>
    <definedName function="false" hidden="false" localSheetId="10" name="Hsize2" vbProcedure="false">'[11]Database Pg1'!$G$81</definedName>
    <definedName function="false" hidden="false" localSheetId="10" name="Clist3" vbProcedure="false">OFFSET(INDIRECT(ADDRESS(MATCH('FINAL TALLY'!Hsize3,'FINAL TALLY'!Objects,0)+1,2,,,"Casing Info")),0,1,COUNTIF('FINAL TALLY'!Objects,'FINAL TALLY'!Hsize3),1)</definedName>
    <definedName function="false" hidden="false" localSheetId="10" name="Hsize3" vbProcedure="false">'[11]Database Pg1'!$G$83</definedName>
    <definedName function="false" hidden="false" localSheetId="10" name="Clrmess" vbProcedure="false">[115]!Clrmess</definedName>
    <definedName function="false" hidden="false" localSheetId="10" name="CO2_" vbProcedure="false">'[94]Job Technical Info'!$L$42</definedName>
    <definedName function="false" hidden="false" localSheetId="10" name="CODELIST" vbProcedure="false">#ref!</definedName>
    <definedName function="false" hidden="false" localSheetId="10" name="CODETAB" vbProcedure="false">#ref!</definedName>
    <definedName function="false" hidden="false" localSheetId="10" name="coections" vbProcedure="false">[26]!coections</definedName>
    <definedName function="false" hidden="false" localSheetId="10" name="COMP" vbProcedure="false">#ref!</definedName>
    <definedName function="false" hidden="false" localSheetId="10" name="company" vbProcedure="false">'[40]CPS Call Sheet'!$E$4</definedName>
    <definedName function="false" hidden="false" localSheetId="10" name="Company_Man" vbProcedure="false">'[62]Liner Job Info'!$E$7</definedName>
    <definedName function="false" hidden="false" localSheetId="10" name="Company_Name" vbProcedure="false">'[123]Liner Job Info'!$E$4</definedName>
    <definedName function="false" hidden="false" localSheetId="10" name="compfluidwt" vbProcedure="false">'[113]#REF'!$L$27</definedName>
    <definedName function="false" hidden="false" localSheetId="10" name="Compl._Fluid_Type" vbProcedure="false">'[108]Pre-Job Info Sheet'!$D$32</definedName>
    <definedName function="false" hidden="false" localSheetId="10" name="Compl._Fluid_Wt." vbProcedure="false">'[108]Pre-Job Info Sheet'!$D$33</definedName>
    <definedName function="false" hidden="false" localSheetId="10" name="COMPL_FL_VOL" vbProcedure="false">'[113]#REF'!$F$68</definedName>
    <definedName function="false" hidden="false" localSheetId="10" name="COMPL_FL_WT" vbProcedure="false">'[113]#REF'!$K$27</definedName>
    <definedName function="false" hidden="false" localSheetId="10" name="conections" vbProcedure="false">[26]!conections</definedName>
    <definedName function="false" hidden="true" localSheetId="10" name="Conflict1" vbProcedure="false">{#N/A,#N/A,FALSE,"Drlg Param Run 1-1";#N/A,#N/A,FALSE,"DDR (3)";#N/A,#N/A,FALSE,"BHA AT (1)";#N/A,#N/A,FALSE,"Downlinkbha";#N/A,#N/A,FALSE,"Job Status Report"}</definedName>
    <definedName function="false" hidden="false" localSheetId="10" name="conical" vbProcedure="false">#ref!</definedName>
    <definedName function="false" hidden="false" localSheetId="10" name="conref" vbProcedure="false">[124]Price!$A$1:$A$65536</definedName>
    <definedName function="false" hidden="false" localSheetId="10" name="consequence" vbProcedure="false">[125]Sheet2!$A$1:$A$5</definedName>
    <definedName function="false" hidden="false" localSheetId="10" name="contract" vbProcedure="false">'[34]Call Sheet'!$E$3</definedName>
    <definedName function="false" hidden="false" localSheetId="10" name="contractnum" vbProcedure="false">'[31]data '!#ref!</definedName>
    <definedName function="false" hidden="false" localSheetId="10" name="contractor" vbProcedure="false">'[34]Call Sheet'!$E$6</definedName>
    <definedName function="false" hidden="false" localSheetId="10" name="Coordinator" vbProcedure="false">'[94]Job Technical Info'!$G$10</definedName>
    <definedName function="false" hidden="false" localSheetId="10" name="COPYDESGN" vbProcedure="false">[55]!COPYDESGN</definedName>
    <definedName function="false" hidden="false" localSheetId="10" name="CoRep" vbProcedure="false">'[94]Job Technical Info'!$C$16</definedName>
    <definedName function="false" hidden="false" localSheetId="10" name="corrlist2" vbProcedure="false">OFFSET(INDIRECT(ADDRESS(MATCH('FINAL TALLY'!Hsize2,'FINAL TALLY'!Objects,0)+1,2,,,"Casing Info")),0,1,COUNTIF('FINAL TALLY'!Objects,[26]!Liner1_OD),1)</definedName>
    <definedName function="false" hidden="false" localSheetId="10" name="corrlist4" vbProcedure="false">OFFSET(INDIRECT(ADDRESS(MATCH('FINAL TALLY'!Hanger_Size,'FINAL TALLY'!Objects,0)+1,2,,,"Casing Info")),0,1,COUNTIF('FINAL TALLY'!Objects, 'FINAL TALLY'!Hanger_Size),1)</definedName>
    <definedName function="false" hidden="false" localSheetId="10" name="Hanger_Size" vbProcedure="false">'[11]Database Pg1'!$G$79</definedName>
    <definedName function="false" hidden="false" localSheetId="10" name="Cotry" vbProcedure="false">'[11]Liner Job Info'!$E$10</definedName>
    <definedName function="false" hidden="false" localSheetId="10" name="Countries" vbProcedure="false">[11]DATA!$BR$1:$BR$196</definedName>
    <definedName function="false" hidden="false" localSheetId="10" name="COUNTRY" vbProcedure="false">'[127]Master data'!$A$2:$A$239</definedName>
    <definedName function="false" hidden="false" localSheetId="10" name="county" vbProcedure="false">'[40]CPS Call Sheet'!$P$7</definedName>
    <definedName function="false" hidden="false" localSheetId="10" name="Coupls" vbProcedure="false">#ref!</definedName>
    <definedName function="false" hidden="false" localSheetId="10" name="Crack_DH" vbProcedure="false">'[108]Tester Valve Calcs'!$F$31</definedName>
    <definedName function="false" hidden="false" localSheetId="10" name="Crack_Press" vbProcedure="false">'[108]Tester Valve Calcs'!$F$13</definedName>
    <definedName function="false" hidden="false" localSheetId="10" name="Critical" vbProcedure="false">#ref!</definedName>
    <definedName function="false" hidden="false" localSheetId="10" name="crs" vbProcedure="false">[128]RSS!$E$199:$E$205</definedName>
    <definedName function="false" hidden="false" localSheetId="10" name="CRS_FLOAT_VALVE" vbProcedure="false">[129]RSS!$O$177:$O$180</definedName>
    <definedName function="false" hidden="false" localSheetId="10" name="CRS_FLOW_KIT" vbProcedure="false">[129]RSS!$E$181:$E$184</definedName>
    <definedName function="false" hidden="false" localSheetId="10" name="CRS_STAB" vbProcedure="false">[129]RSS!$E$191:$E$197</definedName>
    <definedName function="false" hidden="false" localSheetId="10" name="Csg" vbProcedure="false">[6]Sheet1!$G$1:$G$3</definedName>
    <definedName function="false" hidden="false" localSheetId="10" name="CsgDrift1" vbProcedure="false">'[94]Job Technical Info'!$G$25</definedName>
    <definedName function="false" hidden="false" localSheetId="10" name="CsgDrift2" vbProcedure="false">'[94]Job Technical Info'!$G$26</definedName>
    <definedName function="false" hidden="false" localSheetId="10" name="CsgDrift3" vbProcedure="false">'[94]Job Technical Info'!$G$27</definedName>
    <definedName function="false" hidden="false" localSheetId="10" name="CsgDrift4" vbProcedure="false">'[94]Job Technical Info'!$G$28</definedName>
    <definedName function="false" hidden="false" localSheetId="10" name="CsgGrd1" vbProcedure="false">'[94]Job Technical Info'!$H$25</definedName>
    <definedName function="false" hidden="false" localSheetId="10" name="CsgGrd2" vbProcedure="false">'[94]Job Technical Info'!$H$26</definedName>
    <definedName function="false" hidden="false" localSheetId="10" name="CsgGrd3" vbProcedure="false">'[94]Job Technical Info'!$H$27</definedName>
    <definedName function="false" hidden="false" localSheetId="10" name="CsgGrd4" vbProcedure="false">'[94]Job Technical Info'!$H$28</definedName>
    <definedName function="false" hidden="false" localSheetId="10" name="CsgID1" vbProcedure="false">'[94]Job Technical Info'!$F$25</definedName>
    <definedName function="false" hidden="false" localSheetId="10" name="CsgID2" vbProcedure="false">'[94]Job Technical Info'!$F$26</definedName>
    <definedName function="false" hidden="false" localSheetId="10" name="CsgID3" vbProcedure="false">'[94]Job Technical Info'!$F$27</definedName>
    <definedName function="false" hidden="false" localSheetId="10" name="CsgID4" vbProcedure="false">'[94]Job Technical Info'!$F$28</definedName>
    <definedName function="false" hidden="false" localSheetId="10" name="CsgSz1" vbProcedure="false">'[94]Job Technical Info'!$D$25</definedName>
    <definedName function="false" hidden="false" localSheetId="10" name="CsgSz2" vbProcedure="false">'[94]Job Technical Info'!$D$26</definedName>
    <definedName function="false" hidden="false" localSheetId="10" name="CsgSz3" vbProcedure="false">'[94]Job Technical Info'!$D$27</definedName>
    <definedName function="false" hidden="false" localSheetId="10" name="CsgSz4" vbProcedure="false">'[94]Job Technical Info'!$D$28</definedName>
    <definedName function="false" hidden="false" localSheetId="10" name="CsgThd1" vbProcedure="false">'[94]Job Technical Info'!$J$25</definedName>
    <definedName function="false" hidden="false" localSheetId="10" name="CsgThd2" vbProcedure="false">'[94]Job Technical Info'!$J$26</definedName>
    <definedName function="false" hidden="false" localSheetId="10" name="CsgThd3" vbProcedure="false">'[94]Job Technical Info'!$J$27</definedName>
    <definedName function="false" hidden="false" localSheetId="10" name="CsgThd4" vbProcedure="false">'[94]Job Technical Info'!$J$28</definedName>
    <definedName function="false" hidden="false" localSheetId="10" name="CsgWt" vbProcedure="false">[6]Sheet1!$H$1:$H$10</definedName>
    <definedName function="false" hidden="false" localSheetId="10" name="CsgWt1" vbProcedure="false">'[94]Job Technical Info'!$E$25</definedName>
    <definedName function="false" hidden="false" localSheetId="10" name="CsgWt2" vbProcedure="false">'[94]Job Technical Info'!$E$26</definedName>
    <definedName function="false" hidden="false" localSheetId="10" name="CsgWt3" vbProcedure="false">'[94]Job Technical Info'!$E$27</definedName>
    <definedName function="false" hidden="false" localSheetId="10" name="CsgWt4" vbProcedure="false">'[94]Job Technical Info'!$E$28</definedName>
    <definedName function="false" hidden="false" localSheetId="10" name="Csg_Bst" vbProcedure="false">'[11]Metric Conversions'!$B$43</definedName>
    <definedName function="false" hidden="false" localSheetId="10" name="Csg_Burstz" vbProcedure="false">'[11]Liner Job Info'!$H$14</definedName>
    <definedName function="false" hidden="false" localSheetId="10" name="Csg_Dft" vbProcedure="false">'[11]Liner Job Info'!$L$14</definedName>
    <definedName function="false" hidden="false" localSheetId="10" name="CSG_DPTH" vbProcedure="false">'[130]Metric Conversions'!$B$15</definedName>
    <definedName function="false" hidden="false" localSheetId="10" name="CSG_DPTHz" vbProcedure="false">'[11]Liner Job Info'!$P$14</definedName>
    <definedName function="false" hidden="false" localSheetId="10" name="CSG_Grd" vbProcedure="false">'[130]Liner Job Info'!$D$14</definedName>
    <definedName function="false" hidden="false" localSheetId="10" name="CSG_ID" vbProcedure="false">'[11]Liner Job Info'!$B$14</definedName>
    <definedName function="false" hidden="false" localSheetId="10" name="CSG_ID_Area" vbProcedure="false">[11]Test!$Z$39</definedName>
    <definedName function="false" hidden="false" localSheetId="10" name="CSG_MYS" vbProcedure="false">[57]DATA!$J$3:$J$22</definedName>
    <definedName function="false" hidden="false" localSheetId="10" name="CSG_OD" vbProcedure="false">'[130]Liner Job Info'!$A$14</definedName>
    <definedName function="false" hidden="false" localSheetId="10" name="CSG_Thread" vbProcedure="false">'[130]Liner Job Info'!$E$14</definedName>
    <definedName function="false" hidden="false" localSheetId="10" name="Csg_Wt" vbProcedure="false">'[130]Liner Job Info'!$C$14</definedName>
    <definedName function="false" hidden="false" localSheetId="10" name="CsShoeDepth" vbProcedure="false">'[94]Job Technical Info'!$F$40</definedName>
    <definedName function="false" hidden="false" localSheetId="10" name="CU.FT." vbProcedure="false">'[113]#REF'!$E$23</definedName>
    <definedName function="false" hidden="false" localSheetId="10" name="currency" vbProcedure="false">[53]data!#ref!</definedName>
    <definedName function="false" hidden="false" localSheetId="10" name="Customer" vbProcedure="false">'[94]Job Technical Info'!$C$12</definedName>
    <definedName function="false" hidden="false" localSheetId="10" name="customer1" vbProcedure="false">[186]Data!$A$1:$A$65536</definedName>
    <definedName function="false" hidden="false" localSheetId="10" name="Customer2" vbProcedure="false">[186]Data!$B$1:$B$65536</definedName>
    <definedName function="false" hidden="false" localSheetId="10" name="CustomerName" vbProcedure="false">'[138]job info sheet'!#ref!</definedName>
    <definedName function="false" hidden="false" localSheetId="10" name="customerrep" vbProcedure="false">'[113]#REF'!$E$6</definedName>
    <definedName function="false" hidden="false" localSheetId="10" name="Cyl_Yield" vbProcedure="false">'[45]liner job info'!#ref!</definedName>
    <definedName function="false" hidden="false" localSheetId="10" name="d" vbProcedure="false">'[1]run sheet'!#ref!</definedName>
    <definedName function="false" hidden="false" localSheetId="10" name="DAADA" vbProcedure="false">[112]!Calculate_Pipe</definedName>
    <definedName function="false" hidden="false" localSheetId="10" name="DAD" vbProcedure="false">'FINAL TALLY'!DAD</definedName>
    <definedName function="false" hidden="false" localSheetId="10" name="DADAA" vbProcedure="false">'FINAL TALLY'!DADAA</definedName>
    <definedName function="false" hidden="false" localSheetId="10" name="DAEFF" vbProcedure="false">'FINAL TALLY'!DAEFF</definedName>
    <definedName function="false" hidden="false" localSheetId="10" name="DAPage" vbProcedure="false">'[94]Data Acq. Results'!$S$5</definedName>
    <definedName function="false" hidden="false" localSheetId="10" name="data1" vbProcedure="false">#ref!</definedName>
    <definedName function="false" hidden="false" localSheetId="10" name="Date" vbProcedure="false">#ref!</definedName>
    <definedName function="false" hidden="false" localSheetId="10" name="DAVCO" vbProcedure="false">#ref!</definedName>
    <definedName function="false" hidden="false" localSheetId="10" name="DC" vbProcedure="false">'[44]7-30-04'!$GO$7457</definedName>
    <definedName function="false" hidden="false" localSheetId="10" name="dd" vbProcedure="false">null</definedName>
    <definedName function="false" hidden="false" localSheetId="10" name="dddd" vbProcedure="false">[142]试油成果记录!#ref!</definedName>
    <definedName function="false" hidden="false" localSheetId="10" name="decdhm" vbProcedure="false">'[133]Personal Expense Dec-95 (MH)'!$K$5</definedName>
    <definedName function="false" hidden="false" localSheetId="10" name="decdlr" vbProcedure="false">'[133]Personal Expense Dec-95 (MH)'!$H$5</definedName>
    <definedName function="false" hidden="false" localSheetId="10" name="decfrc" vbProcedure="false">'[133]Personal Expense Dec-95 (MH)'!$I$5</definedName>
    <definedName function="false" hidden="false" localSheetId="10" name="decpnd" vbProcedure="false">'[133]Personal Expense Dec-95 (MH)'!$G$5</definedName>
    <definedName function="false" hidden="false" localSheetId="10" name="decrl" vbProcedure="false">'[133]Personal Expense Dec-95 (MH)'!$J$5</definedName>
    <definedName function="false" hidden="false" localSheetId="10" name="decrup" vbProcedure="false">'[133]Personal Expense Dec-95 (MH)'!$L$5</definedName>
    <definedName function="false" hidden="false" localSheetId="10" name="decrupees" vbProcedure="false">'[133]Cash Expense December-95'!$H$6</definedName>
    <definedName function="false" hidden="false" localSheetId="10" name="Delay" vbProcedure="false">#ref!</definedName>
    <definedName function="false" hidden="false" localSheetId="10" name="DelayDual1" vbProcedure="false">#ref!</definedName>
    <definedName function="false" hidden="false" localSheetId="10" name="DelayDual2" vbProcedure="false">#ref!</definedName>
    <definedName function="false" hidden="false" localSheetId="10" name="deliveredto" vbProcedure="false">'[31]data '!#ref!</definedName>
    <definedName function="false" hidden="false" localSheetId="10" name="deliverto" vbProcedure="false">[53]data!#ref!</definedName>
    <definedName function="false" hidden="false" localSheetId="10" name="delma" vbProcedure="false">[145]!JointNumber</definedName>
    <definedName function="false" hidden="false" localSheetId="10" name="DEM" vbProcedure="false">[185]Reference!$F$2:$F$3</definedName>
    <definedName function="false" hidden="false" localSheetId="10" name="DENG" vbProcedure="false">[185]Reference!$B$2:$B$12</definedName>
    <definedName function="false" hidden="false" localSheetId="10" name="DEPTH_TAGGED_PREPACK" vbProcedure="false">'[113]#REF'!$F$80</definedName>
    <definedName function="false" hidden="false" localSheetId="10" name="DEQ" vbProcedure="false">'FINAL TALLY'!DEQ</definedName>
    <definedName function="false" hidden="false" localSheetId="10" name="Desired_Set_Down" vbProcedure="false">'[108]Packer Calculation Sheet'!$G$47</definedName>
    <definedName function="false" hidden="false" localSheetId="10" name="Dev" vbProcedure="false">'[11]Liner Job Info'!$D$30</definedName>
    <definedName function="false" hidden="false" localSheetId="10" name="DEVIATION" vbProcedure="false">'[113]#REF'!$F$24</definedName>
    <definedName function="false" hidden="false" localSheetId="10" name="dftg" vbProcedure="false">'[134]井口装置示意图-4'!$E$1:$E$65536</definedName>
    <definedName function="false" hidden="false" localSheetId="10" name="DiameterConversion" vbProcedure="false">[94]Lists!$AD$3</definedName>
    <definedName function="false" hidden="false" localSheetId="10" name="Diff_Across_Ball" vbProcedure="false">'[108]Tester Valve Calcs'!$F$30</definedName>
    <definedName function="false" hidden="false" localSheetId="10" name="Disp._Fluid_Type" vbProcedure="false">'[108]Pre-Job Info Sheet'!$D$37</definedName>
    <definedName function="false" hidden="false" localSheetId="10" name="Disp._Fluid_Weight" vbProcedure="false">'[108]Pre-Job Info Sheet'!$D$38</definedName>
    <definedName function="false" hidden="false" localSheetId="10" name="Displacement" vbProcedure="false">[11]DATA!$AJ$2:$AJ$12</definedName>
    <definedName function="false" hidden="false" localSheetId="10" name="DisplacementMethod" vbProcedure="false">[11]DATA!$AS$2:$AS$4</definedName>
    <definedName function="false" hidden="false" localSheetId="10" name="Disp_Fluid_Wt" vbProcedure="false">'[108]Job Calculation Sheet'!$D$30</definedName>
    <definedName function="false" hidden="false" localSheetId="10" name="District" vbProcedure="false">'[30]Liner Job Info'!$O$4</definedName>
    <definedName function="false" hidden="false" localSheetId="10" name="DistrictPh" vbProcedure="false">'[94]Job Technical Info'!$G$11</definedName>
    <definedName function="false" hidden="false" localSheetId="10" name="Districts" vbProcedure="false">[11]DATA!$A$6:$A$437</definedName>
    <definedName function="false" hidden="false" localSheetId="10" name="diverterlbs" vbProcedure="false">[5]WTR!$G$59</definedName>
    <definedName function="false" hidden="false" localSheetId="10" name="DIV_MIX_RATIO" vbProcedure="false">'[113]#REF'!$K$55</definedName>
    <definedName function="false" hidden="false" localSheetId="10" name="DL" vbProcedure="false">[107]Piston!$F$21</definedName>
    <definedName function="false" hidden="false" localSheetId="10" name="do" vbProcedure="false">[145]!JointNumber</definedName>
    <definedName function="false" hidden="false" localSheetId="10" name="docNum" vbProcedure="false">[49]Revision_History!$G$6&amp;" "&amp;[49]Revision_History!$H$6</definedName>
    <definedName function="false" hidden="false" localSheetId="10" name="DocTitle" vbProcedure="false">'[94]Job Technical Info'!$C$2</definedName>
    <definedName function="false" hidden="false" localSheetId="10" name="Doc_Rev" vbProcedure="false">'[30]Liner Job Info'!$A$2</definedName>
    <definedName function="false" hidden="false" localSheetId="10" name="DP1_Cap" vbProcedure="false">'[11]Liner Job Info'!$G$22</definedName>
    <definedName function="false" hidden="false" localSheetId="10" name="DP1_conn" vbProcedure="false">'[130]Liner Job Info'!$J$22</definedName>
    <definedName function="false" hidden="false" localSheetId="10" name="DP1_Grd" vbProcedure="false">'[130]Liner Job Info'!$F$22</definedName>
    <definedName function="false" hidden="false" localSheetId="10" name="DP1_ID" vbProcedure="false">'[11]Liner Job Info'!$E$22</definedName>
    <definedName function="false" hidden="false" localSheetId="10" name="DP1_Leng" vbProcedure="false">'[130]Metric Conversions'!$B$20</definedName>
    <definedName function="false" hidden="false" localSheetId="10" name="DP1_Lengz" vbProcedure="false">'[11]Liner Job Info'!$I$22</definedName>
    <definedName function="false" hidden="false" localSheetId="10" name="DP1_MYS" vbProcedure="false">'[11]Liner Job Info'!$AD$31</definedName>
    <definedName function="false" hidden="false" localSheetId="10" name="DP1_OD" vbProcedure="false">'[130]Liner Job Info'!$C$22</definedName>
    <definedName function="false" hidden="false" localSheetId="10" name="DP1_Tens" vbProcedure="false">'[11]Liner Job Info'!$M$22</definedName>
    <definedName function="false" hidden="false" localSheetId="10" name="DP1_Volz" vbProcedure="false">'[11]Metric Conversions'!$C$70</definedName>
    <definedName function="false" hidden="false" localSheetId="10" name="DP1_Wt_inmud" vbProcedure="false">'[11]Weight Calculations'!$H$8</definedName>
    <definedName function="false" hidden="false" localSheetId="10" name="DP1_Wt_Per_Ft" vbProcedure="false">'[130]Liner Job Info'!$D$22</definedName>
    <definedName function="false" hidden="false" localSheetId="10" name="DP1_X_Csg_Volz" vbProcedure="false">'[11]Metric Conversions'!$C$85</definedName>
    <definedName function="false" hidden="false" localSheetId="10" name="DP2_Cap" vbProcedure="false">'[11]Liner Job Info'!$G$23</definedName>
    <definedName function="false" hidden="false" localSheetId="10" name="DP2_conn" vbProcedure="false">'[130]Liner Job Info'!$J$23</definedName>
    <definedName function="false" hidden="false" localSheetId="10" name="DP2_Cross_Sect" vbProcedure="false">'[45]liner job info'!#ref!</definedName>
    <definedName function="false" hidden="false" localSheetId="10" name="DP2_Grd" vbProcedure="false">'[130]Liner Job Info'!$F$23</definedName>
    <definedName function="false" hidden="false" localSheetId="10" name="DP2_ID" vbProcedure="false">'[11]Liner Job Info'!$E$23</definedName>
    <definedName function="false" hidden="false" localSheetId="10" name="DP2_Leng" vbProcedure="false">'[130]Metric Conversions'!$B$21</definedName>
    <definedName function="false" hidden="false" localSheetId="10" name="DP2_Lengz" vbProcedure="false">'[11]Liner Job Info'!$I$23</definedName>
    <definedName function="false" hidden="false" localSheetId="10" name="DP2_MYS" vbProcedure="false">'[11]Liner Job Info'!$AD$32</definedName>
    <definedName function="false" hidden="false" localSheetId="10" name="DP2_OD" vbProcedure="false">'[130]Liner Job Info'!$C$23</definedName>
    <definedName function="false" hidden="false" localSheetId="10" name="DP2_Tens" vbProcedure="false">'[11]Liner Job Info'!$M$23</definedName>
    <definedName function="false" hidden="false" localSheetId="10" name="DP2_Volz" vbProcedure="false">'[11]Metric Conversions'!$C$71</definedName>
    <definedName function="false" hidden="false" localSheetId="10" name="DP2_Wt_inmud" vbProcedure="false">'[11]Weight Calculations'!$H$9</definedName>
    <definedName function="false" hidden="false" localSheetId="10" name="DP2_Wt_Per_Ft" vbProcedure="false">'[130]Liner Job Info'!$D$23</definedName>
    <definedName function="false" hidden="false" localSheetId="10" name="DP2_X_Csg_Volz" vbProcedure="false">'[11]Metric Conversions'!$C$86</definedName>
    <definedName function="false" hidden="false" localSheetId="10" name="DP3_bbl_per_ft" vbProcedure="false">'[45]liner job info'!#ref!</definedName>
    <definedName function="false" hidden="false" localSheetId="10" name="DP3_Cap" vbProcedure="false">'[11]Liner Job Info'!$G$24</definedName>
    <definedName function="false" hidden="false" localSheetId="10" name="DP3_COnn" vbProcedure="false">'[130]Liner Job Info'!$J$24</definedName>
    <definedName function="false" hidden="false" localSheetId="10" name="DP3_Grd" vbProcedure="false">'[130]Liner Job Info'!$F$24</definedName>
    <definedName function="false" hidden="false" localSheetId="10" name="DP3_ID" vbProcedure="false">'[11]Liner Job Info'!$E$24</definedName>
    <definedName function="false" hidden="false" localSheetId="10" name="DP3_Leng" vbProcedure="false">'[130]Metric Conversions'!$B$22</definedName>
    <definedName function="false" hidden="false" localSheetId="10" name="DP3_Lengz" vbProcedure="false">'[11]Liner Job Info'!$I$24</definedName>
    <definedName function="false" hidden="false" localSheetId="10" name="DP3_MYS" vbProcedure="false">'[11]Liner Job Info'!$AD$33</definedName>
    <definedName function="false" hidden="false" localSheetId="10" name="DP3_OD" vbProcedure="false">'[130]Liner Job Info'!$C$24</definedName>
    <definedName function="false" hidden="false" localSheetId="10" name="DP3_Tens" vbProcedure="false">'[11]Liner Job Info'!$M$24</definedName>
    <definedName function="false" hidden="false" localSheetId="10" name="DP3_Volz" vbProcedure="false">'[11]Metric Conversions'!$C$72</definedName>
    <definedName function="false" hidden="false" localSheetId="10" name="DP3_Wt_inmud" vbProcedure="false">'[11]Weight Calculations'!$H$10</definedName>
    <definedName function="false" hidden="false" localSheetId="10" name="DP3_Wt_Per_Ft" vbProcedure="false">'[130]Liner Job Info'!$D$24</definedName>
    <definedName function="false" hidden="false" localSheetId="10" name="DP3_X_Csg_Volz" vbProcedure="false">'[11]Metric Conversions'!$C$87</definedName>
    <definedName function="false" hidden="false" localSheetId="10" name="DP4_Cap" vbProcedure="false">'[11]Liner Job Info'!$G$25</definedName>
    <definedName function="false" hidden="false" localSheetId="10" name="DP4_COnn" vbProcedure="false">'[130]Liner Job Info'!$J$25</definedName>
    <definedName function="false" hidden="false" localSheetId="10" name="DP4_Grd" vbProcedure="false">'[130]Liner Job Info'!$F$25</definedName>
    <definedName function="false" hidden="false" localSheetId="10" name="DP4_ID" vbProcedure="false">'[11]Liner Job Info'!$E$25</definedName>
    <definedName function="false" hidden="false" localSheetId="10" name="DP4_Leng" vbProcedure="false">'[130]Metric Conversions'!$B$23</definedName>
    <definedName function="false" hidden="false" localSheetId="10" name="DP4_Lengz" vbProcedure="false">'[11]Liner Job Info'!$I$25</definedName>
    <definedName function="false" hidden="false" localSheetId="10" name="DP4_MYS" vbProcedure="false">'[11]Liner Job Info'!$AD$34</definedName>
    <definedName function="false" hidden="false" localSheetId="10" name="DP4_OD" vbProcedure="false">'[130]Liner Job Info'!$C$25</definedName>
    <definedName function="false" hidden="false" localSheetId="10" name="DP4_Tens" vbProcedure="false">'[11]Liner Job Info'!$M$25</definedName>
    <definedName function="false" hidden="false" localSheetId="10" name="DP4_Volz" vbProcedure="false">'[11]Metric Conversions'!$C$73</definedName>
    <definedName function="false" hidden="false" localSheetId="10" name="DP4_Wt_inmud" vbProcedure="false">'[11]Weight Calculations'!$H$11</definedName>
    <definedName function="false" hidden="false" localSheetId="10" name="DP4_Wt_Per_Ft" vbProcedure="false">'[130]Liner Job Info'!$D$25</definedName>
    <definedName function="false" hidden="false" localSheetId="10" name="DP4_X_Csg_Volz" vbProcedure="false">'[11]Metric Conversions'!$C$88</definedName>
    <definedName function="false" hidden="false" localSheetId="10" name="DP5_bbl_per_ft" vbProcedure="false">'[11]Liner Job Info'!$AT$73</definedName>
    <definedName function="false" hidden="false" localSheetId="10" name="DP5_COnn" vbProcedure="false">'[130]Liner Job Info'!$J$26</definedName>
    <definedName function="false" hidden="false" localSheetId="10" name="DP5_Grd" vbProcedure="false">'[130]Liner Job Info'!$F$26</definedName>
    <definedName function="false" hidden="false" localSheetId="10" name="DP5_ID" vbProcedure="false">'[11]Liner Job Info'!$E$26</definedName>
    <definedName function="false" hidden="false" localSheetId="10" name="DP5_Leng" vbProcedure="false">'[130]Metric Conversions'!$B$24</definedName>
    <definedName function="false" hidden="false" localSheetId="10" name="DP5_Lengz" vbProcedure="false">'[11]Liner Job Info'!$I$26</definedName>
    <definedName function="false" hidden="false" localSheetId="10" name="DP5_MYS" vbProcedure="false">'[11]Liner Job Info'!$AD$35</definedName>
    <definedName function="false" hidden="false" localSheetId="10" name="DP5_OD" vbProcedure="false">'[130]Liner Job Info'!$C$26</definedName>
    <definedName function="false" hidden="false" localSheetId="10" name="DP5_Tens" vbProcedure="false">'[11]Liner Job Info'!$M$26</definedName>
    <definedName function="false" hidden="false" localSheetId="10" name="DP5_Volz" vbProcedure="false">'[11]Metric Conversions'!$C$74</definedName>
    <definedName function="false" hidden="false" localSheetId="10" name="DP5_Wt_inmud" vbProcedure="false">'[11]Weight Calculations'!$H$12</definedName>
    <definedName function="false" hidden="false" localSheetId="10" name="DP5_Wt_Per_Ft" vbProcedure="false">'[130]Liner Job Info'!$D$26</definedName>
    <definedName function="false" hidden="false" localSheetId="10" name="DP5_X_Csg_Volz" vbProcedure="false">'[11]Metric Conversions'!$C$89</definedName>
    <definedName function="false" hidden="false" localSheetId="10" name="dpdt" vbProcedure="false">'[136]WCT-Ft'!$Q$4:$X$18</definedName>
    <definedName function="false" hidden="false" localSheetId="10" name="DPi" vbProcedure="false">[107]Piston!$F$10</definedName>
    <definedName function="false" hidden="false" localSheetId="10" name="DPia" vbProcedure="false">[107]Balooning!$F$9</definedName>
    <definedName function="false" hidden="false" localSheetId="10" name="DPNumber_35" vbProcedure="false">'[137]DP Length'!$A$3:$A$1000</definedName>
    <definedName function="false" hidden="false" localSheetId="10" name="DPNumber_5" vbProcedure="false">'[137]DP Length'!$C$3:$C$1000</definedName>
    <definedName function="false" hidden="false" localSheetId="10" name="DPo" vbProcedure="false">[107]Piston!$F$11</definedName>
    <definedName function="false" hidden="false" localSheetId="10" name="DPoa" vbProcedure="false">[107]Balooning!$F$10</definedName>
    <definedName function="false" hidden="false" localSheetId="10" name="DPThread" vbProcedure="false">[11]DATA!$AA$44:$AA$94</definedName>
    <definedName function="false" hidden="false" localSheetId="10" name="DPTTL_HYD_LENTH" vbProcedure="false">'[11]Weight Calculations'!$F$46</definedName>
    <definedName function="false" hidden="false" localSheetId="10" name="DP_MYS" vbProcedure="false">[11]DATA!$AB$2:$AB$6</definedName>
    <definedName function="false" hidden="false" localSheetId="10" name="DP_Plus_Block" vbProcedure="false">'[11]Weight Calculations'!$H$15</definedName>
    <definedName function="false" hidden="false" localSheetId="10" name="DP_PSI" vbProcedure="false">'[11]Metric Conversions'!$B$49</definedName>
    <definedName function="false" hidden="false" localSheetId="10" name="DP_PSIz" vbProcedure="false">'[11]Liner Job Info'!$D$35</definedName>
    <definedName function="false" hidden="false" localSheetId="10" name="DP_SF" vbProcedure="false">'[11]Liner Job Info'!$R$27</definedName>
    <definedName function="false" hidden="false" localSheetId="10" name="DRAFT" vbProcedure="false">'[1]run sheet'!#ref!</definedName>
    <definedName function="false" hidden="false" localSheetId="10" name="drawblanks" vbProcedure="false">'FINAL TALLY'!drawblanks</definedName>
    <definedName function="false" hidden="false" localSheetId="10" name="drawlinerfirst" vbProcedure="false">'FINAL TALLY'!drawlinerfirst</definedName>
    <definedName function="false" hidden="false" localSheetId="10" name="drawlinersecond" vbProcedure="false">'FINAL TALLY'!drawlinersecond</definedName>
    <definedName function="false" hidden="false" localSheetId="10" name="drawmiscellaneous" vbProcedure="false">'FINAL TALLY'!drawmiscellaneous</definedName>
    <definedName function="false" hidden="false" localSheetId="10" name="drawproductionfirst" vbProcedure="false">'FINAL TALLY'!drawproductionfirst</definedName>
    <definedName function="false" hidden="false" localSheetId="10" name="drawproductionsecond" vbProcedure="false">'FINAL TALLY'!drawproductionsecond</definedName>
    <definedName function="false" hidden="false" localSheetId="10" name="drawquantum" vbProcedure="false">'FINAL TALLY'!drawquantum</definedName>
    <definedName function="false" hidden="false" localSheetId="10" name="drawscreens" vbProcedure="false">'FINAL TALLY'!drawscreens</definedName>
    <definedName function="false" hidden="false" localSheetId="10" name="drawshearsubs" vbProcedure="false">'FINAL TALLY'!drawshearsubs</definedName>
    <definedName function="false" hidden="false" localSheetId="10" name="drawsump" vbProcedure="false">'FINAL TALLY'!drawsump</definedName>
    <definedName function="false" hidden="false" localSheetId="10" name="draw_blanks" vbProcedure="false">'FINAL TALLY'!draw_blanks</definedName>
    <definedName function="false" hidden="false" localSheetId="10" name="draw_linerfirst" vbProcedure="false">'FINAL TALLY'!draw_linerfirst</definedName>
    <definedName function="false" hidden="false" localSheetId="10" name="draw_linersecond" vbProcedure="false">'FINAL TALLY'!draw_linersecond</definedName>
    <definedName function="false" hidden="false" localSheetId="10" name="draw_miscellaneous" vbProcedure="false">'FINAL TALLY'!draw_miscellaneous</definedName>
    <definedName function="false" hidden="false" localSheetId="10" name="draw_productionfirst" vbProcedure="false">'FINAL TALLY'!draw_productionfirst</definedName>
    <definedName function="false" hidden="false" localSheetId="10" name="draw_productionsecond" vbProcedure="false">'FINAL TALLY'!draw_productionsecond</definedName>
    <definedName function="false" hidden="false" localSheetId="10" name="draw_quantum" vbProcedure="false">'FINAL TALLY'!draw_quantum</definedName>
    <definedName function="false" hidden="false" localSheetId="10" name="draw_screens" vbProcedure="false">'FINAL TALLY'!draw_screens</definedName>
    <definedName function="false" hidden="false" localSheetId="10" name="draw_shearsubs" vbProcedure="false">'FINAL TALLY'!draw_shearsubs</definedName>
    <definedName function="false" hidden="false" localSheetId="10" name="draw_sump" vbProcedure="false">'FINAL TALLY'!draw_sump</definedName>
    <definedName function="false" hidden="false" localSheetId="10" name="DRILLER" vbProcedure="false">#ref!</definedName>
    <definedName function="false" hidden="false" localSheetId="10" name="DRILLER2" vbProcedure="false">[155]!Calculate_Pipe</definedName>
    <definedName function="false" hidden="false" localSheetId="10" name="Drillpipesize" vbProcedure="false">[11]DATA!$X$2:$X$10</definedName>
    <definedName function="false" hidden="false" localSheetId="10" name="Drillpipetype" vbProcedure="false">[11]DATA!$AA$2:$AA$6</definedName>
    <definedName function="false" hidden="false" localSheetId="10" name="Drillpipeweight" vbProcedure="false">[11]DATA!$Z$2:$Z$36</definedName>
    <definedName function="false" hidden="false" localSheetId="10" name="Druckbereich_MI" vbProcedure="false">'[138]Dev-Baker'!$A$1:$J$46</definedName>
    <definedName function="false" hidden="false" localSheetId="10" name="Druckbereich_S3" vbProcedure="false">'[158]run_s.xls'!#ref!</definedName>
    <definedName function="false" hidden="false" localSheetId="10" name="dtr" vbProcedure="false">'[115]Max-Torq'!$P$77</definedName>
    <definedName function="false" hidden="false" localSheetId="10" name="DualTally" vbProcedure="false">#ref!</definedName>
    <definedName function="false" hidden="false" localSheetId="10" name="DWS" vbProcedure="false">'[111]DWS2023'!$A$4:$AD$257</definedName>
    <definedName function="false" hidden="false" localSheetId="10" name="E" vbProcedure="false">#ref!</definedName>
    <definedName function="false" hidden="false" localSheetId="10" name="ED" vbProcedure="false">[72]!Calculate_Pipe</definedName>
    <definedName function="false" hidden="false" localSheetId="10" name="edd" vbProcedure="false">[160]!Calculate_Pipe</definedName>
    <definedName function="false" hidden="false" localSheetId="10" name="Eff_Date" vbProcedure="false">'[94]Job Technical Info'!$L$3</definedName>
    <definedName function="false" hidden="false" localSheetId="10" name="EJYETYJEJ" vbProcedure="false">'FINAL TALLY'!EJYETYJEJ</definedName>
    <definedName function="false" hidden="false" localSheetId="10" name="EKIKO2" vbProcedure="false">#ref!</definedName>
    <definedName function="false" hidden="false" localSheetId="10" name="Element_Rating" vbProcedure="false">'[11]Metric Conversions'!$B$57</definedName>
    <definedName function="false" hidden="false" localSheetId="10" name="Element_Ratingz" vbProcedure="false">'[11]Liner Job Info'!$P$41</definedName>
    <definedName function="false" hidden="false" localSheetId="10" name="equipmenttype" vbProcedure="false">[53]data!#ref!</definedName>
    <definedName function="false" hidden="false" localSheetId="10" name="error" vbProcedure="false">[106]Data!$F$10</definedName>
    <definedName function="false" hidden="false" localSheetId="10" name="ertert" vbProcedure="false">[164]试压!#ref!</definedName>
    <definedName function="false" hidden="false" localSheetId="10" name="ES_pricelist" vbProcedure="false">[139]Pricelist!$A$8:$B$18</definedName>
    <definedName function="false" hidden="false" localSheetId="10" name="ex" vbProcedure="false">[145]!JointNumber</definedName>
    <definedName function="false" hidden="false" localSheetId="10" name="Expected_Job_Date" vbProcedure="false">'[108]Pre-Job Info Sheet'!$D$5</definedName>
    <definedName function="false" hidden="false" localSheetId="10" name="Explosive_Type" vbProcedure="false">'[108]TCP-BHA'!$E$7</definedName>
    <definedName function="false" hidden="false" localSheetId="10" name="EXP_1" vbProcedure="false">INDEX([111]DRAW!$A$2:$B$13,MATCH([112]AUTO_DHWS!$AV$7,[111]DRAW!$A$2:$A$13,0),2)</definedName>
    <definedName function="false" hidden="false" localSheetId="10" name="Extra" vbProcedure="false">#ref!</definedName>
    <definedName function="false" hidden="false" localSheetId="10" name="EXT_LENGTH" vbProcedure="false">'[6]#ref'!#ref!</definedName>
    <definedName function="false" hidden="false" localSheetId="10" name="F" vbProcedure="false">[140]Parts!$A$1:$I$65536</definedName>
    <definedName function="false" hidden="false" localSheetId="10" name="FB" vbProcedure="false">[170]!Calculate_Pipe</definedName>
    <definedName function="false" hidden="false" localSheetId="10" name="fdg" vbProcedure="false">[119]钻井日报表!$G$7</definedName>
    <definedName function="false" hidden="false" localSheetId="10" name="februpees" vbProcedure="false">'[141]Cash Expense March-96'!$H$6</definedName>
    <definedName function="false" hidden="true" localSheetId="10" name="fe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FEWFW" vbProcedure="false">'FINAL TALLY'!FEWFW</definedName>
    <definedName function="false" hidden="false" localSheetId="10" name="fff" vbProcedure="false">'FINAL TALLY'!fff</definedName>
    <definedName function="false" hidden="false" localSheetId="10" name="ffff" vbProcedure="false">[174]!Prev.Macro113</definedName>
    <definedName function="false" hidden="false" localSheetId="10" name="FIELD" vbProcedure="false">[187]References!$L$1:$M$7</definedName>
    <definedName function="false" hidden="false" localSheetId="10" name="final" vbProcedure="false">[145]!JointNumber</definedName>
    <definedName function="false" hidden="false" localSheetId="10" name="FJNDEF" vbProcedure="false">'FINAL TALLY'!FJNDEF</definedName>
    <definedName function="false" hidden="false" localSheetId="10" name="Floatequipment" vbProcedure="false">[11]DATA!$AM$2:$AM$9</definedName>
    <definedName function="false" hidden="false" localSheetId="10" name="FluidType" vbProcedure="false">'[94]Job Technical Info'!$F$42</definedName>
    <definedName function="false" hidden="false" localSheetId="10" name="FluidWt" vbProcedure="false">'[94]Job Technical Info'!$H$42</definedName>
    <definedName function="false" hidden="false" localSheetId="10" name="Form._Pressure" vbProcedure="false">'[108]Pre-Job Info Sheet'!$B$33</definedName>
    <definedName function="false" hidden="false" localSheetId="10" name="formation" vbProcedure="false">[53]data!#ref!</definedName>
    <definedName function="false" hidden="false" localSheetId="10" name="fracgrad" vbProcedure="false">[5]WTR!$L$38</definedName>
    <definedName function="false" hidden="false" localSheetId="10" name="fracpress" vbProcedure="false">'[113]#REF'!$L$25</definedName>
    <definedName function="false" hidden="false" localSheetId="10" name="frictionpressure" vbProcedure="false">[106]Data!$F$8</definedName>
    <definedName function="false" hidden="false" localSheetId="10" name="FRONT" vbProcedure="false">'[142]DAILY RPT'!$A$1:$Y$67</definedName>
    <definedName function="false" hidden="false" localSheetId="10" name="ftormeters" vbProcedure="false">'[11]Metric Conversions'!$B$14</definedName>
    <definedName function="false" hidden="false" localSheetId="10" name="Gamma_Quadrant" vbProcedure="false">[129]RSS!$N$139:$N$144</definedName>
    <definedName function="false" hidden="false" localSheetId="10" name="gasrate" vbProcedure="false">'[93]well test sheet'!#ref!</definedName>
    <definedName function="false" hidden="false" localSheetId="10" name="gas_cumm" vbProcedure="false">'[93]well test sheet'!#ref!</definedName>
    <definedName function="false" hidden="false" localSheetId="10" name="Gauge" vbProcedure="false">'[7]Drop-Down Items'!$D$74:$D$92</definedName>
    <definedName function="false" hidden="false" localSheetId="10" name="Gaugecancel" vbProcedure="false">[26]!Gaugecancel</definedName>
    <definedName function="false" hidden="false" localSheetId="10" name="gaugeconok" vbProcedure="false">[26]!gaugeconok</definedName>
    <definedName function="false" hidden="false" localSheetId="10" name="gaugeconok2" vbProcedure="false">[26]!gaugeconok2</definedName>
    <definedName function="false" hidden="false" localSheetId="10" name="gaugeok" vbProcedure="false">[26]!gaugeok</definedName>
    <definedName function="false" hidden="false" localSheetId="10" name="gaugeok2" vbProcedure="false">[26]!gaugeok2</definedName>
    <definedName function="false" hidden="false" localSheetId="10" name="gaugeselect" vbProcedure="false">[26]!gaugeselect</definedName>
    <definedName function="false" hidden="false" localSheetId="10" name="gaugeselect2" vbProcedure="false">[26]!gaugeselect2</definedName>
    <definedName function="false" hidden="true" localSheetId="10" name="gdsg" vbProcedure="false">[103]Run!$C$16:$C$512</definedName>
    <definedName function="false" hidden="false" localSheetId="10" name="GFTTC" vbProcedure="false">[145]!JointNumber</definedName>
    <definedName function="false" hidden="false" localSheetId="10" name="GGGR" vbProcedure="false">'FINAL TALLY'!GGGR</definedName>
    <definedName function="false" hidden="false" localSheetId="10" name="GL" vbProcedure="false">'[182]offset data'!#ref!</definedName>
    <definedName function="false" hidden="false" localSheetId="10" name="GLM" vbProcedure="false">[72]!Calculate_Pipe</definedName>
    <definedName function="false" hidden="false" localSheetId="10" name="GLM_1" vbProcedure="false">INDEX([111]DRAW!$A$2:$B$13,MATCH([112]AUTO_DHWS!$AV$3,[111]DRAW!$A$2:$A$13,0),2)</definedName>
    <definedName function="false" hidden="false" localSheetId="10" name="GLM_2" vbProcedure="false">INDEX([111]DRAW!$A$2:$B$13,MATCH([112]AUTO_DHWS!$AV$4,[111]DRAW!$A$2:$A$13,0),2)</definedName>
    <definedName function="false" hidden="false" localSheetId="10" name="GLM_3" vbProcedure="false">INDEX([111]DRAW!$A$2:$B$13,MATCH([112]AUTO_DHWS!$AV$5,[111]DRAW!$A$2:$A$13,0),2)</definedName>
    <definedName function="false" hidden="false" localSheetId="10" name="GLM_4" vbProcedure="false">INDEX([111]DRAW!$A$2:$B$13,MATCH([112]AUTO_DHWS!$AV$6,[111]DRAW!$A$2:$A$13,0),2)</definedName>
    <definedName function="false" hidden="true" localSheetId="10" name="Gmh" vbProcedure="false">{#N/A,#N/A,FALSE,"Sheet1"}</definedName>
    <definedName function="false" hidden="false" localSheetId="10" name="gor" vbProcedure="false">'[93]well test sheet'!#ref!</definedName>
    <definedName function="false" hidden="false" localSheetId="10" name="gpbreakerconc" vbProcedure="false">'[113]#REF'!$K$68</definedName>
    <definedName function="false" hidden="false" localSheetId="10" name="gpbreakertype" vbProcedure="false">'[113]#REF'!$K$67</definedName>
    <definedName function="false" hidden="false" localSheetId="10" name="gpcarriertype" vbProcedure="false">[5]WTR!$G$83</definedName>
    <definedName function="false" hidden="false" localSheetId="10" name="gpcarriervis" vbProcedure="false">'[113]#REF'!$K$66</definedName>
    <definedName function="false" hidden="false" localSheetId="10" name="gpcarriervol" vbProcedure="false">'[113]#REF'!$F$69</definedName>
    <definedName function="false" hidden="false" localSheetId="10" name="gpcarrierwt" vbProcedure="false">'[113]#REF'!$F$67</definedName>
    <definedName function="false" hidden="false" localSheetId="10" name="gpextlength" vbProcedure="false">'[113]#REF'!$J$15</definedName>
    <definedName function="false" hidden="false" localSheetId="10" name="gpextod" vbProcedure="false">'[113]#REF'!$F$15</definedName>
    <definedName function="false" hidden="false" localSheetId="10" name="gpgel" vbProcedure="false">'[113]#REF'!$K$65</definedName>
    <definedName function="false" hidden="false" localSheetId="10" name="gplbs" vbProcedure="false">'[113]#REF'!$F$64</definedName>
    <definedName function="false" hidden="false" localSheetId="10" name="gpmixratio" vbProcedure="false">[5]WTR!$M$81</definedName>
    <definedName function="false" hidden="false" localSheetId="10" name="gppumprate" vbProcedure="false">[5]WTR!$F$88</definedName>
    <definedName function="false" hidden="false" localSheetId="10" name="gpslurrydens" vbProcedure="false">'[113]#REF'!$F$70</definedName>
    <definedName function="false" hidden="false" localSheetId="10" name="GP_EXT_OD" vbProcedure="false">'[113]#REF'!$F$15</definedName>
    <definedName function="false" hidden="false" localSheetId="10" name="GP_MIX_RATIO" vbProcedure="false">'[113]#REF'!$K$64</definedName>
    <definedName function="false" hidden="false" localSheetId="10" name="GP_SLURRY_VOL" vbProcedure="false">'[113]#REF'!$F$69</definedName>
    <definedName function="false" hidden="false" localSheetId="10" name="GQGQ" vbProcedure="false">'FINAL TALLY'!GQGQ</definedName>
    <definedName function="false" hidden="false" localSheetId="10" name="GQQ" vbProcedure="false">'FINAL TALLY'!GQQ</definedName>
    <definedName function="false" hidden="false" localSheetId="10" name="gravelsize" vbProcedure="false">[5]WTR!$G$82</definedName>
    <definedName function="false" hidden="false" localSheetId="10" name="GRAVEL_IN_CSG." vbProcedure="false">'[113]#REF'!XEP1048377</definedName>
    <definedName function="false" hidden="false" localSheetId="10" name="GroupID" vbProcedure="false">[11]DATA!$Q$2:$Q$268</definedName>
    <definedName function="false" hidden="false" localSheetId="10" name="Group_ID" vbProcedure="false">[57]DATA!$Q$2:$Q$268</definedName>
    <definedName function="false" hidden="false" localSheetId="10" name="GRQ" vbProcedure="false">'FINAL TALLY'!GRQ</definedName>
    <definedName function="false" hidden="true" localSheetId="10" name="GUB24SECWELL" vbProcedure="false">[143]Sheet1!$A$181:$H$210</definedName>
    <definedName function="false" hidden="false" localSheetId="10" name="GudCont" vbProcedure="false">#ref!</definedName>
    <definedName function="false" hidden="false" localSheetId="10" name="Gun_Size" vbProcedure="false">'[108]TCP-BHA'!$F$5</definedName>
    <definedName function="false" hidden="false" localSheetId="10" name="GWS" vbProcedure="false">'FINAL TALLY'!GWS</definedName>
    <definedName function="false" hidden="false" localSheetId="10" name="h" vbProcedure="false">[144]Tally!$A$5:$H$1064</definedName>
    <definedName function="false" hidden="false" localSheetId="10" name="H2S" vbProcedure="false">'[94]Job Technical Info'!$L$41</definedName>
    <definedName function="false" hidden="false" localSheetId="10" name="Hangerfunction" vbProcedure="false">[11]DATA!$AH$2:$AH$9</definedName>
    <definedName function="false" hidden="false" localSheetId="10" name="Hassan" vbProcedure="false">[185]!Macro1</definedName>
    <definedName function="false" hidden="false" localSheetId="10" name="HAUL_Thread" vbProcedure="false">[11]DATA!$BM$22:$BM$114</definedName>
    <definedName function="false" hidden="false" localSheetId="10" name="HEAD" vbProcedure="false">#ref!</definedName>
    <definedName function="false" hidden="false" localSheetId="10" name="hesfluid" vbProcedure="false">[53]data!#ref!</definedName>
    <definedName function="false" hidden="true" localSheetId="10" name="hgh" vbProcedure="false">[1]Run!$D$15:$D$512</definedName>
    <definedName function="false" hidden="false" localSheetId="10" name="HGR_OL_Packoff_In" vbProcedure="false">[11]Test!$M$36</definedName>
    <definedName function="false" hidden="false" localSheetId="10" name="hhp" vbProcedure="false">'[93]well test sheet'!#ref!</definedName>
    <definedName function="false" hidden="false" localSheetId="10" name="hj" vbProcedure="false">[187]bha!#ref!</definedName>
    <definedName function="false" hidden="false" localSheetId="10" name="HKWT" vbProcedure="false">[188]钻井日报表!$E$7</definedName>
    <definedName function="false" hidden="false" localSheetId="10" name="Hngr_Bst" vbProcedure="false">'[11]Metric Conversions'!$B$50</definedName>
    <definedName function="false" hidden="false" localSheetId="10" name="Hngr_Bstz" vbProcedure="false">'[11]Liner Job Info'!$D$39</definedName>
    <definedName function="false" hidden="false" localSheetId="10" name="Hngr_OL_PO_out" vbProcedure="false">[11]Test!$M$30</definedName>
    <definedName function="false" hidden="false" localSheetId="10" name="Hngr_Overload_Cmt_Setup" vbProcedure="false">[11]Test!$M$42</definedName>
    <definedName function="false" hidden="false" localSheetId="10" name="Hngr_Tens" vbProcedure="false">'[11]Liner Job Info'!$D$40</definedName>
    <definedName function="false" hidden="false" localSheetId="10" name="Hng_Cap" vbProcedure="false">'[11]Liner Job Info'!$D$41</definedName>
    <definedName function="false" hidden="false" localSheetId="10" name="holevol" vbProcedure="false">'[61]tool backload dt'!holevol</definedName>
    <definedName function="false" hidden="false" localSheetId="10" name="hpb" vbProcedure="false">'[93]well test sheet'!#ref!</definedName>
    <definedName function="false" hidden="false" localSheetId="10" name="HR_Turns" vbProcedure="false">'[11]Weight Calculations'!$Q$36</definedName>
    <definedName function="false" hidden="true" localSheetId="10" name="HTML_Control" vbProcedure="false">{"'Operator &amp; Well Info.'!$A$1:$F$16"}</definedName>
    <definedName function="false" hidden="false" localSheetId="10" name="hwdpdt" vbProcedure="false">'[136]WCT-Ft'!$Q$19:$X$24</definedName>
    <definedName function="false" hidden="false" localSheetId="10" name="hy" vbProcedure="false">[49]!Prev.Macro106</definedName>
    <definedName function="false" hidden="false" localSheetId="10" name="Hyd._Pressure" vbProcedure="false">'[108]Job Calculation Sheet'!$H$28</definedName>
    <definedName function="false" hidden="false" localSheetId="10" name="Hyd_at_TV" vbProcedure="false">'[108]Tester Valve Calcs'!$F$21</definedName>
    <definedName function="false" hidden="false" localSheetId="10" name="Hyd_Effect_Force" vbProcedure="false">'[11]Weight Calculations'!$F$47</definedName>
    <definedName function="false" hidden="false" localSheetId="10" name="Hyd_force_element" vbProcedure="false">[11]Test!$M$17</definedName>
    <definedName function="false" hidden="false" localSheetId="10" name="HyfloSeatID" vbProcedure="false">[11]DATA!$AY$2:$AY$4</definedName>
    <definedName function="false" hidden="false" localSheetId="10" name="HyfloSeatNumber" vbProcedure="false">[11]DATA!$AZ$2:$AZ$5</definedName>
    <definedName function="false" hidden="false" localSheetId="10" name="HyfloSupplier" vbProcedure="false">[11]DATA!$BA$2:$BA$5</definedName>
    <definedName function="false" hidden="false" localSheetId="10" name="I" vbProcedure="false">#ref!</definedName>
    <definedName function="false" hidden="false" localSheetId="10" name="idlist" vbProcedure="false">[106]Data!$GD$2:$GE$237</definedName>
    <definedName function="false" hidden="false" localSheetId="10" name="IDUnit" vbProcedure="false">'[94]Job Technical Info'!$F$24</definedName>
    <definedName function="false" hidden="false" localSheetId="10" name="impdwg" vbProcedure="false">[26]!impdwg</definedName>
    <definedName function="false" hidden="false" localSheetId="10" name="impdwg_1" vbProcedure="false">'FINAL TALLY'!impdwg</definedName>
    <definedName function="false" hidden="false" localSheetId="10" name="impdwg_10" vbProcedure="false">'FINAL TALLY'!impdwg</definedName>
    <definedName function="false" hidden="false" localSheetId="10" name="impdwg_11" vbProcedure="false">'FINAL TALLY'!impdwg</definedName>
    <definedName function="false" hidden="false" localSheetId="10" name="impdwg_2" vbProcedure="false">'FINAL TALLY'!impdwg</definedName>
    <definedName function="false" hidden="false" localSheetId="10" name="impdwg_3" vbProcedure="false">'FINAL TALLY'!impdwg</definedName>
    <definedName function="false" hidden="false" localSheetId="10" name="impdwg_4" vbProcedure="false">'FINAL TALLY'!impdwg</definedName>
    <definedName function="false" hidden="false" localSheetId="10" name="impdwg_5" vbProcedure="false">'FINAL TALLY'!impdwg</definedName>
    <definedName function="false" hidden="false" localSheetId="10" name="impdwg_6" vbProcedure="false">'FINAL TALLY'!impdwg</definedName>
    <definedName function="false" hidden="false" localSheetId="10" name="impdwg_7" vbProcedure="false">'FINAL TALLY'!impdwg</definedName>
    <definedName function="false" hidden="false" localSheetId="10" name="impdwg_8" vbProcedure="false">'FINAL TALLY'!impdwg</definedName>
    <definedName function="false" hidden="false" localSheetId="10" name="impdwg_9" vbProcedure="false">'FINAL TALLY'!impdwg</definedName>
    <definedName function="false" hidden="false" localSheetId="10" name="Inc" vbProcedure="false">[188]钻井日报表!$G$8</definedName>
    <definedName function="false" hidden="false" localSheetId="10" name="InclinationData" vbProcedure="false">OFFSET([26]!Inclination,2,0,COUNT(#ref!),1)</definedName>
    <definedName function="false" hidden="true" localSheetId="10" name="incrementa"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Index_Client" vbProcedure="false">'[145]Job File Index'!$B$7</definedName>
    <definedName function="false" hidden="false" localSheetId="10" name="INFUSER_RATE" vbProcedure="false">'[113]#REF'!$F$71</definedName>
    <definedName function="false" hidden="false" localSheetId="10" name="INFUSER_RATE_PREPACK" vbProcedure="false">'[113]#REF'!$F$50</definedName>
    <definedName function="false" hidden="false" localSheetId="10" name="Insert_New_Page" vbProcedure="false">[41]!Insert_New_Page</definedName>
    <definedName function="false" hidden="false" localSheetId="10" name="Insert_New_Page_1" vbProcedure="false">'FINAL TALLY'!Insert_New_Page</definedName>
    <definedName function="false" hidden="false" localSheetId="10" name="Insert_New_Page_10" vbProcedure="false">'FINAL TALLY'!Insert_New_Page</definedName>
    <definedName function="false" hidden="false" localSheetId="10" name="Insert_New_Page_11" vbProcedure="false">'FINAL TALLY'!Insert_New_Page</definedName>
    <definedName function="false" hidden="false" localSheetId="10" name="Insert_New_Page_2" vbProcedure="false">'FINAL TALLY'!Insert_New_Page</definedName>
    <definedName function="false" hidden="false" localSheetId="10" name="Insert_New_Page_3" vbProcedure="false">'FINAL TALLY'!Insert_New_Page</definedName>
    <definedName function="false" hidden="false" localSheetId="10" name="Insert_New_Page_4" vbProcedure="false">'FINAL TALLY'!Insert_New_Page</definedName>
    <definedName function="false" hidden="false" localSheetId="10" name="Insert_New_Page_5" vbProcedure="false">'FINAL TALLY'!Insert_New_Page</definedName>
    <definedName function="false" hidden="false" localSheetId="10" name="Insert_New_Page_6" vbProcedure="false">'FINAL TALLY'!Insert_New_Page</definedName>
    <definedName function="false" hidden="false" localSheetId="10" name="Insert_New_Page_7" vbProcedure="false">'FINAL TALLY'!Insert_New_Page</definedName>
    <definedName function="false" hidden="false" localSheetId="10" name="Insert_New_Page_8" vbProcedure="false">'FINAL TALLY'!Insert_New_Page</definedName>
    <definedName function="false" hidden="false" localSheetId="10" name="Insert_New_Page_9" vbProcedure="false">'FINAL TALLY'!Insert_New_Page</definedName>
    <definedName function="false" hidden="false" localSheetId="10" name="Inverse_Balloon_Area" vbProcedure="false">[11]Test!$M$19</definedName>
    <definedName function="false" hidden="false" localSheetId="10" name="isip" vbProcedure="false">[5]WTR!$G$41</definedName>
    <definedName function="false" hidden="false" localSheetId="10" name="Issue" vbProcedure="false">'[146]Title Page'!$Q$2:$Q$20</definedName>
    <definedName function="false" hidden="false" localSheetId="10" name="Item1" vbProcedure="false">INDEX(#ref!,0,MATCH('[59]ENG Input'!$A$12,Categories,0))</definedName>
    <definedName function="false" hidden="false" localSheetId="10" name="Item10" vbProcedure="false">INDEX(#ref!,0,MATCH('[59]ENG Input'!$A$128,Categories,0))</definedName>
    <definedName function="false" hidden="false" localSheetId="10" name="Item11" vbProcedure="false">INDEX(#ref!,0,MATCH('[59]ENG Input'!$A$139,Categories,0))</definedName>
    <definedName function="false" hidden="false" localSheetId="10" name="Item12" vbProcedure="false">INDEX(#ref!,0,MATCH('[59]ENG Input'!$A$155,Categories,0))</definedName>
    <definedName function="false" hidden="false" localSheetId="10" name="Item13" vbProcedure="false">INDEX(#ref!,0,MATCH('[59]ENG Input'!$A$171,Categories,0))</definedName>
    <definedName function="false" hidden="false" localSheetId="10" name="Item14" vbProcedure="false">INDEX(#ref!,0,MATCH('[59]ENG Input'!$A$182,Categories,0))</definedName>
    <definedName function="false" hidden="false" localSheetId="10" name="Item15" vbProcedure="false">INDEX(#ref!,0,MATCH('[59]ENG Input'!$A$193,Categories,0))</definedName>
    <definedName function="false" hidden="false" localSheetId="10" name="Item16" vbProcedure="false">INDEX(#ref!,0,MATCH('[59]ENG Input'!$A$204,Categories,0))</definedName>
    <definedName function="false" hidden="false" localSheetId="10" name="Item17" vbProcedure="false">INDEX(#ref!,0,MATCH('[59]ENG Input'!$A$215,Categories,0))</definedName>
    <definedName function="false" hidden="false" localSheetId="10" name="Item18" vbProcedure="false">INDEX(#ref!,0,MATCH('[59]ENG Input'!$A$226,Categories,0))</definedName>
    <definedName function="false" hidden="false" localSheetId="10" name="Item19" vbProcedure="false">INDEX(#ref!,0,MATCH('[59]ENG Input'!$A$237,Categories,0))</definedName>
    <definedName function="false" hidden="false" localSheetId="10" name="Item2" vbProcedure="false">INDEX(#ref!,0,MATCH('[59]ENG Input'!$A$32,Categories,0))</definedName>
    <definedName function="false" hidden="false" localSheetId="10" name="Item20" vbProcedure="false">INDEX(#ref!,0,MATCH('[59]ENG Input'!$A$248,Categories,0))</definedName>
    <definedName function="false" hidden="false" localSheetId="10" name="Item3" vbProcedure="false">INDEX(#ref!,0,MATCH('[59]ENG Input'!$A$48,Categories,0))</definedName>
    <definedName function="false" hidden="false" localSheetId="10" name="Item4" vbProcedure="false">INDEX(#ref!,0,MATCH('[59]ENG Input'!$A$59,Categories,0))</definedName>
    <definedName function="false" hidden="false" localSheetId="10" name="Item5" vbProcedure="false">INDEX(#ref!,0,MATCH('[59]ENG Input'!$A$73,Categories,0))</definedName>
    <definedName function="false" hidden="false" localSheetId="10" name="Item6" vbProcedure="false">INDEX(#ref!,0,MATCH('[59]ENG Input'!$A$84,Categories,0))</definedName>
    <definedName function="false" hidden="false" localSheetId="10" name="Item7" vbProcedure="false">INDEX(#ref!,0,MATCH('[59]ENG Input'!$A$95,Categories,0))</definedName>
    <definedName function="false" hidden="false" localSheetId="10" name="Item8" vbProcedure="false">INDEX(#ref!,0,MATCH('[59]ENG Input'!$A$106,Categories,0))</definedName>
    <definedName function="false" hidden="false" localSheetId="10" name="Item9" vbProcedure="false">INDEX(#ref!,0,MATCH('[59]ENG Input'!$A$117,Categories,0))</definedName>
    <definedName function="false" hidden="true" localSheetId="10" name="J" vbProcedure="false">#ref!</definedName>
    <definedName function="false" hidden="false" localSheetId="10" name="janrupees" vbProcedure="false">'[147]Cash Expense January-96'!$H$6</definedName>
    <definedName function="false" hidden="false" localSheetId="10" name="jena_9" vbProcedure="false">#ref!</definedName>
    <definedName function="false" hidden="false" localSheetId="10" name="JEYJD" vbProcedure="false">'FINAL TALLY'!JEYJD</definedName>
    <definedName function="false" hidden="false" localSheetId="10" name="JK" vbProcedure="false">'[148]CSG13'!$B$5</definedName>
    <definedName function="false" hidden="false" localSheetId="10" name="JobCenterID" vbProcedure="false">'[94]Job Technical Info'!$C$10</definedName>
    <definedName function="false" hidden="false" localSheetId="10" name="JobEndDate" vbProcedure="false">'[138]job info sheet'!#ref!</definedName>
    <definedName function="false" hidden="false" localSheetId="10" name="JobNumber" vbProcedure="false">'[129]Front Page Info'!$C$4</definedName>
    <definedName function="false" hidden="false" localSheetId="10" name="jobpurpose1" vbProcedure="false">[186]Data!$L$1:$L$65536</definedName>
    <definedName function="false" hidden="false" localSheetId="10" name="JobType" vbProcedure="false">[6]Sheet1!$A$11:$A$16</definedName>
    <definedName function="false" hidden="false" localSheetId="10" name="Jobtype1" vbProcedure="false">[186]Data!$N$1:$N$65536</definedName>
    <definedName function="false" hidden="false" localSheetId="10" name="Job_date" vbProcedure="false">'[108]TCP-BHA'!$D$5</definedName>
    <definedName function="false" hidden="false" localSheetId="10" name="Job_Name" vbProcedure="false">'[30]Liner Job Info'!$E$5</definedName>
    <definedName function="false" hidden="false" localSheetId="10" name="Job_Type" vbProcedure="false">'[12]JCSI 12'!$AB$29:$AB$42</definedName>
    <definedName function="false" hidden="false" localSheetId="10" name="JointNumber" vbProcedure="false">[96]!JointNumber</definedName>
    <definedName function="false" hidden="false" localSheetId="10" name="JOINTNUMBER23" vbProcedure="false">[72]!JointNumber</definedName>
    <definedName function="false" hidden="false" localSheetId="10" name="JOINTNYMBER4" vbProcedure="false">[72]!JointNumber</definedName>
    <definedName function="false" hidden="true" localSheetId="10" name="JOYCE" vbProcedure="false">#ref!</definedName>
    <definedName function="false" hidden="false" localSheetId="10" name="JRJTRJT" vbProcedure="false">'FINAL TALLY'!JRJTRJT</definedName>
    <definedName function="false" hidden="false" localSheetId="10" name="JtCount" vbProcedure="false">'[76]casing talley'!#ref!</definedName>
    <definedName function="false" hidden="false" localSheetId="10" name="JTNFN" vbProcedure="false">'FINAL TALLY'!JTNFN</definedName>
    <definedName function="false" hidden="true" localSheetId="10" name="jun" vbProcedure="false">{#N/A,#N/A,FALSE,"Sheet1"}</definedName>
    <definedName function="false" hidden="true" localSheetId="10" name="June" vbProcedure="false">{#N/A,#N/A,FALSE,"Sheet1"}</definedName>
    <definedName function="false" hidden="true" localSheetId="10" name="June1" vbProcedure="false">{#N/A,#N/A,FALSE,"Sheet1"}</definedName>
    <definedName function="false" hidden="false" localSheetId="10" name="junk" vbProcedure="false">{#N/A,#N/A,FALSE,"Volume"}</definedName>
    <definedName function="false" hidden="false" localSheetId="10" name="junk1" vbProcedure="false">{#N/A,#N/A,FALSE,"Volume"}</definedName>
    <definedName function="false" hidden="false" localSheetId="10" name="junk2" vbProcedure="false">{#N/A,#N/A,FALSE,"Volume"}</definedName>
    <definedName function="false" hidden="false" localSheetId="10" name="junk3" vbProcedure="false">{#N/A,#N/A,FALSE,"Volume"}</definedName>
    <definedName function="false" hidden="false" localSheetId="10" name="junk4" vbProcedure="false">{#N/A,#N/A,FALSE,"Volume"}</definedName>
    <definedName function="false" hidden="true" localSheetId="10" name="k" vbProcedure="false">#ref!</definedName>
    <definedName function="false" hidden="false" localSheetId="10" name="Kill_Fluid_Type" vbProcedure="false">'[108]TCP-BHA'!$G$7</definedName>
    <definedName function="false" hidden="false" localSheetId="10" name="Kill_Fluid_Wt" vbProcedure="false">'[108]TCP-BHA'!$F$7</definedName>
    <definedName function="false" hidden="false" localSheetId="10" name="KK" vbProcedure="false">[26]!Macro1</definedName>
    <definedName function="false" hidden="false" localSheetId="10" name="KL" vbProcedure="false">[149]BHA!$C$4</definedName>
    <definedName function="false" hidden="false" localSheetId="10" name="KO" vbProcedure="false">'[148]CSG13'!$F$6</definedName>
    <definedName function="false" hidden="false" localSheetId="10" name="KRR" vbProcedure="false">'FINAL TALLY'!KRR</definedName>
    <definedName function="false" hidden="false" localSheetId="10" name="KUYUKR" vbProcedure="false">'FINAL TALLY'!KUYUKR</definedName>
    <definedName function="false" hidden="false" localSheetId="10" name="K_1" vbProcedure="false">#ref!</definedName>
    <definedName function="false" hidden="false" localSheetId="10" name="K_2" vbProcedure="false">#ref!</definedName>
    <definedName function="false" hidden="false" localSheetId="10" name="K_Dual" vbProcedure="false">#ref!</definedName>
    <definedName function="false" hidden="false" localSheetId="10" name="L" vbProcedure="false">#ref!</definedName>
    <definedName function="false" hidden="false" localSheetId="10" name="landoffshore" vbProcedure="false">[53]data!#ref!</definedName>
    <definedName function="false" hidden="false" localSheetId="10" name="LastCsgString" vbProcedure="false">[11]DATA!$AU$2:$AU$4</definedName>
    <definedName function="false" hidden="false" localSheetId="10" name="latlong" vbProcedure="false">'[34]Call Sheet'!$P$7</definedName>
    <definedName function="false" hidden="false" localSheetId="10" name="LC" vbProcedure="false">INDEX([111]DRAW!$J$13:$K$22,MATCH([112]AUTO_DHWS!$BC$4,[111]DRAW!$J$13:$J$22,0),2)</definedName>
    <definedName function="false" hidden="false" localSheetId="10" name="LCJobType" vbProcedure="false">'[94]Installation Results #1'!$C$306</definedName>
    <definedName function="false" hidden="false" localSheetId="10" name="LC_TYPE" vbProcedure="false">INDEX([111]DRAW!$P$68:$Q$70,MATCH([111]DRAW!$Q$67,[111]DRAW!$P$68:$P$70,0),2)</definedName>
    <definedName function="false" hidden="false" localSheetId="10" name="Lead_Slurry_in_12.25__OH" vbProcedure="false">'[150]Cmt Csg'!$C$6</definedName>
    <definedName function="false" hidden="false" localSheetId="10" name="lease" vbProcedure="false">[5]WTR!$I$6</definedName>
    <definedName function="false" hidden="false" localSheetId="10" name="Lease1" vbProcedure="false">'[108]TCP-BHA'!$A$7</definedName>
    <definedName function="false" hidden="false" localSheetId="10" name="Length" vbProcedure="false">#ref!</definedName>
    <definedName function="false" hidden="false" localSheetId="10" name="Lengths" vbProcedure="false">'[116]Kill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function="false" hidden="false" localSheetId="10" name="Likelihood" vbProcedure="false">[125]Sheet2!$C$1:$C$5</definedName>
    <definedName function="false" hidden="false" localSheetId="10" name="Liner1_Burst" vbProcedure="false">'[11]Metric Conversions'!$B$45</definedName>
    <definedName function="false" hidden="false" localSheetId="10" name="Liner1_Burstz" vbProcedure="false">'[11]Liner Job Info'!$J$17</definedName>
    <definedName function="false" hidden="false" localSheetId="10" name="Liner1_Cap" vbProcedure="false">'[11]Liner Job Info'!$P$17</definedName>
    <definedName function="false" hidden="false" localSheetId="10" name="Liner1_Collapsez" vbProcedure="false">'[11]Liner Job Info'!$L$17</definedName>
    <definedName function="false" hidden="false" localSheetId="10" name="Liner1_ID" vbProcedure="false">'[11]Liner Job Info'!$D$17</definedName>
    <definedName function="false" hidden="false" localSheetId="10" name="Liner1_Length" vbProcedure="false">'[130]Metric Conversions'!$B$17</definedName>
    <definedName function="false" hidden="false" localSheetId="10" name="Liner1_Lengthz" vbProcedure="false">'[11]Liner Job Info'!$R$17</definedName>
    <definedName function="false" hidden="false" localSheetId="10" name="Liner1_OD" vbProcedure="false">'[130]Liner Job Info'!$C$17</definedName>
    <definedName function="false" hidden="false" localSheetId="10" name="Liner1_Thread" vbProcedure="false">'[130]Liner Job Info'!$H$17</definedName>
    <definedName function="false" hidden="false" localSheetId="10" name="Liner1_Wt_in_Mud" vbProcedure="false">'[11]Weight Calculations'!$H$16</definedName>
    <definedName function="false" hidden="false" localSheetId="10" name="Liner1_Wt_Per_Ft" vbProcedure="false">'[130]Liner Job Info'!$E$17</definedName>
    <definedName function="false" hidden="false" localSheetId="10" name="Liner2_Burst" vbProcedure="false">'[11]Metric Conversions'!$B$46</definedName>
    <definedName function="false" hidden="false" localSheetId="10" name="Liner2_Burstz" vbProcedure="false">'[11]Liner Job Info'!$J$18</definedName>
    <definedName function="false" hidden="false" localSheetId="10" name="Liner2_Cap" vbProcedure="false">'[11]Liner Job Info'!$P$18</definedName>
    <definedName function="false" hidden="false" localSheetId="10" name="Liner2_Collapsez" vbProcedure="false">'[11]Liner Job Info'!$L$18</definedName>
    <definedName function="false" hidden="false" localSheetId="10" name="Liner2_ID" vbProcedure="false">'[11]Liner Job Info'!$D$18</definedName>
    <definedName function="false" hidden="false" localSheetId="10" name="Liner2_Length" vbProcedure="false">'[130]Metric Conversions'!$B$18</definedName>
    <definedName function="false" hidden="false" localSheetId="10" name="Liner2_Lengthz" vbProcedure="false">'[11]Liner Job Info'!$R$18</definedName>
    <definedName function="false" hidden="false" localSheetId="10" name="Liner2_OD" vbProcedure="false">'[130]Liner Job Info'!$C$18</definedName>
    <definedName function="false" hidden="false" localSheetId="10" name="Liner2_Thread" vbProcedure="false">'[130]Liner Job Info'!$H$18</definedName>
    <definedName function="false" hidden="false" localSheetId="10" name="Liner2_Wt_in_Mud" vbProcedure="false">'[11]Weight Calculations'!$H$17</definedName>
    <definedName function="false" hidden="false" localSheetId="10" name="Liner2_Wt_Per_FT" vbProcedure="false">'[130]Liner Job Info'!$E$18</definedName>
    <definedName function="false" hidden="false" localSheetId="10" name="Linertype" vbProcedure="false">[11]DATA!$W$2:$W$12</definedName>
    <definedName function="false" hidden="false" localSheetId="10" name="Liner_I.D." vbProcedure="false">'[108]Job Calculation Sheet'!$F$14</definedName>
    <definedName function="false" hidden="false" localSheetId="10" name="Liner_ID_Area" vbProcedure="false">[11]Test!$V$40</definedName>
    <definedName function="false" hidden="false" localSheetId="10" name="Liner_Size" vbProcedure="false">'[108]Pre-Job Info Sheet'!$D$17</definedName>
    <definedName function="false" hidden="false" localSheetId="10" name="Liner_Top__MD" vbProcedure="false">'[108]Pre-Job Info Sheet'!$D$19</definedName>
    <definedName function="false" hidden="false" localSheetId="10" name="Liner_Weight" vbProcedure="false">'[108]Pre-Job Info Sheet'!$D$18</definedName>
    <definedName function="false" hidden="false" localSheetId="10" name="Lithology" vbProcedure="false">#ref!</definedName>
    <definedName function="false" hidden="true" localSheetId="10" name="lkj" vbProcedure="false">[103]Run!$B$18:$B$512</definedName>
    <definedName function="false" hidden="false" localSheetId="10" name="Lnr1_Grade" vbProcedure="false">'[130]Liner Job Info'!$F$17</definedName>
    <definedName function="false" hidden="false" localSheetId="10" name="Lnr1_Vol" vbProcedure="false">'[11]Metric Conversions'!$B$77</definedName>
    <definedName function="false" hidden="false" localSheetId="10" name="Lnr1_Volz" vbProcedure="false">'[11]Metric Conversions'!$C$77</definedName>
    <definedName function="false" hidden="false" localSheetId="10" name="Lnr1_X_OH_Volz" vbProcedure="false">'[11]Metric Conversions'!$C$82</definedName>
    <definedName function="false" hidden="false" localSheetId="10" name="Lnr2_Grade" vbProcedure="false">'[130]Liner Job Info'!$F$18</definedName>
    <definedName function="false" hidden="false" localSheetId="10" name="Lnr2_Vol" vbProcedure="false">'[11]Metric Conversions'!$B$78</definedName>
    <definedName function="false" hidden="false" localSheetId="10" name="Lnr2_Volz" vbProcedure="false">'[11]Metric Conversions'!$C$78</definedName>
    <definedName function="false" hidden="false" localSheetId="10" name="Lnr2_X_OH_Volz" vbProcedure="false">'[11]Metric Conversions'!$C$83</definedName>
    <definedName function="false" hidden="false" localSheetId="10" name="LnrDrift1" vbProcedure="false">'[94]Job Technical Info'!$G$29</definedName>
    <definedName function="false" hidden="false" localSheetId="10" name="LnrDrift2" vbProcedure="false">'[94]Job Technical Info'!$G$30</definedName>
    <definedName function="false" hidden="false" localSheetId="10" name="LnrGrd1" vbProcedure="false">'[94]Job Technical Info'!$H$29</definedName>
    <definedName function="false" hidden="false" localSheetId="10" name="LnrGrd2" vbProcedure="false">'[94]Job Technical Info'!$H$30</definedName>
    <definedName function="false" hidden="false" localSheetId="10" name="LnrID1" vbProcedure="false">'[94]Job Technical Info'!$F$29</definedName>
    <definedName function="false" hidden="false" localSheetId="10" name="LnrID2" vbProcedure="false">'[94]Job Technical Info'!$F$30</definedName>
    <definedName function="false" hidden="false" localSheetId="10" name="LnrSz1" vbProcedure="false">'[94]Job Technical Info'!$D$29</definedName>
    <definedName function="false" hidden="false" localSheetId="10" name="LnrSz2" vbProcedure="false">'[94]Job Technical Info'!$D$30</definedName>
    <definedName function="false" hidden="false" localSheetId="10" name="LnrThd1" vbProcedure="false">'[94]Job Technical Info'!$J$29</definedName>
    <definedName function="false" hidden="false" localSheetId="10" name="LnrThd2" vbProcedure="false">'[94]Job Technical Info'!$J$30</definedName>
    <definedName function="false" hidden="false" localSheetId="10" name="LnrWt1" vbProcedure="false">'[94]Job Technical Info'!$E$29</definedName>
    <definedName function="false" hidden="false" localSheetId="10" name="LnrWt2" vbProcedure="false">'[94]Job Technical Info'!$E$30</definedName>
    <definedName function="false" hidden="false" localSheetId="10" name="Lnr_Shoe_Depth" vbProcedure="false">'[130]Metric Conversions'!$B$29</definedName>
    <definedName function="false" hidden="false" localSheetId="10" name="Loaded" vbProcedure="false">'[108]Pre-Job Info Sheet'!$B$19</definedName>
    <definedName function="false" hidden="false" localSheetId="10" name="Location" vbProcedure="false">[60]auf_screen!#ref!</definedName>
    <definedName function="false" hidden="true" localSheetId="10" name="loudout" vbProcedure="false">[63]Run!$D$15:$D$512</definedName>
    <definedName function="false" hidden="false" localSheetId="10" name="LS" vbProcedure="false">'[189]amberjack a32ream'!#ref!</definedName>
    <definedName function="false" hidden="false" localSheetId="10" name="LSD" vbProcedure="false">'[138]job info sheet'!#ref!</definedName>
    <definedName function="false" hidden="false" localSheetId="10" name="LTP" vbProcedure="false">INDEX([111]DRAW!$D$14:$E$15,MATCH([112]AUTO_DHWS!$BB$7,[111]DRAW!$D$14:$D$15,0),2)</definedName>
    <definedName function="false" hidden="true" localSheetId="10" name="M" vbProcedure="false">#ref!</definedName>
    <definedName function="false" hidden="false" localSheetId="10" name="Macro1" vbProcedure="false">[16]!Macro1</definedName>
    <definedName function="false" hidden="false" localSheetId="10" name="Macro112" vbProcedure="false">[56]!Macro59</definedName>
    <definedName function="false" hidden="false" localSheetId="10" name="Macro2" vbProcedure="false">[26]!Macro2</definedName>
    <definedName function="false" hidden="false" localSheetId="10" name="Macro22" vbProcedure="false">[26]!Macro22</definedName>
    <definedName function="false" hidden="false" localSheetId="10" name="Macro22_1" vbProcedure="false">'FINAL TALLY'!Macro22</definedName>
    <definedName function="false" hidden="false" localSheetId="10" name="Macro22_10" vbProcedure="false">'FINAL TALLY'!Macro22</definedName>
    <definedName function="false" hidden="false" localSheetId="10" name="Macro22_11" vbProcedure="false">'FINAL TALLY'!Macro22</definedName>
    <definedName function="false" hidden="false" localSheetId="10" name="Macro22_2" vbProcedure="false">'FINAL TALLY'!Macro22</definedName>
    <definedName function="false" hidden="false" localSheetId="10" name="Macro22_3" vbProcedure="false">'FINAL TALLY'!Macro22</definedName>
    <definedName function="false" hidden="false" localSheetId="10" name="Macro22_4" vbProcedure="false">'FINAL TALLY'!Macro22</definedName>
    <definedName function="false" hidden="false" localSheetId="10" name="Macro22_5" vbProcedure="false">'FINAL TALLY'!Macro22</definedName>
    <definedName function="false" hidden="false" localSheetId="10" name="Macro22_6" vbProcedure="false">'FINAL TALLY'!Macro22</definedName>
    <definedName function="false" hidden="false" localSheetId="10" name="Macro22_7" vbProcedure="false">'FINAL TALLY'!Macro22</definedName>
    <definedName function="false" hidden="false" localSheetId="10" name="Macro22_8" vbProcedure="false">'FINAL TALLY'!Macro22</definedName>
    <definedName function="false" hidden="false" localSheetId="10" name="Macro22_9" vbProcedure="false">'FINAL TALLY'!Macro22</definedName>
    <definedName function="false" hidden="false" localSheetId="10" name="Macro233" vbProcedure="false">[26]!Macro1</definedName>
    <definedName function="false" hidden="false" localSheetId="10" name="Macro2_1" vbProcedure="false">'FINAL TALLY'!Macro2</definedName>
    <definedName function="false" hidden="false" localSheetId="10" name="Macro2_10" vbProcedure="false">'FINAL TALLY'!Macro2</definedName>
    <definedName function="false" hidden="false" localSheetId="10" name="Macro2_11" vbProcedure="false">'FINAL TALLY'!Macro2</definedName>
    <definedName function="false" hidden="false" localSheetId="10" name="Macro2_2" vbProcedure="false">'FINAL TALLY'!Macro2</definedName>
    <definedName function="false" hidden="false" localSheetId="10" name="Macro2_3" vbProcedure="false">'FINAL TALLY'!Macro2</definedName>
    <definedName function="false" hidden="false" localSheetId="10" name="Macro2_4" vbProcedure="false">'FINAL TALLY'!Macro2</definedName>
    <definedName function="false" hidden="false" localSheetId="10" name="Macro2_5" vbProcedure="false">'FINAL TALLY'!Macro2</definedName>
    <definedName function="false" hidden="false" localSheetId="10" name="Macro2_6" vbProcedure="false">'FINAL TALLY'!Macro2</definedName>
    <definedName function="false" hidden="false" localSheetId="10" name="Macro2_7" vbProcedure="false">'FINAL TALLY'!Macro2</definedName>
    <definedName function="false" hidden="false" localSheetId="10" name="Macro2_8" vbProcedure="false">'FINAL TALLY'!Macro2</definedName>
    <definedName function="false" hidden="false" localSheetId="10" name="Macro2_9" vbProcedure="false">'FINAL TALLY'!Macro2</definedName>
    <definedName function="false" hidden="false" localSheetId="10" name="Macro3" vbProcedure="false">[26]!Macro3</definedName>
    <definedName function="false" hidden="false" localSheetId="10" name="Macro3_1" vbProcedure="false">'FINAL TALLY'!Macro3</definedName>
    <definedName function="false" hidden="false" localSheetId="10" name="Macro3_10" vbProcedure="false">'FINAL TALLY'!Macro3</definedName>
    <definedName function="false" hidden="false" localSheetId="10" name="Macro3_11" vbProcedure="false">'FINAL TALLY'!Macro3</definedName>
    <definedName function="false" hidden="false" localSheetId="10" name="Macro3_2" vbProcedure="false">'FINAL TALLY'!Macro3</definedName>
    <definedName function="false" hidden="false" localSheetId="10" name="Macro3_3" vbProcedure="false">'FINAL TALLY'!Macro3</definedName>
    <definedName function="false" hidden="false" localSheetId="10" name="Macro3_4" vbProcedure="false">'FINAL TALLY'!Macro3</definedName>
    <definedName function="false" hidden="false" localSheetId="10" name="Macro3_5" vbProcedure="false">'FINAL TALLY'!Macro3</definedName>
    <definedName function="false" hidden="false" localSheetId="10" name="Macro3_6" vbProcedure="false">'FINAL TALLY'!Macro3</definedName>
    <definedName function="false" hidden="false" localSheetId="10" name="Macro3_7" vbProcedure="false">'FINAL TALLY'!Macro3</definedName>
    <definedName function="false" hidden="false" localSheetId="10" name="Macro3_8" vbProcedure="false">'FINAL TALLY'!Macro3</definedName>
    <definedName function="false" hidden="false" localSheetId="10" name="Macro3_9" vbProcedure="false">'FINAL TALLY'!Macro3</definedName>
    <definedName function="false" hidden="false" localSheetId="10" name="Make_Up_Torque_Of_Weak_Link" vbProcedure="false">'[11]Liner Job Info'!$P$50</definedName>
    <definedName function="false" hidden="false" localSheetId="10" name="MaPSDensity" vbProcedure="false">'[94]SetUp Tab'!$G$25</definedName>
    <definedName function="false" hidden="false" localSheetId="10" name="MaPSDiameter" vbProcedure="false">'[94]SetUp Tab'!$G$23</definedName>
    <definedName function="false" hidden="false" localSheetId="10" name="MaPSFlowRate" vbProcedure="false">'[94]SetUp Tab'!$G$26</definedName>
    <definedName function="false" hidden="false" localSheetId="10" name="MaPSLength" vbProcedure="false">'[94]SetUp Tab'!$E$23</definedName>
    <definedName function="false" hidden="false" localSheetId="10" name="MaPSMass" vbProcedure="false">[94]Lists!$BJ$3</definedName>
    <definedName function="false" hidden="false" localSheetId="10" name="MaPSPressure" vbProcedure="false">'[94]SetUp Tab'!$G$24</definedName>
    <definedName function="false" hidden="false" localSheetId="10" name="MaPSTemp" vbProcedure="false">'[94]SetUp Tab'!$E$26</definedName>
    <definedName function="false" hidden="false" localSheetId="10" name="MaPSWeight" vbProcedure="false">'[94]SetUp Tab'!$E$24</definedName>
    <definedName function="false" hidden="false" localSheetId="10" name="marrupees" vbProcedure="false">'[152]Cash Expsense March-96'!$H$6</definedName>
    <definedName function="false" hidden="false" localSheetId="10" name="Material" vbProcedure="false">[11]DATA!$I$3:$I$22</definedName>
    <definedName function="false" hidden="false" localSheetId="10" name="Max._Deviation" vbProcedure="false">'[108]Pre-Job Info Sheet'!$B$36</definedName>
    <definedName function="false" hidden="false" localSheetId="10" name="MaxDev" vbProcedure="false">'[94]Job Technical Info'!$F$41</definedName>
    <definedName function="false" hidden="false" localSheetId="10" name="Max_Bump_psi" vbProcedure="false">'[11]Metric Conversions'!$B$59</definedName>
    <definedName function="false" hidden="false" localSheetId="10" name="Max_Bump_psiz" vbProcedure="false">'[11]Metric Conversions'!$C$59</definedName>
    <definedName function="false" hidden="false" localSheetId="10" name="Max_Test_Cmt_Setup" vbProcedure="false">'[11]Metric Conversions'!$B$62</definedName>
    <definedName function="false" hidden="false" localSheetId="10" name="Max_Test_Cmt_Setupz" vbProcedure="false">'[11]Metric Conversions'!$C$62</definedName>
    <definedName function="false" hidden="false" localSheetId="10" name="Max_Test_Seals_In" vbProcedure="false">'[11]Metric Conversions'!$B$61</definedName>
    <definedName function="false" hidden="false" localSheetId="10" name="Max_Test_Seals_Inz" vbProcedure="false">'[11]Metric Conversions'!$C$61</definedName>
    <definedName function="false" hidden="false" localSheetId="10" name="Max_test_seals_out" vbProcedure="false">'[11]Metric Conversions'!$B$60</definedName>
    <definedName function="false" hidden="false" localSheetId="10" name="Max_test_seals_outz" vbProcedure="false">'[11]Metric Conversions'!$C$60</definedName>
    <definedName function="false" hidden="false" localSheetId="10" name="Max_Turns" vbProcedure="false">'[11]Weight Calculations'!$T$36</definedName>
    <definedName function="false" hidden="false" localSheetId="10" name="MDData" vbProcedure="false">OFFSET([26]!MDForInclination,2,0,COUNT(#ref!),1)</definedName>
    <definedName function="false" hidden="false" localSheetId="10" name="MeteringTime" vbProcedure="false">[11]DATA!$BG$2:$BG$42</definedName>
    <definedName function="false" hidden="false" localSheetId="10" name="Min._Ten_Sett_Tool_Assy" vbProcedure="false">'[11]Weight Calculations'!$S$60</definedName>
    <definedName function="false" hidden="false" localSheetId="10" name="Min_DP_Tens" vbProcedure="false">'[11]Weight Calculations'!$W$61</definedName>
    <definedName function="false" hidden="false" localSheetId="10" name="Min_Ft_Release_RH" vbProcedure="false">'[11]Metric Conversions'!$B$39</definedName>
    <definedName function="false" hidden="false" localSheetId="10" name="Min_Ft_Release_RHz" vbProcedure="false">'[11]Metric Conversions'!$C$39</definedName>
    <definedName function="false" hidden="false" localSheetId="10" name="mobile" vbProcedure="false">'[34]Call Sheet'!$R$5</definedName>
    <definedName function="false" hidden="false" localSheetId="10" name="Module1.draw_productionfirst" vbProcedure="false">'FINAL TALLY'!Module1.draw_productionfirst</definedName>
    <definedName function="false" hidden="false" localSheetId="10" name="Module1.draw_productionsecond" vbProcedure="false">'FINAL TALLY'!Module1.draw_productionsecond</definedName>
    <definedName function="false" hidden="false" localSheetId="10" name="Module1.impdwg" vbProcedure="false">[26]!Module1.impdwg</definedName>
    <definedName function="false" hidden="false" localSheetId="10" name="Module1.impdwg_1" vbProcedure="false">'FINAL TALLY'!Module1.impdwg</definedName>
    <definedName function="false" hidden="false" localSheetId="10" name="Module1.impdwg_10" vbProcedure="false">'FINAL TALLY'!Module1.impdwg</definedName>
    <definedName function="false" hidden="false" localSheetId="10" name="Module1.impdwg_11" vbProcedure="false">'FINAL TALLY'!Module1.impdwg</definedName>
    <definedName function="false" hidden="false" localSheetId="10" name="Module1.impdwg_2" vbProcedure="false">'FINAL TALLY'!Module1.impdwg</definedName>
    <definedName function="false" hidden="false" localSheetId="10" name="Module1.impdwg_3" vbProcedure="false">'FINAL TALLY'!Module1.impdwg</definedName>
    <definedName function="false" hidden="false" localSheetId="10" name="Module1.impdwg_4" vbProcedure="false">'FINAL TALLY'!Module1.impdwg</definedName>
    <definedName function="false" hidden="false" localSheetId="10" name="Module1.impdwg_5" vbProcedure="false">'FINAL TALLY'!Module1.impdwg</definedName>
    <definedName function="false" hidden="false" localSheetId="10" name="Module1.impdwg_6" vbProcedure="false">'FINAL TALLY'!Module1.impdwg</definedName>
    <definedName function="false" hidden="false" localSheetId="10" name="Module1.impdwg_7" vbProcedure="false">'FINAL TALLY'!Module1.impdwg</definedName>
    <definedName function="false" hidden="false" localSheetId="10" name="Module1.impdwg_8" vbProcedure="false">'FINAL TALLY'!Module1.impdwg</definedName>
    <definedName function="false" hidden="false" localSheetId="10" name="Module1.impdwg_9" vbProcedure="false">'FINAL TALLY'!Module1.impdwg</definedName>
    <definedName function="false" hidden="false" localSheetId="10" name="Module4.drawblanks" vbProcedure="false">'FINAL TALLY'!Module4.drawblanks</definedName>
    <definedName function="false" hidden="false" localSheetId="10" name="Module4.drawlinerfirst" vbProcedure="false">'FINAL TALLY'!Module4.drawlinerfirst</definedName>
    <definedName function="false" hidden="false" localSheetId="10" name="Module4.drawlinersecond" vbProcedure="false">'FINAL TALLY'!Module4.drawlinersecond</definedName>
    <definedName function="false" hidden="false" localSheetId="10" name="Module4.drawmiscellaneous" vbProcedure="false">'FINAL TALLY'!Module4.drawmiscellaneous</definedName>
    <definedName function="false" hidden="false" localSheetId="10" name="Module4.drawproductionfirst" vbProcedure="false">'FINAL TALLY'!Module4.drawproductionfirst</definedName>
    <definedName function="false" hidden="false" localSheetId="10" name="Module4.drawproductionsecond" vbProcedure="false">'FINAL TALLY'!Module4.drawproductionsecond</definedName>
    <definedName function="false" hidden="false" localSheetId="10" name="Module4.drawquantum" vbProcedure="false">'FINAL TALLY'!Module4.drawquantum</definedName>
    <definedName function="false" hidden="false" localSheetId="10" name="Module4.drawscreens" vbProcedure="false">'FINAL TALLY'!Module4.drawscreens</definedName>
    <definedName function="false" hidden="false" localSheetId="10" name="Module4.drawshearsubs" vbProcedure="false">'FINAL TALLY'!Module4.drawshearsubs</definedName>
    <definedName function="false" hidden="false" localSheetId="10" name="Module4.drawsump" vbProcedure="false">'FINAL TALLY'!Module4.drawsump</definedName>
    <definedName function="false" hidden="false" localSheetId="10" name="Module4.textfive" vbProcedure="false">'FINAL TALLY'!Module4.textfive</definedName>
    <definedName function="false" hidden="false" localSheetId="10" name="Module4.textfivehalf" vbProcedure="false">'FINAL TALLY'!Module4.textfivehalf</definedName>
    <definedName function="false" hidden="false" localSheetId="10" name="Module4.textninefiveeightfourfirst" vbProcedure="false">'FINAL TALLY'!Module4.textninefiveeightfourfirst</definedName>
    <definedName function="false" hidden="false" localSheetId="10" name="Module4.textninefiveeightfoursecond" vbProcedure="false">'FINAL TALLY'!Module4.textninefiveeightfoursecond</definedName>
    <definedName function="false" hidden="false" localSheetId="10" name="Module4.textninefiveeightsixfirst" vbProcedure="false">'FINAL TALLY'!Module4.textninefiveeightsixfirst</definedName>
    <definedName function="false" hidden="false" localSheetId="10" name="Module4.textninefiveeightsixsecond" vbProcedure="false">'FINAL TALLY'!Module4.textninefiveeightsixsecond</definedName>
    <definedName function="false" hidden="false" localSheetId="10" name="Module4.textsevenfiveeightfour" vbProcedure="false">'FINAL TALLY'!Module4.textsevenfiveeightfour</definedName>
    <definedName function="false" hidden="false" localSheetId="10" name="Module4.textsevenfiveeightthree" vbProcedure="false">'FINAL TALLY'!Module4.textsevenfiveeightthree</definedName>
    <definedName function="false" hidden="false" localSheetId="10" name="Module4.textsevenfour" vbProcedure="false">'FINAL TALLY'!Module4.textsevenfour</definedName>
    <definedName function="false" hidden="false" localSheetId="10" name="Module4.textseventhree" vbProcedure="false">'FINAL TALLY'!Module4.textseventhree</definedName>
    <definedName function="false" hidden="false" localSheetId="10" name="MOE" vbProcedure="false">#ref!</definedName>
    <definedName function="false" hidden="false" localSheetId="10" name="Month" vbProcedure="false">[60]auf_screen!#ref!</definedName>
    <definedName function="false" hidden="false" localSheetId="10" name="monthref" vbProcedure="false">[187]References!$H$1:$I$12</definedName>
    <definedName function="false" hidden="true" localSheetId="10" name="mr" vbProcedure="false">{#N/A,#N/A,FALSE,"Sheet1"}</definedName>
    <definedName function="false" hidden="false" localSheetId="10" name="Mudtype" vbProcedure="false">[11]DATA!$N$2:$N$18</definedName>
    <definedName function="false" hidden="false" localSheetId="10" name="Mudwt" vbProcedure="false">"Dialog2_Edit Box 5"</definedName>
    <definedName function="false" hidden="false" localSheetId="10" name="Mud_Type" vbProcedure="false">'[7]Drop-Down Items'!$D$4:$D$14</definedName>
    <definedName function="false" hidden="false" localSheetId="10" name="Mud_Wt" vbProcedure="false">'[130]Metric Conversions'!$B$66</definedName>
    <definedName function="false" hidden="false" localSheetId="10" name="Mud_Wtz" vbProcedure="false">'[11]Liner Job Info'!$D$31</definedName>
    <definedName function="false" hidden="false" localSheetId="10" name="MULE_SHOE_DEPTH" vbProcedure="false">'[113]#REF'!$F$182</definedName>
    <definedName function="false" hidden="false" localSheetId="10" name="MW" vbProcedure="false">#ref!,#ref!,#ref!,#ref!,#ref!</definedName>
    <definedName function="false" hidden="false" localSheetId="10" name="MWD" vbProcedure="false">[6]Sheet1!$F$10:$F$12</definedName>
    <definedName function="false" hidden="false" localSheetId="10" name="my" vbProcedure="false">[145]!JointNumber</definedName>
    <definedName function="false" hidden="false" localSheetId="10" name="m_choke" vbProcedure="false">'[93]well test sheet'!#ref!</definedName>
    <definedName function="false" hidden="false" localSheetId="10" name="M_Dual" vbProcedure="false">#ref!</definedName>
    <definedName function="false" hidden="false" localSheetId="10" name="n" vbProcedure="false">'FINAL TALLY'!n</definedName>
    <definedName function="false" hidden="false" localSheetId="10" name="N2_Precharge" vbProcedure="false">'[108]Tester Valve Calcs'!$F$16</definedName>
    <definedName function="false" hidden="false" localSheetId="10" name="N2_Press_DH" vbProcedure="false">'[108]Tester Valve Calcs'!$F$29</definedName>
    <definedName function="false" hidden="false" localSheetId="10" name="N2_Stroke" vbProcedure="false">'[108]Tester Valve Calcs'!$M$18</definedName>
    <definedName function="false" hidden="false" localSheetId="10" name="N2_Temp_DH" vbProcedure="false">'[108]Tester Valve Calcs'!$F$22</definedName>
    <definedName function="false" hidden="false" localSheetId="10" name="N2_Temp_Surf" vbProcedure="false">'[108]Tester Valve Calcs'!$F$17</definedName>
    <definedName function="false" hidden="false" localSheetId="10" name="N2_Vol_DH" vbProcedure="false">'[108]Tester Valve Calcs'!$F$25</definedName>
    <definedName function="false" hidden="false" localSheetId="10" name="N2_Vol_Surf" vbProcedure="false">'[108]Tester Valve Calcs'!$F$14</definedName>
    <definedName function="false" hidden="false" localSheetId="10" name="nb" vbProcedure="false">'[189]井口装置示意图-4'!$E$1:$E$65536</definedName>
    <definedName function="false" hidden="false" localSheetId="10" name="NEBRIGS" vbProcedure="false">[187]References!$D$1:$D$15</definedName>
    <definedName function="false" hidden="false" localSheetId="10" name="netperf" vbProcedure="false">[5]WTR!$G$33</definedName>
    <definedName function="false" hidden="false" localSheetId="10" name="NET_PERFS" vbProcedure="false">'[113]#REF'!$F$20</definedName>
    <definedName function="false" hidden="false" localSheetId="10" name="NewData" vbProcedure="false">'[186]New Contract'!$A$1:$G$65536</definedName>
    <definedName function="false" hidden="false" localSheetId="10" name="NewDes" vbProcedure="false">'[186]New Contract'!$A$1:$A$65536</definedName>
    <definedName function="false" hidden="false" localSheetId="10" name="newrisk" vbProcedure="false">[125]Sheet2!$D$1:$D$3</definedName>
    <definedName function="false" hidden="false" localSheetId="10" name="NextTD" vbProcedure="false">'[153]Lookahd EA'!$E$1:$N$3</definedName>
    <definedName function="false" hidden="true" localSheetId="10" name="ng"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10" name="NG18CH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10" name="ng18cht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NH4CL" vbProcedure="false">'[6]#ref'!#ref!</definedName>
    <definedName function="false" hidden="false" localSheetId="10" name="Nipples" vbProcedure="false">#ref!</definedName>
    <definedName function="false" hidden="false" localSheetId="10" name="NM" vbProcedure="false">[16]!Macro1</definedName>
    <definedName function="false" hidden="false" localSheetId="10" name="No" vbProcedure="false">'[154]BPR LOG'!$A$1:$A$1048576</definedName>
    <definedName function="false" hidden="false" localSheetId="10" name="NOofTools" vbProcedure="false">[11]DATA!$BP$2:$BP$12</definedName>
    <definedName function="false" hidden="false" localSheetId="10" name="NosOfTubing" vbProcedure="false">#ref!</definedName>
    <definedName function="false" hidden="false" localSheetId="10" name="O" vbProcedure="false">'[155]Report Long(Esso)'!$E$4</definedName>
    <definedName function="false" hidden="false" localSheetId="10" name="odcasing" vbProcedure="false">[106]Data!$J$16</definedName>
    <definedName function="false" hidden="false" localSheetId="10" name="ODSizes" vbProcedure="false">[94]Lists!$AF$3:$AF$42</definedName>
    <definedName function="false" hidden="false" localSheetId="10" name="ODUnit" vbProcedure="false">'[94]Job Technical Info'!$D$24</definedName>
    <definedName function="false" hidden="false" localSheetId="10" name="odworkstring" vbProcedure="false">[106]Data!$W$18</definedName>
    <definedName function="false" hidden="false" localSheetId="10" name="office" vbProcedure="false">'[34]Call Sheet'!$AH$5</definedName>
    <definedName function="false" hidden="false" localSheetId="10" name="Offshore_Block" vbProcedure="false">'[108]TCP-BHA'!$A$9</definedName>
    <definedName function="false" hidden="false" localSheetId="10" name="ogr" vbProcedure="false">'[156]Test Data'!$T$8:$T$16,'[156]Test Data'!$T$18:$T$122,'[156]Test Data'!$T$132:$T$247</definedName>
    <definedName function="false" hidden="false" localSheetId="10" name="OHoleID" vbProcedure="false">'[94]Job Technical Info'!$B$40</definedName>
    <definedName function="false" hidden="false" localSheetId="10" name="OHoleLength" vbProcedure="false">'[94]Job Technical Info'!$D$40</definedName>
    <definedName function="false" hidden="false" localSheetId="10" name="OH_Dia" vbProcedure="false">'[11]Liner Job Info'!$Q$14</definedName>
    <definedName function="false" hidden="false" localSheetId="10" name="oilrate" vbProcedure="false">'[93]well test sheet'!#ref!</definedName>
    <definedName function="false" hidden="false" localSheetId="10" name="oil_cumm" vbProcedure="false">'[93]well test sheet'!#ref!</definedName>
    <definedName function="false" hidden="true" localSheetId="10" name="omdo"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ONBOARD" vbProcedure="false">'[157]Initial Tally'!$G$4</definedName>
    <definedName function="false" hidden="false" localSheetId="10" name="onefive" vbProcedure="false">[53]data!#ref!</definedName>
    <definedName function="false" hidden="false" localSheetId="10" name="OP_1" vbProcedure="false">[190]Inputs!$F$1:$F$3</definedName>
    <definedName function="false" hidden="false" localSheetId="10" name="Overbalance" vbProcedure="false">'[108]Pre-Job Info Sheet'!$D$34</definedName>
    <definedName function="false" hidden="false" localSheetId="10" name="Overlap" vbProcedure="false">'[11]Metric Conversions'!$B$16</definedName>
    <definedName function="false" hidden="false" localSheetId="10" name="Overlapz" vbProcedure="false">'[11]Liner Job Info'!$R$14</definedName>
    <definedName function="false" hidden="false" localSheetId="10" name="Overlap_Volz" vbProcedure="false">'[11]Metric Conversions'!$C$84</definedName>
    <definedName function="false" hidden="true" localSheetId="10" name="P" vbProcedure="false">{#N/A,#N/A,FALSE,"Drlg Param Run 1-1";#N/A,#N/A,FALSE,"DDR (3)";#N/A,#N/A,FALSE,"BHA AT (1)";#N/A,#N/A,FALSE,"Downlinkbha";#N/A,#N/A,FALSE,"Job Status Report"}</definedName>
    <definedName function="false" hidden="false" localSheetId="10" name="PACKER" vbProcedure="false">INDEX([111]DRAW!$A$2:$B$13,MATCH([112]AUTO_DHWS!$AV$8,[111]DRAW!$A$2:$A$13,0),2)</definedName>
    <definedName function="false" hidden="false" localSheetId="10" name="PackerDepth" vbProcedure="false">'[76]casing talley'!#ref!</definedName>
    <definedName function="false" hidden="false" localSheetId="10" name="PACKER_2" vbProcedure="false">INDEX([111]DRAW!$D$13:$E$14,MATCH([112]AUTO_DHWS!$AV$12,[111]DRAW!$D$13:$D$14,0),2)</definedName>
    <definedName function="false" hidden="false" localSheetId="10" name="Packer_Rotation" vbProcedure="false">'[11]Liner Job Info'!$P$40</definedName>
    <definedName function="false" hidden="false" localSheetId="10" name="Packer_Set_In" vbProcedure="false">'[108]Pre-Job Info Sheet'!$D$22</definedName>
    <definedName function="false" hidden="false" localSheetId="10" name="PackOff" vbProcedure="false">[11]DATA!$AP$2:$AP$6</definedName>
    <definedName function="false" hidden="false" localSheetId="10" name="PackoffXDP1_Pist_Area" vbProcedure="false">'[11]Liner Job Info'!$AF$2</definedName>
    <definedName function="false" hidden="false" localSheetId="10" name="PackoffXDP2_Pist_Area" vbProcedure="false">'[11]Liner Job Info'!$AF$3</definedName>
    <definedName function="false" hidden="false" localSheetId="10" name="PackoffXDP3_Pist_Area" vbProcedure="false">'[11]Liner Job Info'!$AG$28</definedName>
    <definedName function="false" hidden="false" localSheetId="10" name="PackoffXDP4_Pist_Area" vbProcedure="false">'[11]Liner Job Info'!$AG$29</definedName>
    <definedName function="false" hidden="false" localSheetId="10" name="PackoffXDP5_Pist_Area" vbProcedure="false">'[11]Liner Job Info'!$AG$30</definedName>
    <definedName function="false" hidden="false" localSheetId="10" name="Packoff_Pist_Area" vbProcedure="false">'[11]Liner Job Info'!$AG$31</definedName>
    <definedName function="false" hidden="false" localSheetId="10" name="Packoff_Stinger_OD" vbProcedure="false">'[11]Liner Job Info'!$P$42</definedName>
    <definedName function="false" hidden="true" localSheetId="10" name="Para3" vbProcedure="false">{#N/A,#N/A,FALSE,"Drlg Param Run 1-1";#N/A,#N/A,FALSE,"DDR (3)";#N/A,#N/A,FALSE,"BHA AT (1)";#N/A,#N/A,FALSE,"Downlinkbha";#N/A,#N/A,FALSE,"Job Status Report"}</definedName>
    <definedName function="false" hidden="false" localSheetId="10" name="Parish" vbProcedure="false">'[108]TCP-BHA'!$C$9</definedName>
    <definedName function="false" hidden="false" localSheetId="10" name="Parish_County" vbProcedure="false">'[108]Pre-Job Info Sheet'!$D$9</definedName>
    <definedName function="false" hidden="false" localSheetId="10" name="Parts" vbProcedure="false">#ref!</definedName>
    <definedName function="false" hidden="false" localSheetId="10" name="PBTD" vbProcedure="false">'[76]casing talley'!#ref!</definedName>
    <definedName function="false" hidden="false" localSheetId="10" name="Pckr_Body_Bst" vbProcedure="false">'[11]Metric Conversions'!$B$52</definedName>
    <definedName function="false" hidden="false" localSheetId="10" name="Pckr_Body_Bstz" vbProcedure="false">'[11]Liner Job Info'!$P$32</definedName>
    <definedName function="false" hidden="false" localSheetId="10" name="Pckr_Body_Collz" vbProcedure="false">'[11]Liner Job Info'!$P$33</definedName>
    <definedName function="false" hidden="false" localSheetId="10" name="Pckr_Body_Tens" vbProcedure="false">'[11]Liner Job Info'!$P$34</definedName>
    <definedName function="false" hidden="false" localSheetId="10" name="Pckr_Seal_Surf_OD" vbProcedure="false">'[11]Liner Job Info'!$P$31</definedName>
    <definedName function="false" hidden="false" localSheetId="10" name="Pckr_Sett_Force" vbProcedure="false">'[11]Liner Job Info'!$P$39</definedName>
    <definedName function="false" hidden="false" localSheetId="10" name="PDHG_2" vbProcedure="false">INDEX([111]DRAW!$A$2:$B$13,MATCH([112]AUTO_DHWS!$AV$13,[111]DRAW!$A$2:$A$13,0),2)</definedName>
    <definedName function="false" hidden="false" localSheetId="10" name="PD_SOFTWARE" vbProcedure="false">[129]RSS!$J$148:$J$152</definedName>
    <definedName function="false" hidden="false" localSheetId="10" name="PD_STAB" vbProcedure="false">[129]RSS!$R$131:$R$160</definedName>
    <definedName function="false" hidden="false" localSheetId="10" name="Perf._Interval" vbProcedure="false">'[108]Pre-Job Info Sheet'!$B$17</definedName>
    <definedName function="false" hidden="false" localSheetId="10" name="Perf._Interval_2" vbProcedure="false">'[108]Pre-Job Info Sheet'!$B$18</definedName>
    <definedName function="false" hidden="false" localSheetId="10" name="perfbottom" vbProcedure="false">[5]WTR!$I$32</definedName>
    <definedName function="false" hidden="false" localSheetId="10" name="PerfDepth" vbProcedure="false">'[76]casing talley'!#ref!</definedName>
    <definedName function="false" hidden="false" localSheetId="10" name="perftop" vbProcedure="false">[5]WTR!$G$32</definedName>
    <definedName function="false" hidden="false" localSheetId="10" name="PERF_BOTTOM" vbProcedure="false">'[113]#REF'!$H$19</definedName>
    <definedName function="false" hidden="false" localSheetId="10" name="PERF_SLURRY" vbProcedure="false">'[113]#REF'!$H$198</definedName>
    <definedName function="false" hidden="false" localSheetId="10" name="PERF_TOP" vbProcedure="false">'[113]#REF'!$F$19</definedName>
    <definedName function="false" hidden="false" localSheetId="10" name="PERF_VOL" vbProcedure="false">'[113]#REF'!$J$12</definedName>
    <definedName function="false" hidden="false" localSheetId="10" name="perm" vbProcedure="false">[106]Data!$G$56</definedName>
    <definedName function="false" hidden="false" localSheetId="10" name="perm1" vbProcedure="false">[106]Data!$G$57</definedName>
    <definedName function="false" hidden="false" localSheetId="10" name="Personnel1" vbProcedure="false">[186]Data!$P$1:$P$65536</definedName>
    <definedName function="false" hidden="false" localSheetId="10" name="Perv.Macro140" vbProcedure="false">[49]!Prev.Macro102</definedName>
    <definedName function="false" hidden="false" localSheetId="10" name="Phasing" vbProcedure="false">'[108]Pre-Job Info Sheet'!$B$23</definedName>
    <definedName function="false" hidden="false" localSheetId="10" name="Phone" vbProcedure="false">'[117]Well Installation Drawing'!$K$11</definedName>
    <definedName function="false" hidden="false" localSheetId="10" name="pick1_958x475_system" vbProcedure="false">'FINAL TALLY'!pick1_958x475_system</definedName>
    <definedName function="false" hidden="false" localSheetId="10" name="pick1_958x6_system" vbProcedure="false">'FINAL TALLY'!pick1_958x6_system</definedName>
    <definedName function="false" hidden="false" localSheetId="10" name="pick1_production" vbProcedure="false">'FINAL TALLY'!pick1_production</definedName>
    <definedName function="false" hidden="false" localSheetId="10" name="pick2_958x475_system" vbProcedure="false">'FINAL TALLY'!pick2_958x475_system</definedName>
    <definedName function="false" hidden="false" localSheetId="10" name="pick2_958x6_system" vbProcedure="false">'FINAL TALLY'!pick2_958x6_system</definedName>
    <definedName function="false" hidden="false" localSheetId="10" name="pick2_production" vbProcedure="false">'FINAL TALLY'!pick2_production</definedName>
    <definedName function="false" hidden="false" localSheetId="10" name="pick_512_system" vbProcedure="false">'FINAL TALLY'!pick_512_system</definedName>
    <definedName function="false" hidden="false" localSheetId="10" name="pick_5_system" vbProcedure="false">'FINAL TALLY'!pick_5_system</definedName>
    <definedName function="false" hidden="false" localSheetId="10" name="pick_758x314_system" vbProcedure="false">'FINAL TALLY'!pick_758x314_system</definedName>
    <definedName function="false" hidden="false" localSheetId="10" name="pick_758x4_system" vbProcedure="false">'FINAL TALLY'!pick_758x4_system</definedName>
    <definedName function="false" hidden="false" localSheetId="10" name="pick_7x314_system" vbProcedure="false">'FINAL TALLY'!pick_7x314_system</definedName>
    <definedName function="false" hidden="false" localSheetId="10" name="pick_7x4_system" vbProcedure="false">'FINAL TALLY'!pick_7x4_system</definedName>
    <definedName function="false" hidden="false" localSheetId="10" name="pick_blanks" vbProcedure="false">'FINAL TALLY'!pick_blanks</definedName>
    <definedName function="false" hidden="false" localSheetId="10" name="pick_liner" vbProcedure="false">'FINAL TALLY'!pick_liner</definedName>
    <definedName function="false" hidden="false" localSheetId="10" name="pick_liner2" vbProcedure="false">'FINAL TALLY'!pick_liner2</definedName>
    <definedName function="false" hidden="false" localSheetId="10" name="pick_miscellaneous" vbProcedure="false">'FINAL TALLY'!pick_miscellaneous</definedName>
    <definedName function="false" hidden="false" localSheetId="10" name="pick_quantum" vbProcedure="false">'FINAL TALLY'!pick_quantum</definedName>
    <definedName function="false" hidden="false" localSheetId="10" name="pick_screens" vbProcedure="false">'FINAL TALLY'!pick_screens</definedName>
    <definedName function="false" hidden="false" localSheetId="10" name="pick_shearsubs" vbProcedure="false">'FINAL TALLY'!pick_shearsubs</definedName>
    <definedName function="false" hidden="false" localSheetId="10" name="pick_sump" vbProcedure="false">'FINAL TALLY'!pick_sump</definedName>
    <definedName function="false" hidden="false" localSheetId="10" name="PistArea_Packoff_to_DP_OD" vbProcedure="false">[11]Test!$M$16</definedName>
    <definedName function="false" hidden="false" localSheetId="10" name="Piston_Disp" vbProcedure="false">'[108]Tester Valve Calcs'!$M$16</definedName>
    <definedName function="false" hidden="false" localSheetId="10" name="Pist_Area_Csg_ID_to_DP1_OD" vbProcedure="false">[11]Test!$U$26</definedName>
    <definedName function="false" hidden="false" localSheetId="10" name="Pist_Area_Csg_ID_to_DP2_OD" vbProcedure="false">[11]Test!$U$27</definedName>
    <definedName function="false" hidden="false" localSheetId="10" name="Pist_Area_Csg_ID_to_DP3_OD" vbProcedure="false">[11]Test!$U$28</definedName>
    <definedName function="false" hidden="false" localSheetId="10" name="Pist_Area_Csg_ID_to_DP4_OD" vbProcedure="false">[11]Test!$U$29</definedName>
    <definedName function="false" hidden="false" localSheetId="10" name="Pist_Area_Csg_ID_to_DP5_OD" vbProcedure="false">[11]Test!$U$30</definedName>
    <definedName function="false" hidden="false" localSheetId="10" name="Pist_Area_from_CsgID_to_Packoff_OD" vbProcedure="false">[11]Test!$M$14</definedName>
    <definedName function="false" hidden="false" localSheetId="10" name="Pist_Area_PackoffOD_DP2_OD" vbProcedure="false">[11]Test!$Y$27</definedName>
    <definedName function="false" hidden="false" localSheetId="10" name="Pist_Area_PackoffOD_DP4_OD" vbProcedure="false">[11]Test!$Y$29</definedName>
    <definedName function="false" hidden="false" localSheetId="10" name="Pist_Area_PackoffOD_DP5_OD" vbProcedure="false">[11]Test!$Y$30</definedName>
    <definedName function="false" hidden="false" localSheetId="10" name="Pist_Area_PackoffOD_to_DP1_OD" vbProcedure="false">[11]Test!$Y$26</definedName>
    <definedName function="false" hidden="false" localSheetId="10" name="Pist_Area_PackoffOD_to_DP3_OD" vbProcedure="false">[11]Test!$Y$28</definedName>
    <definedName function="false" hidden="false" localSheetId="10" name="Pkrs" vbProcedure="false">#ref!</definedName>
    <definedName function="false" hidden="false" localSheetId="10" name="plotm" vbProcedure="false">'[61]tool backload dt'!plotm</definedName>
    <definedName function="false" hidden="false" localSheetId="10" name="PlugMethod" vbProcedure="false">[11]DATA!$BI$2:$BI$6</definedName>
    <definedName function="false" hidden="false" localSheetId="10" name="Plugs" vbProcedure="false">[11]DATA!$AL$2:$AL$13</definedName>
    <definedName function="false" hidden="false" localSheetId="10" name="Plug_Bmp_Hngr_Ovr_Ld" vbProcedure="false">[11]Test!$M$25</definedName>
    <definedName function="false" hidden="false" localSheetId="10" name="Plug_Bmp_psi_wo_DP" vbProcedure="false">[11]Test!$M$23</definedName>
    <definedName function="false" hidden="false" localSheetId="10" name="Plug_Bmp_psi_w_DP" vbProcedure="false">[11]Test!$M$24</definedName>
    <definedName function="false" hidden="false" localSheetId="10" name="Plug_Press_Rating" vbProcedure="false">'[11]Metric Conversions'!$B$51</definedName>
    <definedName function="false" hidden="false" localSheetId="10" name="Plug_Press_Ratingz" vbProcedure="false">'[11]Liner Job Info'!$D$43</definedName>
    <definedName function="false" hidden="false" localSheetId="10" name="Plug_Temp_Rating" vbProcedure="false">'[11]Liner Job Info'!$D$44</definedName>
    <definedName function="false" hidden="false" localSheetId="10" name="po" vbProcedure="false">[159]Drillers!$O$20</definedName>
    <definedName function="false" hidden="false" localSheetId="10" name="Ported_Sub" vbProcedure="false">'[108]TCP-BHA'!$H$30</definedName>
    <definedName function="false" hidden="false" localSheetId="10" name="Pos_of_Ball" vbProcedure="false">'[108]Tester Valve Calcs'!$F$12</definedName>
    <definedName function="false" hidden="false" localSheetId="10" name="PoundConversion" vbProcedure="false">[94]Lists!$AD$4</definedName>
    <definedName function="false" hidden="false" localSheetId="10" name="POWERV_TO" vbProcedure="false">[129]RSS!$A$206</definedName>
    <definedName function="false" hidden="false" localSheetId="10" name="ppgsggcc" vbProcedure="false">'[11]Metric Conversions'!$B$65</definedName>
    <definedName function="false" hidden="false" localSheetId="10" name="pph" vbProcedure="false">[40]!Calculate_Pipe</definedName>
    <definedName function="false" hidden="false" localSheetId="10" name="pre.Macro220" vbProcedure="false">[49]!Prev.Macro110</definedName>
    <definedName function="false" hidden="false" localSheetId="10" name="pregpstim" vbProcedure="false">[5]WTR!$G$48</definedName>
    <definedName function="false" hidden="false" localSheetId="10" name="PREPACK_MIX_RATIO" vbProcedure="false">'[113]#REF'!$K$44</definedName>
    <definedName function="false" hidden="false" localSheetId="10" name="Pressure" vbProcedure="false">#ref!</definedName>
    <definedName function="false" hidden="false" localSheetId="10" name="pressure1" vbProcedure="false">[106]Data!$C$2</definedName>
    <definedName function="false" hidden="false" localSheetId="10" name="pressure10" vbProcedure="false">[106]Data!$C$11</definedName>
    <definedName function="false" hidden="false" localSheetId="10" name="pressure2" vbProcedure="false">[106]Data!$C$3</definedName>
    <definedName function="false" hidden="false" localSheetId="10" name="pressure3" vbProcedure="false">[106]Data!$C$4</definedName>
    <definedName function="false" hidden="false" localSheetId="10" name="pressure4" vbProcedure="false">[106]Data!$C$5</definedName>
    <definedName function="false" hidden="false" localSheetId="10" name="pressure5" vbProcedure="false">[106]Data!$C$6</definedName>
    <definedName function="false" hidden="false" localSheetId="10" name="pressure6" vbProcedure="false">[106]Data!$C$7</definedName>
    <definedName function="false" hidden="false" localSheetId="10" name="pressure7" vbProcedure="false">[106]Data!$C$8</definedName>
    <definedName function="false" hidden="false" localSheetId="10" name="pressure8" vbProcedure="false">[106]Data!$C$9</definedName>
    <definedName function="false" hidden="false" localSheetId="10" name="pressure9" vbProcedure="false">[106]Data!$C$10</definedName>
    <definedName function="false" hidden="false" localSheetId="10" name="pressurea" vbProcedure="false">[106]Data!$D$2</definedName>
    <definedName function="false" hidden="false" localSheetId="10" name="pressureb" vbProcedure="false">[106]Data!$D$3</definedName>
    <definedName function="false" hidden="false" localSheetId="10" name="pressurec" vbProcedure="false">[106]Data!$D$4</definedName>
    <definedName function="false" hidden="false" localSheetId="10" name="pressured" vbProcedure="false">[106]Data!$D$5</definedName>
    <definedName function="false" hidden="false" localSheetId="10" name="pressuree" vbProcedure="false">[106]Data!$D$6</definedName>
    <definedName function="false" hidden="false" localSheetId="10" name="pressuref" vbProcedure="false">[106]Data!$D$7</definedName>
    <definedName function="false" hidden="false" localSheetId="10" name="pressureg" vbProcedure="false">[106]Data!$D$8</definedName>
    <definedName function="false" hidden="false" localSheetId="10" name="pressureh" vbProcedure="false">[106]Data!$D$9</definedName>
    <definedName function="false" hidden="false" localSheetId="10" name="pressurei" vbProcedure="false">[106]Data!$D$10</definedName>
    <definedName function="false" hidden="false" localSheetId="10" name="pressurej" vbProcedure="false">[106]Data!$D$11</definedName>
    <definedName function="false" hidden="false" localSheetId="10" name="Pressures" vbProcedure="false">'[116]Kill Sheet - Horizontal'!$W$27,'[116]Kill Sheet - Horizontal'!$W$31,'[116]Kill Sheet - Horizontal'!$W$32</definedName>
    <definedName function="false" hidden="false" localSheetId="10" name="Pressure_1" vbProcedure="false">#ref!</definedName>
    <definedName function="false" hidden="false" localSheetId="10" name="Pressure_2" vbProcedure="false">#ref!</definedName>
    <definedName function="false" hidden="false" localSheetId="10" name="prev.Macro150" vbProcedure="false">[49]!Prev.Macro122</definedName>
    <definedName function="false" hidden="false" localSheetId="10" name="prev.Macro200" vbProcedure="false">[49]!Prev.Macro128</definedName>
    <definedName function="false" hidden="false" localSheetId="10" name="Prev.Macro242" vbProcedure="false">[49]!Prev.Macro106</definedName>
    <definedName function="false" hidden="false" localSheetId="10" name="pricelist" vbProcedure="false">[139]Pricelist!$A$8:$B$11</definedName>
    <definedName function="false" hidden="false" localSheetId="10" name="print" vbProcedure="false">'[160]2003 SSWE LINE ITEMS'!$A$1:$V$302</definedName>
    <definedName function="false" hidden="false" localSheetId="10" name="PRODPKR" vbProcedure="false">INDEX([161]PKR!$A$2:$B$15,MATCH([161]INPUT!$H$37,[161]PKR!$A$2:$A$15,0),2)</definedName>
    <definedName function="false" hidden="false" localSheetId="10" name="production" vbProcedure="false">[162]WTR!$L$6</definedName>
    <definedName function="false" hidden="false" localSheetId="10" name="profitcntr1" vbProcedure="false">[186]Data!$I$1:$I$65536</definedName>
    <definedName function="false" hidden="false" localSheetId="10" name="Prog" vbProcedure="false">[187]References!$E$1:$E$4</definedName>
    <definedName function="false" hidden="false" localSheetId="10" name="Project" vbProcedure="false">'[94]Job Technical Info'!$G$12</definedName>
    <definedName function="false" hidden="false" localSheetId="10" name="ProppantName" vbProcedure="false">'[94]Installation Results #1'!$B$326</definedName>
    <definedName function="false" hidden="false" localSheetId="10" name="PSI" vbProcedure="false">'[75]tester valve calcs'!#ref!</definedName>
    <definedName function="false" hidden="false" localSheetId="10" name="psia_array" vbProcedure="false">{"HMR","HMR-GT","ZI Probe","Spartek","Omega SP"}</definedName>
    <definedName function="false" hidden="false" localSheetId="10" name="psibarkpa" vbProcedure="false">'[11]Metric Conversions'!$B$42</definedName>
    <definedName function="false" hidden="false" localSheetId="10" name="psig_array" vbProcedure="false">{"RPG-3","RPG-4"}</definedName>
    <definedName function="false" hidden="false" localSheetId="10" name="psl" vbProcedure="false">[53]data!#ref!</definedName>
    <definedName function="false" hidden="false" localSheetId="10" name="Pstn_Force_Actual" vbProcedure="false">'[11]Weight Calculations'!$H$26</definedName>
    <definedName function="false" hidden="false" localSheetId="10" name="PS_pricelist" vbProcedure="false">[139]Pricelist!$A$22:$B$35</definedName>
    <definedName function="false" hidden="false" localSheetId="10" name="ptdtr" vbProcedure="false">'[115]Max-Torq'!$P$71</definedName>
    <definedName function="false" hidden="false" localSheetId="10" name="Pups" vbProcedure="false">#ref!</definedName>
    <definedName function="false" hidden="false" localSheetId="10" name="PU_Dogs" vbProcedure="false">'[11]Metric Conversions'!$B$25</definedName>
    <definedName function="false" hidden="false" localSheetId="10" name="PU_Dogsz" vbProcedure="false">'[11]Liner Job Info'!$P$47</definedName>
    <definedName function="false" hidden="false" localSheetId="10" name="PU_Packoffz" vbProcedure="false">'[11]Liner Job Info'!$P$48</definedName>
    <definedName function="false" hidden="false" localSheetId="10" name="pv" vbProcedure="false">'[7]Drop-Down Items'!$R$7:$R$9</definedName>
    <definedName function="false" hidden="false" localSheetId="10" name="q" vbProcedure="false">'[88]Report Long(Esso)'!$E$2</definedName>
    <definedName function="false" hidden="false" localSheetId="10" name="QPNum" vbProcedure="false">'[94]Job Technical Info'!$K$11</definedName>
    <definedName function="false" hidden="true" localSheetId="10" name="qqq" vbProcedure="false">{#N/A,#N/A,FALSE,"Drlg Param Run 1-1";#N/A,#N/A,FALSE,"DDR (3)";#N/A,#N/A,FALSE,"BHA AT (1)";#N/A,#N/A,FALSE,"Downlinkbha";#N/A,#N/A,FALSE,"Job Status Report"}</definedName>
    <definedName function="false" hidden="false" localSheetId="10" name="quantum" vbProcedure="false">'FINAL TALLY'!quantum</definedName>
    <definedName function="false" hidden="false" localSheetId="10" name="Range1" vbProcedure="false">OFFSET([249]sheet1!$e$5, 1, 0,[249]sheet1!$e$2,1)</definedName>
    <definedName function="false" hidden="false" localSheetId="10" name="rate" vbProcedure="false">[106]Data!$F$7</definedName>
    <definedName function="false" hidden="false" localSheetId="10" name="rate1" vbProcedure="false">[106]Data!$A$2</definedName>
    <definedName function="false" hidden="false" localSheetId="10" name="rate10" vbProcedure="false">[106]Data!$A$11</definedName>
    <definedName function="false" hidden="false" localSheetId="10" name="rate2" vbProcedure="false">[106]Data!$A$3</definedName>
    <definedName function="false" hidden="false" localSheetId="10" name="rate3" vbProcedure="false">[106]Data!$A$4</definedName>
    <definedName function="false" hidden="false" localSheetId="10" name="rate4" vbProcedure="false">[106]Data!$A$5</definedName>
    <definedName function="false" hidden="false" localSheetId="10" name="rate5" vbProcedure="false">[106]Data!$A$6</definedName>
    <definedName function="false" hidden="false" localSheetId="10" name="rate6" vbProcedure="false">[106]Data!$A$7</definedName>
    <definedName function="false" hidden="false" localSheetId="10" name="rate7" vbProcedure="false">[106]Data!$A$8</definedName>
    <definedName function="false" hidden="false" localSheetId="10" name="rate8" vbProcedure="false">[106]Data!$A$9</definedName>
    <definedName function="false" hidden="false" localSheetId="10" name="rate9" vbProcedure="false">[106]Data!$A$10</definedName>
    <definedName function="false" hidden="false" localSheetId="10" name="raw_tally_lower" vbProcedure="false">'[191]2B Raw Rig Tally'!$B$13:$D$501</definedName>
    <definedName function="false" hidden="false" localSheetId="10" name="raw_tally_upper" vbProcedure="false">'[191]2B Raw Rig Tally'!$F$13:$H$501</definedName>
    <definedName function="false" hidden="false" localSheetId="10" name="Reasons" vbProcedure="false">'[146]Title Page'!$O$2:$O$23</definedName>
    <definedName function="false" hidden="false" localSheetId="10" name="Recalc" vbProcedure="false">[115]!Recalc</definedName>
    <definedName function="false" hidden="false" localSheetId="10" name="Region" vbProcedure="false">'[94]SetUp Tab'!$D$15</definedName>
    <definedName function="false" hidden="false" localSheetId="10" name="Regions" vbProcedure="false">[18]Criteria!$B$2:$B$11</definedName>
    <definedName function="false" hidden="false" localSheetId="10" name="Rem_DP1_Tens" vbProcedure="false">'[11]Weight Calculations'!$W$53</definedName>
    <definedName function="false" hidden="false" localSheetId="10" name="Rem_DP2_Tens" vbProcedure="false">'[11]Weight Calculations'!$W$54</definedName>
    <definedName function="false" hidden="false" localSheetId="10" name="Rem_DP3_Tens" vbProcedure="false">'[11]Weight Calculations'!$W$55</definedName>
    <definedName function="false" hidden="false" localSheetId="10" name="Rem_DP4_Tens" vbProcedure="false">'[11]Weight Calculations'!$W$59</definedName>
    <definedName function="false" hidden="false" localSheetId="10" name="Rem_DP5_Tens" vbProcedure="false">'[11]Weight Calculations'!$W$60</definedName>
    <definedName function="false" hidden="false" localSheetId="10" name="Rentalequipment" vbProcedure="false">[11]DATA!$R$2:$R$79</definedName>
    <definedName function="false" hidden="false" localSheetId="10" name="Rental_Tool_ID" vbProcedure="false">[11]DATA!$S$2:$S$79</definedName>
    <definedName function="false" hidden="false" localSheetId="10" name="REPORT3" vbProcedure="false">'[1]run sheet'!#ref!</definedName>
    <definedName function="false" hidden="false" localSheetId="10" name="RESE" vbProcedure="false">'FINAL TALLY'!RESE</definedName>
    <definedName function="false" hidden="false" localSheetId="10" name="reservoir15" vbProcedure="false">'[70]geological prognosis'!#ref!</definedName>
    <definedName function="false" hidden="false" localSheetId="10" name="reservoir16" vbProcedure="false">'[70]geological prognosis'!#ref!</definedName>
    <definedName function="false" hidden="false" localSheetId="10" name="reservoir17" vbProcedure="false">'[70]geological prognosis'!#ref!</definedName>
    <definedName function="false" hidden="false" localSheetId="10" name="reservoir18" vbProcedure="false">'[70]geological prognosis'!#ref!</definedName>
    <definedName function="false" hidden="false" localSheetId="10" name="reservoir19" vbProcedure="false">'[70]geological prognosis'!#ref!</definedName>
    <definedName function="false" hidden="false" localSheetId="10" name="reservoir20" vbProcedure="false">'[70]geological prognosis'!#ref!</definedName>
    <definedName function="false" hidden="false" localSheetId="10" name="reservoir21" vbProcedure="false">'[70]geological prognosis'!#ref!</definedName>
    <definedName function="false" hidden="false" localSheetId="10" name="reservoir22" vbProcedure="false">'[70]geological prognosis'!#ref!</definedName>
    <definedName function="false" hidden="false" localSheetId="10" name="reservoir23" vbProcedure="false">'[70]geological prognosis'!#ref!</definedName>
    <definedName function="false" hidden="false" localSheetId="10" name="reservoir24" vbProcedure="false">'[70]geological prognosis'!#ref!</definedName>
    <definedName function="false" hidden="false" localSheetId="10" name="reservoir25" vbProcedure="false">'[70]geological prognosis'!#ref!</definedName>
    <definedName function="false" hidden="false" localSheetId="10" name="reservoir26" vbProcedure="false">'[70]geological prognosis'!#ref!</definedName>
    <definedName function="false" hidden="false" localSheetId="10" name="reservoir27" vbProcedure="false">'[70]geological prognosis'!#ref!</definedName>
    <definedName function="false" hidden="false" localSheetId="10" name="reservoir28" vbProcedure="false">'[70]geological prognosis'!#ref!</definedName>
    <definedName function="false" hidden="false" localSheetId="10" name="reservoir29" vbProcedure="false">'[70]geological prognosis'!#ref!</definedName>
    <definedName function="false" hidden="false" localSheetId="10" name="resrevoir09" vbProcedure="false">'[70]geological prognosis'!#ref!</definedName>
    <definedName function="false" hidden="false" localSheetId="10" name="resrevoir10" vbProcedure="false">'[70]geological prognosis'!#ref!</definedName>
    <definedName function="false" hidden="false" localSheetId="10" name="resrevoir12" vbProcedure="false">'[70]geological prognosis'!#ref!</definedName>
    <definedName function="false" hidden="false" localSheetId="10" name="resrevoir13" vbProcedure="false">'[70]geological prognosis'!#ref!</definedName>
    <definedName function="false" hidden="false" localSheetId="10" name="resrevoir14" vbProcedure="false">'[70]geological prognosis'!#ref!</definedName>
    <definedName function="false" hidden="false" localSheetId="10" name="ret" vbProcedure="false">[119]钻井日报表!$G$3</definedName>
    <definedName function="false" hidden="false" localSheetId="10" name="Rev_XX" vbProcedure="false">'[94]Job Technical Info'!$L$4</definedName>
    <definedName function="false" hidden="false" localSheetId="10" name="rhstretchz" vbProcedure="false">'[11]Metric Conversions'!$C$38</definedName>
    <definedName function="false" hidden="false" localSheetId="10" name="RH_SHEAR" vbProcedure="false">'[11]Weight Calculations'!$H$21</definedName>
    <definedName function="false" hidden="false" localSheetId="10" name="RH_SHEAR_LNGTH" vbProcedure="false">'[11]Metric Conversions'!$B$37</definedName>
    <definedName function="false" hidden="false" localSheetId="10" name="RH_SHEAR_LNGTHz" vbProcedure="false">'[11]Metric Conversions'!$C$37</definedName>
    <definedName function="false" hidden="false" localSheetId="10" name="Rig" vbProcedure="false">'[88]Report Long(Esso)'!$E$4</definedName>
    <definedName function="false" hidden="false" localSheetId="10" name="rigcontractor1" vbProcedure="false">[186]Data!$G$1:$G$65536</definedName>
    <definedName function="false" hidden="false" localSheetId="10" name="Rigname1" vbProcedure="false">[186]Data!$E$1:$E$65536</definedName>
    <definedName function="false" hidden="false" localSheetId="10" name="RigPh" vbProcedure="false">'[94]Job Technical Info'!$G$17</definedName>
    <definedName function="false" hidden="false" localSheetId="10" name="Rig_Name" vbProcedure="false">'[108]Pre-Job Info Sheet'!$D$11</definedName>
    <definedName function="false" hidden="false" localSheetId="10" name="Rig_Output" vbProcedure="false">'[11]Displacement Cal.'!$G$7</definedName>
    <definedName function="false" hidden="false" localSheetId="10" name="RI_LC_Z2_ANSWERS_SCPacker1" vbProcedure="false">'[165]LowerCompletions - Risk Index'!$G$56</definedName>
    <definedName function="false" hidden="false" localSheetId="10" name="RI_LC_Z3_ANSWERS_SCPacker1" vbProcedure="false">'[165]LowerCompletions - Risk Index'!$G$69</definedName>
    <definedName function="false" hidden="false" localSheetId="10" name="RI_LC_Z4_ANSWERS_SCPacker1" vbProcedure="false">'[165]LowerCompletions - Risk Index'!$G$82</definedName>
    <definedName function="false" hidden="false" localSheetId="10" name="RI_LC_Z5_ANSWERS_SCPacker1" vbProcedure="false">'[165]LowerCompletions - Risk Index'!$G$95</definedName>
    <definedName function="false" hidden="false" localSheetId="10" name="ROMR" vbProcedure="false">[187]References!$A$1:$A$3</definedName>
    <definedName function="false" hidden="false" localSheetId="10" name="Rotation" vbProcedure="false">[11]DATA!$AK$2:$AK$10</definedName>
    <definedName function="false" hidden="false" localSheetId="10" name="Rpt_Average_Header1" vbProcedure="false">#ref!</definedName>
    <definedName function="false" hidden="false" localSheetId="10" name="Rpt_Average_Header2" vbProcedure="false">#ref!</definedName>
    <definedName function="false" hidden="false" localSheetId="10" name="Rpt_Comments" vbProcedure="false">#ref!</definedName>
    <definedName function="false" hidden="false" localSheetId="10" name="Rpt_Logo_Left" vbProcedure="false">#ref!</definedName>
    <definedName function="false" hidden="false" localSheetId="10" name="Rpt_Logo_Right" vbProcedure="false">#ref!</definedName>
    <definedName function="false" hidden="true" localSheetId="10" name="rrr" vbProcedure="false">{#N/A,#N/A,FALSE,"Sheet1"}</definedName>
    <definedName function="false" hidden="false" localSheetId="10" name="RSS_TO_COMPLETE" vbProcedure="false">[129]RSS!$K$197</definedName>
    <definedName function="false" hidden="false" localSheetId="10" name="rtb" vbProcedure="false">'[115]Max-Torq'!$P$61</definedName>
    <definedName function="false" hidden="false" localSheetId="10" name="RthLth" vbProcedure="false">#ref!</definedName>
    <definedName function="false" hidden="false" localSheetId="10" name="Runningtool" vbProcedure="false">[11]DATA!$AO$2:$AO$8</definedName>
    <definedName function="false" hidden="false" localSheetId="10" name="Rupees" vbProcedure="false">'[141]Cash Expense March-96'!$H$6</definedName>
    <definedName function="false" hidden="false" localSheetId="10" name="R_Group_ID" vbProcedure="false">[11]DATA!$T$2:$T$79</definedName>
    <definedName function="false" hidden="false" localSheetId="10" name="S" vbProcedure="false">'[1]run sheet'!#ref!</definedName>
    <definedName function="false" hidden="false" localSheetId="10" name="Salesequipment" vbProcedure="false">[11]DATA!$O$2:$O$268</definedName>
    <definedName function="false" hidden="false" localSheetId="10" name="Salesman" vbProcedure="false">'[108]Pre-Job Info Sheet'!$B$7</definedName>
    <definedName function="false" hidden="false" localSheetId="10" name="Sales_Explosive_Type" vbProcedure="false">'[108]Pre-Job Info Sheet'!$B$24</definedName>
    <definedName function="false" hidden="false" localSheetId="10" name="Sales_Gun_Size" vbProcedure="false">'[108]Pre-Job Info Sheet'!$B$21</definedName>
    <definedName function="false" hidden="false" localSheetId="10" name="Sales_Lease" vbProcedure="false">'[108]Pre-Job Info Sheet'!$D$8</definedName>
    <definedName function="false" hidden="false" localSheetId="10" name="Sales_SPF" vbProcedure="false">'[108]Pre-Job Info Sheet'!$B$22</definedName>
    <definedName function="false" hidden="false" localSheetId="10" name="Sales_Ticket_Number" vbProcedure="false">'[30]Liner Job Info'!$E$11</definedName>
    <definedName function="false" hidden="false" localSheetId="10" name="Sales_Underbalance" vbProcedure="false">'[108]Pre-Job Info Sheet'!$D$35</definedName>
    <definedName function="false" hidden="false" localSheetId="10" name="Sales_Well_Name" vbProcedure="false">'[108]Pre-Job Info Sheet'!$D$6</definedName>
    <definedName function="false" hidden="false" localSheetId="10" name="salinity" vbProcedure="false">'[93]well test sheet'!#ref!</definedName>
    <definedName function="false" hidden="false" localSheetId="10" name="SANDOUT_PRESSURE" vbProcedure="false">'[113]#REF'!$I$107</definedName>
    <definedName function="false" hidden="false" localSheetId="10" name="SAND_ABOVE_PERFS_PREPACK" vbProcedure="false">'[113]#REF'!$F$175</definedName>
    <definedName function="false" hidden="false" localSheetId="10" name="SAND_DIVERTER" vbProcedure="false">'[113]#REF'!$F$56</definedName>
    <definedName function="false" hidden="false" localSheetId="10" name="SAND_GP" vbProcedure="false">'[113]#REF'!$F$64</definedName>
    <definedName function="false" hidden="false" localSheetId="10" name="SAND_IN_CAS_BLNK" vbProcedure="false">'[6]#ref'!#ref!</definedName>
    <definedName function="false" hidden="false" localSheetId="10" name="SAND_IN_CAS_EXT" vbProcedure="false">'[6]#ref'!#ref!</definedName>
    <definedName function="false" hidden="false" localSheetId="10" name="SAND_IN_CAS_PREPACK" vbProcedure="false">'[113]#REF'!$F$81</definedName>
    <definedName function="false" hidden="false" localSheetId="10" name="SAND_IN_CAS_SCR" vbProcedure="false">'[6]#ref'!#ref!</definedName>
    <definedName function="false" hidden="false" localSheetId="10" name="SAND_IN_PERFS" vbProcedure="false">'[113]#REF'!$I$185</definedName>
    <definedName function="false" hidden="false" localSheetId="10" name="SAND_IN_PERFS_PP" vbProcedure="false">'[113]#REF'!$F$82</definedName>
    <definedName function="false" hidden="false" localSheetId="10" name="SAND_PASS_XO_PORT" vbProcedure="false">'[113]#REF'!$E$195</definedName>
    <definedName function="false" hidden="false" localSheetId="10" name="SAND_PERMEABILITY" vbProcedure="false">'[113]#REF'!$I$105</definedName>
    <definedName function="false" hidden="false" localSheetId="10" name="SAND_PLACED_GP" vbProcedure="false">'[113]#REF'!$F$95</definedName>
    <definedName function="false" hidden="false" localSheetId="10" name="SAND_PREPACK" vbProcedure="false">'[113]#REF'!$F$44</definedName>
    <definedName function="false" hidden="false" localSheetId="10" name="SAND_PUMPED_GP" vbProcedure="false">'[113]#REF'!$F$92</definedName>
    <definedName function="false" hidden="false" localSheetId="10" name="SAND_PUMPED_PREPACK" vbProcedure="false">'[113]#REF'!$F$78</definedName>
    <definedName function="false" hidden="false" localSheetId="10" name="SAND_REVOUT_GP" vbProcedure="false">'[113]#REF'!$F$93</definedName>
    <definedName function="false" hidden="false" localSheetId="10" name="SAND_REVOUT_PREPACK" vbProcedure="false">'[113]#REF'!$F$79</definedName>
    <definedName function="false" hidden="false" localSheetId="10" name="Save_Document" vbProcedure="false">[26]!Save_Document</definedName>
    <definedName function="false" hidden="false" localSheetId="10" name="Save_Document_1" vbProcedure="false">'FINAL TALLY'!Save_Document</definedName>
    <definedName function="false" hidden="false" localSheetId="10" name="Save_Document_10" vbProcedure="false">'FINAL TALLY'!Save_Document</definedName>
    <definedName function="false" hidden="false" localSheetId="10" name="Save_Document_11" vbProcedure="false">'FINAL TALLY'!Save_Document</definedName>
    <definedName function="false" hidden="false" localSheetId="10" name="Save_Document_2" vbProcedure="false">'FINAL TALLY'!Save_Document</definedName>
    <definedName function="false" hidden="false" localSheetId="10" name="Save_Document_3" vbProcedure="false">'FINAL TALLY'!Save_Document</definedName>
    <definedName function="false" hidden="false" localSheetId="10" name="Save_Document_4" vbProcedure="false">'FINAL TALLY'!Save_Document</definedName>
    <definedName function="false" hidden="false" localSheetId="10" name="Save_Document_5" vbProcedure="false">'FINAL TALLY'!Save_Document</definedName>
    <definedName function="false" hidden="false" localSheetId="10" name="Save_Document_6" vbProcedure="false">'FINAL TALLY'!Save_Document</definedName>
    <definedName function="false" hidden="false" localSheetId="10" name="Save_Document_7" vbProcedure="false">'FINAL TALLY'!Save_Document</definedName>
    <definedName function="false" hidden="false" localSheetId="10" name="Save_Document_8" vbProcedure="false">'FINAL TALLY'!Save_Document</definedName>
    <definedName function="false" hidden="false" localSheetId="10" name="Save_Document_9" vbProcedure="false">'FINAL TALLY'!Save_Document</definedName>
    <definedName function="false" hidden="false" localSheetId="10" name="SBE" vbProcedure="false">#ref!</definedName>
    <definedName function="false" hidden="false" localSheetId="10" name="SCB" vbProcedure="false">[129]RSS!$B$136:$B$144</definedName>
    <definedName function="false" hidden="false" localSheetId="10" name="SCHE" vbProcedure="false">[16]!Macro1</definedName>
    <definedName function="false" hidden="true" localSheetId="10" name="Schematic"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10" name="Schematic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screenguage" vbProcedure="false">'[113]#REF'!$H$14</definedName>
    <definedName function="false" hidden="false" localSheetId="10" name="screenidlist" vbProcedure="false">[106]Data!$E$79:$F$127</definedName>
    <definedName function="false" hidden="false" localSheetId="10" name="screenlength" vbProcedure="false">'[113]#REF'!$J$14</definedName>
    <definedName function="false" hidden="false" localSheetId="10" name="screenod" vbProcedure="false">'[113]#REF'!$F$14</definedName>
    <definedName function="false" hidden="false" localSheetId="10" name="screentype" vbProcedure="false">'[113]#REF'!$M$14</definedName>
    <definedName function="false" hidden="false" localSheetId="10" name="SCREEN_LENGTH" vbProcedure="false">'[113]#REF'!$J$13</definedName>
    <definedName function="false" hidden="false" localSheetId="10" name="SCREEN_OD" vbProcedure="false">'[113]#REF'!$F$14</definedName>
    <definedName function="false" hidden="false" localSheetId="10" name="sd" vbProcedure="false">null</definedName>
    <definedName function="false" hidden="false" localSheetId="10" name="SDE_23" vbProcedure="false">[72]!Calculate_Pipe</definedName>
    <definedName function="false" hidden="false" localSheetId="10" name="Seals" vbProcedure="false">#ref!</definedName>
    <definedName function="false" hidden="false" localSheetId="10" name="SeatID" vbProcedure="false">[11]DATA!$BC$2:$BC$6</definedName>
    <definedName function="false" hidden="false" localSheetId="10" name="SeatNumber" vbProcedure="false">[11]DATA!$BD$2:$BD$7</definedName>
    <definedName function="false" hidden="false" localSheetId="10" name="SeatShear" vbProcedure="false">[11]DATA!$BE$2:$BE$4</definedName>
    <definedName function="false" hidden="false" localSheetId="10" name="SeatType" vbProcedure="false">[11]DATA!$BB$2:$BB$4</definedName>
    <definedName function="false" hidden="false" localSheetId="10" name="sep_press" vbProcedure="false">'[93]well test sheet'!#ref!</definedName>
    <definedName function="false" hidden="false" localSheetId="10" name="sep_temp" vbProcedure="false">'[93]well test sheet'!#ref!</definedName>
    <definedName function="false" hidden="false" localSheetId="10" name="serialselect1" vbProcedure="false">[26]!serialselect1</definedName>
    <definedName function="false" hidden="false" localSheetId="10" name="serialselect2" vbProcedure="false">[26]!serialselect2</definedName>
    <definedName function="false" hidden="false" localSheetId="10" name="serialselect3" vbProcedure="false">[26]!serialselect3</definedName>
    <definedName function="false" hidden="false" localSheetId="10" name="serialselect4" vbProcedure="false">[26]!serialselect4</definedName>
    <definedName function="false" hidden="false" localSheetId="10" name="ServiceCenter" vbProcedure="false">'[117]Well Installation Drawing'!$L$13</definedName>
    <definedName function="false" hidden="false" localSheetId="10" name="SETTLEMENT_RATE" vbProcedure="false">'[113]#REF'!$I$120</definedName>
    <definedName function="false" hidden="false" localSheetId="10" name="Sett_Tool_Tens" vbProcedure="false">'[11]Liner Job Info'!$P$44</definedName>
    <definedName function="false" hidden="false" localSheetId="10" name="Shear_HR_Mech_Release" vbProcedure="false">'[11]Liner Job Info'!$P$49</definedName>
    <definedName function="false" hidden="false" localSheetId="10" name="SHER" vbProcedure="false">'FINAL TALLY'!SHER</definedName>
    <definedName function="false" hidden="false" localSheetId="10" name="shippedvia" vbProcedure="false">'[31]data '!#ref!</definedName>
    <definedName function="false" hidden="true" localSheetId="10" name="shit" vbProcedure="false">{#N/A,#N/A,FALSE,"Sheet1"}</definedName>
    <definedName function="false" hidden="false" localSheetId="10" name="SHO" vbProcedure="false">[188]钻井日报表!$G$3</definedName>
    <definedName function="false" hidden="false" localSheetId="10" name="ShoeTrack_Vol" vbProcedure="false">'[11]Metric Conversions'!$B$76</definedName>
    <definedName function="false" hidden="false" localSheetId="10" name="ShoeTrack_Volz" vbProcedure="false">'[11]Metric Conversions'!$C$76</definedName>
    <definedName function="false" hidden="false" localSheetId="10" name="Shoe_Track_Length" vbProcedure="false">'[11]Metric Conversions'!$B$19</definedName>
    <definedName function="false" hidden="false" localSheetId="10" name="Shoe_Track_Lengthz" vbProcedure="false">'[11]Liner Job Info'!$D$19</definedName>
    <definedName function="false" hidden="false" localSheetId="10" name="Show_1" vbProcedure="false">[41]!Show_1</definedName>
    <definedName function="false" hidden="false" localSheetId="10" name="Show_1_1" vbProcedure="false">'FINAL TALLY'!Show_1</definedName>
    <definedName function="false" hidden="false" localSheetId="10" name="Show_1_10" vbProcedure="false">'FINAL TALLY'!Show_1</definedName>
    <definedName function="false" hidden="false" localSheetId="10" name="Show_1_11" vbProcedure="false">'FINAL TALLY'!Show_1</definedName>
    <definedName function="false" hidden="false" localSheetId="10" name="Show_1_2" vbProcedure="false">'FINAL TALLY'!Show_1</definedName>
    <definedName function="false" hidden="false" localSheetId="10" name="Show_1_3" vbProcedure="false">'FINAL TALLY'!Show_1</definedName>
    <definedName function="false" hidden="false" localSheetId="10" name="Show_1_4" vbProcedure="false">'FINAL TALLY'!Show_1</definedName>
    <definedName function="false" hidden="false" localSheetId="10" name="Show_1_5" vbProcedure="false">'FINAL TALLY'!Show_1</definedName>
    <definedName function="false" hidden="false" localSheetId="10" name="Show_1_6" vbProcedure="false">'FINAL TALLY'!Show_1</definedName>
    <definedName function="false" hidden="false" localSheetId="10" name="Show_1_7" vbProcedure="false">'FINAL TALLY'!Show_1</definedName>
    <definedName function="false" hidden="false" localSheetId="10" name="Show_1_8" vbProcedure="false">'FINAL TALLY'!Show_1</definedName>
    <definedName function="false" hidden="false" localSheetId="10" name="Show_1_9" vbProcedure="false">'FINAL TALLY'!Show_1</definedName>
    <definedName function="false" hidden="false" localSheetId="10" name="Show_2" vbProcedure="false">[41]!Show_2</definedName>
    <definedName function="false" hidden="false" localSheetId="10" name="Show_2_1" vbProcedure="false">'FINAL TALLY'!Show_2</definedName>
    <definedName function="false" hidden="false" localSheetId="10" name="Show_2_10" vbProcedure="false">'FINAL TALLY'!Show_2</definedName>
    <definedName function="false" hidden="false" localSheetId="10" name="Show_2_11" vbProcedure="false">'FINAL TALLY'!Show_2</definedName>
    <definedName function="false" hidden="false" localSheetId="10" name="Show_2_2" vbProcedure="false">'FINAL TALLY'!Show_2</definedName>
    <definedName function="false" hidden="false" localSheetId="10" name="Show_2_3" vbProcedure="false">'FINAL TALLY'!Show_2</definedName>
    <definedName function="false" hidden="false" localSheetId="10" name="Show_2_4" vbProcedure="false">'FINAL TALLY'!Show_2</definedName>
    <definedName function="false" hidden="false" localSheetId="10" name="Show_2_5" vbProcedure="false">'FINAL TALLY'!Show_2</definedName>
    <definedName function="false" hidden="false" localSheetId="10" name="Show_2_6" vbProcedure="false">'FINAL TALLY'!Show_2</definedName>
    <definedName function="false" hidden="false" localSheetId="10" name="Show_2_7" vbProcedure="false">'FINAL TALLY'!Show_2</definedName>
    <definedName function="false" hidden="false" localSheetId="10" name="Show_2_8" vbProcedure="false">'FINAL TALLY'!Show_2</definedName>
    <definedName function="false" hidden="false" localSheetId="10" name="Show_2_9" vbProcedure="false">'FINAL TALLY'!Show_2</definedName>
    <definedName function="false" hidden="false" localSheetId="10" name="Size" vbProcedure="false">#ref!</definedName>
    <definedName function="false" hidden="false" localSheetId="10" name="SJT_DEPTH" vbProcedure="false">'[113]#REF'!$F$22</definedName>
    <definedName function="false" hidden="false" localSheetId="10" name="SJ_DEPTH" vbProcedure="false">'[113]#REF'!$F$22</definedName>
    <definedName function="false" hidden="false" localSheetId="10" name="SL" vbProcedure="false">[149]BHA!$C$3</definedName>
    <definedName function="false" hidden="false" localSheetId="10" name="SleeveLength" vbProcedure="false">[11]DATA!$AV$2:$AV$4</definedName>
    <definedName function="false" hidden="false" localSheetId="10" name="SLURRY_DENSITY" vbProcedure="false">'[113]#REF'!$F$70</definedName>
    <definedName function="false" hidden="false" localSheetId="10" name="SLURRY_VOL_PREPACK" vbProcedure="false">'[113]#REF'!$F$48</definedName>
    <definedName function="false" hidden="false" localSheetId="10" name="soldto" vbProcedure="false">'[34]Call Sheet'!$AL$3</definedName>
    <definedName function="false" hidden="true" localSheetId="10" name="sort" vbProcedure="false">[166]Sheet1!$A$181:$H$210</definedName>
    <definedName function="false" hidden="false" localSheetId="10" name="SORT_AREA" vbProcedure="false">'[167]DI-ESTI'!$A$8:$R$489</definedName>
    <definedName function="false" hidden="true" localSheetId="10" name="Spacedout" vbProcedure="false">{#N/A,#N/A,FALSE,"Drlg Param Run 1-1";#N/A,#N/A,FALSE,"DDR (3)";#N/A,#N/A,FALSE,"BHA AT (1)";#N/A,#N/A,FALSE,"Downlinkbha";#N/A,#N/A,FALSE,"Job Status Report"}</definedName>
    <definedName function="false" hidden="false" localSheetId="10" name="SpacerType" vbProcedure="false">[11]DATA!$BK$2:$BK$7</definedName>
    <definedName function="false" hidden="false" localSheetId="10" name="Spiral_Type" vbProcedure="false">[11]DATA!$BM$2:$BM$5</definedName>
    <definedName function="false" hidden="false" localSheetId="10" name="SPM" vbProcedure="false">#ref!</definedName>
    <definedName function="false" hidden="false" localSheetId="10" name="SSDHGR" vbProcedure="false">#ref!</definedName>
    <definedName function="false" hidden="false" localSheetId="10" name="ssdsd" vbProcedure="false">'FINAL TALLY'!ssdsd</definedName>
    <definedName function="false" hidden="false" localSheetId="10" name="SSID" vbProcedure="false">'[11]Liner Job Info'!$O$6</definedName>
    <definedName function="false" hidden="true" localSheetId="10" name="sss" vbProcedure="false">{#N/A,#N/A,FALSE,"Drlg Param Run 1-1";#N/A,#N/A,FALSE,"DDR (3)";#N/A,#N/A,FALSE,"BHA AT (1)";#N/A,#N/A,FALSE,"Downlinkbha";#N/A,#N/A,FALSE,"Job Status Report"}</definedName>
    <definedName function="false" hidden="false" localSheetId="10" name="SSSV" vbProcedure="false">#ref!</definedName>
    <definedName function="false" hidden="false" localSheetId="10" name="stages" vbProcedure="false">[5]WTR!$G$52</definedName>
    <definedName function="false" hidden="false" localSheetId="10" name="Stage_Number" vbProcedure="false">'[108]Pre-Job Info Sheet'!$B$15</definedName>
    <definedName function="false" hidden="false" localSheetId="10" name="Start_Here" vbProcedure="false">'[168]9.625 TCP String'!$B$10</definedName>
    <definedName function="false" hidden="false" localSheetId="10" name="state" vbProcedure="false">'[40]CPS Call Sheet'!$AC$7</definedName>
    <definedName function="false" hidden="false" localSheetId="10" name="status" vbProcedure="false">'[154]BPR LOG'!$H$1:$H$1048576</definedName>
    <definedName function="false" hidden="false" localSheetId="10" name="Stretch_DP1_Lnr_Wt" vbProcedure="false">'[11]Metric Conversions'!$B$30</definedName>
    <definedName function="false" hidden="false" localSheetId="10" name="Stretch_DP1_Lnr_Wtz" vbProcedure="false">'[11]Metric Conversions'!$C$30</definedName>
    <definedName function="false" hidden="false" localSheetId="10" name="Stretch_DP2_Lnr_Wt" vbProcedure="false">'[11]Metric Conversions'!$B$31</definedName>
    <definedName function="false" hidden="false" localSheetId="10" name="Stretch_DP2_Lnr_Wtz" vbProcedure="false">'[11]Metric Conversions'!$C$31</definedName>
    <definedName function="false" hidden="false" localSheetId="10" name="Stretch_DP3_Lnr_Wt" vbProcedure="false">'[11]Metric Conversions'!$B$32</definedName>
    <definedName function="false" hidden="false" localSheetId="10" name="Stretch_DP3_Lnr_Wtz" vbProcedure="false">'[11]Metric Conversions'!$C$32</definedName>
    <definedName function="false" hidden="false" localSheetId="10" name="Stretch_DP4_Lnr_Wt" vbProcedure="false">'[11]Metric Conversions'!$B$33</definedName>
    <definedName function="false" hidden="false" localSheetId="10" name="Stretch_DP4_Lnr_Wtz" vbProcedure="false">'[11]Metric Conversions'!$C$33</definedName>
    <definedName function="false" hidden="false" localSheetId="10" name="Stretch_DP5_Lnr_Wt" vbProcedure="false">'[11]Metric Conversions'!$B$34</definedName>
    <definedName function="false" hidden="false" localSheetId="10" name="Stretch_DP5_Lnr_Wtz" vbProcedure="false">'[11]Metric Conversions'!$C$34</definedName>
    <definedName function="false" hidden="false" localSheetId="10" name="Stretch_TTL_Lnr_Wt" vbProcedure="false">'[11]Metric Conversions'!$B$36</definedName>
    <definedName function="false" hidden="false" localSheetId="10" name="Stretch_TTL_Lnr_Wtz" vbProcedure="false">'[11]Metric Conversions'!$C$36</definedName>
    <definedName function="false" hidden="false" localSheetId="10" name="SUBJECT" vbProcedure="false">[187]References!$B$1:$B$15</definedName>
    <definedName function="false" hidden="false" localSheetId="10" name="SubSeaTVD_Column" vbProcedure="false">null</definedName>
    <definedName function="false" hidden="false" localSheetId="10" name="SubSeaTVD_Unit" vbProcedure="false">null</definedName>
    <definedName function="false" hidden="false" localSheetId="10" name="SUMP_DEPTH" vbProcedure="false">'[113]#REF'!$F$23</definedName>
    <definedName function="false" hidden="false" localSheetId="10" name="Surfaceequipment" vbProcedure="false">[11]DATA!$AQ$2:$AQ$11</definedName>
    <definedName function="false" hidden="false" localSheetId="10" name="surfacefracpressure" vbProcedure="false">[106]Data!$F$4</definedName>
    <definedName function="false" hidden="false" localSheetId="10" name="Surf_Equip_Tens" vbProcedure="false">'[11]Liner Job Info'!$P$46</definedName>
    <definedName function="false" hidden="false" localSheetId="10" name="Svy_Print_Area" vbProcedure="false">'[168]9.625 TCP String'!$B$12:$I$3772</definedName>
    <definedName function="false" hidden="false" localSheetId="10" name="SWELL_PKR" vbProcedure="false">INDEX([111]PKR!$F$2:$G$10,MATCH([111]PKR!$H$1,[111]PKR!$F$2:$F$10,0),2)</definedName>
    <definedName function="false" hidden="false" localSheetId="10" name="T" vbProcedure="false">#ref!</definedName>
    <definedName function="false" hidden="false" localSheetId="10" name="t." vbProcedure="false">[49]!Prev.Macro102</definedName>
    <definedName function="false" hidden="false" localSheetId="10" name="Tally" vbProcedure="false">#ref!</definedName>
    <definedName function="false" hidden="false" localSheetId="10" name="tallyc" vbProcedure="false">'[2]run sheet'!#ref!</definedName>
    <definedName function="false" hidden="false" localSheetId="10" name="Tally_2" vbProcedure="false">[192]Tally!$E$5:$G$1004</definedName>
    <definedName function="false" hidden="false" localSheetId="10" name="Tally_3" vbProcedure="false">[192]Tally!$I$5:$K$1004</definedName>
    <definedName function="false" hidden="false" localSheetId="10" name="Taper_String_Grade" vbProcedure="false">'[108]Pre-Job Info Sheet'!$D$31</definedName>
    <definedName function="false" hidden="false" localSheetId="10" name="Taper_String_Size" vbProcedure="false">'[108]Pre-Job Info Sheet'!$D$29</definedName>
    <definedName function="false" hidden="false" localSheetId="10" name="Taper_String_Type" vbProcedure="false">'[108]Pre-Job Info Sheet'!$D$28</definedName>
    <definedName function="false" hidden="false" localSheetId="10" name="Taper_String_Wt._Ft." vbProcedure="false">'[108]Pre-Job Info Sheet'!$D$30</definedName>
    <definedName function="false" hidden="true" localSheetId="10" name="targe"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Target" vbProcedure="false">#ref!,#ref!</definedName>
    <definedName function="false" hidden="false" localSheetId="10" name="TARIQ" vbProcedure="false">[145]!Calculate_Pipe</definedName>
    <definedName function="false" hidden="false" localSheetId="10" name="Tbg" vbProcedure="false">#ref!</definedName>
    <definedName function="false" hidden="false" localSheetId="10" name="TbgDrift1" vbProcedure="false">'[94]Job Technical Info'!$G$35</definedName>
    <definedName function="false" hidden="false" localSheetId="10" name="TbgDrift2" vbProcedure="false">'[94]Job Technical Info'!$G$36</definedName>
    <definedName function="false" hidden="false" localSheetId="10" name="TbgDrift3" vbProcedure="false">'[94]Job Technical Info'!$G$37</definedName>
    <definedName function="false" hidden="false" localSheetId="10" name="TbgDrift4" vbProcedure="false">'[94]Job Technical Info'!$G$38</definedName>
    <definedName function="false" hidden="false" localSheetId="10" name="TbgGrade" vbProcedure="false">#ref!</definedName>
    <definedName function="false" hidden="false" localSheetId="10" name="TbgGrd1" vbProcedure="false">'[94]Job Technical Info'!$H$35</definedName>
    <definedName function="false" hidden="false" localSheetId="10" name="TbgGrd2" vbProcedure="false">'[94]Job Technical Info'!$H$36</definedName>
    <definedName function="false" hidden="false" localSheetId="10" name="TbgGrd3" vbProcedure="false">'[94]Job Technical Info'!$H$37</definedName>
    <definedName function="false" hidden="false" localSheetId="10" name="TbgGrd4" vbProcedure="false">'[94]Job Technical Info'!$H$38</definedName>
    <definedName function="false" hidden="false" localSheetId="10" name="TbgID1" vbProcedure="false">'[94]Job Technical Info'!$F$35</definedName>
    <definedName function="false" hidden="false" localSheetId="10" name="TbgID2" vbProcedure="false">'[94]Job Technical Info'!$F$36</definedName>
    <definedName function="false" hidden="false" localSheetId="10" name="TbgID3" vbProcedure="false">'[94]Job Technical Info'!$F$37</definedName>
    <definedName function="false" hidden="false" localSheetId="10" name="TbgID4" vbProcedure="false">'[94]Job Technical Info'!$F$38</definedName>
    <definedName function="false" hidden="false" localSheetId="10" name="TbgSize" vbProcedure="false">#ref!</definedName>
    <definedName function="false" hidden="false" localSheetId="10" name="TbgSz1" vbProcedure="false">'[94]Job Technical Info'!$D$35</definedName>
    <definedName function="false" hidden="false" localSheetId="10" name="TbgSz2" vbProcedure="false">'[94]Job Technical Info'!$D$36</definedName>
    <definedName function="false" hidden="false" localSheetId="10" name="TbgSz3" vbProcedure="false">'[94]Job Technical Info'!$D$37</definedName>
    <definedName function="false" hidden="false" localSheetId="10" name="TbgSz4" vbProcedure="false">'[94]Job Technical Info'!$D$38</definedName>
    <definedName function="false" hidden="false" localSheetId="10" name="TbgThd1" vbProcedure="false">'[94]Job Technical Info'!$J$35</definedName>
    <definedName function="false" hidden="false" localSheetId="10" name="TbgThd2" vbProcedure="false">'[94]Job Technical Info'!$J$36</definedName>
    <definedName function="false" hidden="false" localSheetId="10" name="TbgThd3" vbProcedure="false">'[94]Job Technical Info'!$J$37</definedName>
    <definedName function="false" hidden="false" localSheetId="10" name="TbgThd4" vbProcedure="false">'[94]Job Technical Info'!$J$38</definedName>
    <definedName function="false" hidden="false" localSheetId="10" name="TbgWt1" vbProcedure="false">'[94]Job Technical Info'!$E$35</definedName>
    <definedName function="false" hidden="false" localSheetId="10" name="TbgWt2" vbProcedure="false">'[94]Job Technical Info'!$E$36</definedName>
    <definedName function="false" hidden="false" localSheetId="10" name="TbgWt3" vbProcedure="false">'[94]Job Technical Info'!$E$37</definedName>
    <definedName function="false" hidden="false" localSheetId="10" name="TbgWt4" vbProcedure="false">'[94]Job Technical Info'!$E$38</definedName>
    <definedName function="false" hidden="false" localSheetId="10" name="TB_Ext_API_Coll" vbProcedure="false">'[11]Metric Conversions'!$B$55</definedName>
    <definedName function="false" hidden="false" localSheetId="10" name="TB_Ext_API_Collz" vbProcedure="false">'[11]Liner Job Info'!$P$37</definedName>
    <definedName function="false" hidden="false" localSheetId="10" name="TB_Ext_Bst" vbProcedure="false">'[11]Metric Conversions'!$B$54</definedName>
    <definedName function="false" hidden="false" localSheetId="10" name="TB_Ext_Bstz" vbProcedure="false">'[11]Liner Job Info'!$P$36</definedName>
    <definedName function="false" hidden="false" localSheetId="10" name="TB_EXT_ID" vbProcedure="false">'[11]Liner Job Info'!$P$35</definedName>
    <definedName function="false" hidden="false" localSheetId="10" name="TB_Ext_Yield_Collz" vbProcedure="false">'[11]Liner Job Info'!$P$38</definedName>
    <definedName function="false" hidden="false" localSheetId="10" name="TD_Depth_md" vbProcedure="false">'[70]well specification'!#ref!</definedName>
    <definedName function="false" hidden="false" localSheetId="10" name="TD_md" vbProcedure="false">'[70]well specification'!#ref!</definedName>
    <definedName function="false" hidden="false" localSheetId="10" name="tedtr" vbProcedure="false">'[115]Max-Torq'!$P$72</definedName>
    <definedName function="false" hidden="true" localSheetId="10" name="teks"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TELY" vbProcedure="false">#ref!</definedName>
    <definedName function="false" hidden="false" localSheetId="10" name="Temperature" vbProcedure="false">#ref!</definedName>
    <definedName function="false" hidden="false" localSheetId="10" name="TENDER" vbProcedure="false">'[88]Report Long(Esso)'!$E$4</definedName>
    <definedName function="false" hidden="false" localSheetId="10" name="tens" vbProcedure="false">'[115]Max-Torq'!$N$58</definedName>
    <definedName function="false" hidden="false" localSheetId="10" name="terry1" vbProcedure="false">{#N/A,#N/A,FALSE,"Volume"}</definedName>
    <definedName function="false" hidden="false" localSheetId="10" name="terry2" vbProcedure="false">{#N/A,#N/A,FALSE,"Volume"}</definedName>
    <definedName function="false" hidden="false" localSheetId="10" name="terry3" vbProcedure="false">{#N/A,#N/A,FALSE,"Volume"}</definedName>
    <definedName function="false" hidden="false" localSheetId="10" name="terry4" vbProcedure="false">{#N/A,#N/A,FALSE,"Volume"}</definedName>
    <definedName function="false" hidden="false" localSheetId="10" name="terry5" vbProcedure="false">{#N/A,#N/A,FALSE,"Volume"}</definedName>
    <definedName function="false" hidden="false" localSheetId="10" name="TEST" vbProcedure="false">#ref!</definedName>
    <definedName function="false" hidden="false" localSheetId="10" name="Test_po_out_1" vbProcedure="false">[11]Test!$M$28</definedName>
    <definedName function="false" hidden="false" localSheetId="10" name="Test_po_out_2" vbProcedure="false">[11]Test!$M$29</definedName>
    <definedName function="false" hidden="false" localSheetId="10" name="textfive" vbProcedure="false">'FINAL TALLY'!textfive</definedName>
    <definedName function="false" hidden="false" localSheetId="10" name="textfivehalf" vbProcedure="false">'FINAL TALLY'!textfivehalf</definedName>
    <definedName function="false" hidden="false" localSheetId="10" name="textninefiveeightfourfirst" vbProcedure="false">'FINAL TALLY'!textninefiveeightfourfirst</definedName>
    <definedName function="false" hidden="false" localSheetId="10" name="textninefiveeightfoursecond" vbProcedure="false">'FINAL TALLY'!textninefiveeightfoursecond</definedName>
    <definedName function="false" hidden="false" localSheetId="10" name="textninefiveeightsixfirst" vbProcedure="false">'FINAL TALLY'!textninefiveeightsixfirst</definedName>
    <definedName function="false" hidden="false" localSheetId="10" name="textninefiveeightsixsecond" vbProcedure="false">'FINAL TALLY'!textninefiveeightsixsecond</definedName>
    <definedName function="false" hidden="false" localSheetId="10" name="textsevenfiveeightfour" vbProcedure="false">'FINAL TALLY'!textsevenfiveeightfour</definedName>
    <definedName function="false" hidden="false" localSheetId="10" name="textsevenfiveeightthree" vbProcedure="false">'FINAL TALLY'!textsevenfiveeightthree</definedName>
    <definedName function="false" hidden="false" localSheetId="10" name="textsevenfour" vbProcedure="false">'FINAL TALLY'!textsevenfour</definedName>
    <definedName function="false" hidden="false" localSheetId="10" name="textseventhree" vbProcedure="false">'FINAL TALLY'!textseventhree</definedName>
    <definedName function="false" hidden="false" localSheetId="10" name="text_five" vbProcedure="false">'FINAL TALLY'!text_five</definedName>
    <definedName function="false" hidden="false" localSheetId="10" name="text_fivehalf" vbProcedure="false">'FINAL TALLY'!text_fivehalf</definedName>
    <definedName function="false" hidden="false" localSheetId="10" name="text_ninefiveeightfourfirst" vbProcedure="false">'FINAL TALLY'!text_ninefiveeightfourfirst</definedName>
    <definedName function="false" hidden="false" localSheetId="10" name="text_ninefiveeightfoursecond" vbProcedure="false">'FINAL TALLY'!text_ninefiveeightfoursecond</definedName>
    <definedName function="false" hidden="false" localSheetId="10" name="text_ninefiveeightsixfirst" vbProcedure="false">'FINAL TALLY'!text_ninefiveeightsixfirst</definedName>
    <definedName function="false" hidden="false" localSheetId="10" name="text_ninefiveeightsixsecond" vbProcedure="false">'FINAL TALLY'!text_ninefiveeightsixsecond</definedName>
    <definedName function="false" hidden="false" localSheetId="10" name="text_sevenfiveeightfour" vbProcedure="false">'FINAL TALLY'!text_sevenfiveeightfour</definedName>
    <definedName function="false" hidden="false" localSheetId="10" name="text_sevenfiveeightthree" vbProcedure="false">'FINAL TALLY'!text_sevenfiveeightthree</definedName>
    <definedName function="false" hidden="false" localSheetId="10" name="text_sevenfour" vbProcedure="false">'FINAL TALLY'!text_sevenfour</definedName>
    <definedName function="false" hidden="false" localSheetId="10" name="text_seventhree" vbProcedure="false">'FINAL TALLY'!text_seventhree</definedName>
    <definedName function="false" hidden="false" localSheetId="10" name="tgrade" vbProcedure="false">[157]Control!$D$9</definedName>
    <definedName function="false" hidden="false" localSheetId="10" name="TGW" vbProcedure="false">'FINAL TALLY'!TGW</definedName>
    <definedName function="false" hidden="false" localSheetId="10" name="ThreadCon" vbProcedure="false">#ref!</definedName>
    <definedName function="false" hidden="false" localSheetId="10" name="ticketdate" vbProcedure="false">'[34]Call Sheet'!$AH$1</definedName>
    <definedName function="false" hidden="false" localSheetId="10" name="tickettype" vbProcedure="false">[53]data!#ref!</definedName>
    <definedName function="false" hidden="false" localSheetId="10" name="time" vbProcedure="false">'[93]well test sheet'!#ref!</definedName>
    <definedName function="false" hidden="false" localSheetId="10" name="Time_1" vbProcedure="false">#ref!</definedName>
    <definedName function="false" hidden="false" localSheetId="10" name="Time_2" vbProcedure="false">#ref!</definedName>
    <definedName function="false" hidden="false" localSheetId="10" name="TLCENG" vbProcedure="false">[185]Reference!$D$2</definedName>
    <definedName function="false" hidden="false" localSheetId="10" name="TLDENG" vbProcedure="false">[185]Reference!$C$2</definedName>
    <definedName function="false" hidden="false" localSheetId="10" name="TLDOPS" vbProcedure="false">[185]Reference!$E$2:$E$3</definedName>
    <definedName function="false" hidden="false" localSheetId="10" name="TOL" vbProcedure="false">'[130]Metric Conversions'!$B$28</definedName>
    <definedName function="false" hidden="false" localSheetId="10" name="TOLz" vbProcedure="false">'[11]Liner Job Info'!$I$19</definedName>
    <definedName function="false" hidden="false" localSheetId="10" name="ToolMaterial" vbProcedure="false">[11]DATA!$BN$2:$BN$8</definedName>
    <definedName function="false" hidden="false" localSheetId="10" name="Tool_ID" vbProcedure="false">[11]DATA!$P$2:$P$268</definedName>
    <definedName function="false" hidden="false" localSheetId="10" name="TOPPKRIMG" vbProcedure="false">INDEX([172]PKR!$A$16:$B$17,MATCH([172]INPUT!$G$56,[172]PKR!$A$16:$A$17,0),2)</definedName>
    <definedName function="false" hidden="false" localSheetId="10" name="TOPPKRIMG_1" vbProcedure="false">INDEX([161]PKR!$A$16:$B$18,MATCH([161]INPUT!$G$56,[161]PKR!$A$16:$A$18,0),2)</definedName>
    <definedName function="false" hidden="false" localSheetId="10" name="Top_Drive_y_n" vbProcedure="false">'[45]liner job info'!#ref!</definedName>
    <definedName function="false" hidden="false" localSheetId="10" name="Top_Perf._TVD" vbProcedure="false">'[108]Pre-Job Info Sheet'!$B$30</definedName>
    <definedName function="false" hidden="false" localSheetId="10" name="Top_Perforation" vbProcedure="false">'[108]Pre-Job Info Sheet'!$B$28</definedName>
    <definedName function="false" hidden="false" localSheetId="10" name="Total_DP_Wt" vbProcedure="false">'[11]Weight Calculations'!$H$13</definedName>
    <definedName function="false" hidden="false" localSheetId="10" name="Total_Length_of_BHA" vbProcedure="false">'[108]TCP-BHA'!$H$47</definedName>
    <definedName function="false" hidden="false" localSheetId="10" name="TOT_ANN_CAP" vbProcedure="false">'[113]#REF'!$G$189</definedName>
    <definedName function="false" hidden="false" localSheetId="10" name="Tot_Bottoms_Upz" vbProcedure="false">'[11]Metric Conversions'!$C$90</definedName>
    <definedName function="false" hidden="false" localSheetId="10" name="TOT_CAP_HOLE" vbProcedure="false">'[113]#REF'!$G$190</definedName>
    <definedName function="false" hidden="false" localSheetId="10" name="Tot_DP_Vol" vbProcedure="false">'[11]Metric Conversions'!$B$75</definedName>
    <definedName function="false" hidden="false" localSheetId="10" name="Tot_DP_Volz" vbProcedure="false">'[11]Metric Conversions'!$C$75</definedName>
    <definedName function="false" hidden="false" localSheetId="10" name="Tot_Liner_Wt" vbProcedure="false">'[11]Weight Calculations'!$H$18</definedName>
    <definedName function="false" hidden="false" localSheetId="10" name="Tot_Lnr_Vol_to_LC" vbProcedure="false">'[11]Metric Conversions'!$B$79</definedName>
    <definedName function="false" hidden="false" localSheetId="10" name="Tot_Lnr_Vol_to_LCz" vbProcedure="false">'[11]Metric Conversions'!$C$79</definedName>
    <definedName function="false" hidden="false" localSheetId="10" name="TOT_SAND_2B_PUMPED" vbProcedure="false">'[6]#ref'!#ref!</definedName>
    <definedName function="false" hidden="false" localSheetId="10" name="TOT_SAND_COV_BLANK" vbProcedure="false">'[113]#REF'!$H$136</definedName>
    <definedName function="false" hidden="false" localSheetId="10" name="TOT_SAND_COV_SCREEN" vbProcedure="false">'[113]#REF'!$H$135</definedName>
    <definedName function="false" hidden="false" localSheetId="10" name="TOT_SAND_IN_PERFS" vbProcedure="false">'[113]#REF'!$F$137</definedName>
    <definedName function="false" hidden="false" localSheetId="10" name="TOT_SAND_PLACED" vbProcedure="false">'[113]#REF'!$F$131</definedName>
    <definedName function="false" hidden="false" localSheetId="10" name="TOT_SAND_REVOUT" vbProcedure="false">'[6]#ref'!#ref!</definedName>
    <definedName function="false" hidden="false" localSheetId="10" name="Tot_Vol_to_Bump_Plugs" vbProcedure="false">'[11]Metric Conversions'!$B$80</definedName>
    <definedName function="false" hidden="false" localSheetId="10" name="Tot_Vol_to_Bump_Plugsz" vbProcedure="false">'[11]Metric Conversions'!$C$80</definedName>
    <definedName function="false" hidden="false" localSheetId="10" name="Tot_Vol_to_Shoez" vbProcedure="false">'[11]Metric Conversions'!$C$81</definedName>
    <definedName function="false" hidden="false" localSheetId="10" name="tpermit" vbProcedure="false">[157]Control!$D$5</definedName>
    <definedName function="false" hidden="false" localSheetId="10" name="TQW" vbProcedure="false">'FINAL TALLY'!TQW</definedName>
    <definedName function="false" hidden="false" localSheetId="10" name="tr" vbProcedure="false">null</definedName>
    <definedName function="false" hidden="false" localSheetId="10" name="transport" vbProcedure="false">[53]data!#ref!</definedName>
    <definedName function="false" hidden="false" localSheetId="10" name="treatment" vbProcedure="false">[53]data!#ref!</definedName>
    <definedName function="false" hidden="false" localSheetId="10" name="try" vbProcedure="false">[173]Calculos!$K$3:$V$31</definedName>
    <definedName function="false" hidden="false" localSheetId="10" name="TR_Column" vbProcedure="false">null</definedName>
    <definedName function="false" hidden="false" localSheetId="10" name="TR_Unit" vbProcedure="false">null</definedName>
    <definedName function="false" hidden="false" localSheetId="10" name="tshoe" vbProcedure="false">[157]Drillers!$Q$20</definedName>
    <definedName function="false" hidden="false" localSheetId="10" name="tsize" vbProcedure="false">[157]Control!$D$7</definedName>
    <definedName function="false" hidden="false" localSheetId="10" name="TST" vbProcedure="false">'[30]Liner Job Info'!$O$5</definedName>
    <definedName function="false" hidden="false" localSheetId="10" name="tstickup" vbProcedure="false">[157]Drillers!$O$20</definedName>
    <definedName function="false" hidden="false" localSheetId="10" name="TS_pricelist" vbProcedure="false">[139]Pricelist!$A$57:$B$65</definedName>
    <definedName function="false" hidden="false" localSheetId="10" name="Tubing" vbProcedure="false">[174]Tubing!$B$7:$I$142</definedName>
    <definedName function="false" hidden="false" localSheetId="10" name="TubingAverage" vbProcedure="false">((SUM([26]!NosOfTubing))-(MakeupLoss*COUNT([26]!NosOfTubing)))/COUNT([26]!NosOfTubing)</definedName>
    <definedName function="false" hidden="false" localSheetId="10" name="tubingInfo" vbProcedure="false">#ref!</definedName>
    <definedName function="false" hidden="false" localSheetId="10" name="TubingLength" vbProcedure="false">#ref!</definedName>
    <definedName function="false" hidden="false" localSheetId="10" name="tubingmat" vbProcedure="false">#ref!</definedName>
    <definedName function="false" hidden="false" localSheetId="10" name="TubingOD" vbProcedure="false">[94]Lists!$AH$3:$AH$297</definedName>
    <definedName function="false" hidden="false" localSheetId="10" name="tubingSG" vbProcedure="false">#ref!</definedName>
    <definedName function="false" hidden="false" localSheetId="10" name="tubingsize" vbProcedure="false">#ref!</definedName>
    <definedName function="false" hidden="false" localSheetId="10" name="TubingSizes" vbProcedure="false">[94]Lists!$H$2:$H$14</definedName>
    <definedName function="false" hidden="false" localSheetId="10" name="tubingtype" vbProcedure="false">#ref!</definedName>
    <definedName function="false" hidden="false" localSheetId="10" name="tubingW" vbProcedure="false">#ref!</definedName>
    <definedName function="false" hidden="false" localSheetId="10" name="tubingweight" vbProcedure="false">[83]!TubTable[id LIST (in)]</definedName>
    <definedName function="false" hidden="false" localSheetId="10" name="tubingweigth" vbProcedure="false">#ref!</definedName>
    <definedName function="false" hidden="false" localSheetId="10" name="TVD_MID_PERF" vbProcedure="false">'[113]#REF'!$F$25</definedName>
    <definedName function="false" hidden="false" localSheetId="10" name="TV_TVD" vbProcedure="false">'[108]Tester Valve Calcs'!$F$20</definedName>
    <definedName function="false" hidden="false" localSheetId="10" name="TV_Vol" vbProcedure="false">'[108]Tester Valve Calcs'!$M$17</definedName>
    <definedName function="false" hidden="false" localSheetId="10" name="tweight" vbProcedure="false">[157]Control!$D$8</definedName>
    <definedName function="false" hidden="false" localSheetId="10" name="twell" vbProcedure="false">[157]Control!$D$4</definedName>
    <definedName function="false" hidden="true" localSheetId="10" name="twstest"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TYJEJE" vbProcedure="false">'FINAL TALLY'!TYJEJE</definedName>
    <definedName function="false" hidden="false" localSheetId="10" name="TYPE" vbProcedure="false">[187]References!$F$1:$F$2</definedName>
    <definedName function="false" hidden="false" localSheetId="10" name="TYPEOFPLUG" vbProcedure="false">'[193]DATA CALL OUT'!$C$1:$C$65536</definedName>
    <definedName function="false" hidden="false" localSheetId="10" name="T_ABOP" vbProcedure="false">'[94]Physical Barrier Check Form'!$B$15</definedName>
    <definedName function="false" hidden="false" localSheetId="10" name="T_BFluidColumn" vbProcedure="false">'[94]Physical Barrier Check Form'!$B$19</definedName>
    <definedName function="false" hidden="false" localSheetId="10" name="T_BHP" vbProcedure="false">'[94]Job Technical Info'!$A$42</definedName>
    <definedName function="false" hidden="false" localSheetId="10" name="T_BHT" vbProcedure="false">'[94]Job Technical Info'!$C$42</definedName>
    <definedName function="false" hidden="false" localSheetId="10" name="T_Casing1" vbProcedure="false">'[94]Job Technical Info'!$B$25</definedName>
    <definedName function="false" hidden="false" localSheetId="10" name="T_Casing2" vbProcedure="false">'[94]Job Technical Info'!$B$26</definedName>
    <definedName function="false" hidden="false" localSheetId="10" name="T_Casing3" vbProcedure="false">'[94]Job Technical Info'!$B$27</definedName>
    <definedName function="false" hidden="false" localSheetId="10" name="T_Casing4" vbProcedure="false">'[94]Job Technical Info'!$B$28</definedName>
    <definedName function="false" hidden="false" localSheetId="10" name="T_Ccasing" vbProcedure="false">'[94]Physical Barrier Check Form'!$B$23</definedName>
    <definedName function="false" hidden="false" localSheetId="10" name="T_CustomerProject" vbProcedure="false">[94]Schematic!$A$8</definedName>
    <definedName function="false" hidden="false" localSheetId="10" name="T_C_H" vbProcedure="false">'[47]12(762mm)套管'!#ref!</definedName>
    <definedName function="false" hidden="false" localSheetId="10" name="T_Description" vbProcedure="false">[94]Schematic!$D$31</definedName>
    <definedName function="false" hidden="false" localSheetId="10" name="T_District" vbProcedure="false">'[94]Physical Barrier Check Form'!$B$4</definedName>
    <definedName function="false" hidden="false" localSheetId="10" name="T_DProductionPacker" vbProcedure="false">'[94]Physical Barrier Check Form'!$B$27</definedName>
    <definedName function="false" hidden="false" localSheetId="10" name="T_Drift" vbProcedure="false">'[94]Job Technical Info'!$G$23</definedName>
    <definedName function="false" hidden="false" localSheetId="10" name="T_Dual" vbProcedure="false">#ref!</definedName>
    <definedName function="false" hidden="false" localSheetId="10" name="T_EBridgePlug" vbProcedure="false">'[94]Physical Barrier Check Form'!$B$31</definedName>
    <definedName function="false" hidden="false" localSheetId="10" name="T_FluidType" vbProcedure="false">'[94]Job Technical Info'!$E$42</definedName>
    <definedName function="false" hidden="false" localSheetId="10" name="T_FluidWeight" vbProcedure="false">'[94]Job Technical Info'!$G$42</definedName>
    <definedName function="false" hidden="false" localSheetId="10" name="T_FOtherBarriers" vbProcedure="false">'[94]Physical Barrier Check Form'!$B$35</definedName>
    <definedName function="false" hidden="false" localSheetId="10" name="T_Grade" vbProcedure="false">'[94]Job Technical Info'!$H$23</definedName>
    <definedName function="false" hidden="false" localSheetId="10" name="T_ID" vbProcedure="false">'[94]Job Technical Info'!$F$23</definedName>
    <definedName function="false" hidden="false" localSheetId="10" name="T_Length" vbProcedure="false">[94]Schematic!$M$31</definedName>
    <definedName function="false" hidden="false" localSheetId="10" name="T_Liner1" vbProcedure="false">'[94]Job Technical Info'!$B$29</definedName>
    <definedName function="false" hidden="false" localSheetId="10" name="T_Liner2" vbProcedure="false">'[94]Job Technical Info'!$B$30</definedName>
    <definedName function="false" hidden="false" localSheetId="10" name="T_MaxDev" vbProcedure="false">[94]Schematic!$M$10</definedName>
    <definedName function="false" hidden="false" localSheetId="10" name="T_No" vbProcedure="false">[94]Schematic!$C$31</definedName>
    <definedName function="false" hidden="false" localSheetId="10" name="T_Notes" vbProcedure="false">'[94]Physical Barrier Check Form'!$H$13</definedName>
    <definedName function="false" hidden="false" localSheetId="10" name="T_OD" vbProcedure="false">'[94]Job Technical Info'!$D$23</definedName>
    <definedName function="false" hidden="false" localSheetId="10" name="T_Thread" vbProcedure="false">'[94]Job Technical Info'!$J$23</definedName>
    <definedName function="false" hidden="false" localSheetId="10" name="T_Tubing1" vbProcedure="false">'[94]Job Technical Info'!$B$35</definedName>
    <definedName function="false" hidden="false" localSheetId="10" name="T_Tubing2" vbProcedure="false">'[94]Job Technical Info'!$B$36</definedName>
    <definedName function="false" hidden="false" localSheetId="10" name="T_Tubing3" vbProcedure="false">'[94]Job Technical Info'!$B$37</definedName>
    <definedName function="false" hidden="false" localSheetId="10" name="T_Tubing4" vbProcedure="false">'[94]Job Technical Info'!$B$38</definedName>
    <definedName function="false" hidden="false" localSheetId="10" name="T_Tubulars" vbProcedure="false">'[94]Job Technical Info'!$B$23</definedName>
    <definedName function="false" hidden="false" localSheetId="10" name="T_Weight" vbProcedure="false">'[94]Job Technical Info'!$E$23</definedName>
    <definedName function="false" hidden="false" localSheetId="10" name="T_Workstring1" vbProcedure="false">'[94]Job Technical Info'!$B$31</definedName>
    <definedName function="false" hidden="false" localSheetId="10" name="T_Workstring2" vbProcedure="false">'[94]Job Technical Info'!$B$32</definedName>
    <definedName function="false" hidden="false" localSheetId="10" name="T_Workstring3" vbProcedure="false">'[94]Job Technical Info'!$B$33</definedName>
    <definedName function="false" hidden="false" localSheetId="10" name="T_Workstring4" vbProcedure="false">'[94]Job Technical Info'!$B$34</definedName>
    <definedName function="false" hidden="false" localSheetId="10" name="U" vbProcedure="false">[176]Lists!$A$1:$A$3</definedName>
    <definedName function="false" hidden="false" localSheetId="10" name="Underbalance" vbProcedure="false">'[108]Job Calculation Sheet'!$H$34</definedName>
    <definedName function="false" hidden="true" localSheetId="10" name="UNI_AA_VERSION" vbProcedure="false">"322.2.0"</definedName>
    <definedName function="false" hidden="false" localSheetId="10" name="Used" vbProcedure="false">[11]DATA!$AR$2:$AR$3</definedName>
    <definedName function="false" hidden="false" localSheetId="10" name="Using_Hanger" vbProcedure="false">'[11]Liner Job Info'!$D$38</definedName>
    <definedName function="false" hidden="false" localSheetId="10" name="Using_Packer" vbProcedure="false">'[11]Liner Job Info'!$P$30</definedName>
    <definedName function="false" hidden="false" localSheetId="10" name="VALIDCURR" vbProcedure="false">[177]Currency!$A$1:$A$170</definedName>
    <definedName function="false" hidden="false" localSheetId="10" name="Vallist" vbProcedure="false">'[11]Casing Info'!$A$2:$A$34</definedName>
    <definedName function="false" hidden="false" localSheetId="10" name="vallist2" vbProcedure="false">#N/A</definedName>
    <definedName function="false" hidden="false" localSheetId="10" name="vbcode.draw_blanks" vbProcedure="false">'FINAL TALLY'!vbcode.draw_blanks</definedName>
    <definedName function="false" hidden="false" localSheetId="10" name="vbcode.draw_linerfirst" vbProcedure="false">'FINAL TALLY'!vbcode.draw_linerfirst</definedName>
    <definedName function="false" hidden="false" localSheetId="10" name="vbcode.draw_linersecond" vbProcedure="false">'FINAL TALLY'!vbcode.draw_linersecond</definedName>
    <definedName function="false" hidden="false" localSheetId="10" name="vbcode.draw_miscellaneous" vbProcedure="false">'FINAL TALLY'!vbcode.draw_miscellaneous</definedName>
    <definedName function="false" hidden="false" localSheetId="10" name="vbcode.draw_productionfirst" vbProcedure="false">'FINAL TALLY'!vbcode.draw_productionfirst</definedName>
    <definedName function="false" hidden="false" localSheetId="10" name="vbcode.draw_productionsecond" vbProcedure="false">'FINAL TALLY'!vbcode.draw_productionsecond</definedName>
    <definedName function="false" hidden="false" localSheetId="10" name="vbcode.draw_quantum" vbProcedure="false">'FINAL TALLY'!vbcode.draw_quantum</definedName>
    <definedName function="false" hidden="false" localSheetId="10" name="vbcode.draw_screens" vbProcedure="false">'FINAL TALLY'!vbcode.draw_screens</definedName>
    <definedName function="false" hidden="false" localSheetId="10" name="vbcode.draw_shearsubs" vbProcedure="false">'FINAL TALLY'!vbcode.draw_shearsubs</definedName>
    <definedName function="false" hidden="false" localSheetId="10" name="vbcode.draw_sump" vbProcedure="false">'FINAL TALLY'!vbcode.draw_sump</definedName>
    <definedName function="false" hidden="false" localSheetId="10" name="vbcode.text_five" vbProcedure="false">'FINAL TALLY'!vbcode.text_five</definedName>
    <definedName function="false" hidden="false" localSheetId="10" name="vbcode.text_fivehalf" vbProcedure="false">'FINAL TALLY'!vbcode.text_fivehalf</definedName>
    <definedName function="false" hidden="false" localSheetId="10" name="vbcode.text_ninefiveeightfourfirst" vbProcedure="false">'FINAL TALLY'!vbcode.text_ninefiveeightfourfirst</definedName>
    <definedName function="false" hidden="false" localSheetId="10" name="vbcode.text_ninefiveeightfoursecond" vbProcedure="false">'FINAL TALLY'!vbcode.text_ninefiveeightfoursecond</definedName>
    <definedName function="false" hidden="false" localSheetId="10" name="vbcode.text_ninefiveeightsixfirst" vbProcedure="false">'FINAL TALLY'!vbcode.text_ninefiveeightsixfirst</definedName>
    <definedName function="false" hidden="false" localSheetId="10" name="vbcode.text_ninefiveeightsixsecond" vbProcedure="false">'FINAL TALLY'!vbcode.text_ninefiveeightsixsecond</definedName>
    <definedName function="false" hidden="false" localSheetId="10" name="vbcode.text_sevenfiveeightfour" vbProcedure="false">'FINAL TALLY'!vbcode.text_sevenfiveeightfour</definedName>
    <definedName function="false" hidden="false" localSheetId="10" name="vbcode.text_sevenfiveeightthree" vbProcedure="false">'FINAL TALLY'!vbcode.text_sevenfiveeightthree</definedName>
    <definedName function="false" hidden="false" localSheetId="10" name="vbcode.text_sevenfour" vbProcedure="false">'FINAL TALLY'!vbcode.text_sevenfour</definedName>
    <definedName function="false" hidden="false" localSheetId="10" name="vbcode.text_seventhree" vbProcedure="false">'FINAL TALLY'!vbcode.text_seventhree</definedName>
    <definedName function="false" hidden="false" localSheetId="10" name="Verticaldepth" vbProcedure="false">'[129]Front Page Info'!$C$18</definedName>
    <definedName function="false" hidden="false" localSheetId="10" name="vfdvf" vbProcedure="false">[174]!Macro61</definedName>
    <definedName function="false" hidden="false" localSheetId="10" name="volume1" vbProcedure="false">{#N/A,#N/A,FALSE,"Volume"}</definedName>
    <definedName function="false" hidden="false" localSheetId="10" name="VOL_MULE_SHOE" vbProcedure="false">'[113]#REF'!$F$178</definedName>
    <definedName function="false" hidden="false" localSheetId="10" name="VS" vbProcedure="false">'[95]MACRO125 '!$F$6</definedName>
    <definedName function="false" hidden="false" localSheetId="10" name="vvv" vbProcedure="false">[119]钻井日报表!$E$7</definedName>
    <definedName function="false" hidden="false" localSheetId="10" name="vvvdf" vbProcedure="false">[119]钻井日报表!$G$8</definedName>
    <definedName function="false" hidden="false" localSheetId="10" name="vvvvv" vbProcedure="false">[79]!Macro60</definedName>
    <definedName function="false" hidden="false" localSheetId="10" name="WBJobRev" vbProcedure="false">'[94]Job Technical Info'!$C$11</definedName>
    <definedName function="false" hidden="false" localSheetId="10" name="Weak_DP" vbProcedure="false">'[11]Weight Calculations'!$V$63</definedName>
    <definedName function="false" hidden="false" localSheetId="10" name="Weak_link" vbProcedure="false">'[11]Weight Calculations'!$R$61</definedName>
    <definedName function="false" hidden="false" localSheetId="10" name="Week" vbProcedure="false">[18]Criteria!$A$2:$A$51</definedName>
    <definedName function="false" hidden="false" localSheetId="10" name="weight" vbProcedure="false">'[7]Drop-Down Items'!$M$7:$M$10</definedName>
    <definedName function="false" hidden="true" localSheetId="10" name="well1"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false" localSheetId="10" name="wellcategory1" vbProcedure="false">[186]Data!$K$1:$K$65536</definedName>
    <definedName function="false" hidden="false" localSheetId="10" name="Welllocation1" vbProcedure="false">[186]Data!$M$1:$M$65536</definedName>
    <definedName function="false" hidden="false" localSheetId="10" name="WellMD" vbProcedure="false">'[94]Job Technical Info'!$H$41</definedName>
    <definedName function="false" hidden="false" localSheetId="10" name="WellNo" vbProcedure="false">'[88]Report Long(Esso)'!$E$2</definedName>
    <definedName function="false" hidden="false" localSheetId="10" name="WellTVD" vbProcedure="false">'[94]Job Technical Info'!$J$41</definedName>
    <definedName function="false" hidden="false" localSheetId="10" name="welltype" vbProcedure="false">'[113]#REF'!$F$18</definedName>
    <definedName function="false" hidden="false" localSheetId="10" name="Welltype2" vbProcedure="false">[178]Data!$H$1:$H$65536</definedName>
    <definedName function="false" hidden="false" localSheetId="10" name="Well_Name" vbProcedure="false">'[108]TCP-BHA'!$C$7</definedName>
    <definedName function="false" hidden="false" localSheetId="10" name="Well_Number" vbProcedure="false">'[62]Liner Job Info'!$E$6</definedName>
    <definedName function="false" hidden="false" localSheetId="10" name="well_type" vbProcedure="false">'[7]Drop-Down Items'!$D$43:$D$48</definedName>
    <definedName function="false" hidden="false" localSheetId="10" name="Well_Type__Oil_Gas" vbProcedure="false">'[108]Pre-Job Info Sheet'!$B$31</definedName>
    <definedName function="false" hidden="false" localSheetId="10" name="WHP" vbProcedure="false">#ref!</definedName>
    <definedName function="false" hidden="false" localSheetId="10" name="wht" vbProcedure="false">'[93]well test sheet'!#ref!</definedName>
    <definedName function="false" hidden="false" localSheetId="10" name="wiperplugunity" vbProcedure="false">[11]Test!$G$18</definedName>
    <definedName function="false" hidden="false" localSheetId="10" name="WkstrDrift1" vbProcedure="false">'[94]Job Technical Info'!$G$31</definedName>
    <definedName function="false" hidden="false" localSheetId="10" name="WkstrDrift2" vbProcedure="false">'[94]Job Technical Info'!$G$32</definedName>
    <definedName function="false" hidden="false" localSheetId="10" name="WkstrDrift3" vbProcedure="false">'[94]Job Technical Info'!$G$33</definedName>
    <definedName function="false" hidden="false" localSheetId="10" name="WkstrDrift4" vbProcedure="false">'[94]Job Technical Info'!$G$34</definedName>
    <definedName function="false" hidden="false" localSheetId="10" name="WkstrGrd1" vbProcedure="false">'[94]Job Technical Info'!$H$31</definedName>
    <definedName function="false" hidden="false" localSheetId="10" name="WkstrGrd2" vbProcedure="false">'[94]Job Technical Info'!$H$32</definedName>
    <definedName function="false" hidden="false" localSheetId="10" name="WkstrGrd3" vbProcedure="false">'[94]Job Technical Info'!$H$33</definedName>
    <definedName function="false" hidden="false" localSheetId="10" name="WkstrGrd4" vbProcedure="false">'[94]Job Technical Info'!$H$34</definedName>
    <definedName function="false" hidden="false" localSheetId="10" name="WkstrID1" vbProcedure="false">'[94]Job Technical Info'!$F$31</definedName>
    <definedName function="false" hidden="false" localSheetId="10" name="WkstrID2" vbProcedure="false">'[94]Job Technical Info'!$F$32</definedName>
    <definedName function="false" hidden="false" localSheetId="10" name="WkstrID3" vbProcedure="false">'[94]Job Technical Info'!$F$33</definedName>
    <definedName function="false" hidden="false" localSheetId="10" name="WkstrID4" vbProcedure="false">'[94]Job Technical Info'!$F$34</definedName>
    <definedName function="false" hidden="false" localSheetId="10" name="WkstrSz1" vbProcedure="false">'[94]Job Technical Info'!$D$31</definedName>
    <definedName function="false" hidden="false" localSheetId="10" name="WkstrSz2" vbProcedure="false">'[94]Job Technical Info'!$D$32</definedName>
    <definedName function="false" hidden="false" localSheetId="10" name="WkstrSz3" vbProcedure="false">'[94]Job Technical Info'!$D$33</definedName>
    <definedName function="false" hidden="false" localSheetId="10" name="WkstrSz4" vbProcedure="false">'[94]Job Technical Info'!$D$34</definedName>
    <definedName function="false" hidden="false" localSheetId="10" name="WkstrThd1" vbProcedure="false">'[94]Job Technical Info'!$J$31</definedName>
    <definedName function="false" hidden="false" localSheetId="10" name="WkstrThd2" vbProcedure="false">'[94]Job Technical Info'!$J$32</definedName>
    <definedName function="false" hidden="false" localSheetId="10" name="WkstrThd3" vbProcedure="false">'[94]Job Technical Info'!$J$33</definedName>
    <definedName function="false" hidden="false" localSheetId="10" name="WkstrThd4" vbProcedure="false">'[94]Job Technical Info'!$J$34</definedName>
    <definedName function="false" hidden="false" localSheetId="10" name="WkstrWt1" vbProcedure="false">'[94]Job Technical Info'!$E$31</definedName>
    <definedName function="false" hidden="false" localSheetId="10" name="WkstrWt2" vbProcedure="false">'[94]Job Technical Info'!$E$32</definedName>
    <definedName function="false" hidden="false" localSheetId="10" name="WkstrWt3" vbProcedure="false">'[94]Job Technical Info'!$E$33</definedName>
    <definedName function="false" hidden="false" localSheetId="10" name="WkstrWt4" vbProcedure="false">'[94]Job Technical Info'!$E$34</definedName>
    <definedName function="false" hidden="false" localSheetId="10" name="workstringid" vbProcedure="false">'[113]#REF'!$H$12</definedName>
    <definedName function="false" hidden="false" localSheetId="10" name="workstringidref" vbProcedure="false">[106]Data!$GC$3</definedName>
    <definedName function="false" hidden="false" localSheetId="10" name="workstringlength" vbProcedure="false">'[113]#REF'!$J$12</definedName>
    <definedName function="false" hidden="false" localSheetId="10" name="workstringod" vbProcedure="false">'[113]#REF'!$F$12</definedName>
    <definedName function="false" hidden="false" localSheetId="10" name="workstringtable" vbProcedure="false">[83]!CasingTable[#data]</definedName>
    <definedName function="false" hidden="false" localSheetId="10" name="workstringwt" vbProcedure="false">'[113]#REF'!$M$12</definedName>
    <definedName function="false" hidden="false" localSheetId="10" name="Workstring_Grade" vbProcedure="false">'[108]Pre-Job Info Sheet'!$D$27</definedName>
    <definedName function="false" hidden="false" localSheetId="10" name="Workstring_ID" vbProcedure="false">'[108]Job Calculation Sheet'!$F$16</definedName>
    <definedName function="false" hidden="false" localSheetId="10" name="Workstring_Length" vbProcedure="false">'[108]TCP-BHA'!$G$12</definedName>
    <definedName function="false" hidden="false" localSheetId="10" name="Workstring_Size" vbProcedure="false">'[108]Pre-Job Info Sheet'!$D$25</definedName>
    <definedName function="false" hidden="false" localSheetId="10" name="Workstring_Type" vbProcedure="false">'[108]Pre-Job Info Sheet'!$D$24</definedName>
    <definedName function="false" hidden="false" localSheetId="10" name="Workstring_Wt._Ft." vbProcedure="false">'[108]Pre-Job Info Sheet'!$D$26</definedName>
    <definedName function="false" hidden="true" localSheetId="10" name="wrn.ASDF." vbProcedure="false">{#N/A,#N/A,FALSE,"SHEET 1";#N/A,#N/A,FALSE,"Sheet4"}</definedName>
    <definedName function="false" hidden="true" localSheetId="10" name="wrn.AT._.Reports." vbProcedure="false">{#N/A,#N/A,FALSE,"Drlg Param Run 1-1";#N/A,#N/A,FALSE,"DDR (3)";#N/A,#N/A,FALSE,"BHA AT (1)";#N/A,#N/A,FALSE,"Downlinkbha";#N/A,#N/A,FALSE,"Job Status Report"}</definedName>
    <definedName function="false" hidden="true" localSheetId="10" name="wrn.CD_MST." vbProcedure="false">{#N/A,#N/A,FALSE,"Sheet1"}</definedName>
    <definedName function="false" hidden="true" localSheetId="10" name="wrn.DST_TCP." vbProcedure="false">{#N/A,#N/A,FALSE,"INFO";#N/A,#N/A,FALSE,"PCT";#N/A,#N/A,FALSE,"DISCS";#N/A,#N/A,FALSE,"DISC TABLE";#N/A,#N/A,FALSE,"CUSHION";#N/A,#N/A,FALSE,"HYDRAULICS";#N/A,#N/A,FALSE,"MCCV";#N/A,#N/A,FALSE,"HDF";#N/A,#N/A,FALSE,"GUNS";#N/A,#N/A,FALSE,"GUNDATA"}</definedName>
    <definedName function="false" hidden="true" localSheetId="10" name="wrn.FULL._.DTL." vbProcedure="false">{"CF",#N/A,FALSE,"FULL COST";"MANUFACT",#N/A,FALSE,"FULL COST";"PAYNMENT",#N/A,FALSE,"FULL COST"}</definedName>
    <definedName function="false" hidden="true" localSheetId="10" name="wrn.FULLSUM." vbProcedure="false">{#N/A,#N/A,FALSE,"SUM-1";#N/A,#N/A,FALSE,"SUM-2";#N/A,#N/A,FALSE,"TENDER"}</definedName>
    <definedName function="false" hidden="true" localSheetId="10" name="wrn.ratios." vbProcedure="false">{"raatios",#N/A,FALSE,"A";"ratios",#N/A,FALSE,"B";"ratios",#N/A,FALSE,"C";"ratios",#N/A,FALSE,"D";"ratios",#N/A,FALSE,"F"}</definedName>
    <definedName function="false" hidden="true" localSheetId="10" name="wrn.SUMMARY." vbProcedure="false">{#N/A,#N/A,FALSE,"JUNK"}</definedName>
    <definedName function="false" hidden="false" localSheetId="10" name="wrn.VOLUME." vbProcedure="false">{#N/A,#N/A,FALSE,"Volume"}</definedName>
    <definedName function="false" hidden="false" localSheetId="10" name="wrn.volume.2" vbProcedure="false">{#N/A,#N/A,FALSE,"Volume"}</definedName>
    <definedName function="false" hidden="false" localSheetId="10" name="wrn.volume.2_1" vbProcedure="false">{#N/A,#N/A,FALSE,"Volume"}</definedName>
    <definedName function="false" hidden="false" localSheetId="10" name="wrn.volume.2_2" vbProcedure="false">{#N/A,#N/A,FALSE,"Volume"}</definedName>
    <definedName function="false" hidden="false" localSheetId="10" name="wrn.volume.2_3" vbProcedure="false">{#N/A,#N/A,FALSE,"Volume"}</definedName>
    <definedName function="false" hidden="false" localSheetId="10" name="wrn.volume.2_4" vbProcedure="false">{#N/A,#N/A,FALSE,"Volume"}</definedName>
    <definedName function="false" hidden="false" localSheetId="10" name="wrn.volume.2_5" vbProcedure="false">{#N/A,#N/A,FALSE,"Volume"}</definedName>
    <definedName function="false" hidden="false" localSheetId="10" name="wrn.volume.3" vbProcedure="false">{#N/A,#N/A,FALSE,"Volume"}</definedName>
    <definedName function="false" hidden="false" localSheetId="10" name="wrn.volume.3_1" vbProcedure="false">{#N/A,#N/A,FALSE,"Volume"}</definedName>
    <definedName function="false" hidden="false" localSheetId="10" name="wrn.volume.3_2" vbProcedure="false">{#N/A,#N/A,FALSE,"Volume"}</definedName>
    <definedName function="false" hidden="false" localSheetId="10" name="wrn.volume.3_3" vbProcedure="false">{#N/A,#N/A,FALSE,"Volume"}</definedName>
    <definedName function="false" hidden="false" localSheetId="10" name="wrn.volume.3_4" vbProcedure="false">{#N/A,#N/A,FALSE,"Volume"}</definedName>
    <definedName function="false" hidden="false" localSheetId="10" name="wrn.volume.3_5" vbProcedure="false">{#N/A,#N/A,FALSE,"Volume"}</definedName>
    <definedName function="false" hidden="false" localSheetId="10" name="wrn.VOLUME._1" vbProcedure="false">{#N/A,#N/A,FALSE,"Volume"}</definedName>
    <definedName function="false" hidden="false" localSheetId="10" name="wrn.VOLUME._2" vbProcedure="false">{#N/A,#N/A,FALSE,"Volume"}</definedName>
    <definedName function="false" hidden="false" localSheetId="10" name="wrn.VOLUME._3" vbProcedure="false">{#N/A,#N/A,FALSE,"Volume"}</definedName>
    <definedName function="false" hidden="false" localSheetId="10" name="wrn.VOLUME._4" vbProcedure="false">{#N/A,#N/A,FALSE,"Volume"}</definedName>
    <definedName function="false" hidden="false" localSheetId="10" name="wrn.VOLUME._5" vbProcedure="false">{#N/A,#N/A,FALSE,"Volume"}</definedName>
    <definedName function="false" hidden="false" localSheetId="10" name="WRN.VULUME" vbProcedure="false">{#N/A,#N/A,FALSE,"Volume"}</definedName>
    <definedName function="false" hidden="true" localSheetId="10" name="wrn.Wellplan." vbProcedure="false">{#N/A,#N/A,TRUE,"AFE";#N/A,#N/A,TRUE,"Tangible";#N/A,#N/A,TRUE,"Construction";#N/A,#N/A,TRUE,"Rignmud";#N/A,#N/A,TRUE,"Bitnddr";#N/A,#N/A,TRUE,"Cmtdesign";#N/A,#N/A,TRUE,"Pumpfee";#N/A,#N/A,TRUE,"Corendst";#N/A,#N/A,TRUE,"Ohlogging";#N/A,#N/A,TRUE,"Perforating";#N/A,#N/A,TRUE,"Chlogging";#N/A,#N/A,TRUE,"Stimulation";#N/A,#N/A,TRUE,"Completion";#N/A,#N/A,TRUE,"General"}</definedName>
    <definedName function="false" hidden="true" localSheetId="10" name="wrn2.asdf" vbProcedure="false">{#N/A,#N/A,FALSE,"SHEET 1";#N/A,#N/A,FALSE,"Sheet4"}</definedName>
    <definedName function="false" hidden="false" localSheetId="10" name="wscolumn" vbProcedure="false">[106]Data!$W$19</definedName>
    <definedName function="false" hidden="false" localSheetId="10" name="WS_ID" vbProcedure="false">'[113]#REF'!$H$12</definedName>
    <definedName function="false" hidden="false" localSheetId="10" name="WS_LENGTH" vbProcedure="false">'[113]#REF'!$J$12</definedName>
    <definedName function="false" hidden="false" localSheetId="10" name="WS_OD" vbProcedure="false">'[113]#REF'!$F$12</definedName>
    <definedName function="false" hidden="false" localSheetId="10" name="wt" vbProcedure="false">'[115]Max-Torq'!$P$64</definedName>
    <definedName function="false" hidden="false" localSheetId="10" name="wtcasing" vbProcedure="false">[106]Data!$J$19</definedName>
    <definedName function="false" hidden="false" localSheetId="10" name="wtr_cumm" vbProcedure="false">'[93]well test sheet'!#ref!</definedName>
    <definedName function="false" hidden="false" localSheetId="10" name="wtr_rate" vbProcedure="false">'[93]well test sheet'!#ref!</definedName>
    <definedName function="false" hidden="false" localSheetId="10" name="wtworkstring" vbProcedure="false">[106]Data!$W$21</definedName>
    <definedName function="false" hidden="false" localSheetId="10" name="Wtype" vbProcedure="false">'[11]Liner Job Info'!$E$9</definedName>
    <definedName function="false" hidden="false" localSheetId="10" name="Wt_Bouyant" vbProcedure="false">'[108]Packer Calculation Sheet'!$I$34</definedName>
    <definedName function="false" hidden="false" localSheetId="10" name="Wt_w_Cmt" vbProcedure="false">'[11]Liner Job Info'!$D$34</definedName>
    <definedName function="false" hidden="false" localSheetId="10" name="Wt_W_Pkr_Tst" vbProcedure="false">'[11]Liner Job Info'!$D$36</definedName>
    <definedName function="false" hidden="false" localSheetId="10" name="X" vbProcedure="false">#ref!</definedName>
    <definedName function="false" hidden="false" localSheetId="10" name="X5_TO" vbProcedure="false">[129]RSS!$C$197</definedName>
    <definedName function="false" hidden="false" localSheetId="10" name="XCEED_TO" vbProcedure="false">[129]RSS!$G$201</definedName>
    <definedName function="false" hidden="false" localSheetId="10" name="XO" vbProcedure="false">#ref!</definedName>
    <definedName function="false" hidden="false" localSheetId="10" name="xoportdepth" vbProcedure="false">'[113]#REF'!$F$21</definedName>
    <definedName function="false" hidden="false" localSheetId="10" name="XO_DEPTH" vbProcedure="false">'[113]#REF'!$F$21</definedName>
    <definedName function="false" hidden="false" localSheetId="10" name="XO_PORT_DEPTH" vbProcedure="false">'[113]#REF'!$F$21</definedName>
    <definedName function="false" hidden="false" localSheetId="10" name="XTRA_TO" vbProcedure="false">[129]RSS!$E$201</definedName>
    <definedName function="false" hidden="false" localSheetId="10" name="xxx" vbProcedure="false">[139]tonmiles!#ref!</definedName>
    <definedName function="false" hidden="false" localSheetId="10" name="YESNO" vbProcedure="false">[129]RSS!$E$139:$E$141</definedName>
    <definedName function="false" hidden="false" localSheetId="10" name="YJEJD" vbProcedure="false">'FINAL TALLY'!YJEJD</definedName>
    <definedName function="false" hidden="false" localSheetId="10" name="yp" vbProcedure="false">'[115]Max-Torq'!$N$59</definedName>
    <definedName function="false" hidden="false" localSheetId="10" name="ypa" vbProcedure="false">'[115]Max-Torq'!$P$63</definedName>
    <definedName function="false" hidden="false" localSheetId="10" name="ypdtr" vbProcedure="false">'[115]Max-Torq'!$P$70</definedName>
    <definedName function="false" hidden="true" localSheetId="10" name="yyyyyyyyyyyy" vbProcedure="false">{"raatios",#N/A,FALSE,"A";"ratios",#N/A,FALSE,"B";"ratios",#N/A,FALSE,"C";"ratios",#N/A,FALSE,"D";"ratios",#N/A,FALSE,"F"}</definedName>
    <definedName function="false" hidden="false" localSheetId="10" name="Z" vbProcedure="false">#ref!</definedName>
    <definedName function="false" hidden="false" localSheetId="10" name="zone" vbProcedure="false">[5]WTR!$L$4</definedName>
    <definedName function="false" hidden="false" localSheetId="10" name="Zone1BHP" vbProcedure="false">'[94]Job Technical Info'!$G$49</definedName>
    <definedName function="false" hidden="false" localSheetId="10" name="Zone1BHT" vbProcedure="false">'[94]Job Technical Info'!$H$49</definedName>
    <definedName function="false" hidden="false" localSheetId="10" name="Zone1Bottom" vbProcedure="false">'[94]Job Technical Info'!$E$49</definedName>
    <definedName function="false" hidden="false" localSheetId="10" name="Zone1Dev" vbProcedure="false">'[94]Job Technical Info'!$F$49</definedName>
    <definedName function="false" hidden="false" localSheetId="10" name="Zone1FluidType" vbProcedure="false">'[94]Job Technical Info'!$I$49</definedName>
    <definedName function="false" hidden="false" localSheetId="10" name="Zone1FluidWt" vbProcedure="false">'[94]Job Technical Info'!$J$49</definedName>
    <definedName function="false" hidden="false" localSheetId="10" name="Zone1Name" vbProcedure="false">'[94]Job Technical Info'!$C$49</definedName>
    <definedName function="false" hidden="false" localSheetId="10" name="Zone1Top" vbProcedure="false">'[94]Job Technical Info'!$D$49</definedName>
    <definedName function="false" hidden="false" localSheetId="10" name="Zone2BHP" vbProcedure="false">'[94]Job Technical Info'!$G$50</definedName>
    <definedName function="false" hidden="false" localSheetId="10" name="Zone2BHT" vbProcedure="false">'[94]Job Technical Info'!$H$50</definedName>
    <definedName function="false" hidden="false" localSheetId="10" name="Zone2Bottom" vbProcedure="false">'[94]Job Technical Info'!$E$50</definedName>
    <definedName function="false" hidden="false" localSheetId="10" name="Zone2Dev" vbProcedure="false">'[94]Job Technical Info'!$F$50</definedName>
    <definedName function="false" hidden="false" localSheetId="10" name="Zone2FluidType" vbProcedure="false">'[94]Job Technical Info'!$I$50</definedName>
    <definedName function="false" hidden="false" localSheetId="10" name="Zone2FluidWt" vbProcedure="false">'[94]Job Technical Info'!$J$50</definedName>
    <definedName function="false" hidden="false" localSheetId="10" name="Zone2Name" vbProcedure="false">'[94]Job Technical Info'!$C$50</definedName>
    <definedName function="false" hidden="false" localSheetId="10" name="Zone2Top" vbProcedure="false">'[94]Job Technical Info'!$D$50</definedName>
    <definedName function="false" hidden="false" localSheetId="10" name="Zone3BHP" vbProcedure="false">'[94]Job Technical Info'!$G$51</definedName>
    <definedName function="false" hidden="false" localSheetId="10" name="Zone3BHT" vbProcedure="false">'[94]Job Technical Info'!$H$51</definedName>
    <definedName function="false" hidden="false" localSheetId="10" name="Zone3Bottom" vbProcedure="false">'[94]Job Technical Info'!$E$51</definedName>
    <definedName function="false" hidden="false" localSheetId="10" name="Zone3Dev" vbProcedure="false">'[94]Job Technical Info'!$F$51</definedName>
    <definedName function="false" hidden="false" localSheetId="10" name="Zone3FluidType" vbProcedure="false">'[94]Job Technical Info'!$I$51</definedName>
    <definedName function="false" hidden="false" localSheetId="10" name="Zone3FluidWt" vbProcedure="false">'[94]Job Technical Info'!$J$51</definedName>
    <definedName function="false" hidden="false" localSheetId="10" name="Zone3Name" vbProcedure="false">'[94]Job Technical Info'!$C$51</definedName>
    <definedName function="false" hidden="false" localSheetId="10" name="Zone3Top" vbProcedure="false">'[94]Job Technical Info'!$D$51</definedName>
    <definedName function="false" hidden="false" localSheetId="10" name="Zone4BHP" vbProcedure="false">'[94]Job Technical Info'!$G$52</definedName>
    <definedName function="false" hidden="false" localSheetId="10" name="Zone4BHT" vbProcedure="false">'[94]Job Technical Info'!$H$52</definedName>
    <definedName function="false" hidden="false" localSheetId="10" name="Zone4Bottom" vbProcedure="false">'[94]Job Technical Info'!$E$52</definedName>
    <definedName function="false" hidden="false" localSheetId="10" name="Zone4Dev" vbProcedure="false">'[94]Job Technical Info'!$F$52</definedName>
    <definedName function="false" hidden="false" localSheetId="10" name="Zone4FluidType" vbProcedure="false">'[94]Job Technical Info'!$I$52</definedName>
    <definedName function="false" hidden="false" localSheetId="10" name="Zone4FluidWt" vbProcedure="false">'[94]Job Technical Info'!$J$52</definedName>
    <definedName function="false" hidden="false" localSheetId="10" name="Zone4Name" vbProcedure="false">'[94]Job Technical Info'!$C$52</definedName>
    <definedName function="false" hidden="false" localSheetId="10" name="Zone4Top" vbProcedure="false">'[94]Job Technical Info'!$D$52</definedName>
    <definedName function="false" hidden="false" localSheetId="10" name="Zone5BHP" vbProcedure="false">'[94]Job Technical Info'!$G$53</definedName>
    <definedName function="false" hidden="false" localSheetId="10" name="Zone5BHT" vbProcedure="false">'[94]Job Technical Info'!$H$53</definedName>
    <definedName function="false" hidden="false" localSheetId="10" name="Zone5Bottom" vbProcedure="false">'[94]Job Technical Info'!$E$53</definedName>
    <definedName function="false" hidden="false" localSheetId="10" name="Zone5Dev" vbProcedure="false">'[94]Job Technical Info'!$F$53</definedName>
    <definedName function="false" hidden="false" localSheetId="10" name="Zone5FluidType" vbProcedure="false">'[94]Job Technical Info'!$I$53</definedName>
    <definedName function="false" hidden="false" localSheetId="10" name="Zone5FluidWt" vbProcedure="false">'[94]Job Technical Info'!$J$53</definedName>
    <definedName function="false" hidden="false" localSheetId="10" name="Zone5Name" vbProcedure="false">'[94]Job Technical Info'!$C$53</definedName>
    <definedName function="false" hidden="false" localSheetId="10" name="Zone5Top" vbProcedure="false">'[94]Job Technical Info'!$D$53</definedName>
    <definedName function="false" hidden="false" localSheetId="10" name="ZXP_Seal_Area" vbProcedure="false">[11]Test!$Z$38</definedName>
    <definedName function="false" hidden="false" localSheetId="10" name="Z_Fact_DH" vbProcedure="false">'[108]Tester Valve Calcs'!$F$23</definedName>
    <definedName function="false" hidden="false" localSheetId="10" name="Z_Fact_Surf" vbProcedure="false">'[108]Tester Valve Calcs'!$F$18</definedName>
    <definedName function="false" hidden="false" localSheetId="10" name="_" vbProcedure="false">[5]readings!#ref!</definedName>
    <definedName function="false" hidden="false" localSheetId="10" name="_1" vbProcedure="false">{#N/A,#N/A,FALSE,"Volume"}</definedName>
    <definedName function="false" hidden="false" localSheetId="10" name="_11Druckbereich" vbProcedure="false">[34]run_s!#ref!</definedName>
    <definedName function="false" hidden="true" localSheetId="10" name="_1234GRAPH_G" vbProcedure="false">[100]Run!$F$16:$F$514</definedName>
    <definedName function="false" hidden="false" localSheetId="10" name="_1Module2__2__.gaugeconok2" vbProcedure="false">[26]!_1Module2__2__.gaugeconok2</definedName>
    <definedName function="false" hidden="false" localSheetId="10" name="_2" vbProcedure="false">{#N/A,#N/A,FALSE,"Volume"}</definedName>
    <definedName function="false" hidden="false" localSheetId="10" name="_2Module2__2__.gaugeok2" vbProcedure="false">[26]!_2Module2__2__.gaugeok2</definedName>
    <definedName function="false" hidden="false" localSheetId="10" name="_3Module2__2__.gaugeselect2" vbProcedure="false">[26]!_3Module2__2__.gaugeselect2</definedName>
    <definedName function="false" hidden="false" localSheetId="10" name="_4Module2__2__.serialselect3" vbProcedure="false">[26]!_4Module2__2__.serialselect3</definedName>
    <definedName function="false" hidden="false" localSheetId="10" name="_5" vbProcedure="false">{#N/A,#N/A,FALSE,"Volume"}</definedName>
    <definedName function="false" hidden="false" localSheetId="10" name="_5Module2__2__.serialselect4" vbProcedure="false">[26]!_5Module2__2__.serialselect4</definedName>
    <definedName function="false" hidden="false" localSheetId="10" name="_A" vbProcedure="false">'[1]run sheet'!#ref!</definedName>
    <definedName function="false" hidden="false" localSheetId="10" name="_a1" vbProcedure="false">{#N/A,#N/A,FALSE,"Volume"}</definedName>
    <definedName function="false" hidden="false" localSheetId="10" name="_a2" vbProcedure="false">{#N/A,#N/A,FALSE,"Volume"}</definedName>
    <definedName function="false" hidden="false" localSheetId="10" name="_a3" vbProcedure="false">{#N/A,#N/A,FALSE,"Volume"}</definedName>
    <definedName function="false" hidden="true" localSheetId="10" name="_A4" vbProcedure="false">[100]Run!$B$18:$B$512</definedName>
    <definedName function="false" hidden="false" localSheetId="10" name="_aa" vbProcedure="false">{#N/A,#N/A,FALSE,"Volume"}</definedName>
    <definedName function="false" hidden="false" localSheetId="10" name="_aaa" vbProcedure="false">{#N/A,#N/A,FALSE,"Volume"}</definedName>
    <definedName function="false" hidden="false" localSheetId="10" name="_aaaaa" vbProcedure="false">{#N/A,#N/A,FALSE,"Volume"}</definedName>
    <definedName function="false" hidden="false" localSheetId="10" name="_aaaaaa" vbProcedure="false">{#N/A,#N/A,FALSE,"Volume"}</definedName>
    <definedName function="false" hidden="false" localSheetId="10" name="_ab" vbProcedure="false">{#N/A,#N/A,FALSE,"Volume"}</definedName>
    <definedName function="false" hidden="false" localSheetId="10" name="_ac" vbProcedure="false">{#N/A,#N/A,FALSE,"Volume"}</definedName>
    <definedName function="false" hidden="false" localSheetId="10" name="_acasdf" vbProcedure="false">{#N/A,#N/A,FALSE,"Volume"}</definedName>
    <definedName function="false" hidden="false" localSheetId="10" name="_acc" vbProcedure="false">{#N/A,#N/A,FALSE,"Volume"}</definedName>
    <definedName function="false" hidden="false" localSheetId="10" name="_ap1" vbProcedure="false">{#N/A,#N/A,FALSE,"Volume"}</definedName>
    <definedName function="false" hidden="false" localSheetId="10" name="_ap2" vbProcedure="false">{#N/A,#N/A,FALSE,"Volume"}</definedName>
    <definedName function="false" hidden="false" localSheetId="10" name="_ap3" vbProcedure="false">{#N/A,#N/A,FALSE,"Volume"}</definedName>
    <definedName function="false" hidden="false" localSheetId="10" name="_app1" vbProcedure="false">{#N/A,#N/A,FALSE,"Volume"}</definedName>
    <definedName function="false" hidden="false" localSheetId="10" name="_app2" vbProcedure="false">{#N/A,#N/A,FALSE,"Volume"}</definedName>
    <definedName function="false" hidden="false" localSheetId="10" name="_app3" vbProcedure="false">{#N/A,#N/A,FALSE,"Volume"}</definedName>
    <definedName function="false" hidden="false" localSheetId="10" name="_app4" vbProcedure="false">{#N/A,#N/A,FALSE,"Volume"}</definedName>
    <definedName function="false" hidden="false" localSheetId="10" name="_app5" vbProcedure="false">{#N/A,#N/A,FALSE,"Volume"}</definedName>
    <definedName function="false" hidden="false" localSheetId="10" name="_asdfas" vbProcedure="false">{#N/A,#N/A,FALSE,"Volume"}</definedName>
    <definedName function="false" hidden="false" localSheetId="10" name="_a_0" vbProcedure="false">{#N/A,#N/A,FALSE,"Volume"}</definedName>
    <definedName function="false" hidden="false" localSheetId="10" name="_B" vbProcedure="false">#ref!</definedName>
    <definedName function="false" hidden="false" localSheetId="10" name="_b1" vbProcedure="false">{#N/A,#N/A,FALSE,"Volume"}</definedName>
    <definedName function="false" hidden="false" localSheetId="10" name="_b2" vbProcedure="false">{#N/A,#N/A,FALSE,"Volume"}</definedName>
    <definedName function="false" hidden="false" localSheetId="10" name="_b3" vbProcedure="false">{#N/A,#N/A,FALSE,"Volume"}</definedName>
    <definedName function="false" hidden="false" localSheetId="10" name="_b4" vbProcedure="false">{#N/A,#N/A,FALSE,"Volume"}</definedName>
    <definedName function="false" hidden="false" localSheetId="10" name="_b5" vbProcedure="false">{#N/A,#N/A,FALSE,"Volume"}</definedName>
    <definedName function="false" hidden="false" localSheetId="10" name="_bb2789" vbProcedure="false">[9]!Calculate_Pipe</definedName>
    <definedName function="false" hidden="true" localSheetId="10" name="_bgn1" vbProcedure="false">{#N/A,#N/A,FALSE,"Sheet1"}</definedName>
    <definedName function="false" hidden="false" localSheetId="10" name="_b_0" vbProcedure="false">{#N/A,#N/A,FALSE,"Volume"}</definedName>
    <definedName function="false" hidden="false" localSheetId="10" name="_C" vbProcedure="false">'[1]run sheet'!#ref!</definedName>
    <definedName function="false" hidden="false" localSheetId="10" name="_c1" vbProcedure="false">{#N/A,#N/A,FALSE,"Volume"}</definedName>
    <definedName function="false" hidden="false" localSheetId="10" name="_c2" vbProcedure="false">{#N/A,#N/A,FALSE,"Volume"}</definedName>
    <definedName function="false" hidden="false" localSheetId="10" name="_c3" vbProcedure="false">{#N/A,#N/A,FALSE,"Volume"}</definedName>
    <definedName function="false" hidden="false" localSheetId="10" name="_c4" vbProcedure="false">{#N/A,#N/A,FALSE,"Volume"}</definedName>
    <definedName function="false" hidden="true" localSheetId="10" name="_cd1" vbProcedure="false">{#N/A,#N/A,FALSE,"Sheet1"}</definedName>
    <definedName function="false" hidden="true" localSheetId="10" name="_cf1" vbProcedure="false">{#N/A,#N/A,FALSE,"Sheet1"}</definedName>
    <definedName function="false" hidden="false" localSheetId="10" name="_c_0" vbProcedure="false">{#N/A,#N/A,FALSE,"Volume"}</definedName>
    <definedName function="false" hidden="false" localSheetId="10" name="_D" vbProcedure="false">'[1]run sheet'!#ref!</definedName>
    <definedName function="false" hidden="false" localSheetId="10" name="_d1" vbProcedure="false">{#N/A,#N/A,FALSE,"Volume"}</definedName>
    <definedName function="false" hidden="false" localSheetId="10" name="_d2_" vbProcedure="false">{#N/A,#N/A,FALSE,"Volume"}</definedName>
    <definedName function="false" hidden="false" localSheetId="10" name="_d3" vbProcedure="false">{#N/A,#N/A,FALSE,"Volume"}</definedName>
    <definedName function="false" hidden="false" localSheetId="10" name="_d4" vbProcedure="false">{#N/A,#N/A,FALSE,"Volume"}</definedName>
    <definedName function="false" hidden="false" localSheetId="10" name="_DAT16" vbProcedure="false">'[37]sap serv 06-02'!#ref!</definedName>
    <definedName function="false" hidden="false" localSheetId="10" name="_DAT17" vbProcedure="false">'[37]sap serv 06-02'!#ref!</definedName>
    <definedName function="false" hidden="false" localSheetId="10" name="_DAT19" vbProcedure="false">'[37]sap serv 06-02'!#ref!</definedName>
    <definedName function="false" hidden="false" localSheetId="10" name="_DAT20" vbProcedure="false">'[37]sap serv 06-02'!#ref!</definedName>
    <definedName function="false" hidden="false" localSheetId="10" name="_DAT25" vbProcedure="false">'[37]sap serv 06-02'!#ref!</definedName>
    <definedName function="false" hidden="false" localSheetId="10" name="_DAT26" vbProcedure="false">'[37]sap serv 06-02'!#ref!</definedName>
    <definedName function="false" hidden="false" localSheetId="10" name="_DAT27" vbProcedure="false">'[37]sap serv 06-02'!#ref!</definedName>
    <definedName function="false" hidden="false" localSheetId="10" name="_DAT28" vbProcedure="false">'[37]sap serv 06-02'!#ref!</definedName>
    <definedName function="false" hidden="false" localSheetId="10" name="_DAT29" vbProcedure="false">'[37]sap serv 06-02'!#ref!</definedName>
    <definedName function="false" hidden="false" localSheetId="10" name="_DAT31" vbProcedure="false">'[37]sap serv 06-02'!#ref!</definedName>
    <definedName function="false" hidden="false" localSheetId="10" name="_DAT32" vbProcedure="false">'[37]sap serv 06-02'!#ref!</definedName>
    <definedName function="false" hidden="false" localSheetId="10" name="_DAT34" vbProcedure="false">'[37]sap serv 06-02'!#ref!</definedName>
    <definedName function="false" hidden="false" localSheetId="10" name="_DAT35" vbProcedure="false">'[37]sap serv 06-02'!#ref!</definedName>
    <definedName function="false" hidden="false" localSheetId="10" name="_DAT36" vbProcedure="false">'[37]sap serv 06-02'!#ref!</definedName>
    <definedName function="false" hidden="false" localSheetId="10" name="_DAT40" vbProcedure="false">'[37]sap serv 06-02'!#ref!</definedName>
    <definedName function="false" hidden="false" localSheetId="10" name="_DAT41" vbProcedure="false">'[37]sap serv 06-02'!#ref!</definedName>
    <definedName function="false" hidden="false" localSheetId="10" name="_DAT42" vbProcedure="false">'[37]sap serv 06-02'!#ref!</definedName>
    <definedName function="false" hidden="false" localSheetId="10" name="_DAT44" vbProcedure="false">'[37]sap serv 06-02'!#ref!</definedName>
    <definedName function="false" hidden="false" localSheetId="10" name="_DAT45" vbProcedure="false">'[37]sap serv 06-02'!#ref!</definedName>
    <definedName function="false" hidden="false" localSheetId="10" name="_DAT46" vbProcedure="false">'[37]sap serv 06-02'!#ref!</definedName>
    <definedName function="false" hidden="false" localSheetId="10" name="_DAT47" vbProcedure="false">'[37]sap serv 06-02'!#ref!</definedName>
    <definedName function="false" hidden="false" localSheetId="10" name="_DAT48" vbProcedure="false">'[37]sap serv 06-02'!#ref!</definedName>
    <definedName function="false" hidden="false" localSheetId="10" name="_DAT49" vbProcedure="false">'[37]sap serv 06-02'!#ref!</definedName>
    <definedName function="false" hidden="false" localSheetId="10" name="_DAT50" vbProcedure="false">'[37]sap serv 06-02'!#ref!</definedName>
    <definedName function="false" hidden="false" localSheetId="10" name="_DAT52" vbProcedure="false">'[37]sap serv 06-02'!#ref!</definedName>
    <definedName function="false" hidden="false" localSheetId="10" name="_DAT53" vbProcedure="false">'[37]sap serv 06-02'!#ref!</definedName>
    <definedName function="false" hidden="false" localSheetId="10" name="_DAT54" vbProcedure="false">'[37]sap serv 06-02'!#ref!</definedName>
    <definedName function="false" hidden="false" localSheetId="10" name="_DAT56" vbProcedure="false">'[37]sap serv 06-02'!#ref!</definedName>
    <definedName function="false" hidden="false" localSheetId="10" name="_DAT57" vbProcedure="false">'[37]sap serv 06-02'!#ref!</definedName>
    <definedName function="false" hidden="false" localSheetId="10" name="_DAT62" vbProcedure="false">'[37]sap serv 06-02'!#ref!</definedName>
    <definedName function="false" hidden="false" localSheetId="10" name="_DAT63" vbProcedure="false">'[37]sap serv 06-02'!#ref!</definedName>
    <definedName function="false" hidden="false" localSheetId="10" name="_d_0" vbProcedure="false">{#N/A,#N/A,FALSE,"Volume"}</definedName>
    <definedName function="false" hidden="false" localSheetId="10" name="_E" vbProcedure="false">'[1]run sheet'!#ref!</definedName>
    <definedName function="false" hidden="false" localSheetId="10" name="_e1" vbProcedure="false">{#N/A,#N/A,FALSE,"Volume"}</definedName>
    <definedName function="false" hidden="false" localSheetId="10" name="_e2" vbProcedure="false">{#N/A,#N/A,FALSE,"Volume"}</definedName>
    <definedName function="false" hidden="false" localSheetId="10" name="_e3" vbProcedure="false">{#N/A,#N/A,FALSE,"Volume"}</definedName>
    <definedName function="false" hidden="false" localSheetId="10" name="_e4" vbProcedure="false">{#N/A,#N/A,FALSE,"Volume"}</definedName>
    <definedName function="false" hidden="false" localSheetId="10" name="_e_0" vbProcedure="false">{#N/A,#N/A,FALSE,"Volume"}</definedName>
    <definedName function="false" hidden="false" localSheetId="10" name="_f" vbProcedure="false">'[2]run sheet'!#ref!</definedName>
    <definedName function="false" hidden="false" localSheetId="10" name="_f1" vbProcedure="false">{#N/A,#N/A,FALSE,"Volume"}</definedName>
    <definedName function="false" hidden="false" localSheetId="10" name="_f2" vbProcedure="false">{#N/A,#N/A,FALSE,"Volume"}</definedName>
    <definedName function="false" hidden="false" localSheetId="10" name="_f3" vbProcedure="false">{#N/A,#N/A,FALSE,"Volume"}</definedName>
    <definedName function="false" hidden="false" localSheetId="10" name="_f4" vbProcedure="false">{#N/A,#N/A,FALSE,"Volume"}</definedName>
    <definedName function="false" hidden="false" localSheetId="10" name="_f5" vbProcedure="false">{#N/A,#N/A,FALSE,"Volume"}</definedName>
    <definedName function="false" hidden="false" localSheetId="10" name="_f6" vbProcedure="false">{#N/A,#N/A,FALSE,"Volume"}</definedName>
    <definedName function="false" hidden="false" localSheetId="10" name="_f7" vbProcedure="false">{#N/A,#N/A,FALSE,"Volume"}</definedName>
    <definedName function="false" hidden="true" localSheetId="10" name="_Fill" vbProcedure="false">#ref!</definedName>
    <definedName function="false" hidden="false" localSheetId="10" name="_f_0" vbProcedure="false">{#N/A,#N/A,FALSE,"Volume"}</definedName>
    <definedName function="false" hidden="false" localSheetId="10" name="_g" vbProcedure="false">'[2]run sheet'!#ref!</definedName>
    <definedName function="false" hidden="true" localSheetId="10" name="_gmh1" vbProcedure="false">{#N/A,#N/A,FALSE,"Sheet1"}</definedName>
    <definedName function="false" hidden="false" localSheetId="10" name="_g_0" vbProcedure="false">{#N/A,#N/A,FALSE,"Volume"}</definedName>
    <definedName function="false" hidden="false" localSheetId="10" name="_h" vbProcedure="false">'[2]run sheet'!#ref!</definedName>
    <definedName function="false" hidden="false" localSheetId="10" name="_h_0" vbProcedure="false">{#N/A,#N/A,FALSE,"Volume"}</definedName>
    <definedName function="false" hidden="false" localSheetId="10" name="_I" vbProcedure="false">'[1]run sheet'!#ref!</definedName>
    <definedName function="false" hidden="false" localSheetId="10" name="_i_0" vbProcedure="false">{#N/A,#N/A,FALSE,"Volume"}</definedName>
    <definedName function="false" hidden="false" localSheetId="10" name="_J" vbProcedure="false">'[1]run sheet'!#ref!</definedName>
    <definedName function="false" hidden="true" localSheetId="10" name="_Key1" vbProcedure="false">#ref!</definedName>
    <definedName function="false" hidden="false" localSheetId="10" name="_L" vbProcedure="false">'[1]run sheet'!#ref!</definedName>
    <definedName function="false" hidden="false" localSheetId="10" name="_lyc7" vbProcedure="false">[119]钻井日报表!$G$5</definedName>
    <definedName function="false" hidden="false" localSheetId="10" name="_N" vbProcedure="false">'[1]run sheet'!#ref!</definedName>
    <definedName function="false" hidden="false" localSheetId="10" name="_num15" vbProcedure="false">'[31]data '!#ref!</definedName>
    <definedName function="false" hidden="true" localSheetId="10" name="_Order2" vbProcedure="false">255</definedName>
    <definedName function="false" hidden="false" localSheetId="10" name="_P" vbProcedure="false">{#N/A,#N/A,FALSE,"Volume"}</definedName>
    <definedName function="false" hidden="false" localSheetId="10" name="_P1" vbProcedure="false">{#N/A,#N/A,FALSE,"Volume"}</definedName>
    <definedName function="false" hidden="false" localSheetId="10" name="_P2" vbProcedure="false">{#N/A,#N/A,FALSE,"Volume"}</definedName>
    <definedName function="false" hidden="false" localSheetId="10" name="_P3" vbProcedure="false">{#N/A,#N/A,FALSE,"Volume"}</definedName>
    <definedName function="false" hidden="false" localSheetId="10" name="_P4" vbProcedure="false">{#N/A,#N/A,FALSE,"Volume"}</definedName>
    <definedName function="false" hidden="false" localSheetId="10" name="_pap1" vbProcedure="false">{#N/A,#N/A,FALSE,"Volume"}</definedName>
    <definedName function="false" hidden="false" localSheetId="10" name="_pap2" vbProcedure="false">{#N/A,#N/A,FALSE,"Volume"}</definedName>
    <definedName function="false" hidden="false" localSheetId="10" name="_pap3" vbProcedure="false">{#N/A,#N/A,FALSE,"Volume"}</definedName>
    <definedName function="false" hidden="false" localSheetId="10" name="_pap4" vbProcedure="false">{#N/A,#N/A,FALSE,"Volume"}</definedName>
    <definedName function="false" hidden="false" localSheetId="10" name="_pap5" vbProcedure="false">{#N/A,#N/A,FALSE,"Volume"}</definedName>
    <definedName function="false" hidden="false" localSheetId="10" name="_PPH1" vbProcedure="false">[40]!Calculate_Pipe</definedName>
    <definedName function="false" hidden="false" localSheetId="10" name="_q" vbProcedure="false">'[3]run sheet'!#ref!</definedName>
    <definedName function="false" hidden="false" localSheetId="10" name="_r06" vbProcedure="false">[41]!AutoCAD</definedName>
    <definedName function="false" hidden="true" localSheetId="10" name="_Sort" vbProcedure="false">#ref!</definedName>
    <definedName function="false" hidden="false" localSheetId="10" name="_SPM1" vbProcedure="false">[16]!Macro1</definedName>
    <definedName function="false" hidden="false" localSheetId="10" name="_SSA1" vbProcedure="false">[43]!Macro46</definedName>
    <definedName function="false" hidden="false" localSheetId="10" name="_T" vbProcedure="false">'[4]cumulative temp diff'!#ref!</definedName>
    <definedName function="false" hidden="true" localSheetId="10" name="_Table1_In1" vbProcedure="false">[103]Run!$E$575</definedName>
    <definedName function="false" hidden="true" localSheetId="10" name="_Table1_Out" vbProcedure="false">[103]Run!$C$16:$E$577</definedName>
    <definedName function="false" hidden="false" localSheetId="10" name="_TST2" vbProcedure="false">'[11]Liner Job Info'!$O$7</definedName>
    <definedName function="false" hidden="false" localSheetId="10" name="_T_0" vbProcedure="false">{#N/A,#N/A,FALSE,"Volume"}</definedName>
    <definedName function="false" hidden="false" localSheetId="10" name="_UA38" vbProcedure="false">[26]!_UA38</definedName>
    <definedName function="false" hidden="false" localSheetId="10" name="_V" vbProcedure="false">#ref!</definedName>
    <definedName function="false" hidden="false" localSheetId="10" name="_wrn1" vbProcedure="false">{#N/A,#N/A,FALSE,"Volume"}</definedName>
    <definedName function="false" hidden="false" localSheetId="10" name="_X" vbProcedure="false">'[1]run sheet'!#ref!</definedName>
    <definedName function="false" hidden="false" localSheetId="10" name="_xa" vbProcedure="false">{#N/A,#N/A,FALSE,"Volume"}</definedName>
    <definedName function="false" hidden="false" localSheetId="10" name="_xb" vbProcedure="false">{#N/A,#N/A,FALSE,"Volume"}</definedName>
    <definedName function="false" hidden="false" localSheetId="10" name="_xc" vbProcedure="false">{#N/A,#N/A,FALSE,"Volume"}</definedName>
    <definedName function="false" hidden="false" localSheetId="10" name="_xlnm.Extract" vbProcedure="false">[180]BOOK5!$C$1:$C$65536</definedName>
    <definedName function="false" hidden="false" localSheetId="10" name="_x_0" vbProcedure="false">{#N/A,#N/A,FALSE,"Volume"}</definedName>
    <definedName function="false" hidden="false" localSheetId="10" name="_Z" vbProcedure="false">'[1]run sheet'!#ref!</definedName>
    <definedName function="false" hidden="false" localSheetId="10" name="_z1" vbProcedure="false">{#N/A,#N/A,FALSE,"Volume"}</definedName>
    <definedName function="false" hidden="false" localSheetId="10" name="_z2" vbProcedure="false">{#N/A,#N/A,FALSE,"Volume"}</definedName>
    <definedName function="false" hidden="false" localSheetId="10" name="_z3" vbProcedure="false">{#N/A,#N/A,FALSE,"Volume"}</definedName>
    <definedName function="false" hidden="false" localSheetId="10" name="_z4" vbProcedure="false">{#N/A,#N/A,FALSE,"Volume"}</definedName>
    <definedName function="false" hidden="false" localSheetId="10" name="_z_0" vbProcedure="false">{#N/A,#N/A,FALSE,"Volume"}</definedName>
    <definedName function="false" hidden="false" localSheetId="10" name="__" vbProcedure="false">'[113]#REF'!$E$29</definedName>
    <definedName function="false" hidden="true" localSheetId="10" name="__123Graph_A" vbProcedure="false">[103]Run!$B$18:$B$512</definedName>
    <definedName function="false" hidden="true" localSheetId="10" name="__123Graph_B" vbProcedure="false">'[102]Minimum Curve Method'!$K$9:$K$152</definedName>
    <definedName function="false" hidden="true" localSheetId="10" name="__123Graph_C" vbProcedure="false">[103]Run!$C$16:$C$512</definedName>
    <definedName function="false" hidden="true" localSheetId="10" name="__123Graph_D" vbProcedure="false">[103]Run!$D$15:$D$512</definedName>
    <definedName function="false" hidden="true" localSheetId="10" name="__123Graph_E" vbProcedure="false">[103]Run!$E$16:$E$514</definedName>
    <definedName function="false" hidden="true" localSheetId="10" name="__123Graph_F" vbProcedure="false">[103]Run!$F$16:$F$514</definedName>
    <definedName function="false" hidden="true" localSheetId="10" name="__123Graph_X" vbProcedure="false">'[102]Minimum Curve Method'!$K$9:$K$152</definedName>
    <definedName function="false" hidden="false" localSheetId="10" name="__1Module2__2__.gaugeconok2" vbProcedure="false">[26]!__1Module2__2__.gaugeconok2</definedName>
    <definedName function="false" hidden="false" localSheetId="10" name="__2Module2__2__.gaugeok2" vbProcedure="false">[26]!__2Module2__2__.gaugeok2</definedName>
    <definedName function="false" hidden="false" localSheetId="10" name="__3Module2__2__.gaugeselect2" vbProcedure="false">[26]!__3Module2__2__.gaugeselect2</definedName>
    <definedName function="false" hidden="false" localSheetId="10" name="__4Module2__2__.serialselect3" vbProcedure="false">[26]!__4Module2__2__.serialselect3</definedName>
    <definedName function="false" hidden="false" localSheetId="10" name="__5Module2__2__.serialselect4" vbProcedure="false">[26]!__5Module2__2__.serialselect4</definedName>
    <definedName function="false" hidden="true" localSheetId="10" name="__A4" vbProcedure="false">[100]Run!$B$18:$B$512</definedName>
    <definedName function="false" hidden="false" localSheetId="10" name="__bb2789" vbProcedure="false">[9]!Calculate_Pipe</definedName>
    <definedName function="false" hidden="false" localSheetId="10" name="__SPM1" vbProcedure="false">[16]!Macro1</definedName>
    <definedName function="false" hidden="false" localSheetId="10" name="__UA38" vbProcedure="false">[26]!__UA38</definedName>
    <definedName function="false" hidden="false" localSheetId="10" name="__wrn1" vbProcedure="false">{#N/A,#N/A,FALSE,"Volume"}</definedName>
    <definedName function="false" hidden="true" localSheetId="10" name="___A4" vbProcedure="false">[179]Run!$B$18:$B$512</definedName>
    <definedName function="false" hidden="false" localSheetId="10" name="___bb2789" vbProcedure="false">[9]!Calculate_Pipe</definedName>
    <definedName function="false" hidden="false" localSheetId="10" name="___SPM1" vbProcedure="false">[16]!Macro1</definedName>
    <definedName function="false" hidden="false" localSheetId="10" name="___wrn1" vbProcedure="false">{#N/A,#N/A,FALSE,"Volume"}</definedName>
    <definedName function="false" hidden="true" localSheetId="10" name="____A4" vbProcedure="false">[179]Run!$B$18:$B$512</definedName>
    <definedName function="false" hidden="false" localSheetId="10" name="____bb2789" vbProcedure="false">[9]!Calculate_Pipe</definedName>
    <definedName function="false" hidden="false" localSheetId="10" name="____SPM1" vbProcedure="false">[16]!Macro1</definedName>
    <definedName function="false" hidden="false" localSheetId="10" name="____wrn1" vbProcedure="false">{#N/A,#N/A,FALSE,"Volume"}</definedName>
    <definedName function="false" hidden="true" localSheetId="10" name="_____A4" vbProcedure="false">[179]Run!$B$18:$B$512</definedName>
    <definedName function="false" hidden="false" localSheetId="10" name="_____bb2789" vbProcedure="false">[14]!Calculate_Pipe</definedName>
    <definedName function="false" hidden="false" localSheetId="10" name="_____SPM1" vbProcedure="false">[16]!Macro1</definedName>
    <definedName function="false" hidden="false" localSheetId="10" name="_____wrn1" vbProcedure="false">{#N/A,#N/A,FALSE,"Volume"}</definedName>
    <definedName function="false" hidden="true" localSheetId="10" name="______A4" vbProcedure="false">[179]Run!$B$18:$B$512</definedName>
    <definedName function="false" hidden="false" localSheetId="10" name="______bb2789" vbProcedure="false">[14]!Calculate_Pipe</definedName>
    <definedName function="false" hidden="false" localSheetId="10" name="______SPM1" vbProcedure="false">[16]!Macro1</definedName>
    <definedName function="false" hidden="true" localSheetId="10" name="_______A4" vbProcedure="false">[179]Run!$B$18:$B$512</definedName>
    <definedName function="false" hidden="false" localSheetId="10" name="_______bb2789" vbProcedure="false">[14]!Calculate_Pipe</definedName>
    <definedName function="false" hidden="false" localSheetId="10" name="_______wrn1" vbProcedure="false">{#N/A,#N/A,FALSE,"Volume"}</definedName>
    <definedName function="false" hidden="true" localSheetId="10" name="________A4" vbProcedure="false">[179]Run!$B$18:$B$512</definedName>
    <definedName function="false" hidden="false" localSheetId="10" name="________bb2789" vbProcedure="false">[14]!Calculate_Pipe</definedName>
    <definedName function="false" hidden="true" localSheetId="10" name="_________A4" vbProcedure="false">[179]Run!$B$18:$B$512</definedName>
    <definedName function="false" hidden="false" localSheetId="10" name="_________bb2789" vbProcedure="false">[14]!Calculate_Pipe</definedName>
    <definedName function="false" hidden="false" localSheetId="10" name="_________wrn1" vbProcedure="false">{#N/A,#N/A,FALSE,"Volume"}</definedName>
    <definedName function="false" hidden="true" localSheetId="10" name="__________A4" vbProcedure="false">[179]Run!$B$18:$B$512</definedName>
    <definedName function="false" hidden="false" localSheetId="10" name="__________bb2789" vbProcedure="false">[14]!Calculate_Pipe</definedName>
    <definedName function="false" hidden="true" localSheetId="10" name="___________A4" vbProcedure="false">[179]Run!$B$18:$B$512</definedName>
    <definedName function="false" hidden="false" localSheetId="10" name="___________bb2789" vbProcedure="false">[14]!Calculate_Pipe</definedName>
    <definedName function="false" hidden="false" localSheetId="10" name="___________wrn1" vbProcedure="false">{#N/A,#N/A,FALSE,"Volume"}</definedName>
    <definedName function="false" hidden="true" localSheetId="10" name="____________A4" vbProcedure="false">[179]Run!$B$18:$B$512</definedName>
    <definedName function="false" hidden="false" localSheetId="10" name="____________bb2789" vbProcedure="false">[14]!Calculate_Pipe</definedName>
    <definedName function="false" hidden="false" localSheetId="10" name="____________wrn1" vbProcedure="false">{#N/A,#N/A,FALSE,"Volume"}</definedName>
    <definedName function="false" hidden="true" localSheetId="10" name="_____________A4" vbProcedure="false">[179]Run!$B$18:$B$512</definedName>
    <definedName function="false" hidden="false" localSheetId="10" name="_____________bb2789" vbProcedure="false">[14]!Calculate_Pipe</definedName>
    <definedName function="false" hidden="true" localSheetId="10" name="______________A4" vbProcedure="false">[179]Run!$B$18:$B$512</definedName>
    <definedName function="false" hidden="false" localSheetId="10" name="______________bb2789" vbProcedure="false">[14]!Calculate_Pipe</definedName>
    <definedName function="false" hidden="true" localSheetId="10" name="_______________A4" vbProcedure="false">[179]Run!$B$18:$B$512</definedName>
    <definedName function="false" hidden="false" localSheetId="10" name="_______________bb2789" vbProcedure="false">[14]!Calculate_Pipe</definedName>
    <definedName function="false" hidden="true" localSheetId="10" name="________________A4" vbProcedure="false">[179]Run!$B$18:$B$512</definedName>
    <definedName function="false" hidden="false" localSheetId="10" name="________________bb2789" vbProcedure="false">[9]!Calculate_Pipe</definedName>
    <definedName function="false" hidden="true" localSheetId="10" name="_________________A4" vbProcedure="false">[179]Run!$B$18:$B$512</definedName>
    <definedName function="false" hidden="false" localSheetId="10" name="_________________bb2789" vbProcedure="false">[9]!Calculate_Pipe</definedName>
    <definedName function="false" hidden="true" localSheetId="10" name="__________________A4" vbProcedure="false">[179]Run!$B$18:$B$512</definedName>
    <definedName function="false" hidden="false" localSheetId="10" name="__________________bb2789" vbProcedure="false">[11]!Calculate_Pipe</definedName>
    <definedName function="false" hidden="true" localSheetId="10" name="___________________A4" vbProcedure="false">[179]Run!$B$18:$B$512</definedName>
    <definedName function="false" hidden="false" localSheetId="10" name="___________________bb2789" vbProcedure="false">[11]!Calculate_Pipe</definedName>
    <definedName function="false" hidden="true" localSheetId="10" name="____________________A4" vbProcedure="false">[184]Run!$B$18:$B$512</definedName>
    <definedName function="false" hidden="false" localSheetId="10" name="____________________bb2789" vbProcedure="false">[9]!Calculate_Pipe</definedName>
    <definedName function="false" hidden="true" localSheetId="10" name="_____________________A4" vbProcedure="false">[179]Run!$B$18:$B$512</definedName>
    <definedName function="false" hidden="false" localSheetId="10" name="_____________________bb2789" vbProcedure="false">[12]!Calculate_Pipe</definedName>
    <definedName function="false" hidden="true" localSheetId="10" name="______________________A4" vbProcedure="false">[179]Run!$B$18:$B$512</definedName>
    <definedName function="false" hidden="false" localSheetId="10" name="______________________bb2789" vbProcedure="false">[9]!Calculate_Pipe</definedName>
    <definedName function="false" hidden="true" localSheetId="10" name="_______________________A4" vbProcedure="false">[184]Run!$B$18:$B$512</definedName>
    <definedName function="false" hidden="false" localSheetId="10" name="_______________________bb2789" vbProcedure="false">[9]!Calculate_Pipe</definedName>
    <definedName function="false" hidden="true" localSheetId="10" name="________________________A4" vbProcedure="false">[179]Run!$B$18:$B$512</definedName>
    <definedName function="false" hidden="false" localSheetId="10" name="________________________bb2789" vbProcedure="false">[11]!Calculate_Pipe</definedName>
    <definedName function="false" hidden="false" localSheetId="10" name="_________________________bb2789" vbProcedure="false">[9]!Calculate_Pipe</definedName>
    <definedName function="false" hidden="true" localSheetId="10" name="__________________________A4" vbProcedure="false">[184]Run!$B$18:$B$512</definedName>
    <definedName function="false" hidden="false" localSheetId="10" name="歼击机" vbProcedure="false">[194]钻井日报表!$E$7</definedName>
    <definedName function="false" hidden="false" localSheetId="10" name="起始日期" vbProcedure="false">[181]钻井日报表!$B$1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<sst xmlns="http://schemas.openxmlformats.org/spreadsheetml/2006/main" count="3580" uniqueCount="958">
  <si>
    <t xml:space="preserve">COMPLETION ASSEMBLY INSTALLATION / CONSUMPTION RECORD SHEET</t>
  </si>
  <si>
    <t xml:space="preserve">DT 15949454</t>
  </si>
  <si>
    <t xml:space="preserve">CUSTOMER :</t>
  </si>
  <si>
    <t xml:space="preserve">ADNOC ONSHORE</t>
  </si>
  <si>
    <t xml:space="preserve">FIELD :</t>
  </si>
  <si>
    <t xml:space="preserve">AD-237</t>
  </si>
  <si>
    <t xml:space="preserve">WORK ORDER NUMBER</t>
  </si>
  <si>
    <t xml:space="preserve">4700014396</t>
  </si>
  <si>
    <t xml:space="preserve">CONTRACT NUMBER</t>
  </si>
  <si>
    <t xml:space="preserve">FTASM 1706-B</t>
  </si>
  <si>
    <t xml:space="preserve">Installation :</t>
  </si>
  <si>
    <t xml:space="preserve">02-Jul-26</t>
  </si>
  <si>
    <t xml:space="preserve">Reported By :</t>
  </si>
  <si>
    <t xml:space="preserve">DRILLING SUPERVISOR </t>
  </si>
  <si>
    <t xml:space="preserve">Date :</t>
  </si>
  <si>
    <t xml:space="preserve">24-Jul-26</t>
  </si>
  <si>
    <t xml:space="preserve">Production Commitment No. :</t>
  </si>
  <si>
    <t xml:space="preserve">4200761193</t>
  </si>
  <si>
    <t xml:space="preserve">Client's Representative Name:</t>
  </si>
  <si>
    <t xml:space="preserve">Weatherford's
Representative Name:</t>
  </si>
  <si>
    <t xml:space="preserve">Mahmoud Ali</t>
  </si>
  <si>
    <t xml:space="preserve">Client's Representative Sign.:</t>
  </si>
  <si>
    <t xml:space="preserve">Weatherford's
Representative Sign.:</t>
  </si>
  <si>
    <t xml:space="preserve">*THE FOLLOWING ASSEMBLIES ARE TO BE SHIPPED TO : </t>
  </si>
  <si>
    <t xml:space="preserve">*THE FOLLOWING ASSEMBLIES HAVE BEEN RUN IN : </t>
  </si>
  <si>
    <t xml:space="preserve">BB-1309</t>
  </si>
  <si>
    <t xml:space="preserve">PC LINE ITEM NO.</t>
  </si>
  <si>
    <t xml:space="preserve">MATERIAL REQUISITION</t>
  </si>
  <si>
    <t xml:space="preserve">SAP MATERIAL NUMBER</t>
  </si>
  <si>
    <t xml:space="preserve">ADNOC DESCRIPTION</t>
  </si>
  <si>
    <t xml:space="preserve">WEATHERFORD
Part No:</t>
  </si>
  <si>
    <t xml:space="preserve">Serial Number</t>
  </si>
  <si>
    <t xml:space="preserve">DESCRIPTION</t>
  </si>
  <si>
    <t xml:space="preserve">QUANTITY</t>
  </si>
  <si>
    <t xml:space="preserve">COMMENTS</t>
  </si>
  <si>
    <t xml:space="preserve">N/A</t>
  </si>
  <si>
    <t xml:space="preserve">BASKET, EQUIPMENT OFFSHORE</t>
  </si>
  <si>
    <t xml:space="preserve">237531</t>
  </si>
  <si>
    <t xml:space="preserve">CON-TAC21-06</t>
  </si>
  <si>
    <t xml:space="preserve">SUCCESSFULLY RIH</t>
  </si>
  <si>
    <t xml:space="preserve">TOOLBOX, OFFSHORE - WELLSITE</t>
  </si>
  <si>
    <t xml:space="preserve">3027199</t>
  </si>
  <si>
    <t xml:space="preserve">RZ060-012</t>
  </si>
  <si>
    <t xml:space="preserve">PUMP, HYDRAULIC</t>
  </si>
  <si>
    <t xml:space="preserve">300340</t>
  </si>
  <si>
    <t xml:space="preserve">3254409</t>
  </si>
  <si>
    <t xml:space="preserve">Master Data Imput</t>
  </si>
  <si>
    <t xml:space="preserve">Customer Name</t>
  </si>
  <si>
    <t xml:space="preserve">Job Type</t>
  </si>
  <si>
    <t xml:space="preserve">3-1/2" Single Oil Producer, Alloy-28 Tubing,</t>
  </si>
  <si>
    <t xml:space="preserve">Lead Engineer</t>
  </si>
  <si>
    <t xml:space="preserve">Field Supervisor</t>
  </si>
  <si>
    <t xml:space="preserve">ADNOC Rep.</t>
  </si>
  <si>
    <t xml:space="preserve">Work Description</t>
  </si>
  <si>
    <t xml:space="preserve">RIH COMPLETION</t>
  </si>
  <si>
    <t xml:space="preserve">Crew 1</t>
  </si>
  <si>
    <t xml:space="preserve">Ibrahim Gad</t>
  </si>
  <si>
    <t xml:space="preserve">TRSV Engineer</t>
  </si>
  <si>
    <t xml:space="preserve">ADNOC Rep. Phone</t>
  </si>
  <si>
    <t xml:space="preserve">Field</t>
  </si>
  <si>
    <t xml:space="preserve">Crew 2</t>
  </si>
  <si>
    <t xml:space="preserve">Crew 3</t>
  </si>
  <si>
    <t xml:space="preserve">Crew 4</t>
  </si>
  <si>
    <t xml:space="preserve">BAB</t>
  </si>
  <si>
    <t xml:space="preserve">Crew 5</t>
  </si>
  <si>
    <t xml:space="preserve">Crew 6</t>
  </si>
  <si>
    <t xml:space="preserve">Contract #</t>
  </si>
  <si>
    <t xml:space="preserve">Well</t>
  </si>
  <si>
    <t xml:space="preserve">Customer RO #:</t>
  </si>
  <si>
    <t xml:space="preserve">RIG</t>
  </si>
  <si>
    <t xml:space="preserve">Number of Days in RO</t>
  </si>
  <si>
    <t xml:space="preserve">Date and time for Arrival</t>
  </si>
  <si>
    <t xml:space="preserve">Date and time for Job Start</t>
  </si>
  <si>
    <t xml:space="preserve">Customer (Contractor) #</t>
  </si>
  <si>
    <t xml:space="preserve">Date and time for Job End</t>
  </si>
  <si>
    <t xml:space="preserve">Service DT</t>
  </si>
  <si>
    <t xml:space="preserve">Date and time for Leave</t>
  </si>
  <si>
    <t xml:space="preserve">WPTS #</t>
  </si>
  <si>
    <t xml:space="preserve">Total Time Hrs</t>
  </si>
  <si>
    <t xml:space="preserve">Operational Time Hrs</t>
  </si>
  <si>
    <t xml:space="preserve">Company</t>
  </si>
  <si>
    <t xml:space="preserve">Weatherford Bin Hamoodah L.L.C</t>
  </si>
  <si>
    <t xml:space="preserve">Lost Time (NPT)</t>
  </si>
  <si>
    <t xml:space="preserve">WFT Contact Name</t>
  </si>
  <si>
    <t xml:space="preserve">Mohamed Massood</t>
  </si>
  <si>
    <t xml:space="preserve">Runs</t>
  </si>
  <si>
    <t xml:space="preserve">WFT Contact Phone #</t>
  </si>
  <si>
    <t xml:space="preserve">Miss Runs</t>
  </si>
  <si>
    <t xml:space="preserve">WFT Supervisor</t>
  </si>
  <si>
    <t xml:space="preserve">Mahmoud Ali </t>
  </si>
  <si>
    <t xml:space="preserve">WFT Supervisor Phone #</t>
  </si>
  <si>
    <t xml:space="preserve">Backload Sent</t>
  </si>
  <si>
    <t xml:space="preserve">PO Asociated</t>
  </si>
  <si>
    <t xml:space="preserve">Q-74878</t>
  </si>
  <si>
    <t xml:space="preserve">Documents Signed Date</t>
  </si>
  <si>
    <t xml:space="preserve">Job Sequence of Events</t>
  </si>
  <si>
    <t xml:space="preserve">DOCUMENT NUMBER</t>
  </si>
  <si>
    <t xml:space="preserve">CLASSIFICATION</t>
  </si>
  <si>
    <t xml:space="preserve">DOCUMENT LEVEL</t>
  </si>
  <si>
    <t xml:space="preserve">REVISION NUMBER</t>
  </si>
  <si>
    <t xml:space="preserve">ISSUE DATE</t>
  </si>
  <si>
    <t xml:space="preserve">PREPARED BY</t>
  </si>
  <si>
    <t xml:space="preserve">APPROVAL</t>
  </si>
  <si>
    <t xml:space="preserve">GL-COMP-OEPS-L4-15.07</t>
  </si>
  <si>
    <t xml:space="preserve">CONTROLLED</t>
  </si>
  <si>
    <t xml:space="preserve">L5</t>
  </si>
  <si>
    <t xml:space="preserve">WCT TECHNICAL DOCUMENTATION GROUP</t>
  </si>
  <si>
    <t xml:space="preserve">WCT TWIC</t>
  </si>
  <si>
    <t xml:space="preserve">Job No.: </t>
  </si>
  <si>
    <t xml:space="preserve">Well Name:</t>
  </si>
  <si>
    <t xml:space="preserve">Rig:</t>
  </si>
  <si>
    <t xml:space="preserve">AL HUDAIRIYAT</t>
  </si>
  <si>
    <t xml:space="preserve">Client Ref.:</t>
  </si>
  <si>
    <t xml:space="preserve">Start Date:</t>
  </si>
  <si>
    <t xml:space="preserve">Job Type:</t>
  </si>
  <si>
    <t xml:space="preserve">Client:</t>
  </si>
  <si>
    <t xml:space="preserve">End Date:</t>
  </si>
  <si>
    <t xml:space="preserve">WCT Rep:</t>
  </si>
  <si>
    <t xml:space="preserve">Total Time:</t>
  </si>
  <si>
    <t xml:space="preserve">Work Time:</t>
  </si>
  <si>
    <t xml:space="preserve">Lost Time:</t>
  </si>
  <si>
    <t xml:space="preserve">Runs:</t>
  </si>
  <si>
    <t xml:space="preserve">Miss Runs:</t>
  </si>
  <si>
    <t xml:space="preserve">Date</t>
  </si>
  <si>
    <t xml:space="preserve">Time</t>
  </si>
  <si>
    <t xml:space="preserve">Event</t>
  </si>
  <si>
    <t xml:space="preserve">CUSTOMER REP. </t>
  </si>
  <si>
    <t xml:space="preserve">OPERATIONS REP. NAME:</t>
  </si>
  <si>
    <t xml:space="preserve">SIGNATURE:</t>
  </si>
  <si>
    <t xml:space="preserve">Signature / Date</t>
  </si>
  <si>
    <t xml:space="preserve">©2018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</si>
  <si>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 xml:space="preserve">Final Proforma Invoice</t>
  </si>
  <si>
    <t xml:space="preserve">Rig</t>
  </si>
  <si>
    <t xml:space="preserve">DT</t>
  </si>
  <si>
    <t xml:space="preserve">PO</t>
  </si>
  <si>
    <t xml:space="preserve">Job</t>
  </si>
  <si>
    <t xml:space="preserve">Contract</t>
  </si>
  <si>
    <t xml:space="preserve">Customer</t>
  </si>
  <si>
    <t xml:space="preserve">S.No.</t>
  </si>
  <si>
    <t xml:space="preserve">Description</t>
  </si>
  <si>
    <t xml:space="preserve">Per Day Rate $</t>
  </si>
  <si>
    <t xml:space="preserve"># Days</t>
  </si>
  <si>
    <t xml:space="preserve">Total</t>
  </si>
  <si>
    <t xml:space="preserve">,</t>
  </si>
  <si>
    <t xml:space="preserve">DS Signature and Stamp                                       Weatherford Service Eng.</t>
  </si>
  <si>
    <t xml:space="preserve">Gross Value $</t>
  </si>
  <si>
    <t xml:space="preserve">Net Invoice Value $</t>
  </si>
  <si>
    <t xml:space="preserve">ADNOC</t>
  </si>
  <si>
    <t xml:space="preserve">Doc No: FO-ADC-DMET-COMP-Rev1 </t>
  </si>
  <si>
    <t xml:space="preserve">Doc Owner: ADNOC DMET TEAM</t>
  </si>
  <si>
    <t xml:space="preserve"> KEY PERFORMANCE INDICTOR " KPI"</t>
  </si>
  <si>
    <t xml:space="preserve">CONTRACTORS PEFORMANCE TRAKER / JOB EVALUATION</t>
  </si>
  <si>
    <t xml:space="preserve">Job Type :</t>
  </si>
  <si>
    <t xml:space="preserve">Job Completed Scussfuly </t>
  </si>
  <si>
    <t xml:space="preserve">Service Provider :</t>
  </si>
  <si>
    <t xml:space="preserve">Rig Name :</t>
  </si>
  <si>
    <t xml:space="preserve">Contractor's Rep. Lead :</t>
  </si>
  <si>
    <t xml:space="preserve">Well No:</t>
  </si>
  <si>
    <t xml:space="preserve">ADNOC Rep. :</t>
  </si>
  <si>
    <t xml:space="preserve">Job Duration </t>
  </si>
  <si>
    <t xml:space="preserve">Date </t>
  </si>
  <si>
    <t xml:space="preserve">Period from / to (Date):</t>
  </si>
  <si>
    <t xml:space="preserve">Contract Service Operation Execution KPIs</t>
  </si>
  <si>
    <t xml:space="preserve">Yes </t>
  </si>
  <si>
    <t xml:space="preserve">No </t>
  </si>
  <si>
    <t xml:space="preserve">A) Pre- Job Documentation .</t>
  </si>
  <si>
    <t xml:space="preserve">Comments </t>
  </si>
  <si>
    <t xml:space="preserve">Scoring </t>
  </si>
  <si>
    <t xml:space="preserve">1. Engineer Has the latest revision of well program detailing job procedures &amp; design , which communicated to the ADNOC completion engineer &amp; has  the job packet including the well calculation / Simulation ,Sub Assembly Report  etc. ? .</t>
  </si>
  <si>
    <t xml:space="preserve">2. Engineers conducted Pre-Job meeting with Technical Rep / Operation Support reviews the completion design in town &amp; have the contingency plan  in place ?</t>
  </si>
  <si>
    <t xml:space="preserve">3. Engineer Has the agreed Risk Analysis "RA/JSA" identifying each step of the operations ?</t>
  </si>
  <si>
    <t xml:space="preserve">B) On site Delivered Equipment's  Check .          </t>
  </si>
  <si>
    <t xml:space="preserve">1. Equipment's delivered on time   with correct signed documentation  &amp; all in good condition including back up assembly , service tool , baskets, spoolers, pumps, toolbox , if there's any issue, did the engineer report on time ?.</t>
  </si>
  <si>
    <t xml:space="preserve">2. Pre-load out checklist completed (to include maintenance records, and certifications) and the engineer physically checked the offloaded material and lay it out probably for inspection on time ? </t>
  </si>
  <si>
    <t xml:space="preserve">C)  On site Preparation efficiencies </t>
  </si>
  <si>
    <t xml:space="preserve">1. Did the Engineer Discussed the Well Operations with drilling supervisors , checked and confirmed well information and configuration  , calculated Tally and checked all equipment's /Accessories required for the Job ?</t>
  </si>
  <si>
    <r>
      <rPr>
        <b val="true"/>
        <sz val="11"/>
        <color theme="1"/>
        <rFont val="Calibri"/>
        <family val="2"/>
        <charset val="1"/>
      </rPr>
      <t xml:space="preserve">2. Did the Engineer conduct </t>
    </r>
    <r>
      <rPr>
        <b val="true"/>
        <u val="single"/>
        <sz val="11"/>
        <color theme="1"/>
        <rFont val="Calibri"/>
        <family val="2"/>
        <charset val="1"/>
      </rPr>
      <t xml:space="preserve">Pre Job Briefing</t>
    </r>
    <r>
      <rPr>
        <b val="true"/>
        <sz val="11"/>
        <color theme="1"/>
        <rFont val="Calibri"/>
        <family val="2"/>
        <charset val="1"/>
      </rPr>
      <t xml:space="preserve"> with rig crew , TRS, Slick line , WH etc</t>
    </r>
    <r>
      <rPr>
        <sz val="11"/>
        <color theme="1"/>
        <rFont val="Calibri"/>
        <family val="2"/>
        <charset val="1"/>
      </rPr>
      <t xml:space="preserve">. identifying all safety critical points &amp; explain the  critical steps &amp; agreed about all parties interfaces, tasks ,responsibility ?</t>
    </r>
  </si>
  <si>
    <t xml:space="preserve">D)  Job Executing </t>
  </si>
  <si>
    <t xml:space="preserve">1. Are the Equipment in good Condition .</t>
  </si>
  <si>
    <t xml:space="preserve">2. Are the equipment Operational performed as expected .</t>
  </si>
  <si>
    <t xml:space="preserve">3. Are the successfully installed equipment has performed without any troubleshooting or any interventions?
 If there’s any issue please write details in the comments.</t>
  </si>
  <si>
    <t xml:space="preserve">4. Are all the service Equipment’s such as Running Tools , Spoolers , DTS Surface Monitoring system Etc. performed as Expected ? </t>
  </si>
  <si>
    <t xml:space="preserve">5. Do service personnel meet the level of competence required for the operation they will be preform ?</t>
  </si>
  <si>
    <t xml:space="preserve">6.Engineer Communication Skills and Attitude .</t>
  </si>
  <si>
    <r>
      <rPr>
        <sz val="11"/>
        <color theme="1"/>
        <rFont val="Calibri"/>
        <family val="2"/>
        <charset val="1"/>
      </rPr>
      <t xml:space="preserve">7.Dose service specialist understands the job can be stopped if operational or HSE issue is noticed and adherence to</t>
    </r>
    <r>
      <rPr>
        <b val="true"/>
        <sz val="11"/>
        <color theme="1"/>
        <rFont val="Calibri"/>
        <family val="2"/>
        <charset val="1"/>
      </rPr>
      <t xml:space="preserve"> HSE</t>
    </r>
    <r>
      <rPr>
        <sz val="11"/>
        <color theme="1"/>
        <rFont val="Calibri"/>
        <family val="2"/>
        <charset val="1"/>
      </rPr>
      <t xml:space="preserve"> , Participate in ADNOC HSE System  ?</t>
    </r>
  </si>
  <si>
    <t xml:space="preserve">8.Does service specialist have hand carry consumable items such as Redress kit Fitting and his own hand tools . </t>
  </si>
  <si>
    <t xml:space="preserve">9.dose the Engineer Complete job and coordinate equipment rig down ensuring all equipment requiring maintenance is identified, and report if any issue ?</t>
  </si>
  <si>
    <t xml:space="preserve">10.Determine where equipment is to be sent, advise relevant personnel and complete required shipping documents/manifest, as applicable. Securely package equipment ensuring it is environmentally safe and ready for transportation on timely manner ?</t>
  </si>
  <si>
    <t xml:space="preserve">11.Complete location EOWR  and field tickets  accurately and provide relevant documents to ADNOC Rep .</t>
  </si>
  <si>
    <t xml:space="preserve">12.dose the Engineer Identify Lesson Learned (if Applicable  )and added to the Report and share it on the Morning call. </t>
  </si>
  <si>
    <t xml:space="preserve">13. House Keeping After the Job ?</t>
  </si>
  <si>
    <t xml:space="preserve">Vendor Delivery KPIs (Total Score)                  </t>
  </si>
  <si>
    <t xml:space="preserve">ADDITIONAL COMMENTS :-</t>
  </si>
  <si>
    <t xml:space="preserve">Lesson Learned / Improvements</t>
  </si>
  <si>
    <t xml:space="preserve">Recommendations</t>
  </si>
  <si>
    <t xml:space="preserve">Name </t>
  </si>
  <si>
    <t xml:space="preserve">Signature</t>
  </si>
  <si>
    <t xml:space="preserve">Contractor Rep . </t>
  </si>
  <si>
    <t xml:space="preserve">FIELD SERVICE QUALITY SURVEY (OFFLINE)</t>
  </si>
  <si>
    <t xml:space="preserve">GL-WFT-OEPS-L2-10.03</t>
  </si>
  <si>
    <t xml:space="preserve">09 SEP 2020</t>
  </si>
  <si>
    <t xml:space="preserve">TECHNICAL ADVISORY COMMITTEE</t>
  </si>
  <si>
    <t xml:space="preserve">OEP APPROVAL BOARD</t>
  </si>
  <si>
    <t xml:space="preserve">Client</t>
  </si>
  <si>
    <t xml:space="preserve">Client Contact</t>
  </si>
  <si>
    <t xml:space="preserve">Project</t>
  </si>
  <si>
    <t xml:space="preserve">Location</t>
  </si>
  <si>
    <t xml:space="preserve">WFT Product Line</t>
  </si>
  <si>
    <t xml:space="preserve">Completion</t>
  </si>
  <si>
    <t xml:space="preserve">WFT Contact</t>
  </si>
  <si>
    <t xml:space="preserve">Samy Ahmed</t>
  </si>
  <si>
    <t xml:space="preserve">Mark 'X' Below Coloured Performance Score</t>
  </si>
  <si>
    <t xml:space="preserve">Personnel</t>
  </si>
  <si>
    <t xml:space="preserve">Failure</t>
  </si>
  <si>
    <t xml:space="preserve">Poor</t>
  </si>
  <si>
    <t xml:space="preserve">Mediocre</t>
  </si>
  <si>
    <t xml:space="preserve">Satisfactory</t>
  </si>
  <si>
    <t xml:space="preserve">Good</t>
  </si>
  <si>
    <t xml:space="preserve">Excellent</t>
  </si>
  <si>
    <t xml:space="preserve">Personnel are not sufficiently trained nor competent to provide  the specific service(s) requested.
</t>
  </si>
  <si>
    <t xml:space="preserve">Insufficient trained and competent personnel to provide satisfactory service.</t>
  </si>
  <si>
    <t xml:space="preserve">Personnel were not fully equipped to be able to provide completely satisfactory service.</t>
  </si>
  <si>
    <t xml:space="preserve">Personnel are trained and competent to provide the requested service.</t>
  </si>
  <si>
    <t xml:space="preserve">Personnel are competent and experienced in service provided.</t>
  </si>
  <si>
    <t xml:space="preserve">Disciplined and professional. Performance is amongst the highest relative to peers.</t>
  </si>
  <si>
    <t xml:space="preserve">Equipment / Service</t>
  </si>
  <si>
    <t xml:space="preserve">Equipment/Service not fit for use.
</t>
  </si>
  <si>
    <t xml:space="preserve">Inadequate and/or unreliable equipment/service provided.</t>
  </si>
  <si>
    <t xml:space="preserve">Equipment/Service performed but problems were encountered, and level of quality was below expectation. </t>
  </si>
  <si>
    <t xml:space="preserve">The quantity and quality of equipment/service is adequate to provide the service requested.</t>
  </si>
  <si>
    <t xml:space="preserve">The equipment/service provided is fit for use, well maintained and reliable. </t>
  </si>
  <si>
    <t xml:space="preserve">Equipment/Service exceeded expectations. Performance is amongst the highest relative to peers.</t>
  </si>
  <si>
    <t xml:space="preserve">Communication</t>
  </si>
  <si>
    <t xml:space="preserve">Failed to understand customer requirements and/or personnel do not function as a team.</t>
  </si>
  <si>
    <t xml:space="preserve">Unsatisfactory communication with customer and/or between team members. </t>
  </si>
  <si>
    <t xml:space="preserve">Low level of communication with customer and between team members.</t>
  </si>
  <si>
    <t xml:space="preserve">Satisfactory communication with customer and between team members.</t>
  </si>
  <si>
    <t xml:space="preserve">Good understanding of customer requirements. Personnel work well as a team.</t>
  </si>
  <si>
    <t xml:space="preserve">Personnel are responsive to customer requirements and foster collaboration amongst all stakeholders</t>
  </si>
  <si>
    <t xml:space="preserve">HSSE</t>
  </si>
  <si>
    <t xml:space="preserve">  Loss and/or damage occurred due to Weatherford.                        Ineffective HSSE processes.</t>
  </si>
  <si>
    <t xml:space="preserve">Loss and/or damage occurred due to Weatherford.                           HSSE processes not followed.</t>
  </si>
  <si>
    <t xml:space="preserve">No loss or damage encountered but HSSE processes were not visible / adhered to.</t>
  </si>
  <si>
    <t xml:space="preserve">No loss or damage due to Weatherford. Effective HSSE processes and adherence.</t>
  </si>
  <si>
    <t xml:space="preserve">All operations conducted in a safe manner, in accordance with Risk Assessment &amp; HSSE Processes.</t>
  </si>
  <si>
    <t xml:space="preserve">HSSE performance exceeds expectations. Performance is amongst the highest relative to peers. </t>
  </si>
  <si>
    <t xml:space="preserve">Overall</t>
  </si>
  <si>
    <t xml:space="preserve">The overall level of service does not meet expectations and is amongst the lowest relative to peers.</t>
  </si>
  <si>
    <t xml:space="preserve"> The overall level of service does not meet expectations</t>
  </si>
  <si>
    <t xml:space="preserve">The requirements were met but overall service quality was below expectation.</t>
  </si>
  <si>
    <t xml:space="preserve">The level of service provided conforms to mutually agreed requirements, the first time.</t>
  </si>
  <si>
    <t xml:space="preserve">The overall level of service is good and exceeded expectations in some area.</t>
  </si>
  <si>
    <t xml:space="preserve">Level of service provided exceeds expectations and is amongst the highest relative to peers. </t>
  </si>
  <si>
    <t xml:space="preserve">How Can We Improve?
</t>
  </si>
  <si>
    <t xml:space="preserve">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</si>
  <si>
    <t xml:space="preserve">Customer Representative</t>
  </si>
  <si>
    <t xml:space="preserve">Weatherford Representative</t>
  </si>
  <si>
    <t xml:space="preserve"> </t>
  </si>
  <si>
    <t xml:space="preserve">©2020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</si>
  <si>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 xml:space="preserve">PERSONNEL AND EQUIPMENT TIMESHEET</t>
  </si>
  <si>
    <t xml:space="preserve">Document Number </t>
  </si>
  <si>
    <t xml:space="preserve">Function/ Devesion </t>
  </si>
  <si>
    <t xml:space="preserve">Owner </t>
  </si>
  <si>
    <t xml:space="preserve">SQ Review</t>
  </si>
  <si>
    <t xml:space="preserve">Approved by </t>
  </si>
  <si>
    <t xml:space="preserve">Rev Date </t>
  </si>
  <si>
    <t xml:space="preserve">Rev # </t>
  </si>
  <si>
    <t xml:space="preserve">UAE-COMP-OEPS-L5-036</t>
  </si>
  <si>
    <t xml:space="preserve">Completion </t>
  </si>
  <si>
    <t xml:space="preserve">Hamed Hassan</t>
  </si>
  <si>
    <t xml:space="preserve">Lambi Leslie </t>
  </si>
  <si>
    <t xml:space="preserve">Bassem Mahmoud</t>
  </si>
  <si>
    <t xml:space="preserve">Field : </t>
  </si>
  <si>
    <t xml:space="preserve">Contract # : </t>
  </si>
  <si>
    <t xml:space="preserve">FTL / Service Ticket #:</t>
  </si>
  <si>
    <t xml:space="preserve">Rig name:</t>
  </si>
  <si>
    <t xml:space="preserve">Customer RO  #:</t>
  </si>
  <si>
    <t xml:space="preserve">From </t>
  </si>
  <si>
    <t xml:space="preserve">To:</t>
  </si>
  <si>
    <t xml:space="preserve">Weatherford </t>
  </si>
  <si>
    <t xml:space="preserve">Well Number:</t>
  </si>
  <si>
    <t xml:space="preserve">Services performed:</t>
  </si>
  <si>
    <t xml:space="preserve">AON-STD-PET-24-0</t>
  </si>
  <si>
    <t xml:space="preserve">Eng Name </t>
  </si>
  <si>
    <t xml:space="preserve">Designation </t>
  </si>
  <si>
    <t xml:space="preserve">Total Days</t>
  </si>
  <si>
    <t xml:space="preserve">x</t>
  </si>
  <si>
    <t xml:space="preserve">Part # /Serial #</t>
  </si>
  <si>
    <t xml:space="preserve">Service Equipment </t>
  </si>
  <si>
    <t xml:space="preserve">Operational Hours:</t>
  </si>
  <si>
    <t xml:space="preserve">Supplier - Rep. </t>
  </si>
  <si>
    <t xml:space="preserve">Customer Rep.</t>
  </si>
  <si>
    <t xml:space="preserve">Customer Stamp </t>
  </si>
  <si>
    <t xml:space="preserve">Date :- </t>
  </si>
  <si>
    <r>
      <rPr>
        <b val="true"/>
        <sz val="6.5"/>
        <color theme="1"/>
        <rFont val="Arial"/>
        <family val="2"/>
        <charset val="1"/>
      </rPr>
      <t xml:space="preserve">1</t>
    </r>
    <r>
      <rPr>
        <sz val="6.5"/>
        <color theme="1"/>
        <rFont val="Arial"/>
        <family val="2"/>
        <charset val="1"/>
      </rPr>
      <t xml:space="preserve"> of </t>
    </r>
    <r>
      <rPr>
        <b val="true"/>
        <sz val="6.5"/>
        <color theme="1"/>
        <rFont val="Arial"/>
        <family val="2"/>
        <charset val="1"/>
      </rPr>
      <t xml:space="preserve">1</t>
    </r>
  </si>
  <si>
    <t xml:space="preserve">Tools Backload Sheet</t>
  </si>
  <si>
    <t xml:space="preserve">GL-COMP-OEPS-L4-15.10</t>
  </si>
  <si>
    <t xml:space="preserve">6th September 2015</t>
  </si>
  <si>
    <t xml:space="preserve">WCT TAC</t>
  </si>
  <si>
    <r>
      <rPr>
        <sz val="10"/>
        <color theme="1"/>
        <rFont val="Calibri"/>
        <family val="2"/>
        <charset val="1"/>
      </rPr>
      <t xml:space="preserve"> </t>
    </r>
    <r>
      <rPr>
        <b val="true"/>
        <sz val="10"/>
        <color theme="1"/>
        <rFont val="Calibri"/>
        <family val="2"/>
        <charset val="1"/>
      </rPr>
      <t xml:space="preserve">Backload From:</t>
    </r>
  </si>
  <si>
    <r>
      <rPr>
        <sz val="10"/>
        <color theme="1"/>
        <rFont val="Calibri"/>
        <family val="2"/>
        <charset val="1"/>
      </rPr>
      <t xml:space="preserve"> </t>
    </r>
    <r>
      <rPr>
        <b val="true"/>
        <sz val="10"/>
        <color theme="1"/>
        <rFont val="Calibri"/>
        <family val="2"/>
        <charset val="1"/>
      </rPr>
      <t xml:space="preserve">Job Number</t>
    </r>
  </si>
  <si>
    <r>
      <rPr>
        <sz val="10"/>
        <color theme="1"/>
        <rFont val="Calibri"/>
        <family val="2"/>
        <charset val="1"/>
      </rPr>
      <t xml:space="preserve"> </t>
    </r>
    <r>
      <rPr>
        <b val="true"/>
        <sz val="10"/>
        <color theme="1"/>
        <rFont val="Calibri"/>
        <family val="2"/>
        <charset val="1"/>
      </rPr>
      <t xml:space="preserve">Backload to:</t>
    </r>
  </si>
  <si>
    <t xml:space="preserve">Weatherford ICAD Base </t>
  </si>
  <si>
    <r>
      <rPr>
        <sz val="10"/>
        <color theme="1"/>
        <rFont val="Calibri"/>
        <family val="2"/>
        <charset val="1"/>
      </rPr>
      <t xml:space="preserve"> </t>
    </r>
    <r>
      <rPr>
        <b val="true"/>
        <sz val="10"/>
        <color theme="1"/>
        <rFont val="Calibri"/>
        <family val="2"/>
        <charset val="1"/>
      </rPr>
      <t xml:space="preserve">Rig/Well No.</t>
    </r>
  </si>
  <si>
    <t xml:space="preserve">Backload Delivery</t>
  </si>
  <si>
    <t xml:space="preserve">Item</t>
  </si>
  <si>
    <t xml:space="preserve">Status</t>
  </si>
  <si>
    <t xml:space="preserve">Quantity</t>
  </si>
  <si>
    <t xml:space="preserve">RENTAL ITEMS </t>
  </si>
  <si>
    <t xml:space="preserve">1 EA</t>
  </si>
  <si>
    <t xml:space="preserve">1EA</t>
  </si>
  <si>
    <t xml:space="preserve">REMARKS:</t>
  </si>
  <si>
    <t xml:space="preserve">WFT Engineer:</t>
  </si>
  <si>
    <r>
      <rPr>
        <b val="true"/>
        <sz val="10"/>
        <color theme="1"/>
        <rFont val="Calibri"/>
        <family val="2"/>
        <charset val="1"/>
      </rPr>
      <t xml:space="preserve">Date</t>
    </r>
    <r>
      <rPr>
        <sz val="10"/>
        <color theme="1"/>
        <rFont val="Calibri"/>
        <family val="2"/>
        <charset val="1"/>
      </rPr>
      <t xml:space="preserve"> :</t>
    </r>
  </si>
  <si>
    <t xml:space="preserve">Company Representative:</t>
  </si>
  <si>
    <t xml:space="preserve">Delivery Method:</t>
  </si>
  <si>
    <t xml:space="preserve">© ©2015 WEATHERFORD ALL RIGHTS RESERVED PROPRIETARY AND CONFIDENTIAL.</t>
  </si>
  <si>
    <t xml:space="preserve">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</si>
  <si>
    <t xml:space="preserve">Well Completion Report</t>
  </si>
  <si>
    <t xml:space="preserve">CUSTOMER:</t>
  </si>
  <si>
    <t xml:space="preserve">FIELD:</t>
  </si>
  <si>
    <t xml:space="preserve">WELL:</t>
  </si>
  <si>
    <t xml:space="preserve">COMPLETION TYPE:</t>
  </si>
  <si>
    <t xml:space="preserve">3-1/2" Single Oil Producer, Alloy-28 Tubing, 3-1/2" TRSV, Permanent Conventional Packer, W/ Gas Lift, W/ Actuated Wellhead, Y-Shape
 </t>
  </si>
  <si>
    <t xml:space="preserve">COMPLETION DATE:</t>
  </si>
  <si>
    <t xml:space="preserve">DRILLING CONTRACTOR:</t>
  </si>
  <si>
    <t xml:space="preserve">ADNOC DRILLING</t>
  </si>
  <si>
    <t xml:space="preserve">RIG:</t>
  </si>
  <si>
    <t xml:space="preserve">ADNOC COMPLETION ENGINEER:</t>
  </si>
  <si>
    <t xml:space="preserve">Mariam Rashed Alnuaimi </t>
  </si>
  <si>
    <t xml:space="preserve">DRILLING SUPERVISOR:</t>
  </si>
  <si>
    <t xml:space="preserve">IFEANYI / RASHED EASA</t>
  </si>
  <si>
    <t xml:space="preserve">WEATHERFORD ENGINEER:</t>
  </si>
  <si>
    <t xml:space="preserve">MAHMOUD ALI </t>
  </si>
  <si>
    <t xml:space="preserve">COMPLETION CODE:</t>
  </si>
  <si>
    <t xml:space="preserve">OP307/28CBB30 
</t>
  </si>
  <si>
    <t xml:space="preserve">RUNNING PROCEDURE : </t>
  </si>
  <si>
    <t xml:space="preserve">Well  :</t>
  </si>
  <si>
    <t xml:space="preserve">Rig   :</t>
  </si>
  <si>
    <t xml:space="preserve">Annulus Test</t>
  </si>
  <si>
    <t xml:space="preserve">Hanger Test</t>
  </si>
  <si>
    <t xml:space="preserve">CL Test</t>
  </si>
  <si>
    <t xml:space="preserve">PRESSURE UP TBG TO </t>
  </si>
  <si>
    <t xml:space="preserve"> PSI / 10 MINS TO SET PKR, INCREASE TO </t>
  </si>
  <si>
    <t xml:space="preserve"> / 30 MINS TO TEST TBG</t>
  </si>
  <si>
    <t xml:space="preserve">CWLE :</t>
  </si>
  <si>
    <t xml:space="preserve">MAHMOUD </t>
  </si>
  <si>
    <t xml:space="preserve">DS   :</t>
  </si>
  <si>
    <t xml:space="preserve">3500 PSI</t>
  </si>
  <si>
    <t xml:space="preserve">5000 PSI</t>
  </si>
  <si>
    <t xml:space="preserve">PRESSURE TEST ANNULUS TO </t>
  </si>
  <si>
    <t xml:space="preserve"> / 30 MINS. OBSERVE TBG FOR RETURN</t>
  </si>
  <si>
    <t xml:space="preserve">NOTES : </t>
  </si>
  <si>
    <t xml:space="preserve"> USE FILTRATION UNIT FOR COMPLETION FLUID. COMPLETION FLUID TO BE USED ALL THE TIME.</t>
  </si>
  <si>
    <t xml:space="preserve">ENSURE THE WELL HOLE IS CENTRALLY ALIGNED BEFORE RIH COMPLETION</t>
  </si>
  <si>
    <t xml:space="preserve">SAFETY VALVE WITH REQUIRED X-OVERS TO BE READY AND AVAILABLE ON THE RIG FLOOR FOR USE IN DUE TIME</t>
  </si>
  <si>
    <t xml:space="preserve">USE SAFETY CLAMP ON STRING TILL REQUIRED STRING WEIGHT IS ACHIEVED  TILL 20K +-</t>
  </si>
  <si>
    <t xml:space="preserve">IF ANY TUBING DAMAGE (DIRECTLY REPLACE), IF FOUND OVER TORQUE - COMMUNICATE W/ THREAD INSPECTOR</t>
  </si>
  <si>
    <t xml:space="preserve"> COVER THE HOLE WHILE PERFORMING ANY TASK OVER THE ROTARY</t>
  </si>
  <si>
    <t xml:space="preserve">AFTER M/UP TRSV, CARE SHOULD BE TAKEN WHILE SETTING SLIPS NOT TO CRUSH CONTROL LINE</t>
  </si>
  <si>
    <t xml:space="preserve">USE THE MINIMUM AMOUNT OF PIPE DOPE WITH PAINT BRUSH AND ONLY IN PIN SIDE</t>
  </si>
  <si>
    <t xml:space="preserve">WELLHEAD ENGR TO ENSURE THE LOCKDOWN SCREWS RETRACTED BEFORE START RIH.</t>
  </si>
  <si>
    <t xml:space="preserve">        IMPORTANT NOTES:-   </t>
  </si>
  <si>
    <t xml:space="preserve">NO FILL-UP BY MUD PUMP / SUPERCHARGER.USE  HOSE TO FILL THE COMPLETION STRING, AND ENSURE THE TUBING IS FULL BEFORE PROCEEDING WITH RIH FOR THE FIRST 5 JOINTS. AFTER EVERY 10 JOINTS, PERFORM FILL-UP.</t>
  </si>
  <si>
    <t xml:space="preserve">●  DRILLER TO MAKE SURE KEEP ANNULUS FILLED ALL THE TIME BY RUNNING FROM TRIP TANK	&amp; TRIP SHEET FILLED</t>
  </si>
  <si>
    <t xml:space="preserve">● BEFORE FILLING UP THE TUBING, MAKE SURE TO GET CLEAR BRINE ON THE RIG FLOOR AND FLUSH THE SURFACE LINES. DO NOT PROCEED UNTIL CLEAR BRINE IS OBSERVED ON THE RIG FLOOR</t>
  </si>
  <si>
    <t xml:space="preserve">●  NO SLACK OFF WEIGHT ON PACKER  MORE THAN 3 TO 4KIPS . NOTE:- CONTROL RUNNING SPEED INSIDE 7" CASING DURING RIH,   NO JERKING &amp; ROTATION.			                                      		                                                           </t>
  </si>
  <si>
    <t xml:space="preserve">● EXTRA CARE TO BE TAKEN AT TOL TO PREVENT IMPACT BECAUSE IF IMPACTED THE SUDDEN STOP CAN CAUSE A HAMMER EFFECT ON THE TOOL RESULTING IN A POSSIBLE COMPLETE CYCLE   . NO JERKING ALLOWED CONTROL RUNNING SPEED</t>
  </si>
  <si>
    <t xml:space="preserve"> ●  IN A POSSIBLE COMPLETE CYCLE  NO JERKING ALLOWED CONTROL RUNNING SPEED    in 9-5/8" 60 FT /MIN )   in 7"   (45 FT/MIN)  LINER REDUCE RUNNING SPEED  </t>
  </si>
  <si>
    <t xml:space="preserve">CAUTION: RUNNING SPEED OF THE PACKER IS LIMITED TO MAXIMUM RATE OF A 60-FT STAND/30 SEC. EXCEEDING THE SPECIFIED RUNNING SPEED MAY CAUSE DAMAGE TO THE PACKER. REDUCE RUNNING SPEED WHILE PASSING THE PACKER THROUGH RESTRICTIONS</t>
  </si>
  <si>
    <t xml:space="preserve"> ● WHILE PICK UP THE GAS LIFT MANDREL EXTRA CARE SHOULD BE TAKEN AS THERE IS EXTERNAL DVX CHECK VALVES INSTALLED</t>
  </si>
  <si>
    <t xml:space="preserve">●  REMOVE WEAR BUSHING AND CHECK WB CONDITION.  </t>
  </si>
  <si>
    <t xml:space="preserve">●  PERFORM PJSM (PRE JOB SAFETY MEETING)- FOR TRS RIG UP </t>
  </si>
  <si>
    <t xml:space="preserve">1) </t>
  </si>
  <si>
    <t xml:space="preserve">P/U ASSY</t>
  </si>
  <si>
    <t xml:space="preserve">A</t>
  </si>
  <si>
    <t xml:space="preserve">WIRELINE ENTRY GUIDE       SN: 16339547-10-008              PN 2996481 </t>
  </si>
  <si>
    <t xml:space="preserve">2) </t>
  </si>
  <si>
    <t xml:space="preserve">M/U TBG JT</t>
  </si>
  <si>
    <t xml:space="preserve">66</t>
  </si>
  <si>
    <t xml:space="preserve">3-1/2" TUBING 9.2 LB/FT ALLOY 28 TSH BL</t>
  </si>
  <si>
    <t xml:space="preserve">3)</t>
  </si>
  <si>
    <t xml:space="preserve">SP-1</t>
  </si>
  <si>
    <t xml:space="preserve"> &amp; RIH</t>
  </si>
  <si>
    <t xml:space="preserve">SWELL PAKER </t>
  </si>
  <si>
    <t xml:space="preserve">4)</t>
  </si>
  <si>
    <t xml:space="preserve">145</t>
  </si>
  <si>
    <t xml:space="preserve">5)</t>
  </si>
  <si>
    <t xml:space="preserve">B</t>
  </si>
  <si>
    <t xml:space="preserve">3-1/2" MCBD NINE-DH  BARRIER DEVICE</t>
  </si>
  <si>
    <t xml:space="preserve">FILL UP BY HOSE ONLY  NO MUD PUMP  OR SUPERCHARGER </t>
  </si>
  <si>
    <t xml:space="preserve">FILL UP </t>
  </si>
  <si>
    <t xml:space="preserve">●	CONTROL RUNNING SPEED NO JERKING OR OVER SLACK OFF MORE THAN 3 KLBS	</t>
  </si>
  <si>
    <t xml:space="preserve">6)</t>
  </si>
  <si>
    <t xml:space="preserve">147</t>
  </si>
  <si>
    <t xml:space="preserve">● ALWAYS COVER THE HOLE TO AVOID DROP OBJECT</t>
  </si>
  <si>
    <t xml:space="preserve">7)</t>
  </si>
  <si>
    <t xml:space="preserve">C</t>
  </si>
  <si>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</si>
  <si>
    <t xml:space="preserve">CHECK NUMBER OF SHEAR SCREW (COMPARE WITH SUB ASSEMBLY DATASHEET), RUBBER ELEMENT CONDITION, SLIPS AND ETC</t>
  </si>
  <si>
    <t xml:space="preserve">8)</t>
  </si>
  <si>
    <t xml:space="preserve"> &amp;  RIH TILL TBG JT</t>
  </si>
  <si>
    <t xml:space="preserve">9)</t>
  </si>
  <si>
    <t xml:space="preserve">D1</t>
  </si>
  <si>
    <t xml:space="preserve">WEATHERFORD SIDE POCKET MANDREL GROOVED Mandrel, SBRO-2NGRDUMMY                                 </t>
  </si>
  <si>
    <t xml:space="preserve">10)</t>
  </si>
  <si>
    <t xml:space="preserve">207</t>
  </si>
  <si>
    <t xml:space="preserve">11)</t>
  </si>
  <si>
    <t xml:space="preserve">D2</t>
  </si>
  <si>
    <t xml:space="preserve">12)</t>
  </si>
  <si>
    <t xml:space="preserve">235</t>
  </si>
  <si>
    <t xml:space="preserve">13)</t>
  </si>
  <si>
    <t xml:space="preserve">D3</t>
  </si>
  <si>
    <t xml:space="preserve">14)</t>
  </si>
  <si>
    <t xml:space="preserve">15)</t>
  </si>
  <si>
    <t xml:space="preserve">D4</t>
  </si>
  <si>
    <t xml:space="preserve">WEATHERFORD SIDE POCKET MANDREL Mandrel, SBRO-2JGRDVX 3.5 9.2# Vam Top BxP S13CR95 QP-277DUMMY SN 12796498-02</t>
  </si>
  <si>
    <t xml:space="preserve">16)</t>
  </si>
  <si>
    <t xml:space="preserve">17)</t>
  </si>
  <si>
    <t xml:space="preserve">F</t>
  </si>
  <si>
    <t xml:space="preserve">
DESCRIPTION : WEATHERFORD ASSY,TRSV,3.5WZPE-10 2.813WOR,2KSD,9.2H VAM TOP,WN302
PN: 2980845
S/N: 12777594-01
SAP: 130010038007
SUPPLIER: WEATHERFORD
</t>
  </si>
  <si>
    <t xml:space="preserve">18)</t>
  </si>
  <si>
    <t xml:space="preserve">M/U TBG </t>
  </si>
  <si>
    <t xml:space="preserve">CHANGE ELEVATORS FRO, 3-1/2"  TO 4-1/2" </t>
  </si>
  <si>
    <t xml:space="preserve">G</t>
  </si>
  <si>
    <t xml:space="preserve">4-1/2''  TUBING HANGER</t>
  </si>
  <si>
    <t xml:space="preserve">COMPLETION TESTING </t>
  </si>
  <si>
    <t xml:space="preserve">P/U &amp; M/U tubing hanger and Feedthru control line into same (do not wrap control line). Test control line to 7,500
psi for 10 minutes. Extend control line to surface and kept 7500 psi on C/L.</t>
  </si>
  <si>
    <t xml:space="preserve">● CLEAN OUT TUBING HEAD SPOOL FROM ANY DEBRIS AND ENSURE THE LOCK DOWN SCREW IN THE TUBING</t>
  </si>
  <si>
    <t xml:space="preserve">● WELLHEAD ENGR TO ENSURE THE LOCKDOWN SCREWS RETRACTED BEFORE LANDING TUBING HANGER.</t>
  </si>
  <si>
    <t xml:space="preserve">● WELLHEAD ENGR TO MARK THE TBG HGR TO VISIBLY CHECK FOR PROPER LANDING THROUGH SOV</t>
  </si>
  <si>
    <t xml:space="preserve">●RECORD P/U AND S/O WEIGHT. </t>
  </si>
  <si>
    <t xml:space="preserve">R/U INJECTION MANIFOLD AND TESTED TO 5000 PSI FOR 10 MINS IN SOLID HOLDING PRESSURE.</t>
  </si>
  <si>
    <t xml:space="preserve">OPEN MASTER VALVE AND START PRESSURE UP WITH LOW PRESSURE 500 PSI HOLD FOR 3 MINS. THEN
1000 PSI HOLD FOR 3 MINS, ENSURE LOW PRESSURE IN SOLID PRESSURE TEST PRIOR TO SET PACKER.
CONTINUE INCREASE GRADUALLY TO 4000 PSI, HOLD FOR 30 MINS. TO FULLY SET PACKER AND TUBING TEST.</t>
  </si>
  <si>
    <t xml:space="preserve">KEEP 4000 PSI ON THE TUBING, BLEED CONTROL LINE PRESSURE TO 0 PSI TO CLOSE THE TRSV</t>
  </si>
  <si>
    <t xml:space="preserve">BLEED TUBING ABOVE SV TO 3500 PSI AS QUICKLY AS PRACTICAL AND MEASURE RETURNS AND MONITOR FOR 15 MINUTES.</t>
  </si>
  <si>
    <t xml:space="preserve">BLEED TUBING ABOVE SV TO 800  PSI AS QUICKLY AS PRACTICAL AND MEASURE RETURNS AND MONITOR FOR 15 MINUTES.</t>
  </si>
  <si>
    <t xml:space="preserve">INCREASE TUBING PRESSURE BACK TO 4000 PSI TO EQUALIZE ACROSS THE TRSV . INCREASE CL PRESSURETO 7500 PSI TO OPEN TRSV</t>
  </si>
  <si>
    <t xml:space="preserve">BLEED TUBING PRESSURE DOWN TO 0 PSI. CHECK RETURNS TO ENSURE VALVE IS OPEN. RECORD VOLUME.</t>
  </si>
  <si>
    <t xml:space="preserve">REFER TO SERVICE PROVIDER PROCEDURE FOR ANY DEVIATION FROM THE PROGRAM</t>
  </si>
  <si>
    <t xml:space="preserve">● REVIEW AND VERIFY REMAINING CYCLES BASED ON TAG RECORD</t>
  </si>
  <si>
    <t xml:space="preserve">● APPLY PRESSURE IN THE TUBING STRING 2500 PSI FOR 5 MINS. AND BLEED OFF AS QUICK AS POSSIBLE TO 0 PSI KEEP 10 MINS.</t>
  </si>
  <si>
    <t xml:space="preserve">●CALL TOWN TO DECIDE EXTRA PRESSURE (4000 PSI) AND CYCLES. IF NOT SUCCESS - PROCEED TO RUPTURE WITH SLICK LINE CHISSEL.</t>
  </si>
  <si>
    <t xml:space="preserve">NOTE: IF THE BARRIER DEVICE DOES NOT RUPTURE AS PER PROGRAMMED CYCLES, CALL OFFICE PRIOR DOING EXTRA CYCLES.  </t>
  </si>
  <si>
    <t xml:space="preserve">TEST TUBING AGAINST OPEN HOLE TO 0.65 PSI/FT OR MAX 1000 PSI  OR 3 BPM W/CMT UNIT. </t>
  </si>
  <si>
    <t xml:space="preserve">● OPEN SOV (ANNULUS VALVE). ENSURE ANNULUS IS FULL AND OBSERVE ANNULUS FOR RETURNS.</t>
  </si>
  <si>
    <t xml:space="preserve">PRESSURE TEST ANNULUS TO 3700 PSI/30MINS, OK W/CMT UNIT.</t>
  </si>
  <si>
    <t xml:space="preserve">● OBSERVE TBG STRING FOR RETURNS.</t>
  </si>
  <si>
    <t xml:space="preserve"> BLEED OFF C/ LINE TO ZERO, BACK OUT AND L/D LANDING JT.  INSTALL NRV IN TBG HGR.</t>
  </si>
  <si>
    <t xml:space="preserve">● CHECK LANDING JT THREADS, CLEAN, DOPE &amp; INSTALL CLEAN PROTECTORS ON PIN &amp; BOX</t>
  </si>
  <si>
    <t xml:space="preserve">N/D BOP'S AS PER WELLHEAD PROCEDURE.</t>
  </si>
  <si>
    <t xml:space="preserve">N/U XMAS TREE &amp; TEST TBG HGR CAVITY AS PER PROCEDURE.</t>
  </si>
  <si>
    <t xml:space="preserve">● TEST THE CONTROL LINE AGAINST THE SAFETY VALVE TO 5000PSI/15 MINS AND ENSURE THE INDICATIONS OF OPENING OF SAFETY VALVE (STROKES) ARE VERY CLEAR. </t>
  </si>
  <si>
    <t xml:space="preserve">● INSTALLATION &amp; TESTING THE TUBING HANGER AND X-TREE WILL BE MADE AS PER WELLHEAD MANUFACTURER PROCEDURE AND THEIR SERVICE ENGINEER RECOMMENDATIONS</t>
  </si>
  <si>
    <t xml:space="preserve">● WELLHEAD ENGINEER TO ENSURE THE CLEANING OF THE PORT DURING TREE INSTALLATION. </t>
  </si>
  <si>
    <t xml:space="preserve">TEST ALL XMAS TREE COMPONENTS AS PER WELLHEAD ENGINEER PROCEDURE. </t>
  </si>
  <si>
    <t xml:space="preserve">REMOVE TEST PLUG AND INSTALL NRV</t>
  </si>
  <si>
    <t xml:space="preserve">SECURE WELL &amp; RELEASE RIG AS PER ADM</t>
  </si>
  <si>
    <r>
      <rPr>
        <b val="true"/>
        <sz val="16"/>
        <rFont val="Arial"/>
        <family val="2"/>
        <charset val="1"/>
      </rPr>
      <t xml:space="preserve">1</t>
    </r>
    <r>
      <rPr>
        <sz val="16"/>
        <rFont val="Arial"/>
        <family val="2"/>
        <charset val="1"/>
      </rPr>
      <t xml:space="preserve"> of </t>
    </r>
    <r>
      <rPr>
        <b val="true"/>
        <sz val="16"/>
        <rFont val="Arial"/>
        <family val="2"/>
        <charset val="1"/>
      </rPr>
      <t xml:space="preserve">1</t>
    </r>
  </si>
  <si>
    <t xml:space="preserve">Completion Runninng Tally </t>
  </si>
  <si>
    <t xml:space="preserve">AE- COMP -OEPS-L4-090</t>
  </si>
  <si>
    <t xml:space="preserve">FINAL</t>
  </si>
  <si>
    <t xml:space="preserve">WCT UAE</t>
  </si>
  <si>
    <t xml:space="preserve">Customer </t>
  </si>
  <si>
    <t xml:space="preserve">Start Date </t>
  </si>
  <si>
    <t xml:space="preserve">Completion Type </t>
  </si>
  <si>
    <t xml:space="preserve">3-1/2" Single Oil Producer, Alloy-28 Tubing, 3-1/2" TRSV,Packer, W/
Gas Lift, W/ Actuated Wellhead, Y-Shape</t>
  </si>
  <si>
    <t xml:space="preserve">Co.man Representative</t>
  </si>
  <si>
    <t xml:space="preserve">Rig Name </t>
  </si>
  <si>
    <t xml:space="preserve">Field Name </t>
  </si>
  <si>
    <t xml:space="preserve">Rig Type</t>
  </si>
  <si>
    <t xml:space="preserve">LAND RIG</t>
  </si>
  <si>
    <t xml:space="preserve">ADNOC Eng. </t>
  </si>
  <si>
    <t xml:space="preserve">Well Name </t>
  </si>
  <si>
    <t xml:space="preserve">Rig Location </t>
  </si>
  <si>
    <t xml:space="preserve">ABU DHABI</t>
  </si>
  <si>
    <t xml:space="preserve">Drilling Enginner </t>
  </si>
  <si>
    <t xml:space="preserve">WFD Eng. </t>
  </si>
  <si>
    <t xml:space="preserve">Top Of Packr</t>
  </si>
  <si>
    <t xml:space="preserve">Top Of Packr to Top of Element</t>
  </si>
  <si>
    <t xml:space="preserve">TOP DRIVE Wt.</t>
  </si>
  <si>
    <t xml:space="preserve">5,000 LBS</t>
  </si>
  <si>
    <t xml:space="preserve">PUW </t>
  </si>
  <si>
    <t xml:space="preserve">Tubing Size, Weight, Grade </t>
  </si>
  <si>
    <t xml:space="preserve">Top of Packr to Top of CTR</t>
  </si>
  <si>
    <t xml:space="preserve">7" CASING COLLAR</t>
  </si>
  <si>
    <t xml:space="preserve">6863.71' -6906.28'</t>
  </si>
  <si>
    <t xml:space="preserve">SOW</t>
  </si>
  <si>
    <t xml:space="preserve">Tubing Connection </t>
  </si>
  <si>
    <t xml:space="preserve">TSH BLUE </t>
  </si>
  <si>
    <t xml:space="preserve">length of CTR Target</t>
  </si>
  <si>
    <t xml:space="preserve">Packer Away From Collar</t>
  </si>
  <si>
    <t xml:space="preserve">M/UP LOSS</t>
  </si>
  <si>
    <t xml:space="preserve">Top of Packer to PIP Tag</t>
  </si>
  <si>
    <t xml:space="preserve">3 1/2" V.TOP 9.2 ,L80</t>
  </si>
  <si>
    <t xml:space="preserve">3 1/2" V.TOP 9.2 ,L80 TUBING </t>
  </si>
  <si>
    <t xml:space="preserve">Run No </t>
  </si>
  <si>
    <t xml:space="preserve">Item Length [ft]</t>
  </si>
  <si>
    <t xml:space="preserve">Net Length [ft]</t>
  </si>
  <si>
    <t xml:space="preserve">Cum Length [ft]</t>
  </si>
  <si>
    <t xml:space="preserve">Bottom Depth [ft]</t>
  </si>
  <si>
    <t xml:space="preserve">Top Depth [ft]</t>
  </si>
  <si>
    <t xml:space="preserve">Assembly number and equipment details </t>
  </si>
  <si>
    <t xml:space="preserve">UPPER CONN. 3-1/2" VAM TOP 9.2#PPF BOX VM 28 110 KSI
DESCRIPTION: WIRELINE ENTRY GUIDE
SN: 16339547-10-008
PN 2996481
SAP: 130010036277
SUPPLIER: WEATHERFORD</t>
  </si>
  <si>
    <t xml:space="preserve">UPPER CONN. 3-1/2" TSH BLUE BOX 9.2 PPF SN 28 110 KSI
DESCRIPTION: 5 FEET XOVER
SAP: 130005011340
SUPPLIER: TENARIS
LOWER CONN. 3-1/2" VAM TOP PIN 9.2 PPF SN 28 110 KSI</t>
  </si>
  <si>
    <t xml:space="preserve">JT.#1</t>
  </si>
  <si>
    <t xml:space="preserve">3 1/2" TSH</t>
  </si>
  <si>
    <t xml:space="preserve">JT.#2</t>
  </si>
  <si>
    <t xml:space="preserve">JT.#3</t>
  </si>
  <si>
    <t xml:space="preserve">JT.#4</t>
  </si>
  <si>
    <t xml:space="preserve">JT.#5</t>
  </si>
  <si>
    <t xml:space="preserve">SP-01</t>
  </si>
  <si>
    <t xml:space="preserve">UPPER CONN. 3-1/2" VAM TOP BOX 9.2 PPF SN 28 110 KSI
DESCRIPTION: 5 FEET XOVER
SAP: 130005011340
SUPPLIER: TENARIS
UPPER CONN. 3-1/2" TSH BLUE PIN 9.2 PPF SN 28 110 KSI</t>
  </si>
  <si>
    <t xml:space="preserve">UPPER CONN.
3-1/2 9.2 PPF, 110KSI VAM TOP BOX
DESCRIPTION:
PCKR, SWEL,6,3-1/2,A925, OIL
P/N: 2991712
S/N: RDT-UAE-1003629
SAP: 130010039426
SUPPLIER: WFD-REACTIVE
LOWER CONN.</t>
  </si>
  <si>
    <t xml:space="preserve">UPPER CONN . 3-1/2" TSH BLUE BOX 9.2 PPF SN 28 110 KSI
DESCRIPTION: 3 FEET XOVER
SAP: 130005011337
SUPPLIER: TENARIS
LOWER CONN. 3-1/2" VAM TOP PIN 9.2 PPF SN 28 110 KSI</t>
  </si>
  <si>
    <t xml:space="preserve">JT.#6</t>
  </si>
  <si>
    <t xml:space="preserve">JT.#7</t>
  </si>
  <si>
    <t xml:space="preserve">JT.#8</t>
  </si>
  <si>
    <t xml:space="preserve">JT.#9</t>
  </si>
  <si>
    <t xml:space="preserve">JT.#10</t>
  </si>
  <si>
    <t xml:space="preserve">JT.#11</t>
  </si>
  <si>
    <t xml:space="preserve">JT.#12</t>
  </si>
  <si>
    <t xml:space="preserve">JT.#13</t>
  </si>
  <si>
    <t xml:space="preserve">JT.#14</t>
  </si>
  <si>
    <t xml:space="preserve">JT.#15</t>
  </si>
  <si>
    <t xml:space="preserve">UPPER CONN. 3-1/2" VAM TOP BOX 9.2 PPF SN 28 110 KSI
DESCRIPTION: 5 FEET XOVER
SAP: 130005011340
SUPPLIER: TENARIS
LOWER CONN. 3-1/2" TSH BLUE PIN 9.2 PPF SN 28 110 KSI</t>
  </si>
  <si>
    <t xml:space="preserve">UPPER CONN. 3-1/2" SENTINEL PRIME BOX 9.2 PPF TX28-110 KSI
DESCRIPTION: 5 FEET XOVER
SAP: 130013006385
SUPPLIER: TBX
LOWER CONN. 3-1/2" VAM TOP PIN 9.2 PPF TX28- 110 KSI</t>
  </si>
  <si>
    <t xml:space="preserve">UPPER CONN. 3-1/2" SENTINEL PRIME 9.2#PPF INC 925 BOX
DESCRIPTION: NINE ENERGY MULTICYCLE BARRIER DEVICE
7 CYCLES REMAINING
P/N: 3207251
S/N: 100 086 877
SAP: 130010036003 SUPPLIER: NINE ENERGY
LOWER CONN- 3 1/2 9.2 SENTINEL PRIME 9.2 PPF INC 925 PIN</t>
  </si>
  <si>
    <t xml:space="preserve">UPPER CONN. 3-1/2" VAM TOP BOX 9.2 PPF TX28- 110 KSI
DESCRIPTION: 5 FEET XOVER
SAP: 130013006383
SUPPLIER: TBX
LOWER CONN -3-1/2" SENTINEL PRIME PIN 9.2 PPF TX28-110 KSI</t>
  </si>
  <si>
    <t xml:space="preserve">UPPER CONN. 3-1/2" TSH BLUE BOX 9.2 PPF SN 28 110 KSI
DESCRIPTION: 10 FEET XOVER
SAP: 130005011444
SUPPLIER: TENARIS
LOWER CONN. 3-1/2" VAM TOP PIN 9.2 PPF SN 28 110 KSI</t>
  </si>
  <si>
    <t xml:space="preserve">JT.#16</t>
  </si>
  <si>
    <t xml:space="preserve">JT.#17</t>
  </si>
  <si>
    <t xml:space="preserve">JT.#18</t>
  </si>
  <si>
    <t xml:space="preserve">JT.#19</t>
  </si>
  <si>
    <t xml:space="preserve">JT.#20</t>
  </si>
  <si>
    <t xml:space="preserve">JT.#21</t>
  </si>
  <si>
    <t xml:space="preserve">JT.#22</t>
  </si>
  <si>
    <t xml:space="preserve">JT.#23</t>
  </si>
  <si>
    <t xml:space="preserve">JT.#24</t>
  </si>
  <si>
    <t xml:space="preserve">JT.#25</t>
  </si>
  <si>
    <t xml:space="preserve">JT.#26</t>
  </si>
  <si>
    <t xml:space="preserve">JT.#27</t>
  </si>
  <si>
    <t xml:space="preserve">JT.#28</t>
  </si>
  <si>
    <t xml:space="preserve">JT.#29</t>
  </si>
  <si>
    <t xml:space="preserve">JT.#30</t>
  </si>
  <si>
    <t xml:space="preserve">JT.#31</t>
  </si>
  <si>
    <t xml:space="preserve">JT.#32</t>
  </si>
  <si>
    <t xml:space="preserve">JT.#33</t>
  </si>
  <si>
    <t xml:space="preserve">JT.#34</t>
  </si>
  <si>
    <t xml:space="preserve">JT.#35</t>
  </si>
  <si>
    <t xml:space="preserve">JT.#36</t>
  </si>
  <si>
    <t xml:space="preserve">JT.#37</t>
  </si>
  <si>
    <t xml:space="preserve">UPPER CONN. 3-1/2" VAM TOP 9.2#PPF INC 925 KSI BOX
DESCRIPTION: 2.750 WXN Nipple
PN: 2963809
S/N :12527047-08
SAP: 130010036868
SUPPLIER: WEATHERFORD
LOWER CONN.3-1/2" VAM TOP 9.2#PPF INC 925KSI PIN</t>
  </si>
  <si>
    <t xml:space="preserve">UPPER CONN. 3-1/2" VAM TOP 9.2#PPF SM 2535 BOX
DESCRIPTION: 5 FEET PUP JOINT
SAP: 130005002758
SUPPLIER: VAM
LOWER CONN. 3-1/2" VAM TOP 9.2#PPF SM 2535 PIN</t>
  </si>
  <si>
    <t xml:space="preserve">UPPER CONN. 3-1/2" VAM TOP 9.2#PPF SM2535 BOX
DESCRIPTION: 10 FEET PUP JOINT
SAP: 130013000213
SUPPLIER: VAM
LOWER CONN. 3-1/2" VAM TOP 9.2#PPF SM2535 PIN</t>
  </si>
  <si>
    <t xml:space="preserve">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</si>
  <si>
    <t xml:space="preserve">UPPER CONN. 3-1/2" TSH BLUE BOX 9.2 PPF SN 28 110 KSI
DESCRIPTION: 5 FEET XOVER
SAP: 130005011444
SUPPLIER: TENARIS
LOWER CONN. 3-1/2" VAM TOP PIN 9.2 PPF SN 28 110 KSI</t>
  </si>
  <si>
    <t xml:space="preserve">JT.#38</t>
  </si>
  <si>
    <t xml:space="preserve">JT.#39</t>
  </si>
  <si>
    <t xml:space="preserve">JT.#40</t>
  </si>
  <si>
    <t xml:space="preserve">JT.#41</t>
  </si>
  <si>
    <t xml:space="preserve">JT.#42</t>
  </si>
  <si>
    <t xml:space="preserve">JT.#43</t>
  </si>
  <si>
    <t xml:space="preserve">JT.#44</t>
  </si>
  <si>
    <t xml:space="preserve">JT.#45</t>
  </si>
  <si>
    <t xml:space="preserve">JT.#46</t>
  </si>
  <si>
    <t xml:space="preserve">JT.#47</t>
  </si>
  <si>
    <t xml:space="preserve">JT.#48</t>
  </si>
  <si>
    <t xml:space="preserve">JT.#49</t>
  </si>
  <si>
    <t xml:space="preserve">JT.#50</t>
  </si>
  <si>
    <t xml:space="preserve">JT.#51</t>
  </si>
  <si>
    <t xml:space="preserve">JT.#52</t>
  </si>
  <si>
    <t xml:space="preserve">JT.#53</t>
  </si>
  <si>
    <t xml:space="preserve">JT.#54</t>
  </si>
  <si>
    <t xml:space="preserve">JT.#55</t>
  </si>
  <si>
    <t xml:space="preserve">JT.#56</t>
  </si>
  <si>
    <t xml:space="preserve">JT.#57</t>
  </si>
  <si>
    <t xml:space="preserve">UPPER CONN. 3-1/2" SENTINEL PRIME BOX 9.2 PPF TX28-110 KSI
DESCRIPTION: 5 FEET XOVER
SAP: 130013006385
SUPPLIER: TBX
LOWER CONN. 3-1/2" VAM TOP PIN 9.2 PPF TX28-110 KSI</t>
  </si>
  <si>
    <t xml:space="preserve">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</si>
  <si>
    <t xml:space="preserve">UPPER CONN. 3-1/2" TSH BLUE BOX 9.2 PPF SN 28 110 KSI
DESCRIPTION: 10 FEET XOVER
SAP: 130005012487
SUPPLIER: TENARIS
LOWER CONN. 3-1/2" VAM TOP PIN 9.2 PPF SN 28 110 KSI</t>
  </si>
  <si>
    <t xml:space="preserve">JT.#58</t>
  </si>
  <si>
    <t xml:space="preserve">JT.#59</t>
  </si>
  <si>
    <t xml:space="preserve">JT.#60</t>
  </si>
  <si>
    <t xml:space="preserve">JT.#61</t>
  </si>
  <si>
    <t xml:space="preserve">JT.#62</t>
  </si>
  <si>
    <t xml:space="preserve">JT.#63</t>
  </si>
  <si>
    <t xml:space="preserve">JT.#64</t>
  </si>
  <si>
    <t xml:space="preserve">JT.#65</t>
  </si>
  <si>
    <t xml:space="preserve">JT.#66</t>
  </si>
  <si>
    <t xml:space="preserve">JT.#67</t>
  </si>
  <si>
    <t xml:space="preserve">JT.#68</t>
  </si>
  <si>
    <t xml:space="preserve">JT.#69</t>
  </si>
  <si>
    <t xml:space="preserve">JT.#70</t>
  </si>
  <si>
    <t xml:space="preserve">JT.#71</t>
  </si>
  <si>
    <t xml:space="preserve">JT.#72</t>
  </si>
  <si>
    <t xml:space="preserve">JT.#73</t>
  </si>
  <si>
    <t xml:space="preserve">JT.#74</t>
  </si>
  <si>
    <t xml:space="preserve">JT.#75</t>
  </si>
  <si>
    <t xml:space="preserve">JT.#76</t>
  </si>
  <si>
    <t xml:space="preserve">JT.#77</t>
  </si>
  <si>
    <t xml:space="preserve">UPPER CONN. 3-1/2" SENTINEL PRIME BOX 9.2 PPF TX28- 110 KSI
DESCRIPTION: 5 FEET XOVER
SAP: 130013006385
SUPPLIER: TBX
LOWER CONN. 3-1/2" VAM TOP PIN 9.2 PPF TX28-110 KSI</t>
  </si>
  <si>
    <t xml:space="preserve">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</si>
  <si>
    <t xml:space="preserve">JT.#78</t>
  </si>
  <si>
    <t xml:space="preserve">JT.#79</t>
  </si>
  <si>
    <t xml:space="preserve">JT.#80</t>
  </si>
  <si>
    <t xml:space="preserve">JT.#81</t>
  </si>
  <si>
    <t xml:space="preserve">JT.#82</t>
  </si>
  <si>
    <t xml:space="preserve">JT.#83</t>
  </si>
  <si>
    <t xml:space="preserve">JT.#84</t>
  </si>
  <si>
    <t xml:space="preserve">JT.#85</t>
  </si>
  <si>
    <t xml:space="preserve">JT.#86</t>
  </si>
  <si>
    <t xml:space="preserve">JT.#87</t>
  </si>
  <si>
    <t xml:space="preserve">JT.#88</t>
  </si>
  <si>
    <t xml:space="preserve">JT.#89</t>
  </si>
  <si>
    <t xml:space="preserve">JT.#90</t>
  </si>
  <si>
    <t xml:space="preserve">JT.#91</t>
  </si>
  <si>
    <t xml:space="preserve">JT.#92</t>
  </si>
  <si>
    <t xml:space="preserve">JT.#93</t>
  </si>
  <si>
    <t xml:space="preserve">JT.#94</t>
  </si>
  <si>
    <t xml:space="preserve">JT.#95</t>
  </si>
  <si>
    <t xml:space="preserve">JT.#96</t>
  </si>
  <si>
    <t xml:space="preserve">JT.#97</t>
  </si>
  <si>
    <t xml:space="preserve">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</si>
  <si>
    <t xml:space="preserve">JT.#98</t>
  </si>
  <si>
    <t xml:space="preserve">JT.#99</t>
  </si>
  <si>
    <t xml:space="preserve">JT.#100</t>
  </si>
  <si>
    <t xml:space="preserve">JT.#101</t>
  </si>
  <si>
    <t xml:space="preserve">JT.#102</t>
  </si>
  <si>
    <t xml:space="preserve">JT.#103</t>
  </si>
  <si>
    <t xml:space="preserve">JT.#104</t>
  </si>
  <si>
    <t xml:space="preserve">JT.#105</t>
  </si>
  <si>
    <t xml:space="preserve">JT.#106</t>
  </si>
  <si>
    <t xml:space="preserve">JT.#107</t>
  </si>
  <si>
    <t xml:space="preserve">JT.#108</t>
  </si>
  <si>
    <t xml:space="preserve">JT.#109</t>
  </si>
  <si>
    <t xml:space="preserve">JT.#110</t>
  </si>
  <si>
    <t xml:space="preserve">JT.#111</t>
  </si>
  <si>
    <t xml:space="preserve">JT.#112</t>
  </si>
  <si>
    <t xml:space="preserve">JT.#113</t>
  </si>
  <si>
    <t xml:space="preserve">JT.#114</t>
  </si>
  <si>
    <t xml:space="preserve">JT.#115</t>
  </si>
  <si>
    <t xml:space="preserve">JT.#116</t>
  </si>
  <si>
    <t xml:space="preserve">JT.#117</t>
  </si>
  <si>
    <t xml:space="preserve">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</si>
  <si>
    <t xml:space="preserve">UPPER CONN. 3-1/2" VAM TOP BOX 9.2 PPF TX28- 110 KSI
DESCRIPTION: 10 FEET XOVER
SAP: 1130013006387
SUPPLIER: TBX
LOWER CONN-3-1/2" SENTINELPRIME PIN 9.2 PPF TX28110 KSI</t>
  </si>
  <si>
    <t xml:space="preserve">JT.#118</t>
  </si>
  <si>
    <t xml:space="preserve">JT.#119</t>
  </si>
  <si>
    <t xml:space="preserve">JT.#120</t>
  </si>
  <si>
    <t xml:space="preserve">JT.#121</t>
  </si>
  <si>
    <t xml:space="preserve">FILL UP STRING </t>
  </si>
  <si>
    <t xml:space="preserve">JT.#122</t>
  </si>
  <si>
    <t xml:space="preserve">JT.#123</t>
  </si>
  <si>
    <t xml:space="preserve">JT.#124</t>
  </si>
  <si>
    <t xml:space="preserve">JT.#125</t>
  </si>
  <si>
    <t xml:space="preserve">JT.#126</t>
  </si>
  <si>
    <t xml:space="preserve">TRAGET DEPTH 6875.00'
CASING COLAR  6863.71' -6906.28'</t>
  </si>
  <si>
    <t xml:space="preserve">JT.#127</t>
  </si>
  <si>
    <t xml:space="preserve">JT.#128</t>
  </si>
  <si>
    <t xml:space="preserve">JT.#129</t>
  </si>
  <si>
    <t xml:space="preserve">JT.#130</t>
  </si>
  <si>
    <t xml:space="preserve">JT.#131</t>
  </si>
  <si>
    <t xml:space="preserve">JT.#132</t>
  </si>
  <si>
    <t xml:space="preserve">JT.#133</t>
  </si>
  <si>
    <t xml:space="preserve">JT.#134</t>
  </si>
  <si>
    <t xml:space="preserve">JT.#135</t>
  </si>
  <si>
    <t xml:space="preserve">JT.#136</t>
  </si>
  <si>
    <t xml:space="preserve">JT.#137</t>
  </si>
  <si>
    <t xml:space="preserve">UPPER CONN. 3-1/2" VAM TOP 9.2#PPF INCOLOY 925 BOX
DESCRIPTION: FLOW COUPLING
PN: 2996124
S/N: 130777-04-001
SAP: 130010035671
S UPPLIER: WEATHERFORD
LOWER CONN. 3-1/2" VAM TOP 9.2#PPF</t>
  </si>
  <si>
    <t xml:space="preserve">UPPER CONN. 3-1/2" VAM TOP 9.2#PPF
INCOLOY 925
BOX
DESCRIPTION: WEATHERFORD ASSY, TRSV,3.5WZPE-10
2.813WOR,2kSD,9.2# VAM TOP, WN302
PN: 2980845
S/N: 12777594-01
SAP: 130010038007
SUPPLIER: WEATHERFORD
LOWER CONN. 3-1/2" VAM TOP 9.2#PPF</t>
  </si>
  <si>
    <t xml:space="preserve">UPPER CONN. 3-1/2" VAM TOP 9.2#PPF
INCOLOY 925
BOX
DESCRIPTION: FLOW COUPLING
P/N: 2996124
S/N: 130777-02-002
SAP: 130010035671
SUPPLIER: WEATHERFORD
LOWER CONN. 3-1/2" VAM TOP 9.2#PPF</t>
  </si>
  <si>
    <t xml:space="preserve">JT.#138</t>
  </si>
  <si>
    <t xml:space="preserve">JT.#139</t>
  </si>
  <si>
    <t xml:space="preserve">JT.#140</t>
  </si>
  <si>
    <t xml:space="preserve">JT.#141</t>
  </si>
  <si>
    <t xml:space="preserve">JT.#142</t>
  </si>
  <si>
    <t xml:space="preserve">F - 1</t>
  </si>
  <si>
    <t xml:space="preserve">UPPER CONN. 3-1/2" TENARIS BLUE 9.2#PPF SN 28 110 KSI
DESCRIPTION: 5 FEET PUP JOINT
SAP: 130005011338
SUPPLIER:TENARIS
LOWER CONN. 3-1/2" TENARIS BLUE 9.2#PPF SN 28 110 KSI</t>
  </si>
  <si>
    <t xml:space="preserve">UPPER CONN. 4-1/2" VAM TOP 12.6 #PPF SN 28 120 KSI BOX
DESCRIPTION : X OVER
4 1/2 PIN TOP X 3 1/2 PIN BTM
SAP: 130005012767 SUPPLIER: TENARIS
LOWER CONN. 3-1/2" TENARIS BLUE 9.2#PPF SN 28 120 KSI PIN</t>
  </si>
  <si>
    <t xml:space="preserve">UPPER CONN. 4-1/2" VAM TOP 12.6 #PPF INC 718 120 KSI BOX
DESCRIPTION: GE TBGHGR; CWCT-ED-CLL; 11 X 4-1/2; 4-1/2 12.6 PPF
VAM TOP BOX BTM; 4-1/2 VAM
P/N: R893330-1ADC11 REV D
S/N - ADWHT80698-05
SAP: 130010044633
SUPPLIER: GE
LOWER CONN. 4-1/2" VAM TOP 12.6 #PPF INC 718 120 KSI BOX</t>
  </si>
  <si>
    <t xml:space="preserve">UPPER CONN. 4-1/2" VAMTOP 12.6# L80
Box
DESCRIPTION: 30' LANDING JOINT
SAP: 130005009160
SUPPLIER:VAM
LOWER CONN. 4-1/2" VAMTOP 12.6# L80 PIN</t>
  </si>
  <si>
    <t xml:space="preserve">TARGET @5500'</t>
  </si>
  <si>
    <t xml:space="preserve">TARGET @5000'</t>
  </si>
  <si>
    <t xml:space="preserve">.</t>
  </si>
  <si>
    <t xml:space="preserve">TARGET @4100'</t>
  </si>
  <si>
    <t xml:space="preserve">TARGET @2561'</t>
  </si>
  <si>
    <t xml:space="preserve">JT.#143</t>
  </si>
  <si>
    <t xml:space="preserve">JT.#144</t>
  </si>
  <si>
    <t xml:space="preserve">JT.#145</t>
  </si>
  <si>
    <t xml:space="preserve">JT.#146</t>
  </si>
  <si>
    <t xml:space="preserve">JT.#147</t>
  </si>
  <si>
    <t xml:space="preserve">JT.#148</t>
  </si>
  <si>
    <t xml:space="preserve">JT.#149</t>
  </si>
  <si>
    <t xml:space="preserve">JT.#150</t>
  </si>
  <si>
    <t xml:space="preserve">JT.#151</t>
  </si>
  <si>
    <t xml:space="preserve">JT.#152</t>
  </si>
  <si>
    <t xml:space="preserve">JT.#153</t>
  </si>
  <si>
    <t xml:space="preserve">JT.#154</t>
  </si>
  <si>
    <t xml:space="preserve">JT.#155</t>
  </si>
  <si>
    <t xml:space="preserve">JT.#156</t>
  </si>
  <si>
    <t xml:space="preserve">JT.#157</t>
  </si>
  <si>
    <t xml:space="preserve">JT.#158</t>
  </si>
  <si>
    <t xml:space="preserve">JT.#159</t>
  </si>
  <si>
    <t xml:space="preserve">JT.#160</t>
  </si>
  <si>
    <t xml:space="preserve">JT.#161</t>
  </si>
  <si>
    <t xml:space="preserve">JT.#162</t>
  </si>
  <si>
    <t xml:space="preserve">JT.#163</t>
  </si>
  <si>
    <t xml:space="preserve">JT.#164</t>
  </si>
  <si>
    <t xml:space="preserve">JT.#165</t>
  </si>
  <si>
    <t xml:space="preserve">JT.#166</t>
  </si>
  <si>
    <t xml:space="preserve">JT.#167</t>
  </si>
  <si>
    <t xml:space="preserve">JT.#168</t>
  </si>
  <si>
    <t xml:space="preserve">JT.#169</t>
  </si>
  <si>
    <t xml:space="preserve">JT.#170</t>
  </si>
  <si>
    <t xml:space="preserve">JT.#171</t>
  </si>
  <si>
    <t xml:space="preserve">JT.#172</t>
  </si>
  <si>
    <t xml:space="preserve">JT.#173</t>
  </si>
  <si>
    <t xml:space="preserve">JT.#174</t>
  </si>
  <si>
    <t xml:space="preserve">JT.#175</t>
  </si>
  <si>
    <t xml:space="preserve">JT.#176</t>
  </si>
  <si>
    <t xml:space="preserve">JT.#177</t>
  </si>
  <si>
    <t xml:space="preserve">JT.#178</t>
  </si>
  <si>
    <t xml:space="preserve">JT.#179</t>
  </si>
  <si>
    <t xml:space="preserve">JT.#180</t>
  </si>
  <si>
    <t xml:space="preserve">JT.#181</t>
  </si>
  <si>
    <t xml:space="preserve">JT.#182</t>
  </si>
  <si>
    <t xml:space="preserve">JT.#183</t>
  </si>
  <si>
    <t xml:space="preserve">JT.#184</t>
  </si>
  <si>
    <t xml:space="preserve">JT.#185</t>
  </si>
  <si>
    <t xml:space="preserve">JT.#186</t>
  </si>
  <si>
    <t xml:space="preserve">JT.#187</t>
  </si>
  <si>
    <t xml:space="preserve">JT.#188</t>
  </si>
  <si>
    <t xml:space="preserve">JT.#189</t>
  </si>
  <si>
    <t xml:space="preserve">JT.#190</t>
  </si>
  <si>
    <t xml:space="preserve">JT.#191</t>
  </si>
  <si>
    <t xml:space="preserve">JT.#192</t>
  </si>
  <si>
    <t xml:space="preserve">JT.#193</t>
  </si>
  <si>
    <t xml:space="preserve">JT.#194</t>
  </si>
  <si>
    <t xml:space="preserve">JT.#195</t>
  </si>
  <si>
    <t xml:space="preserve">JT.#196</t>
  </si>
  <si>
    <t xml:space="preserve">JT.#197</t>
  </si>
  <si>
    <t xml:space="preserve">JT.#198</t>
  </si>
  <si>
    <t xml:space="preserve">JT.#199</t>
  </si>
  <si>
    <t xml:space="preserve">JT.#200</t>
  </si>
  <si>
    <t xml:space="preserve">JT.#201</t>
  </si>
  <si>
    <t xml:space="preserve">JT.#202</t>
  </si>
  <si>
    <t xml:space="preserve">JT.#203</t>
  </si>
  <si>
    <t xml:space="preserve">JT.#204</t>
  </si>
  <si>
    <t xml:space="preserve">JT.#205</t>
  </si>
  <si>
    <t xml:space="preserve">JT.#206</t>
  </si>
  <si>
    <t xml:space="preserve">JT.#207</t>
  </si>
  <si>
    <t xml:space="preserve">JT.#208</t>
  </si>
  <si>
    <t xml:space="preserve">JT.#209</t>
  </si>
  <si>
    <t xml:space="preserve">JT.#210</t>
  </si>
  <si>
    <t xml:space="preserve">JT.#211</t>
  </si>
  <si>
    <t xml:space="preserve">JT.#212</t>
  </si>
  <si>
    <t xml:space="preserve">JT.#213</t>
  </si>
  <si>
    <t xml:space="preserve">JT.#214</t>
  </si>
  <si>
    <t xml:space="preserve">JT.#215</t>
  </si>
  <si>
    <t xml:space="preserve">JT.#216</t>
  </si>
  <si>
    <t xml:space="preserve">JT.#217</t>
  </si>
  <si>
    <t xml:space="preserve">JT.#218</t>
  </si>
  <si>
    <t xml:space="preserve">JT.#219</t>
  </si>
  <si>
    <t xml:space="preserve">JT.#220</t>
  </si>
  <si>
    <t xml:space="preserve">JT.#221</t>
  </si>
  <si>
    <t xml:space="preserve">JT.#222</t>
  </si>
  <si>
    <t xml:space="preserve">JT.#223</t>
  </si>
  <si>
    <t xml:space="preserve">JT.#224</t>
  </si>
  <si>
    <t xml:space="preserve">JT.#225</t>
  </si>
  <si>
    <t xml:space="preserve">JT.#226</t>
  </si>
  <si>
    <t xml:space="preserve">JT.#227</t>
  </si>
  <si>
    <t xml:space="preserve">JT.#228</t>
  </si>
  <si>
    <t xml:space="preserve">JT.#229</t>
  </si>
  <si>
    <t xml:space="preserve">JT.#230</t>
  </si>
  <si>
    <t xml:space="preserve">JT.#231</t>
  </si>
  <si>
    <t xml:space="preserve">JT.#232</t>
  </si>
  <si>
    <t xml:space="preserve">JT.#233</t>
  </si>
  <si>
    <t xml:space="preserve">JT.#234</t>
  </si>
  <si>
    <t xml:space="preserve">JT.#235</t>
  </si>
  <si>
    <t xml:space="preserve">JT.#236</t>
  </si>
  <si>
    <t xml:space="preserve">JT.#237</t>
  </si>
  <si>
    <t xml:space="preserve">JT.#238</t>
  </si>
  <si>
    <t xml:space="preserve">JT.#239</t>
  </si>
  <si>
    <t xml:space="preserve">JT.#240</t>
  </si>
  <si>
    <t xml:space="preserve">JT.#241</t>
  </si>
  <si>
    <t xml:space="preserve">JT.#242</t>
  </si>
  <si>
    <t xml:space="preserve">JT.#243</t>
  </si>
  <si>
    <t xml:space="preserve">JT.#244</t>
  </si>
  <si>
    <t xml:space="preserve">JT.#245</t>
  </si>
  <si>
    <t xml:space="preserve">JT.#246</t>
  </si>
  <si>
    <t xml:space="preserve">JT.#247</t>
  </si>
  <si>
    <t xml:space="preserve">JT.#248</t>
  </si>
  <si>
    <t xml:space="preserve">JT.#249</t>
  </si>
  <si>
    <t xml:space="preserve">JT.#250</t>
  </si>
  <si>
    <t xml:space="preserve">JT.#251</t>
  </si>
  <si>
    <t xml:space="preserve">JT.#252</t>
  </si>
  <si>
    <t xml:space="preserve">JT.#253</t>
  </si>
  <si>
    <t xml:space="preserve">JT.#254</t>
  </si>
  <si>
    <t xml:space="preserve">JT.#255</t>
  </si>
  <si>
    <t xml:space="preserve">JT.#256</t>
  </si>
  <si>
    <t xml:space="preserve">JT.#257</t>
  </si>
  <si>
    <t xml:space="preserve">JT.#258</t>
  </si>
  <si>
    <t xml:space="preserve">JT.#259</t>
  </si>
  <si>
    <t xml:space="preserve">JT.#260</t>
  </si>
  <si>
    <t xml:space="preserve">JT.#261</t>
  </si>
  <si>
    <t xml:space="preserve">JT.#262</t>
  </si>
  <si>
    <t xml:space="preserve">JT.#263</t>
  </si>
  <si>
    <t xml:space="preserve">JT.#264</t>
  </si>
  <si>
    <t xml:space="preserve">JT.#265</t>
  </si>
  <si>
    <t xml:space="preserve">JT.#266</t>
  </si>
  <si>
    <t xml:space="preserve">JT.#267</t>
  </si>
  <si>
    <t xml:space="preserve">JT.#268</t>
  </si>
  <si>
    <t xml:space="preserve">JT.#269</t>
  </si>
  <si>
    <t xml:space="preserve">JT.#270</t>
  </si>
  <si>
    <t xml:space="preserve">JT.#271</t>
  </si>
  <si>
    <t xml:space="preserve">JT.#272</t>
  </si>
  <si>
    <t xml:space="preserve">JT.#273</t>
  </si>
  <si>
    <t xml:space="preserve">JT.#274</t>
  </si>
  <si>
    <t xml:space="preserve">JT.#275</t>
  </si>
  <si>
    <t xml:space="preserve">JT.#276</t>
  </si>
  <si>
    <t xml:space="preserve">JT.#277</t>
  </si>
  <si>
    <t xml:space="preserve">JT.#278</t>
  </si>
  <si>
    <t xml:space="preserve">JT.#279</t>
  </si>
  <si>
    <t xml:space="preserve">JT.#280</t>
  </si>
  <si>
    <t xml:space="preserve">JT.#281</t>
  </si>
  <si>
    <t xml:space="preserve">JT.#282</t>
  </si>
  <si>
    <t xml:space="preserve">JT.#283</t>
  </si>
  <si>
    <t xml:space="preserve">JT.#284</t>
  </si>
  <si>
    <t xml:space="preserve">JT.#285</t>
  </si>
  <si>
    <t xml:space="preserve">JT.#286</t>
  </si>
  <si>
    <t xml:space="preserve">JT.#287</t>
  </si>
  <si>
    <t xml:space="preserve">JT.#288</t>
  </si>
  <si>
    <t xml:space="preserve">JT.#289</t>
  </si>
  <si>
    <t xml:space="preserve">JT.#290</t>
  </si>
  <si>
    <t xml:space="preserve">JT.#291</t>
  </si>
  <si>
    <t xml:space="preserve">JT.#292</t>
  </si>
  <si>
    <t xml:space="preserve">JT.#293</t>
  </si>
  <si>
    <t xml:space="preserve">JT.#294</t>
  </si>
  <si>
    <t xml:space="preserve">JT.#295</t>
  </si>
  <si>
    <t xml:space="preserve">JT.#296</t>
  </si>
  <si>
    <t xml:space="preserve">JT.#297</t>
  </si>
  <si>
    <t xml:space="preserve">JT.#298</t>
  </si>
  <si>
    <t xml:space="preserve">JT.#299</t>
  </si>
  <si>
    <t xml:space="preserve">JT.#300</t>
  </si>
  <si>
    <t xml:space="preserve">JT.#301</t>
  </si>
  <si>
    <t xml:space="preserve">JT.#302</t>
  </si>
  <si>
    <t xml:space="preserve">JT.#303</t>
  </si>
  <si>
    <t xml:space="preserve">JT.#304</t>
  </si>
  <si>
    <t xml:space="preserve">JT.#305</t>
  </si>
  <si>
    <t xml:space="preserve">JT.#306</t>
  </si>
  <si>
    <t xml:space="preserve">JT.#307</t>
  </si>
  <si>
    <t xml:space="preserve">JT.#308</t>
  </si>
  <si>
    <t xml:space="preserve">JT.#309</t>
  </si>
  <si>
    <t xml:space="preserve">JT.#310</t>
  </si>
  <si>
    <t xml:space="preserve">JT.#311</t>
  </si>
  <si>
    <t xml:space="preserve">JT.#312</t>
  </si>
  <si>
    <t xml:space="preserve">JT.#313</t>
  </si>
  <si>
    <t xml:space="preserve">JT.#314</t>
  </si>
  <si>
    <t xml:space="preserve">JT.#315</t>
  </si>
  <si>
    <t xml:space="preserve">JT.#316</t>
  </si>
  <si>
    <t xml:space="preserve">JT.#317</t>
  </si>
  <si>
    <t xml:space="preserve">JT.#318</t>
  </si>
  <si>
    <t xml:space="preserve">JT.#319</t>
  </si>
  <si>
    <t xml:space="preserve">JT.#320</t>
  </si>
  <si>
    <t xml:space="preserve">JT.#321</t>
  </si>
  <si>
    <t xml:space="preserve">JT.#322</t>
  </si>
  <si>
    <t xml:space="preserve">JT.#323</t>
  </si>
  <si>
    <t xml:space="preserve">JT.#324</t>
  </si>
  <si>
    <t xml:space="preserve">JT.#325</t>
  </si>
  <si>
    <t xml:space="preserve">JT.#326</t>
  </si>
  <si>
    <t xml:space="preserve">JT.#327</t>
  </si>
  <si>
    <t xml:space="preserve">JT.#328</t>
  </si>
  <si>
    <t xml:space="preserve">JT.#329</t>
  </si>
  <si>
    <t xml:space="preserve">JT.#330</t>
  </si>
  <si>
    <t xml:space="preserve">JT.#331</t>
  </si>
  <si>
    <t xml:space="preserve">JT.#332</t>
  </si>
  <si>
    <t xml:space="preserve">JT.#333</t>
  </si>
  <si>
    <t xml:space="preserve">JT.#334</t>
  </si>
  <si>
    <t xml:space="preserve">JT.#335</t>
  </si>
  <si>
    <t xml:space="preserve">JT.#336</t>
  </si>
  <si>
    <t xml:space="preserve">JT.#337</t>
  </si>
  <si>
    <t xml:space="preserve">JT.#338</t>
  </si>
  <si>
    <t xml:space="preserve">JT.#339</t>
  </si>
  <si>
    <t xml:space="preserve">JT.#340</t>
  </si>
  <si>
    <t xml:space="preserve">JT.#341</t>
  </si>
  <si>
    <t xml:space="preserve">JT.#342</t>
  </si>
  <si>
    <t xml:space="preserve">JT.#343</t>
  </si>
  <si>
    <t xml:space="preserve">JT.#344</t>
  </si>
  <si>
    <t xml:space="preserve">JT.#345</t>
  </si>
  <si>
    <t xml:space="preserve">JT.#346</t>
  </si>
  <si>
    <t xml:space="preserve">JT.#347</t>
  </si>
  <si>
    <t xml:space="preserve">JT.#348</t>
  </si>
  <si>
    <t xml:space="preserve">JT.#349</t>
  </si>
  <si>
    <t xml:space="preserve">JT.#350</t>
  </si>
  <si>
    <t xml:space="preserve">JT.#351</t>
  </si>
  <si>
    <t xml:space="preserve">JT.#352</t>
  </si>
  <si>
    <t xml:space="preserve">JT.#353</t>
  </si>
  <si>
    <t xml:space="preserve">JT.#354</t>
  </si>
  <si>
    <t xml:space="preserve">JT.#355</t>
  </si>
  <si>
    <t xml:space="preserve">JT.#356</t>
  </si>
  <si>
    <t xml:space="preserve">JT.#357</t>
  </si>
  <si>
    <t xml:space="preserve">JT.#358</t>
  </si>
  <si>
    <t xml:space="preserve">JT.#359</t>
  </si>
  <si>
    <t xml:space="preserve">JT.#360</t>
  </si>
  <si>
    <t xml:space="preserve">JT.#361</t>
  </si>
  <si>
    <t xml:space="preserve">JT.#362</t>
  </si>
  <si>
    <t xml:space="preserve">JT.#363</t>
  </si>
  <si>
    <t xml:space="preserve">JT.#364</t>
  </si>
  <si>
    <t xml:space="preserve">Image Name</t>
  </si>
  <si>
    <t xml:space="preserve">Length</t>
  </si>
  <si>
    <t xml:space="preserve">OD</t>
  </si>
  <si>
    <t xml:space="preserve">ID</t>
  </si>
  <si>
    <t xml:space="preserve">PN</t>
  </si>
  <si>
    <t xml:space="preserve">SN</t>
  </si>
  <si>
    <t xml:space="preserve">SAP</t>
  </si>
  <si>
    <t xml:space="preserve">CAT ID</t>
  </si>
  <si>
    <t xml:space="preserve">2996481</t>
  </si>
  <si>
    <t xml:space="preserve">16339547-10-008</t>
  </si>
  <si>
    <t xml:space="preserve">130010036277</t>
  </si>
  <si>
    <t xml:space="preserve">130005011340</t>
  </si>
  <si>
    <t xml:space="preserve">2991712</t>
  </si>
  <si>
    <t xml:space="preserve">RDT-UAE-1003629</t>
  </si>
  <si>
    <t xml:space="preserve">130010039426</t>
  </si>
  <si>
    <t xml:space="preserve">130005011337</t>
  </si>
  <si>
    <t xml:space="preserve">130013006385</t>
  </si>
  <si>
    <t xml:space="preserve">3207251</t>
  </si>
  <si>
    <t xml:space="preserve">100 086 877</t>
  </si>
  <si>
    <t xml:space="preserve">130010036003</t>
  </si>
  <si>
    <t xml:space="preserve">130013006383</t>
  </si>
  <si>
    <t xml:space="preserve">130005011444</t>
  </si>
  <si>
    <t xml:space="preserve">2963809</t>
  </si>
  <si>
    <t xml:space="preserve">12527047-08</t>
  </si>
  <si>
    <t xml:space="preserve">130010036868</t>
  </si>
  <si>
    <t xml:space="preserve">130005002758</t>
  </si>
  <si>
    <t xml:space="preserve">130013000213</t>
  </si>
  <si>
    <t xml:space="preserve">2960170</t>
  </si>
  <si>
    <t xml:space="preserve">12857761-01</t>
  </si>
  <si>
    <t xml:space="preserve">130010037571</t>
  </si>
  <si>
    <t xml:space="preserve">3205577</t>
  </si>
  <si>
    <t xml:space="preserve">12636080-03</t>
  </si>
  <si>
    <t xml:space="preserve">130010036652</t>
  </si>
  <si>
    <t xml:space="preserve">130005012487</t>
  </si>
  <si>
    <t xml:space="preserve">12636080-05</t>
  </si>
  <si>
    <t xml:space="preserve">12600735-08</t>
  </si>
  <si>
    <t xml:space="preserve">12696654-13</t>
  </si>
  <si>
    <t xml:space="preserve">1130013006387</t>
  </si>
  <si>
    <t xml:space="preserve">2996124</t>
  </si>
  <si>
    <t xml:space="preserve">130777-04-001</t>
  </si>
  <si>
    <t xml:space="preserve">130010035671</t>
  </si>
  <si>
    <t xml:space="preserve">2980845</t>
  </si>
  <si>
    <t xml:space="preserve">12777594-01</t>
  </si>
  <si>
    <t xml:space="preserve">130010038007</t>
  </si>
  <si>
    <t xml:space="preserve">130777-02-002</t>
  </si>
  <si>
    <t xml:space="preserve">130005011338</t>
  </si>
  <si>
    <t xml:space="preserve">130005012767</t>
  </si>
  <si>
    <t xml:space="preserve">R893330-1ADC11 REV D</t>
  </si>
  <si>
    <t xml:space="preserve">ADWHT80698-05</t>
  </si>
  <si>
    <t xml:space="preserve">130010044633</t>
  </si>
  <si>
    <t xml:space="preserve">130005009160</t>
  </si>
</sst>
</file>

<file path=xl/styles.xml><?xml version="1.0" encoding="utf-8"?>
<styleSheet xmlns="http://schemas.openxmlformats.org/spreadsheetml/2006/main">
  <numFmts count="23">
    <numFmt numFmtId="164" formatCode="General"/>
    <numFmt numFmtId="165" formatCode="_(* #,##0.00_);_(* \(#,##0.00\);_(* \-??_);_(@_)"/>
    <numFmt numFmtId="166" formatCode="[$-F800]dddd&quot;, &quot;mmmm\ dd&quot;, &quot;yyyy"/>
    <numFmt numFmtId="167" formatCode="@"/>
    <numFmt numFmtId="168" formatCode="0"/>
    <numFmt numFmtId="169" formatCode="[&lt;=9999999]###\-####;\(###&quot;) &quot;###\-####"/>
    <numFmt numFmtId="170" formatCode="[$-409]d\-mmm\-yy;@"/>
    <numFmt numFmtId="171" formatCode="[$-409]dd\-mmm\-yyyy\ hh:mm;@"/>
    <numFmt numFmtId="172" formatCode="d\-mmm\-yy"/>
    <numFmt numFmtId="173" formatCode="[$-409]dd\-mmm\-yy;@"/>
    <numFmt numFmtId="174" formatCode="h:mm"/>
    <numFmt numFmtId="175" formatCode="#,##0.00"/>
    <numFmt numFmtId="176" formatCode="0.0"/>
    <numFmt numFmtId="177" formatCode="0.00"/>
    <numFmt numFmtId="178" formatCode="0%"/>
    <numFmt numFmtId="179" formatCode="d\-mmm"/>
    <numFmt numFmtId="180" formatCode="[$-409]d\-mmm;@"/>
    <numFmt numFmtId="181" formatCode="m/d/yyyy"/>
    <numFmt numFmtId="182" formatCode="# ?/?"/>
    <numFmt numFmtId="183" formatCode="0&quot; JTS&quot;"/>
    <numFmt numFmtId="184" formatCode="0.0000"/>
    <numFmt numFmtId="185" formatCode="0.000"/>
    <numFmt numFmtId="186" formatCode="0;[RED]0"/>
  </numFmts>
  <fonts count="142">
    <font>
      <sz val="11"/>
      <color theme="1"/>
      <name val="Calibri"/>
      <family val="2"/>
      <charset val="1"/>
    </font>
    <font>
      <sz val="10"/>
      <name val="Arial"/>
      <family val="0"/>
    </font>
    <font>
      <sz val="10"/>
      <name val="Arial"/>
      <family val="0"/>
    </font>
    <font>
      <sz val="10"/>
      <name val="Arial"/>
      <family val="0"/>
    </font>
    <font>
      <u val="single"/>
      <sz val="10"/>
      <color rgb="FF0000FF"/>
      <name val="Arial"/>
      <family val="2"/>
      <charset val="1"/>
    </font>
    <font>
      <sz val="10"/>
      <name val="Arial"/>
      <family val="2"/>
      <charset val="1"/>
    </font>
    <font>
      <sz val="10"/>
      <color rgb="FF000000"/>
      <name val="Times New Roman"/>
      <family val="1"/>
      <charset val="1"/>
    </font>
    <font>
      <sz val="10"/>
      <name val="Arial"/>
      <family val="0"/>
      <charset val="1"/>
    </font>
    <font>
      <b val="true"/>
      <sz val="14"/>
      <color theme="1"/>
      <name val="Univers 57 Condensed"/>
      <family val="2"/>
      <charset val="1"/>
    </font>
    <font>
      <sz val="14"/>
      <color theme="1"/>
      <name val="Univers 57 Condensed"/>
      <family val="0"/>
      <charset val="1"/>
    </font>
    <font>
      <b val="true"/>
      <sz val="10"/>
      <color rgb="FF000000"/>
      <name val="Univers 57 Condensed"/>
      <family val="2"/>
      <charset val="1"/>
    </font>
    <font>
      <sz val="10"/>
      <name val="Univers 57 Condensed"/>
      <family val="0"/>
      <charset val="1"/>
    </font>
    <font>
      <b val="true"/>
      <sz val="10"/>
      <color theme="1"/>
      <name val="Univers 57 Condensed"/>
      <family val="2"/>
      <charset val="1"/>
    </font>
    <font>
      <sz val="10"/>
      <color theme="1"/>
      <name val="Univers 57 Condensed"/>
      <family val="0"/>
      <charset val="1"/>
    </font>
    <font>
      <sz val="10"/>
      <color rgb="FF000000"/>
      <name val="Univers 57 Condensed"/>
      <family val="0"/>
      <charset val="1"/>
    </font>
    <font>
      <b val="true"/>
      <sz val="10"/>
      <name val="Univers 57 Condensed"/>
      <family val="0"/>
      <charset val="1"/>
    </font>
    <font>
      <b val="true"/>
      <sz val="10"/>
      <color rgb="FF000000"/>
      <name val="Univers 57 Condensed"/>
      <family val="0"/>
      <charset val="1"/>
    </font>
    <font>
      <b val="true"/>
      <sz val="10"/>
      <color theme="1"/>
      <name val="Univers 57 Condensed"/>
      <family val="0"/>
      <charset val="1"/>
    </font>
    <font>
      <b val="true"/>
      <sz val="8"/>
      <color theme="1"/>
      <name val="Univers 57 Condensed"/>
      <family val="2"/>
      <charset val="1"/>
    </font>
    <font>
      <b val="true"/>
      <sz val="10"/>
      <color theme="1"/>
      <name val="Calibri"/>
      <family val="2"/>
      <charset val="1"/>
    </font>
    <font>
      <b val="true"/>
      <sz val="14"/>
      <color theme="1"/>
      <name val="Calibri"/>
      <family val="2"/>
      <charset val="1"/>
    </font>
    <font>
      <sz val="9"/>
      <color theme="1"/>
      <name val="Calibri"/>
      <family val="2"/>
      <charset val="1"/>
    </font>
    <font>
      <sz val="11"/>
      <name val="Calibri"/>
      <family val="2"/>
      <charset val="1"/>
    </font>
    <font>
      <sz val="9"/>
      <name val="Arial"/>
      <family val="2"/>
      <charset val="1"/>
    </font>
    <font>
      <b val="true"/>
      <sz val="24"/>
      <name val="Arial"/>
      <family val="2"/>
      <charset val="1"/>
    </font>
    <font>
      <b val="true"/>
      <sz val="9"/>
      <name val="Arial"/>
      <family val="2"/>
      <charset val="1"/>
    </font>
    <font>
      <b val="true"/>
      <sz val="10"/>
      <name val="Arial"/>
      <family val="2"/>
      <charset val="1"/>
    </font>
    <font>
      <b val="true"/>
      <sz val="9"/>
      <color theme="1"/>
      <name val="Arial"/>
      <family val="2"/>
      <charset val="1"/>
    </font>
    <font>
      <b val="true"/>
      <sz val="11"/>
      <name val="Arial"/>
      <family val="2"/>
      <charset val="1"/>
    </font>
    <font>
      <b val="true"/>
      <sz val="11"/>
      <color theme="1"/>
      <name val="Calibri"/>
      <family val="2"/>
      <charset val="1"/>
    </font>
    <font>
      <sz val="12"/>
      <name val="Calibri"/>
      <family val="2"/>
      <charset val="1"/>
    </font>
    <font>
      <b val="true"/>
      <sz val="12"/>
      <name val="Calibri"/>
      <family val="2"/>
      <charset val="1"/>
    </font>
    <font>
      <b val="true"/>
      <sz val="18"/>
      <name val="Calibri"/>
      <family val="2"/>
      <charset val="1"/>
    </font>
    <font>
      <b val="true"/>
      <sz val="9"/>
      <color theme="1"/>
      <name val="Calibri"/>
      <family val="2"/>
      <charset val="1"/>
    </font>
    <font>
      <b val="true"/>
      <sz val="20"/>
      <name val="Calibri"/>
      <family val="2"/>
      <charset val="1"/>
    </font>
    <font>
      <b val="true"/>
      <sz val="8"/>
      <color theme="0" tint="-0.35"/>
      <name val="Arial"/>
      <family val="2"/>
      <charset val="1"/>
    </font>
    <font>
      <sz val="9"/>
      <color theme="0" tint="-0.35"/>
      <name val="Arial"/>
      <family val="2"/>
      <charset val="1"/>
    </font>
    <font>
      <sz val="10"/>
      <color rgb="FF000000"/>
      <name val="Calibri"/>
      <family val="2"/>
      <charset val="1"/>
    </font>
    <font>
      <b val="true"/>
      <sz val="10"/>
      <color rgb="FF000000"/>
      <name val="Calibri"/>
      <family val="2"/>
      <charset val="1"/>
    </font>
    <font>
      <b val="true"/>
      <sz val="10"/>
      <name val="Calibri"/>
      <family val="2"/>
      <charset val="1"/>
    </font>
    <font>
      <sz val="10"/>
      <name val="Calibri"/>
      <family val="2"/>
      <charset val="1"/>
    </font>
    <font>
      <b val="true"/>
      <sz val="12"/>
      <color theme="1"/>
      <name val="Calibri"/>
      <family val="2"/>
      <charset val="1"/>
    </font>
    <font>
      <b val="true"/>
      <sz val="9"/>
      <color theme="1"/>
      <name val="Segoe UI Light"/>
      <family val="2"/>
      <charset val="1"/>
    </font>
    <font>
      <sz val="11"/>
      <color theme="0"/>
      <name val="Calibri"/>
      <family val="2"/>
      <charset val="1"/>
    </font>
    <font>
      <b val="true"/>
      <u val="single"/>
      <sz val="11"/>
      <color theme="1"/>
      <name val="Calibri"/>
      <family val="2"/>
      <charset val="1"/>
    </font>
    <font>
      <sz val="10"/>
      <color theme="1"/>
      <name val="Calibri"/>
      <family val="2"/>
      <charset val="1"/>
    </font>
    <font>
      <b val="true"/>
      <sz val="11"/>
      <name val="Calibri"/>
      <family val="2"/>
      <charset val="1"/>
    </font>
    <font>
      <b val="true"/>
      <u val="single"/>
      <sz val="12"/>
      <color theme="1"/>
      <name val="Calibri"/>
      <family val="2"/>
      <charset val="1"/>
    </font>
    <font>
      <sz val="10"/>
      <name val="Franklin Gothic Book"/>
      <family val="2"/>
      <charset val="1"/>
    </font>
    <font>
      <sz val="9"/>
      <name val="Franklin Gothic Book"/>
      <family val="2"/>
      <charset val="1"/>
    </font>
    <font>
      <b val="true"/>
      <sz val="15"/>
      <name val="Arial"/>
      <family val="2"/>
      <charset val="1"/>
    </font>
    <font>
      <sz val="12"/>
      <color rgb="FFFFFFFF"/>
      <name val="Calibri"/>
      <family val="2"/>
      <charset val="1"/>
    </font>
    <font>
      <sz val="9"/>
      <color theme="1" tint="0.4999"/>
      <name val="Calibri"/>
      <family val="2"/>
      <charset val="1"/>
    </font>
    <font>
      <b val="true"/>
      <sz val="12"/>
      <color rgb="FFFFFFFF"/>
      <name val="Calibri"/>
      <family val="2"/>
      <charset val="1"/>
    </font>
    <font>
      <sz val="12"/>
      <color rgb="FF333333"/>
      <name val="Calibri"/>
      <family val="2"/>
      <charset val="1"/>
    </font>
    <font>
      <sz val="14"/>
      <name val="Calibri"/>
      <family val="2"/>
      <charset val="1"/>
    </font>
    <font>
      <sz val="9"/>
      <color rgb="FF808080"/>
      <name val="Calibri"/>
      <family val="2"/>
      <charset val="1"/>
    </font>
    <font>
      <b val="true"/>
      <sz val="14"/>
      <name val="Franklin Gothic Book"/>
      <family val="2"/>
      <charset val="1"/>
    </font>
    <font>
      <sz val="10"/>
      <color rgb="FFFFFFFF"/>
      <name val="Franklin Gothic Book"/>
      <family val="2"/>
      <charset val="1"/>
    </font>
    <font>
      <sz val="9"/>
      <name val="Calibri"/>
      <family val="2"/>
      <charset val="1"/>
    </font>
    <font>
      <sz val="8"/>
      <name val="Calibri"/>
      <family val="2"/>
      <charset val="1"/>
    </font>
    <font>
      <sz val="6.5"/>
      <color theme="1" tint="0.4999"/>
      <name val="Calibri"/>
      <family val="2"/>
      <charset val="1"/>
    </font>
    <font>
      <sz val="6.5"/>
      <color theme="1" tint="0.4999"/>
      <name val="Arial"/>
      <family val="2"/>
      <charset val="1"/>
    </font>
    <font>
      <b val="true"/>
      <sz val="16"/>
      <color theme="1"/>
      <name val="Univers LT Std 47 Cn Lt"/>
      <family val="2"/>
      <charset val="1"/>
    </font>
    <font>
      <sz val="9"/>
      <color theme="0" tint="-0.5"/>
      <name val="Univers LT Std 47 Cn Lt"/>
      <family val="0"/>
      <charset val="1"/>
    </font>
    <font>
      <sz val="8"/>
      <name val="Univers LT Std 47 Cn Lt"/>
      <family val="0"/>
      <charset val="1"/>
    </font>
    <font>
      <sz val="9"/>
      <name val="Univers LT Std 47 Cn Lt"/>
      <family val="0"/>
      <charset val="1"/>
    </font>
    <font>
      <b val="true"/>
      <sz val="14"/>
      <name val="Calibri"/>
      <family val="2"/>
      <charset val="1"/>
    </font>
    <font>
      <b val="true"/>
      <sz val="11"/>
      <name val="Univers 47 CondensedLight"/>
      <family val="0"/>
      <charset val="1"/>
    </font>
    <font>
      <sz val="10"/>
      <name val="Univers 47 CondensedLight"/>
      <family val="0"/>
      <charset val="1"/>
    </font>
    <font>
      <sz val="8"/>
      <name val="Univers 47 CondensedLight"/>
      <family val="0"/>
      <charset val="1"/>
    </font>
    <font>
      <b val="true"/>
      <sz val="11"/>
      <color rgb="FFFF0000"/>
      <name val="Calibri"/>
      <family val="2"/>
      <charset val="1"/>
    </font>
    <font>
      <sz val="8"/>
      <color theme="0" tint="-0.5"/>
      <name val="Calibri"/>
      <family val="2"/>
      <charset val="1"/>
    </font>
    <font>
      <sz val="15"/>
      <color theme="1"/>
      <name val="Arial"/>
      <family val="2"/>
      <charset val="1"/>
    </font>
    <font>
      <b val="true"/>
      <sz val="6.5"/>
      <color theme="1"/>
      <name val="Arial"/>
      <family val="2"/>
      <charset val="1"/>
    </font>
    <font>
      <sz val="6.5"/>
      <color theme="1"/>
      <name val="Arial"/>
      <family val="2"/>
      <charset val="1"/>
    </font>
    <font>
      <b val="true"/>
      <sz val="11.5"/>
      <color theme="1"/>
      <name val="Arial"/>
      <family val="2"/>
      <charset val="1"/>
    </font>
    <font>
      <sz val="6.5"/>
      <color theme="1"/>
      <name val="Calibri"/>
      <family val="2"/>
      <charset val="1"/>
    </font>
    <font>
      <sz val="14"/>
      <color theme="1"/>
      <name val="Calibri"/>
      <family val="2"/>
      <charset val="1"/>
    </font>
    <font>
      <sz val="8"/>
      <color theme="1"/>
      <name val="Calibri"/>
      <family val="2"/>
      <charset val="1"/>
    </font>
    <font>
      <sz val="22"/>
      <color theme="1"/>
      <name val="Calibri"/>
      <family val="2"/>
      <charset val="1"/>
    </font>
    <font>
      <b val="true"/>
      <sz val="8"/>
      <color rgb="FFC0C0C0"/>
      <name val="Arial"/>
      <family val="2"/>
      <charset val="1"/>
    </font>
    <font>
      <sz val="6.5"/>
      <color rgb="FFBFBFBF"/>
      <name val="Arial"/>
      <family val="2"/>
      <charset val="1"/>
    </font>
    <font>
      <b val="true"/>
      <sz val="10"/>
      <color rgb="FF333399"/>
      <name val="Arial"/>
      <family val="2"/>
      <charset val="1"/>
    </font>
    <font>
      <b val="true"/>
      <sz val="14"/>
      <color theme="1"/>
      <name val="Arial"/>
      <family val="2"/>
      <charset val="1"/>
    </font>
    <font>
      <b val="true"/>
      <u val="single"/>
      <sz val="36"/>
      <color theme="1"/>
      <name val="Arial"/>
      <family val="2"/>
      <charset val="1"/>
    </font>
    <font>
      <b val="true"/>
      <u val="single"/>
      <sz val="26"/>
      <color rgb="FF333399"/>
      <name val="Arial"/>
      <family val="2"/>
      <charset val="1"/>
    </font>
    <font>
      <b val="true"/>
      <u val="single"/>
      <sz val="36"/>
      <color rgb="FF333399"/>
      <name val="comic"/>
      <family val="5"/>
      <charset val="1"/>
    </font>
    <font>
      <b val="true"/>
      <sz val="14"/>
      <color rgb="FF333399"/>
      <name val="Arial"/>
      <family val="2"/>
      <charset val="1"/>
    </font>
    <font>
      <sz val="14"/>
      <name val="Arial"/>
      <family val="2"/>
      <charset val="1"/>
    </font>
    <font>
      <b val="true"/>
      <sz val="14"/>
      <name val="Arial"/>
      <family val="2"/>
      <charset val="1"/>
    </font>
    <font>
      <b val="true"/>
      <u val="single"/>
      <sz val="14"/>
      <name val="Arial"/>
      <family val="2"/>
      <charset val="1"/>
    </font>
    <font>
      <b val="true"/>
      <sz val="18"/>
      <name val="Arial"/>
      <family val="2"/>
      <charset val="1"/>
    </font>
    <font>
      <u val="single"/>
      <sz val="14"/>
      <name val="Arial"/>
      <family val="2"/>
      <charset val="1"/>
    </font>
    <font>
      <b val="true"/>
      <sz val="14"/>
      <color rgb="FF333399"/>
      <name val="Calibri Light"/>
      <family val="1"/>
      <charset val="1"/>
    </font>
    <font>
      <b val="true"/>
      <sz val="14"/>
      <name val="Cambria"/>
      <family val="1"/>
      <charset val="1"/>
    </font>
    <font>
      <b val="true"/>
      <sz val="14"/>
      <color theme="1"/>
      <name val="Arial Nova Cond"/>
      <family val="2"/>
      <charset val="1"/>
    </font>
    <font>
      <sz val="11"/>
      <color theme="3"/>
      <name val="Calibri"/>
      <family val="2"/>
      <charset val="1"/>
    </font>
    <font>
      <sz val="20"/>
      <color theme="1"/>
      <name val="Calibri"/>
      <family val="2"/>
      <charset val="1"/>
    </font>
    <font>
      <sz val="20"/>
      <name val="Calibri"/>
      <family val="2"/>
      <charset val="1"/>
    </font>
    <font>
      <sz val="9"/>
      <color theme="3"/>
      <name val="Calibri"/>
      <family val="2"/>
      <charset val="1"/>
    </font>
    <font>
      <sz val="10"/>
      <color theme="3"/>
      <name val="Calibri"/>
      <family val="2"/>
      <charset val="1"/>
    </font>
    <font>
      <sz val="10"/>
      <color theme="0"/>
      <name val="Calibri"/>
      <family val="2"/>
      <charset val="1"/>
    </font>
    <font>
      <b val="true"/>
      <sz val="20"/>
      <color theme="1"/>
      <name val="Calibri"/>
      <family val="2"/>
      <charset val="1"/>
    </font>
    <font>
      <b val="true"/>
      <sz val="10"/>
      <name val="Abadi"/>
      <family val="2"/>
      <charset val="1"/>
    </font>
    <font>
      <b val="true"/>
      <sz val="11"/>
      <name val="Abadi"/>
      <family val="2"/>
      <charset val="1"/>
    </font>
    <font>
      <b val="true"/>
      <sz val="12"/>
      <name val="Abadi"/>
      <family val="2"/>
      <charset val="1"/>
    </font>
    <font>
      <sz val="12"/>
      <name val="Abadi"/>
      <family val="2"/>
      <charset val="1"/>
    </font>
    <font>
      <sz val="12"/>
      <color theme="1"/>
      <name val="Abadi"/>
      <family val="2"/>
      <charset val="1"/>
    </font>
    <font>
      <b val="true"/>
      <sz val="12"/>
      <color rgb="FFFF0000"/>
      <name val="Abadi"/>
      <family val="2"/>
      <charset val="1"/>
    </font>
    <font>
      <sz val="12"/>
      <color rgb="FFFF0000"/>
      <name val="Abadi"/>
      <family val="2"/>
      <charset val="1"/>
    </font>
    <font>
      <sz val="11"/>
      <color rgb="FFFF0000"/>
      <name val="Calibri"/>
      <family val="2"/>
      <charset val="1"/>
    </font>
    <font>
      <i val="true"/>
      <sz val="12"/>
      <name val="Abadi"/>
      <family val="2"/>
      <charset val="1"/>
    </font>
    <font>
      <b val="true"/>
      <sz val="9"/>
      <name val="Abadi"/>
      <family val="2"/>
      <charset val="1"/>
    </font>
    <font>
      <b val="true"/>
      <sz val="12"/>
      <color theme="1"/>
      <name val="Abadi"/>
      <family val="2"/>
      <charset val="1"/>
    </font>
    <font>
      <b val="true"/>
      <i val="true"/>
      <sz val="12"/>
      <name val="Abadi"/>
      <family val="2"/>
      <charset val="1"/>
    </font>
    <font>
      <b val="true"/>
      <sz val="10"/>
      <color theme="1"/>
      <name val="Abadi"/>
      <family val="2"/>
      <charset val="1"/>
    </font>
    <font>
      <sz val="26"/>
      <color rgb="FFFF0000"/>
      <name val="Abadi"/>
      <family val="2"/>
      <charset val="1"/>
    </font>
    <font>
      <sz val="12"/>
      <color rgb="FF000000"/>
      <name val="Abadi"/>
      <family val="2"/>
      <charset val="1"/>
    </font>
    <font>
      <i val="true"/>
      <sz val="10"/>
      <name val="Calibri"/>
      <family val="2"/>
      <charset val="1"/>
    </font>
    <font>
      <sz val="16"/>
      <name val="Arial"/>
      <family val="2"/>
      <charset val="1"/>
    </font>
    <font>
      <b val="true"/>
      <sz val="16"/>
      <name val="Arial"/>
      <family val="2"/>
      <charset val="1"/>
    </font>
    <font>
      <sz val="20"/>
      <name val="Arial"/>
      <family val="2"/>
      <charset val="1"/>
    </font>
    <font>
      <sz val="16"/>
      <name val="Calibri"/>
      <family val="2"/>
      <charset val="1"/>
    </font>
    <font>
      <sz val="16"/>
      <color theme="1"/>
      <name val="Calibri"/>
      <family val="2"/>
      <charset val="1"/>
    </font>
    <font>
      <b val="true"/>
      <sz val="16"/>
      <name val="Calibri"/>
      <family val="2"/>
      <charset val="1"/>
    </font>
    <font>
      <sz val="18"/>
      <name val="Arial"/>
      <family val="2"/>
      <charset val="1"/>
    </font>
    <font>
      <sz val="26"/>
      <name val="Arial"/>
      <family val="2"/>
      <charset val="1"/>
    </font>
    <font>
      <b val="true"/>
      <sz val="16"/>
      <color rgb="FFFF0000"/>
      <name val="Arial"/>
      <family val="2"/>
      <charset val="1"/>
    </font>
    <font>
      <b val="true"/>
      <sz val="12"/>
      <name val="Arial"/>
      <family val="2"/>
      <charset val="1"/>
    </font>
    <font>
      <sz val="22"/>
      <name val="Arial"/>
      <family val="2"/>
      <charset val="1"/>
    </font>
    <font>
      <b val="true"/>
      <sz val="16"/>
      <name val="Arial Narrow"/>
      <family val="2"/>
      <charset val="204"/>
    </font>
    <font>
      <sz val="19"/>
      <color theme="1"/>
      <name val="Calibri"/>
      <family val="2"/>
      <charset val="1"/>
    </font>
    <font>
      <b val="true"/>
      <sz val="19"/>
      <color theme="1"/>
      <name val="Calibri"/>
      <family val="2"/>
      <charset val="1"/>
    </font>
    <font>
      <sz val="24"/>
      <name val="Arial"/>
      <family val="2"/>
      <charset val="1"/>
    </font>
    <font>
      <sz val="18"/>
      <name val="Calibri"/>
      <family val="2"/>
      <charset val="1"/>
    </font>
    <font>
      <b val="true"/>
      <sz val="28"/>
      <name val="Calibri"/>
      <family val="2"/>
      <charset val="1"/>
    </font>
    <font>
      <sz val="12"/>
      <name val="Arial"/>
      <family val="2"/>
      <charset val="1"/>
    </font>
    <font>
      <b val="true"/>
      <sz val="24"/>
      <name val="Calibri"/>
      <family val="2"/>
      <charset val="1"/>
    </font>
    <font>
      <u val="single"/>
      <sz val="11"/>
      <color theme="10"/>
      <name val="Calibri"/>
      <family val="2"/>
      <charset val="1"/>
    </font>
    <font>
      <sz val="22"/>
      <name val="Calibri"/>
      <family val="2"/>
      <charset val="1"/>
    </font>
    <font>
      <b val="true"/>
      <sz val="11"/>
      <color rgb="FFFFFFFF"/>
      <name val="Calibri"/>
      <family val="2"/>
      <charset val="1"/>
    </font>
  </fonts>
  <fills count="51">
    <fill>
      <patternFill patternType="none"/>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77">
    <border diagonalUp="false" diagonalDown="false">
      <left/>
      <right/>
      <top/>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style="medium"/>
      <top style="medium"/>
      <bottom style="medium"/>
      <diagonal/>
    </border>
    <border diagonalUp="false" diagonalDown="false">
      <left style="medium"/>
      <right style="thin"/>
      <top style="medium"/>
      <bottom style="thin"/>
      <diagonal/>
    </border>
    <border diagonalUp="false" diagonalDown="false">
      <left style="thin"/>
      <right style="thin"/>
      <top style="thin"/>
      <bottom style="thin"/>
      <diagonal/>
    </border>
    <border diagonalUp="false" diagonalDown="false">
      <left style="thin"/>
      <right style="thin"/>
      <top style="medium"/>
      <bottom style="thin"/>
      <diagonal/>
    </border>
    <border diagonalUp="false" diagonalDown="false">
      <left style="thin"/>
      <right style="medium"/>
      <top style="thin"/>
      <bottom style="thin"/>
      <diagonal/>
    </border>
    <border diagonalUp="false" diagonalDown="false">
      <left style="medium"/>
      <right style="thin"/>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bottom style="thin"/>
      <diagonal/>
    </border>
    <border diagonalUp="false" diagonalDown="false">
      <left/>
      <right style="thin"/>
      <top/>
      <bottom style="thin"/>
      <diagonal/>
    </border>
    <border diagonalUp="false" diagonalDown="false">
      <left style="thin"/>
      <right style="thin"/>
      <top/>
      <bottom style="thin"/>
      <diagonal/>
    </border>
    <border diagonalUp="false" diagonalDown="false">
      <left/>
      <right style="thin"/>
      <top style="thin"/>
      <bottom style="mediu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thin">
        <color theme="1"/>
      </left>
      <right style="thin">
        <color theme="1"/>
      </right>
      <top style="thin">
        <color theme="1"/>
      </top>
      <bottom/>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medium"/>
      <top style="thin"/>
      <bottom style="thin"/>
      <diagonal/>
    </border>
    <border diagonalUp="false" diagonalDown="false">
      <left style="thin"/>
      <right style="medium"/>
      <top/>
      <bottom style="thin"/>
      <diagonal/>
    </border>
    <border diagonalUp="false" diagonalDown="false">
      <left style="medium"/>
      <right style="medium"/>
      <top/>
      <bottom/>
      <diagonal/>
    </border>
    <border diagonalUp="false" diagonalDown="false">
      <left style="medium"/>
      <right style="medium"/>
      <top style="thin"/>
      <bottom/>
      <diagonal/>
    </border>
    <border diagonalUp="false" diagonalDown="false">
      <left/>
      <right/>
      <top style="medium"/>
      <bottom/>
      <diagonal/>
    </border>
    <border diagonalUp="false" diagonalDown="false">
      <left/>
      <right style="medium"/>
      <top style="medium"/>
      <bottom/>
      <diagonal/>
    </border>
    <border diagonalUp="false" diagonalDown="false">
      <left/>
      <right style="medium"/>
      <top/>
      <bottom/>
      <diagonal/>
    </border>
    <border diagonalUp="false" diagonalDown="false">
      <left style="medium"/>
      <right style="medium"/>
      <top/>
      <bottom style="medium"/>
      <diagonal/>
    </border>
    <border diagonalUp="false" diagonalDown="false">
      <left/>
      <right/>
      <top/>
      <bottom style="medium"/>
      <diagonal/>
    </border>
    <border diagonalUp="false" diagonalDown="false">
      <left style="medium"/>
      <right/>
      <top style="medium"/>
      <bottom/>
      <diagonal/>
    </border>
    <border diagonalUp="false" diagonalDown="false">
      <left style="medium"/>
      <right/>
      <top/>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style="thin"/>
      <top/>
      <bottom style="medium"/>
      <diagonal/>
    </border>
    <border diagonalUp="false" diagonalDown="false">
      <left style="thin"/>
      <right/>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style="medium"/>
      <right/>
      <top/>
      <bottom style="thin"/>
      <diagonal/>
    </border>
    <border diagonalUp="false" diagonalDown="false">
      <left/>
      <right/>
      <top/>
      <bottom style="thin"/>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top style="medium"/>
      <bottom style="thin"/>
      <diagonal/>
    </border>
    <border diagonalUp="false" diagonalDown="false">
      <left/>
      <right style="thin"/>
      <top style="medium"/>
      <bottom style="thin"/>
      <diagonal/>
    </border>
    <border diagonalUp="false" diagonalDown="false">
      <left/>
      <right style="medium"/>
      <top/>
      <bottom style="thin"/>
      <diagonal/>
    </border>
    <border diagonalUp="false" diagonalDown="false">
      <left style="medium"/>
      <right/>
      <top style="thin"/>
      <bottom style="thin"/>
      <diagonal/>
    </border>
    <border diagonalUp="false" diagonalDown="false">
      <left/>
      <right style="medium"/>
      <top style="thin"/>
      <bottom style="thin"/>
      <diagonal/>
    </border>
    <border diagonalUp="false" diagonalDown="false">
      <left style="medium"/>
      <right style="medium"/>
      <top style="thin"/>
      <bottom style="medium"/>
      <diagonal/>
    </border>
    <border diagonalUp="false" diagonalDown="false">
      <left style="medium"/>
      <right style="thin"/>
      <top/>
      <bottom/>
      <diagonal/>
    </border>
    <border diagonalUp="false" diagonalDown="false">
      <left style="thin"/>
      <right style="medium"/>
      <top/>
      <bottom/>
      <diagonal/>
    </border>
    <border diagonalUp="false" diagonalDown="false">
      <left/>
      <right/>
      <top style="medium">
        <color rgb="FF333333"/>
      </top>
      <bottom/>
      <diagonal/>
    </border>
    <border diagonalUp="false" diagonalDown="false">
      <left/>
      <right style="medium">
        <color rgb="FF333333"/>
      </right>
      <top style="medium">
        <color rgb="FF333333"/>
      </top>
      <bottom style="thin">
        <color rgb="FFA5A5A5"/>
      </bottom>
      <diagonal/>
    </border>
    <border diagonalUp="false" diagonalDown="false">
      <left/>
      <right style="medium">
        <color rgb="FF333333"/>
      </right>
      <top style="thin">
        <color rgb="FFA5A5A5"/>
      </top>
      <bottom style="thin">
        <color rgb="FFA5A5A5"/>
      </bottom>
      <diagonal/>
    </border>
    <border diagonalUp="false" diagonalDown="false">
      <left/>
      <right/>
      <top/>
      <bottom style="medium">
        <color rgb="FF333333"/>
      </bottom>
      <diagonal/>
    </border>
    <border diagonalUp="false" diagonalDown="false">
      <left/>
      <right style="medium">
        <color rgb="FF333333"/>
      </right>
      <top style="thin">
        <color rgb="FFA5A5A5"/>
      </top>
      <bottom style="medium">
        <color rgb="FF333333"/>
      </bottom>
      <diagonal/>
    </border>
    <border diagonalUp="false" diagonalDown="false">
      <left/>
      <right style="thin">
        <color rgb="FF333333"/>
      </right>
      <top style="medium">
        <color rgb="FF333333"/>
      </top>
      <bottom style="medium">
        <color rgb="FF333333"/>
      </bottom>
      <diagonal/>
    </border>
    <border diagonalUp="false" diagonalDown="false">
      <left style="thin">
        <color rgb="FF333333"/>
      </left>
      <right style="thin">
        <color rgb="FF333333"/>
      </right>
      <top style="medium">
        <color rgb="FF333333"/>
      </top>
      <bottom style="thin">
        <color rgb="FF808080"/>
      </bottom>
      <diagonal/>
    </border>
    <border diagonalUp="false" diagonalDown="false">
      <left style="thin">
        <color rgb="FF333333"/>
      </left>
      <right style="medium">
        <color rgb="FF333333"/>
      </right>
      <top style="medium">
        <color rgb="FF333333"/>
      </top>
      <bottom style="thin">
        <color rgb="FF808080"/>
      </bottom>
      <diagonal/>
    </border>
    <border diagonalUp="false" diagonalDown="false">
      <left style="thin">
        <color rgb="FF333333"/>
      </left>
      <right style="thin">
        <color rgb="FF333333"/>
      </right>
      <top style="thin">
        <color rgb="FF808080"/>
      </top>
      <bottom style="thin">
        <color rgb="FF333333"/>
      </bottom>
      <diagonal/>
    </border>
    <border diagonalUp="false" diagonalDown="false">
      <left style="thin">
        <color rgb="FF333333"/>
      </left>
      <right style="medium">
        <color rgb="FF333333"/>
      </right>
      <top style="thin">
        <color rgb="FF808080"/>
      </top>
      <bottom style="thin">
        <color rgb="FF333333"/>
      </bottom>
      <diagonal/>
    </border>
    <border diagonalUp="false" diagonalDown="false">
      <left style="thin">
        <color rgb="FF333333"/>
      </left>
      <right style="thin">
        <color rgb="FF333333"/>
      </right>
      <top style="thin">
        <color rgb="FF333333"/>
      </top>
      <bottom/>
      <diagonal/>
    </border>
    <border diagonalUp="false" diagonalDown="false">
      <left style="thin">
        <color rgb="FF333333"/>
      </left>
      <right style="medium">
        <color rgb="FF333333"/>
      </right>
      <top style="thin">
        <color rgb="FF333333"/>
      </top>
      <bottom/>
      <diagonal/>
    </border>
    <border diagonalUp="false" diagonalDown="false">
      <left style="thin">
        <color rgb="FF333333"/>
      </left>
      <right style="thin">
        <color rgb="FF333333"/>
      </right>
      <top/>
      <bottom style="medium">
        <color rgb="FF333333"/>
      </bottom>
      <diagonal/>
    </border>
    <border diagonalUp="false" diagonalDown="false">
      <left style="thin">
        <color rgb="FF333333"/>
      </left>
      <right style="medium">
        <color rgb="FF333333"/>
      </right>
      <top/>
      <bottom style="medium">
        <color rgb="FF333333"/>
      </bottom>
      <diagonal/>
    </border>
    <border diagonalUp="false" diagonalDown="false">
      <left/>
      <right/>
      <top style="medium">
        <color rgb="FF333333"/>
      </top>
      <bottom style="medium">
        <color rgb="FF333333"/>
      </bottom>
      <diagonal/>
    </border>
    <border diagonalUp="false" diagonalDown="false">
      <left/>
      <right/>
      <top style="medium">
        <color rgb="FF333333"/>
      </top>
      <bottom style="thin">
        <color rgb="FF333333"/>
      </bottom>
      <diagonal/>
    </border>
    <border diagonalUp="false" diagonalDown="false">
      <left/>
      <right style="medium">
        <color rgb="FF333333"/>
      </right>
      <top style="medium">
        <color rgb="FF333333"/>
      </top>
      <bottom style="thin">
        <color rgb="FF333333"/>
      </bottom>
      <diagonal/>
    </border>
    <border diagonalUp="false" diagonalDown="false">
      <left/>
      <right/>
      <top style="thin"/>
      <bottom/>
      <diagonal/>
    </border>
    <border diagonalUp="false" diagonalDown="false">
      <left/>
      <right/>
      <top style="thin"/>
      <bottom style="thin"/>
      <diagonal/>
    </border>
    <border diagonalUp="false" diagonalDown="false">
      <left/>
      <right style="thin"/>
      <top/>
      <bottom style="medium"/>
      <diagonal/>
    </border>
    <border diagonalUp="false" diagonalDown="false">
      <left/>
      <right style="thin"/>
      <top/>
      <bottom/>
      <diagonal/>
    </border>
    <border diagonalUp="false" diagonalDown="false">
      <left style="thin"/>
      <right style="thin"/>
      <top/>
      <bottom/>
      <diagonal/>
    </border>
    <border diagonalUp="false" diagonalDown="false">
      <left style="medium"/>
      <right style="medium"/>
      <top style="medium"/>
      <bottom style="thin"/>
      <diagonal/>
    </border>
  </borders>
  <cellStyleXfs count="3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8" fontId="0" fillId="0" borderId="0" applyFont="true" applyBorder="false" applyAlignment="true" applyProtection="false">
      <alignment horizontal="general" vertical="bottom" textRotation="0" wrapText="false" indent="0" shrinkToFit="false"/>
    </xf>
    <xf numFmtId="164" fontId="139"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88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2" borderId="2" xfId="0" applyFont="false" applyBorder="true" applyAlignment="true" applyProtection="true">
      <alignment horizontal="general" vertical="bottom" textRotation="0" wrapText="false" indent="0" shrinkToFit="false"/>
      <protection locked="true" hidden="false"/>
    </xf>
    <xf numFmtId="164" fontId="8" fillId="2" borderId="3" xfId="0" applyFont="true" applyBorder="true" applyAlignment="true" applyProtection="true">
      <alignment horizontal="center" vertical="center" textRotation="0" wrapText="true" indent="0" shrinkToFit="false"/>
      <protection locked="true" hidden="false"/>
    </xf>
    <xf numFmtId="164" fontId="9" fillId="3" borderId="4" xfId="0" applyFont="true" applyBorder="true" applyAlignment="true" applyProtection="true">
      <alignment horizontal="center" vertical="center" textRotation="0" wrapText="true" indent="0" shrinkToFit="false"/>
      <protection locked="true" hidden="false"/>
    </xf>
    <xf numFmtId="164" fontId="10" fillId="2" borderId="5" xfId="0" applyFont="true" applyBorder="true" applyAlignment="true" applyProtection="true">
      <alignment horizontal="center" vertical="center" textRotation="0" wrapText="true" indent="0" shrinkToFit="false"/>
      <protection locked="true" hidden="false"/>
    </xf>
    <xf numFmtId="164" fontId="11" fillId="3" borderId="6" xfId="0" applyFont="true" applyBorder="true" applyAlignment="true" applyProtection="true">
      <alignment horizontal="center" vertical="center" textRotation="0" wrapText="true" indent="0" shrinkToFit="false"/>
      <protection locked="true" hidden="false"/>
    </xf>
    <xf numFmtId="164" fontId="12" fillId="2" borderId="7" xfId="0" applyFont="true" applyBorder="true" applyAlignment="true" applyProtection="true">
      <alignment horizontal="center" vertical="center" textRotation="0" wrapText="true" indent="0" shrinkToFit="false"/>
      <protection locked="true" hidden="false"/>
    </xf>
    <xf numFmtId="164" fontId="13" fillId="3" borderId="8" xfId="0" applyFont="true" applyBorder="true" applyAlignment="true" applyProtection="true">
      <alignment horizontal="center" vertical="center" textRotation="0" wrapText="true" indent="0" shrinkToFit="false"/>
      <protection locked="true" hidden="false"/>
    </xf>
    <xf numFmtId="164" fontId="10" fillId="2" borderId="9" xfId="0" applyFont="true" applyBorder="true" applyAlignment="true" applyProtection="true">
      <alignment horizontal="center" vertical="center" textRotation="0" wrapText="true" indent="0" shrinkToFit="false"/>
      <protection locked="true" hidden="false"/>
    </xf>
    <xf numFmtId="164" fontId="12" fillId="2" borderId="6" xfId="0" applyFont="true" applyBorder="true" applyAlignment="true" applyProtection="true">
      <alignment horizontal="center" vertical="center" textRotation="0" wrapText="true" indent="0" shrinkToFit="false"/>
      <protection locked="true" hidden="false"/>
    </xf>
    <xf numFmtId="164" fontId="13" fillId="4" borderId="8" xfId="0" applyFont="true" applyBorder="true" applyAlignment="true" applyProtection="true">
      <alignment horizontal="center" vertical="center" textRotation="0" wrapText="true" indent="0" shrinkToFit="false"/>
      <protection locked="true" hidden="false"/>
    </xf>
    <xf numFmtId="164" fontId="12" fillId="2" borderId="9" xfId="0" applyFont="true" applyBorder="true" applyAlignment="true" applyProtection="true">
      <alignment horizontal="center" vertical="center" textRotation="0" wrapText="true" indent="0" shrinkToFit="false"/>
      <protection locked="true" hidden="false"/>
    </xf>
    <xf numFmtId="166" fontId="11" fillId="3" borderId="6" xfId="0" applyFont="true" applyBorder="true" applyAlignment="true" applyProtection="true">
      <alignment horizontal="center" vertical="center" textRotation="0" wrapText="true" indent="0" shrinkToFit="false"/>
      <protection locked="true" hidden="false"/>
    </xf>
    <xf numFmtId="164" fontId="10" fillId="2" borderId="6" xfId="0" applyFont="true" applyBorder="true" applyAlignment="true" applyProtection="true">
      <alignment horizontal="center" vertical="center" textRotation="0" wrapText="true" indent="0" shrinkToFit="false"/>
      <protection locked="true" hidden="false"/>
    </xf>
    <xf numFmtId="164" fontId="14" fillId="2" borderId="8" xfId="0" applyFont="true" applyBorder="true" applyAlignment="true" applyProtection="true">
      <alignment horizontal="center" vertical="center" textRotation="0" wrapText="true" indent="0" shrinkToFit="false"/>
      <protection locked="true" hidden="false"/>
    </xf>
    <xf numFmtId="164" fontId="14" fillId="3" borderId="8" xfId="0" applyFont="true" applyBorder="true" applyAlignment="true" applyProtection="true">
      <alignment horizontal="center" vertical="center" textRotation="0" wrapText="true" indent="0" shrinkToFit="false"/>
      <protection locked="true" hidden="false"/>
    </xf>
    <xf numFmtId="164" fontId="15" fillId="2" borderId="6" xfId="0" applyFont="true" applyBorder="true" applyAlignment="true" applyProtection="true">
      <alignment horizontal="center" vertical="center" textRotation="0" wrapText="true" indent="0" shrinkToFit="false"/>
      <protection locked="true" hidden="false"/>
    </xf>
    <xf numFmtId="164" fontId="16" fillId="2" borderId="8" xfId="0" applyFont="true" applyBorder="true" applyAlignment="true" applyProtection="true">
      <alignment horizontal="center" vertical="center" textRotation="0" wrapText="true" indent="0" shrinkToFit="false"/>
      <protection locked="true" hidden="false"/>
    </xf>
    <xf numFmtId="164" fontId="12" fillId="2" borderId="10" xfId="0" applyFont="true" applyBorder="true" applyAlignment="true" applyProtection="true">
      <alignment horizontal="center" vertical="center" textRotation="0" wrapText="true" indent="0" shrinkToFit="false"/>
      <protection locked="true" hidden="false"/>
    </xf>
    <xf numFmtId="164" fontId="17" fillId="2" borderId="11" xfId="0" applyFont="true" applyBorder="true" applyAlignment="true" applyProtection="true">
      <alignment horizontal="center" vertical="center" textRotation="0" wrapText="true" indent="0" shrinkToFit="false"/>
      <protection locked="true" hidden="false"/>
    </xf>
    <xf numFmtId="164" fontId="10" fillId="2" borderId="11" xfId="0" applyFont="true" applyBorder="true" applyAlignment="true" applyProtection="true">
      <alignment horizontal="center" vertical="center" textRotation="0" wrapText="true" indent="0" shrinkToFit="false"/>
      <protection locked="true" hidden="false"/>
    </xf>
    <xf numFmtId="164" fontId="14" fillId="2" borderId="12" xfId="0" applyFont="true" applyBorder="true" applyAlignment="true" applyProtection="true">
      <alignment horizontal="center" vertical="center" textRotation="0" wrapText="true" indent="0" shrinkToFit="false"/>
      <protection locked="true" hidden="false"/>
    </xf>
    <xf numFmtId="164" fontId="0" fillId="2" borderId="13" xfId="0" applyFont="false" applyBorder="true" applyAlignment="true" applyProtection="true">
      <alignment horizontal="center" vertical="bottom" textRotation="0" wrapText="false" indent="0" shrinkToFit="false"/>
      <protection locked="true" hidden="false"/>
    </xf>
    <xf numFmtId="164" fontId="0" fillId="2" borderId="14" xfId="0" applyFont="false" applyBorder="true" applyAlignment="true" applyProtection="true">
      <alignment horizontal="center" vertical="bottom" textRotation="0" wrapText="false" indent="0" shrinkToFit="false"/>
      <protection locked="true" hidden="false"/>
    </xf>
    <xf numFmtId="164" fontId="18" fillId="2" borderId="15" xfId="0" applyFont="true" applyBorder="true" applyAlignment="true" applyProtection="true">
      <alignment horizontal="left" vertical="center" textRotation="0" wrapText="true" indent="0" shrinkToFit="false"/>
      <protection locked="true" hidden="false"/>
    </xf>
    <xf numFmtId="164" fontId="18" fillId="3" borderId="6" xfId="0" applyFont="true" applyBorder="true" applyAlignment="true" applyProtection="true">
      <alignment horizontal="left" vertical="center" textRotation="0" wrapText="true" indent="0" shrinkToFit="false"/>
      <protection locked="true" hidden="false"/>
    </xf>
    <xf numFmtId="164" fontId="0" fillId="2" borderId="16" xfId="0" applyFont="false" applyBorder="true" applyAlignment="true" applyProtection="true">
      <alignment horizontal="center" vertical="bottom" textRotation="0" wrapText="false" indent="0" shrinkToFit="false"/>
      <protection locked="true" hidden="false"/>
    </xf>
    <xf numFmtId="164" fontId="18" fillId="2" borderId="11" xfId="0" applyFont="true" applyBorder="true" applyAlignment="true" applyProtection="true">
      <alignment horizontal="left" vertical="center" textRotation="0" wrapText="true" indent="0" shrinkToFit="false"/>
      <protection locked="true" hidden="false"/>
    </xf>
    <xf numFmtId="164" fontId="19" fillId="2" borderId="17" xfId="0" applyFont="true" applyBorder="true" applyAlignment="true" applyProtection="true">
      <alignment horizontal="center" vertical="center" textRotation="0" wrapText="true" indent="0" shrinkToFit="false"/>
      <protection locked="true" hidden="false"/>
    </xf>
    <xf numFmtId="164" fontId="19" fillId="2" borderId="18" xfId="0" applyFont="true" applyBorder="true" applyAlignment="true" applyProtection="true">
      <alignment horizontal="center" vertical="center" textRotation="0" wrapText="true" indent="0" shrinkToFit="false"/>
      <protection locked="true" hidden="false"/>
    </xf>
    <xf numFmtId="164" fontId="19" fillId="2" borderId="19" xfId="0" applyFont="true" applyBorder="true" applyAlignment="true" applyProtection="true">
      <alignment horizontal="center" vertical="center" textRotation="0" wrapText="true" indent="0" shrinkToFit="false"/>
      <protection locked="true" hidden="false"/>
    </xf>
    <xf numFmtId="167" fontId="11" fillId="2" borderId="6" xfId="0" applyFont="true" applyBorder="true" applyAlignment="true" applyProtection="true">
      <alignment horizontal="center" vertical="center" textRotation="0" wrapText="true" indent="0" shrinkToFit="false"/>
      <protection locked="true" hidden="false"/>
    </xf>
    <xf numFmtId="168" fontId="11" fillId="2" borderId="6" xfId="0" applyFont="true" applyBorder="true" applyAlignment="true" applyProtection="true">
      <alignment horizontal="center" vertical="center" textRotation="0" wrapText="true" indent="0" shrinkToFit="false"/>
      <protection locked="true" hidden="false"/>
    </xf>
    <xf numFmtId="164" fontId="11" fillId="2" borderId="6" xfId="0" applyFont="true" applyBorder="true" applyAlignment="true" applyProtection="true">
      <alignment horizontal="center" vertical="center" textRotation="0" wrapText="tru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0" fillId="5" borderId="6" xfId="0" applyFont="true" applyBorder="true" applyAlignment="true" applyProtection="true">
      <alignment horizontal="general" vertical="center" textRotation="0" wrapText="false" indent="0" shrinkToFit="false"/>
      <protection locked="true" hidden="false"/>
    </xf>
    <xf numFmtId="164" fontId="0" fillId="5" borderId="6" xfId="0" applyFont="fals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21" fillId="5" borderId="6" xfId="0"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general" vertical="center" textRotation="0" wrapText="false" indent="0" shrinkToFit="false"/>
      <protection locked="false" hidden="false"/>
    </xf>
    <xf numFmtId="164" fontId="0" fillId="0" borderId="6" xfId="0" applyFont="true" applyBorder="true" applyAlignment="true" applyProtection="true">
      <alignment horizontal="general" vertical="center" textRotation="0" wrapText="false" indent="0" shrinkToFit="false"/>
      <protection locked="true" hidden="false"/>
    </xf>
    <xf numFmtId="164" fontId="0" fillId="0" borderId="6" xfId="0" applyFont="false" applyBorder="true" applyAlignment="true" applyProtection="true">
      <alignment horizontal="center" vertical="center" textRotation="0" wrapText="false" indent="0" shrinkToFit="false"/>
      <protection locked="false" hidden="false"/>
    </xf>
    <xf numFmtId="164" fontId="0" fillId="0" borderId="6" xfId="0" applyFont="true" applyBorder="true" applyAlignment="true" applyProtection="true">
      <alignment horizontal="general" vertical="center" textRotation="0" wrapText="false" indent="0" shrinkToFit="false"/>
      <protection locked="false" hidden="false"/>
    </xf>
    <xf numFmtId="164" fontId="0" fillId="0" borderId="6" xfId="0" applyFont="true" applyBorder="true" applyAlignment="true" applyProtection="true">
      <alignment horizontal="general" vertical="bottom" textRotation="0" wrapText="false" indent="0" shrinkToFit="false"/>
      <protection locked="true" hidden="false"/>
    </xf>
    <xf numFmtId="164" fontId="22" fillId="0" borderId="6" xfId="0" applyFont="true" applyBorder="true" applyAlignment="true" applyProtection="true">
      <alignment horizontal="center" vertical="center" textRotation="0" wrapText="false" indent="0" shrinkToFit="false"/>
      <protection locked="false" hidden="false"/>
    </xf>
    <xf numFmtId="164" fontId="0" fillId="5" borderId="6" xfId="0" applyFont="true" applyBorder="true" applyAlignment="true" applyProtection="true">
      <alignment horizontal="general" vertical="bottom" textRotation="0" wrapText="false" indent="0" shrinkToFit="false"/>
      <protection locked="true" hidden="false"/>
    </xf>
    <xf numFmtId="164" fontId="0" fillId="5" borderId="6" xfId="0" applyFont="true" applyBorder="true" applyAlignment="true" applyProtection="true">
      <alignment horizontal="center" vertical="center" textRotation="0" wrapText="false" indent="0" shrinkToFit="false"/>
      <protection locked="false" hidden="false"/>
    </xf>
    <xf numFmtId="164" fontId="0" fillId="5" borderId="6" xfId="0" applyFont="true" applyBorder="true" applyAlignment="true" applyProtection="true">
      <alignment horizontal="general" vertical="center" textRotation="0" wrapText="false" indent="0" shrinkToFit="false"/>
      <protection locked="false" hidden="false"/>
    </xf>
    <xf numFmtId="169" fontId="22" fillId="5" borderId="6" xfId="0" applyFont="true" applyBorder="true" applyAlignment="true" applyProtection="true">
      <alignment horizontal="center" vertical="bottom" textRotation="0" wrapText="false" indent="0" shrinkToFit="false"/>
      <protection locked="false" hidden="false"/>
    </xf>
    <xf numFmtId="164" fontId="0" fillId="2" borderId="6" xfId="0" applyFont="false" applyBorder="true" applyAlignment="true" applyProtection="true">
      <alignment horizontal="center" vertical="bottom" textRotation="0" wrapText="false" indent="0" shrinkToFit="false"/>
      <protection locked="false" hidden="false"/>
    </xf>
    <xf numFmtId="164" fontId="22" fillId="0" borderId="6" xfId="0" applyFont="true" applyBorder="true" applyAlignment="true" applyProtection="true">
      <alignment horizontal="center" vertical="bottom" textRotation="0" wrapText="false" indent="0" shrinkToFit="false"/>
      <protection locked="false" hidden="false"/>
    </xf>
    <xf numFmtId="164" fontId="0" fillId="0" borderId="6" xfId="0" applyFont="false" applyBorder="true" applyAlignment="true" applyProtection="true">
      <alignment horizontal="center" vertical="bottom" textRotation="0" wrapText="false" indent="0" shrinkToFit="false"/>
      <protection locked="false" hidden="false"/>
    </xf>
    <xf numFmtId="164" fontId="0" fillId="0" borderId="20" xfId="0" applyFont="true" applyBorder="true" applyAlignment="true" applyProtection="true">
      <alignment horizontal="general" vertical="bottom" textRotation="0" wrapText="false" indent="0" shrinkToFit="false"/>
      <protection locked="true" hidden="false"/>
    </xf>
    <xf numFmtId="164" fontId="22" fillId="0" borderId="20" xfId="0" applyFont="true" applyBorder="true" applyAlignment="true" applyProtection="true">
      <alignment horizontal="center" vertical="bottom" textRotation="0" wrapText="false" indent="0" shrinkToFit="false"/>
      <protection locked="false" hidden="false"/>
    </xf>
    <xf numFmtId="164" fontId="0" fillId="5" borderId="6" xfId="0" applyFont="false" applyBorder="true" applyAlignment="true" applyProtection="true">
      <alignment horizontal="center" vertical="bottom" textRotation="0" wrapText="false" indent="0" shrinkToFit="false"/>
      <protection locked="false" hidden="false"/>
    </xf>
    <xf numFmtId="164" fontId="22" fillId="5" borderId="6" xfId="0" applyFont="true" applyBorder="true" applyAlignment="true" applyProtection="true">
      <alignment horizontal="center" vertical="bottom" textRotation="0" wrapText="false" indent="0" shrinkToFit="false"/>
      <protection locked="false" hidden="false"/>
    </xf>
    <xf numFmtId="170" fontId="0" fillId="0" borderId="6" xfId="0" applyFont="false" applyBorder="true" applyAlignment="true" applyProtection="true">
      <alignment horizontal="center" vertical="bottom" textRotation="0" wrapText="false" indent="0" shrinkToFit="false"/>
      <protection locked="false" hidden="false"/>
    </xf>
    <xf numFmtId="164" fontId="0" fillId="2" borderId="6" xfId="0" applyFont="false" applyBorder="true" applyAlignment="true" applyProtection="true">
      <alignment horizontal="center" vertical="center" textRotation="0" wrapText="false" indent="0" shrinkToFit="false"/>
      <protection locked="false" hidden="false"/>
    </xf>
    <xf numFmtId="164" fontId="0" fillId="2" borderId="6" xfId="0" applyFont="false" applyBorder="true" applyAlignment="true" applyProtection="true">
      <alignment horizontal="general" vertical="center" textRotation="0" wrapText="false" indent="0" shrinkToFit="false"/>
      <protection locked="false" hidden="false"/>
    </xf>
    <xf numFmtId="169" fontId="0" fillId="5" borderId="6" xfId="0" applyFont="false" applyBorder="true" applyAlignment="true" applyProtection="true">
      <alignment horizontal="center" vertical="bottom" textRotation="0" wrapText="false" indent="0" shrinkToFit="false"/>
      <protection locked="false" hidden="false"/>
    </xf>
    <xf numFmtId="169" fontId="0" fillId="5" borderId="6" xfId="0" applyFont="false" applyBorder="true" applyAlignment="true" applyProtection="true">
      <alignment horizontal="center" vertical="center" textRotation="0" wrapText="false" indent="0" shrinkToFit="false"/>
      <protection locked="false" hidden="false"/>
    </xf>
    <xf numFmtId="171" fontId="0" fillId="0" borderId="6" xfId="0" applyFont="false" applyBorder="true" applyAlignment="true" applyProtection="true">
      <alignment horizontal="center" vertical="bottom" textRotation="0" wrapText="false" indent="0" shrinkToFit="false"/>
      <protection locked="false" hidden="false"/>
    </xf>
    <xf numFmtId="164" fontId="21" fillId="0" borderId="0" xfId="0" applyFont="true" applyBorder="false" applyAlignment="true" applyProtection="true">
      <alignment horizontal="general" vertical="bottom" textRotation="0" wrapText="true" indent="0" shrinkToFit="false"/>
      <protection locked="false" hidden="false"/>
    </xf>
    <xf numFmtId="164" fontId="23" fillId="0" borderId="5" xfId="0" applyFont="true" applyBorder="true" applyAlignment="true" applyProtection="true">
      <alignment horizontal="center" vertical="center" textRotation="0" wrapText="true" indent="0" shrinkToFit="false"/>
      <protection locked="true" hidden="false"/>
    </xf>
    <xf numFmtId="164" fontId="24" fillId="0" borderId="7" xfId="0" applyFont="true" applyBorder="true" applyAlignment="true" applyProtection="true">
      <alignment horizontal="center" vertical="center" textRotation="0" wrapText="true" indent="0" shrinkToFit="false"/>
      <protection locked="true" hidden="false"/>
    </xf>
    <xf numFmtId="164" fontId="23" fillId="0" borderId="21" xfId="0" applyFont="true" applyBorder="true" applyAlignment="true" applyProtection="true">
      <alignment horizontal="general" vertical="center" textRotation="0" wrapText="true" indent="0" shrinkToFit="false"/>
      <protection locked="true" hidden="false"/>
    </xf>
    <xf numFmtId="164" fontId="21" fillId="0" borderId="0" xfId="0" applyFont="true" applyBorder="false" applyAlignment="true" applyProtection="true">
      <alignment horizontal="general" vertical="bottom" textRotation="0" wrapText="true" indent="0" shrinkToFit="false"/>
      <protection locked="true" hidden="false"/>
    </xf>
    <xf numFmtId="164" fontId="25" fillId="0" borderId="9" xfId="0" applyFont="true" applyBorder="true" applyAlignment="true" applyProtection="true">
      <alignment horizontal="center" vertical="center" textRotation="0" wrapText="true" indent="0" shrinkToFit="false"/>
      <protection locked="true" hidden="false"/>
    </xf>
    <xf numFmtId="164" fontId="25" fillId="0" borderId="6" xfId="0" applyFont="true" applyBorder="true" applyAlignment="true" applyProtection="true">
      <alignment horizontal="center" vertical="center" textRotation="0" wrapText="true" indent="0" shrinkToFit="false"/>
      <protection locked="true" hidden="false"/>
    </xf>
    <xf numFmtId="164" fontId="25" fillId="0" borderId="8" xfId="0" applyFont="true" applyBorder="true" applyAlignment="true" applyProtection="true">
      <alignment horizontal="center" vertical="center" textRotation="0" wrapText="true" indent="0" shrinkToFit="false"/>
      <protection locked="true" hidden="false"/>
    </xf>
    <xf numFmtId="164" fontId="23" fillId="0" borderId="22" xfId="0" applyFont="true" applyBorder="true" applyAlignment="true" applyProtection="true">
      <alignment horizontal="center" vertical="center" textRotation="0" wrapText="true" indent="0" shrinkToFit="false"/>
      <protection locked="true" hidden="false"/>
    </xf>
    <xf numFmtId="164" fontId="23" fillId="0" borderId="20" xfId="0" applyFont="true" applyBorder="true" applyAlignment="true" applyProtection="true">
      <alignment horizontal="center" vertical="center" textRotation="0" wrapText="true" indent="0" shrinkToFit="false"/>
      <protection locked="true" hidden="false"/>
    </xf>
    <xf numFmtId="172" fontId="23" fillId="0" borderId="20" xfId="0" applyFont="true" applyBorder="true" applyAlignment="true" applyProtection="true">
      <alignment horizontal="center" vertical="center" textRotation="0" wrapText="true" indent="0" shrinkToFit="false"/>
      <protection locked="true" hidden="false"/>
    </xf>
    <xf numFmtId="164" fontId="23" fillId="0" borderId="23" xfId="0" applyFont="true" applyBorder="true" applyAlignment="true" applyProtection="true">
      <alignment horizontal="center" vertical="center" textRotation="0" wrapText="true" indent="0" shrinkToFit="false"/>
      <protection locked="true" hidden="false"/>
    </xf>
    <xf numFmtId="164" fontId="23" fillId="0" borderId="24" xfId="0" applyFont="true" applyBorder="true" applyAlignment="true" applyProtection="true">
      <alignment horizontal="center" vertical="bottom" textRotation="0" wrapText="true" indent="0" shrinkToFit="false"/>
      <protection locked="true" hidden="false"/>
    </xf>
    <xf numFmtId="164" fontId="25" fillId="5" borderId="13" xfId="0" applyFont="true" applyBorder="true" applyAlignment="true" applyProtection="true">
      <alignment horizontal="left" vertical="center" textRotation="0" wrapText="true" indent="0" shrinkToFit="false"/>
      <protection locked="true" hidden="false"/>
    </xf>
    <xf numFmtId="164" fontId="25" fillId="0" borderId="15" xfId="0" applyFont="true" applyBorder="true" applyAlignment="true" applyProtection="true">
      <alignment horizontal="center" vertical="center" textRotation="0" wrapText="true" indent="0" shrinkToFit="false"/>
      <protection locked="true" hidden="false"/>
    </xf>
    <xf numFmtId="164" fontId="25" fillId="5" borderId="15" xfId="0" applyFont="true" applyBorder="true" applyAlignment="true" applyProtection="true">
      <alignment horizontal="left" vertical="center" textRotation="0" wrapText="true" indent="0" shrinkToFit="false"/>
      <protection locked="true" hidden="false"/>
    </xf>
    <xf numFmtId="164" fontId="26" fillId="0" borderId="25" xfId="0" applyFont="true" applyBorder="true" applyAlignment="true" applyProtection="true">
      <alignment horizontal="center" vertical="center" textRotation="0" wrapText="true" indent="0" shrinkToFit="false"/>
      <protection locked="true" hidden="false"/>
    </xf>
    <xf numFmtId="164" fontId="23" fillId="0" borderId="0" xfId="0" applyFont="true" applyBorder="false" applyAlignment="true" applyProtection="true">
      <alignment horizontal="general" vertical="bottom" textRotation="0" wrapText="true" indent="0" shrinkToFit="false"/>
      <protection locked="true" hidden="false"/>
    </xf>
    <xf numFmtId="164" fontId="25" fillId="5" borderId="9" xfId="0" applyFont="true" applyBorder="true" applyAlignment="true" applyProtection="true">
      <alignment horizontal="left" vertical="center" textRotation="0" wrapText="true" indent="0" shrinkToFit="false"/>
      <protection locked="true" hidden="false"/>
    </xf>
    <xf numFmtId="164" fontId="27" fillId="0" borderId="6" xfId="0" applyFont="true" applyBorder="true" applyAlignment="true" applyProtection="true">
      <alignment horizontal="center" vertical="center" textRotation="0" wrapText="true" indent="0" shrinkToFit="false"/>
      <protection locked="true" hidden="false"/>
    </xf>
    <xf numFmtId="164" fontId="25" fillId="5" borderId="6" xfId="0" applyFont="true" applyBorder="true" applyAlignment="true" applyProtection="true">
      <alignment horizontal="left" vertical="center" textRotation="0" wrapText="true" indent="0" shrinkToFit="false"/>
      <protection locked="true" hidden="false"/>
    </xf>
    <xf numFmtId="173" fontId="27" fillId="2" borderId="6" xfId="0" applyFont="true" applyBorder="true" applyAlignment="true" applyProtection="true">
      <alignment horizontal="center" vertical="center" textRotation="0" wrapText="true" indent="0" shrinkToFit="false"/>
      <protection locked="true" hidden="false"/>
    </xf>
    <xf numFmtId="164" fontId="26" fillId="0" borderId="8" xfId="0" applyFont="true" applyBorder="true" applyAlignment="true" applyProtection="true">
      <alignment horizontal="center" vertical="center" textRotation="0" wrapText="true" indent="0" shrinkToFit="false"/>
      <protection locked="true" hidden="false"/>
    </xf>
    <xf numFmtId="173" fontId="27" fillId="0" borderId="6" xfId="0" applyFont="true" applyBorder="true" applyAlignment="true" applyProtection="true">
      <alignment horizontal="center" vertical="center" textRotation="0" wrapText="true" indent="0" shrinkToFit="false"/>
      <protection locked="true" hidden="false"/>
    </xf>
    <xf numFmtId="164" fontId="25" fillId="5" borderId="10" xfId="0" applyFont="true" applyBorder="true" applyAlignment="true" applyProtection="true">
      <alignment horizontal="left" vertical="center" textRotation="0" wrapText="true" indent="0" shrinkToFit="false"/>
      <protection locked="true" hidden="false"/>
    </xf>
    <xf numFmtId="168" fontId="25" fillId="0" borderId="11" xfId="0" applyFont="true" applyBorder="true" applyAlignment="true" applyProtection="true">
      <alignment horizontal="center" vertical="center" textRotation="0" wrapText="true" indent="0" shrinkToFit="false"/>
      <protection locked="true" hidden="false"/>
    </xf>
    <xf numFmtId="164" fontId="25" fillId="5" borderId="11" xfId="0" applyFont="true" applyBorder="true" applyAlignment="true" applyProtection="true">
      <alignment horizontal="left" vertical="center" textRotation="0" wrapText="true" indent="0" shrinkToFit="false"/>
      <protection locked="true" hidden="false"/>
    </xf>
    <xf numFmtId="164" fontId="25" fillId="0" borderId="11" xfId="0" applyFont="true" applyBorder="true" applyAlignment="true" applyProtection="true">
      <alignment horizontal="center" vertical="center" textRotation="0" wrapText="true" indent="0" shrinkToFit="false"/>
      <protection locked="true" hidden="false"/>
    </xf>
    <xf numFmtId="164" fontId="25" fillId="0" borderId="12" xfId="0" applyFont="true" applyBorder="true" applyAlignment="true" applyProtection="true">
      <alignment horizontal="center" vertical="center" textRotation="0" wrapText="true" indent="0" shrinkToFit="false"/>
      <protection locked="true" hidden="false"/>
    </xf>
    <xf numFmtId="164" fontId="21" fillId="0" borderId="26" xfId="0" applyFont="true" applyBorder="true" applyAlignment="true" applyProtection="true">
      <alignment horizontal="center" vertical="bottom" textRotation="0" wrapText="true" indent="0" shrinkToFit="false"/>
      <protection locked="true" hidden="false"/>
    </xf>
    <xf numFmtId="164" fontId="25" fillId="5" borderId="9" xfId="0" applyFont="true" applyBorder="true" applyAlignment="true" applyProtection="true">
      <alignment horizontal="center" vertical="center" textRotation="0" wrapText="true" indent="0" shrinkToFit="false"/>
      <protection locked="true" hidden="false"/>
    </xf>
    <xf numFmtId="164" fontId="25" fillId="5" borderId="6" xfId="0" applyFont="true" applyBorder="true" applyAlignment="true" applyProtection="true">
      <alignment horizontal="center" vertical="center" textRotation="0" wrapText="true" indent="0" shrinkToFit="false"/>
      <protection locked="true" hidden="false"/>
    </xf>
    <xf numFmtId="164" fontId="25" fillId="5" borderId="8" xfId="0" applyFont="true" applyBorder="true" applyAlignment="true" applyProtection="true">
      <alignment horizontal="center" vertical="center" textRotation="0" wrapText="true" indent="0" shrinkToFit="false"/>
      <protection locked="true" hidden="false"/>
    </xf>
    <xf numFmtId="170" fontId="28" fillId="4" borderId="9" xfId="0" applyFont="true" applyBorder="true" applyAlignment="true" applyProtection="true">
      <alignment horizontal="center" vertical="center" textRotation="0" wrapText="true" indent="0" shrinkToFit="false"/>
      <protection locked="false" hidden="false"/>
    </xf>
    <xf numFmtId="174" fontId="28" fillId="6" borderId="6" xfId="0" applyFont="true" applyBorder="true" applyAlignment="true" applyProtection="true">
      <alignment horizontal="center" vertical="center" textRotation="0" wrapText="true" indent="0" shrinkToFit="false"/>
      <protection locked="false" hidden="false"/>
    </xf>
    <xf numFmtId="164" fontId="26" fillId="3" borderId="8" xfId="0" applyFont="true" applyBorder="true" applyAlignment="true" applyProtection="true">
      <alignment horizontal="general" vertical="center" textRotation="0" wrapText="true" indent="0" shrinkToFit="false"/>
      <protection locked="false" hidden="false"/>
    </xf>
    <xf numFmtId="170" fontId="28" fillId="2" borderId="9" xfId="0" applyFont="true" applyBorder="true" applyAlignment="true" applyProtection="true">
      <alignment horizontal="center" vertical="center" textRotation="0" wrapText="true" indent="0" shrinkToFit="false"/>
      <protection locked="false" hidden="false"/>
    </xf>
    <xf numFmtId="174" fontId="28" fillId="2" borderId="6" xfId="0" applyFont="true" applyBorder="true" applyAlignment="true" applyProtection="true">
      <alignment horizontal="center" vertical="center" textRotation="0" wrapText="true" indent="0" shrinkToFit="false"/>
      <protection locked="false" hidden="false"/>
    </xf>
    <xf numFmtId="164" fontId="26" fillId="2" borderId="8" xfId="0" applyFont="true" applyBorder="true" applyAlignment="true" applyProtection="true">
      <alignment horizontal="general" vertical="center" textRotation="0" wrapText="true" indent="0" shrinkToFit="false"/>
      <protection locked="false" hidden="false"/>
    </xf>
    <xf numFmtId="164" fontId="21" fillId="2" borderId="0" xfId="0" applyFont="true" applyBorder="false" applyAlignment="true" applyProtection="true">
      <alignment horizontal="general" vertical="bottom" textRotation="0" wrapText="true" indent="0" shrinkToFit="false"/>
      <protection locked="false" hidden="false"/>
    </xf>
    <xf numFmtId="174" fontId="29" fillId="0" borderId="6" xfId="0" applyFont="true" applyBorder="true" applyAlignment="true" applyProtection="true">
      <alignment horizontal="center" vertical="center" textRotation="0" wrapText="true" indent="0" shrinkToFit="false"/>
      <protection locked="false" hidden="false"/>
    </xf>
    <xf numFmtId="174" fontId="29" fillId="0" borderId="0" xfId="0" applyFont="true" applyBorder="false" applyAlignment="true" applyProtection="true">
      <alignment horizontal="center" vertical="bottom" textRotation="0" wrapText="true" indent="0" shrinkToFit="false"/>
      <protection locked="false" hidden="false"/>
    </xf>
    <xf numFmtId="164" fontId="0" fillId="5" borderId="27" xfId="0" applyFont="false" applyBorder="true" applyAlignment="true" applyProtection="true">
      <alignment horizontal="center" vertical="bottom" textRotation="0" wrapText="true" indent="0" shrinkToFit="false"/>
      <protection locked="true" hidden="false"/>
    </xf>
    <xf numFmtId="164" fontId="21" fillId="0" borderId="28" xfId="0" applyFont="true" applyBorder="true" applyAlignment="true" applyProtection="true">
      <alignment horizontal="general" vertical="bottom" textRotation="0" wrapText="true" indent="0" shrinkToFit="false"/>
      <protection locked="false" hidden="false"/>
    </xf>
    <xf numFmtId="164" fontId="21" fillId="0" borderId="29" xfId="0" applyFont="true" applyBorder="true" applyAlignment="true" applyProtection="true">
      <alignment horizontal="general" vertical="bottom" textRotation="0" wrapText="true" indent="0" shrinkToFit="false"/>
      <protection locked="false" hidden="false"/>
    </xf>
    <xf numFmtId="164" fontId="28" fillId="0" borderId="1" xfId="0" applyFont="true" applyBorder="true" applyAlignment="true" applyProtection="true">
      <alignment horizontal="general" vertical="center" textRotation="0" wrapText="true" indent="0" shrinkToFit="false"/>
      <protection locked="true" hidden="false"/>
    </xf>
    <xf numFmtId="164" fontId="28" fillId="0" borderId="4" xfId="0" applyFont="true" applyBorder="true" applyAlignment="true" applyProtection="true">
      <alignment horizontal="general" vertical="center" textRotation="0" wrapText="true" indent="0" shrinkToFit="false"/>
      <protection locked="true" hidden="false"/>
    </xf>
    <xf numFmtId="164" fontId="28" fillId="0" borderId="4" xfId="0" applyFont="true" applyBorder="true" applyAlignment="true" applyProtection="true">
      <alignment horizontal="center" vertical="center" textRotation="0" wrapText="true" indent="0" shrinkToFit="false"/>
      <protection locked="true" hidden="false"/>
    </xf>
    <xf numFmtId="164" fontId="30" fillId="0" borderId="0" xfId="0" applyFont="true" applyBorder="false" applyAlignment="true" applyProtection="true">
      <alignment horizontal="general" vertical="center" textRotation="0" wrapText="false" indent="0" shrinkToFit="false"/>
      <protection locked="false" hidden="false"/>
    </xf>
    <xf numFmtId="164" fontId="30" fillId="0" borderId="0" xfId="0" applyFont="true" applyBorder="true" applyAlignment="true" applyProtection="true">
      <alignment horizontal="center" vertical="center" textRotation="0" wrapText="false" indent="0" shrinkToFit="false"/>
      <protection locked="false" hidden="false"/>
    </xf>
    <xf numFmtId="164" fontId="21" fillId="0" borderId="30" xfId="0" applyFont="true" applyBorder="true" applyAlignment="true" applyProtection="true">
      <alignment horizontal="general" vertical="bottom" textRotation="0" wrapText="true" indent="0" shrinkToFit="false"/>
      <protection locked="false" hidden="false"/>
    </xf>
    <xf numFmtId="164" fontId="28" fillId="0" borderId="30" xfId="0" applyFont="true" applyBorder="true" applyAlignment="true" applyProtection="true">
      <alignment horizontal="general" vertical="center" textRotation="0" wrapText="true" indent="0" shrinkToFit="false"/>
      <protection locked="true" hidden="false"/>
    </xf>
    <xf numFmtId="164" fontId="31" fillId="0" borderId="31" xfId="0" applyFont="true" applyBorder="true" applyAlignment="true" applyProtection="true">
      <alignment horizontal="center" vertical="center" textRotation="0" wrapText="false" indent="0" shrinkToFit="false"/>
      <protection locked="false" hidden="false"/>
    </xf>
    <xf numFmtId="173" fontId="32" fillId="0" borderId="31" xfId="0" applyFont="true" applyBorder="true" applyAlignment="true" applyProtection="true">
      <alignment horizontal="center" vertical="center" textRotation="0" wrapText="false" indent="0" shrinkToFit="false"/>
      <protection locked="false" hidden="false"/>
    </xf>
    <xf numFmtId="164" fontId="33" fillId="0" borderId="32" xfId="0" applyFont="true" applyBorder="true" applyAlignment="true" applyProtection="true">
      <alignment horizontal="center" vertical="bottom" textRotation="0" wrapText="true" indent="0" shrinkToFit="false"/>
      <protection locked="false" hidden="false"/>
    </xf>
    <xf numFmtId="173" fontId="34" fillId="0" borderId="4" xfId="0" applyFont="true" applyBorder="true" applyAlignment="true" applyProtection="true">
      <alignment horizontal="center" vertical="center" textRotation="0" wrapText="false" indent="0" shrinkToFit="false"/>
      <protection locked="false" hidden="false"/>
    </xf>
    <xf numFmtId="164" fontId="35" fillId="2" borderId="31" xfId="0" applyFont="true" applyBorder="true" applyAlignment="true" applyProtection="true">
      <alignment horizontal="center" vertical="center" textRotation="0" wrapText="true" indent="0" shrinkToFit="false"/>
      <protection locked="false" hidden="false"/>
    </xf>
    <xf numFmtId="164" fontId="36" fillId="2" borderId="0" xfId="0" applyFont="true" applyBorder="false" applyAlignment="true" applyProtection="true">
      <alignment horizontal="general" vertical="center" textRotation="0" wrapText="true" indent="0" shrinkToFit="false"/>
      <protection locked="false" hidden="false"/>
    </xf>
    <xf numFmtId="164" fontId="37" fillId="0" borderId="0" xfId="29" applyFont="true" applyBorder="false" applyAlignment="true" applyProtection="true">
      <alignment horizontal="left" vertical="top" textRotation="0" wrapText="false" indent="0" shrinkToFit="false"/>
      <protection locked="false" hidden="false"/>
    </xf>
    <xf numFmtId="164" fontId="37" fillId="0" borderId="1" xfId="29" applyFont="true" applyBorder="true" applyAlignment="true" applyProtection="true">
      <alignment horizontal="left" vertical="top" textRotation="0" wrapText="false" indent="0" shrinkToFit="false"/>
      <protection locked="true" hidden="false"/>
    </xf>
    <xf numFmtId="164" fontId="37" fillId="0" borderId="2" xfId="29" applyFont="true" applyBorder="true" applyAlignment="true" applyProtection="true">
      <alignment horizontal="left" vertical="top" textRotation="0" wrapText="false" indent="0" shrinkToFit="false"/>
      <protection locked="true" hidden="false"/>
    </xf>
    <xf numFmtId="164" fontId="37" fillId="0" borderId="3" xfId="29" applyFont="true" applyBorder="true" applyAlignment="true" applyProtection="true">
      <alignment horizontal="left" vertical="top" textRotation="0" wrapText="false" indent="0" shrinkToFit="false"/>
      <protection locked="true" hidden="false"/>
    </xf>
    <xf numFmtId="164" fontId="38" fillId="7" borderId="4" xfId="29" applyFont="true" applyBorder="true" applyAlignment="true" applyProtection="true">
      <alignment horizontal="center" vertical="top" textRotation="0" wrapText="false" indent="0" shrinkToFit="false"/>
      <protection locked="true" hidden="false"/>
    </xf>
    <xf numFmtId="164" fontId="39" fillId="0" borderId="33" xfId="29" applyFont="true" applyBorder="true" applyAlignment="true" applyProtection="true">
      <alignment horizontal="center" vertical="top" textRotation="0" wrapText="true" indent="0" shrinkToFit="false"/>
      <protection locked="true" hidden="false"/>
    </xf>
    <xf numFmtId="164" fontId="39" fillId="0" borderId="28" xfId="29" applyFont="true" applyBorder="true" applyAlignment="true" applyProtection="true">
      <alignment horizontal="left" vertical="center" textRotation="0" wrapText="true" indent="0" shrinkToFit="false"/>
      <protection locked="true" hidden="false"/>
    </xf>
    <xf numFmtId="164" fontId="39" fillId="0" borderId="28" xfId="29" applyFont="true" applyBorder="true" applyAlignment="true" applyProtection="true">
      <alignment horizontal="left" vertical="top" textRotation="0" wrapText="true" indent="0" shrinkToFit="false"/>
      <protection locked="true" hidden="false"/>
    </xf>
    <xf numFmtId="168" fontId="38" fillId="0" borderId="29" xfId="29" applyFont="true" applyBorder="true" applyAlignment="true" applyProtection="true">
      <alignment horizontal="left" vertical="top" textRotation="0" wrapText="false" indent="1" shrinkToFit="true"/>
      <protection locked="true" hidden="false"/>
    </xf>
    <xf numFmtId="164" fontId="39" fillId="0" borderId="34" xfId="29" applyFont="true" applyBorder="true" applyAlignment="true" applyProtection="true">
      <alignment horizontal="center" vertical="top" textRotation="0" wrapText="true" indent="0" shrinkToFit="false"/>
      <protection locked="true" hidden="false"/>
    </xf>
    <xf numFmtId="164" fontId="39" fillId="0" borderId="0" xfId="29" applyFont="true" applyBorder="false" applyAlignment="true" applyProtection="true">
      <alignment horizontal="left" vertical="center" textRotation="0" wrapText="true" indent="0" shrinkToFit="false"/>
      <protection locked="true" hidden="false"/>
    </xf>
    <xf numFmtId="164" fontId="39" fillId="0" borderId="0" xfId="29" applyFont="true" applyBorder="false" applyAlignment="true" applyProtection="true">
      <alignment horizontal="left" vertical="top" textRotation="0" wrapText="true" indent="0" shrinkToFit="false"/>
      <protection locked="true" hidden="false"/>
    </xf>
    <xf numFmtId="168" fontId="38" fillId="0" borderId="30" xfId="29" applyFont="true" applyBorder="true" applyAlignment="true" applyProtection="true">
      <alignment horizontal="left" vertical="top" textRotation="0" wrapText="false" indent="1" shrinkToFit="true"/>
      <protection locked="true" hidden="false"/>
    </xf>
    <xf numFmtId="164" fontId="39" fillId="0" borderId="32" xfId="29" applyFont="true" applyBorder="true" applyAlignment="true" applyProtection="true">
      <alignment horizontal="left" vertical="top" textRotation="0" wrapText="true" indent="0" shrinkToFit="false"/>
      <protection locked="true" hidden="false"/>
    </xf>
    <xf numFmtId="164" fontId="39" fillId="0" borderId="35" xfId="29" applyFont="true" applyBorder="true" applyAlignment="true" applyProtection="true">
      <alignment horizontal="center" vertical="top" textRotation="0" wrapText="true" indent="0" shrinkToFit="false"/>
      <protection locked="true" hidden="false"/>
    </xf>
    <xf numFmtId="168" fontId="38" fillId="0" borderId="36" xfId="29" applyFont="true" applyBorder="true" applyAlignment="true" applyProtection="true">
      <alignment horizontal="left" vertical="top" textRotation="0" wrapText="false" indent="1" shrinkToFit="true"/>
      <protection locked="true" hidden="false"/>
    </xf>
    <xf numFmtId="164" fontId="39" fillId="7" borderId="37" xfId="29" applyFont="true" applyBorder="true" applyAlignment="true" applyProtection="true">
      <alignment horizontal="center" vertical="center" textRotation="0" wrapText="true" indent="0" shrinkToFit="false"/>
      <protection locked="true" hidden="false"/>
    </xf>
    <xf numFmtId="164" fontId="39" fillId="7" borderId="38" xfId="29" applyFont="true" applyBorder="true" applyAlignment="true" applyProtection="true">
      <alignment horizontal="center" vertical="center" textRotation="0" wrapText="true" indent="0" shrinkToFit="false"/>
      <protection locked="true" hidden="false"/>
    </xf>
    <xf numFmtId="164" fontId="39" fillId="7" borderId="39" xfId="29" applyFont="true" applyBorder="true" applyAlignment="true" applyProtection="true">
      <alignment horizontal="center" vertical="center" textRotation="0" wrapText="true" indent="0" shrinkToFit="false"/>
      <protection locked="true" hidden="false"/>
    </xf>
    <xf numFmtId="164" fontId="39" fillId="7" borderId="40" xfId="29" applyFont="true" applyBorder="true" applyAlignment="true" applyProtection="true">
      <alignment horizontal="center" vertical="center" textRotation="0" wrapText="true" indent="0" shrinkToFit="false"/>
      <protection locked="true" hidden="false"/>
    </xf>
    <xf numFmtId="164" fontId="37" fillId="0" borderId="0" xfId="29" applyFont="true" applyBorder="false" applyAlignment="true" applyProtection="true">
      <alignment horizontal="center" vertical="center" textRotation="0" wrapText="false" indent="0" shrinkToFit="false"/>
      <protection locked="false" hidden="false"/>
    </xf>
    <xf numFmtId="164" fontId="40" fillId="0" borderId="13" xfId="29" applyFont="true" applyBorder="true" applyAlignment="true" applyProtection="true">
      <alignment horizontal="center" vertical="center" textRotation="0" wrapText="true" indent="0" shrinkToFit="false"/>
      <protection locked="false" hidden="false"/>
    </xf>
    <xf numFmtId="164" fontId="40" fillId="0" borderId="7" xfId="29" applyFont="true" applyBorder="true" applyAlignment="true" applyProtection="true">
      <alignment horizontal="general" vertical="center" textRotation="0" wrapText="true" indent="0" shrinkToFit="false"/>
      <protection locked="false" hidden="false"/>
    </xf>
    <xf numFmtId="175" fontId="40" fillId="0" borderId="6" xfId="29" applyFont="true" applyBorder="true" applyAlignment="true" applyProtection="true">
      <alignment horizontal="right" vertical="center" textRotation="0" wrapText="false" indent="0" shrinkToFit="true"/>
      <protection locked="false" hidden="false"/>
    </xf>
    <xf numFmtId="168" fontId="40" fillId="0" borderId="15" xfId="29" applyFont="true" applyBorder="true" applyAlignment="true" applyProtection="true">
      <alignment horizontal="center" vertical="center" textRotation="0" wrapText="false" indent="0" shrinkToFit="true"/>
      <protection locked="false" hidden="false"/>
    </xf>
    <xf numFmtId="175" fontId="40" fillId="0" borderId="25" xfId="29" applyFont="true" applyBorder="true" applyAlignment="true" applyProtection="true">
      <alignment horizontal="right" vertical="center" textRotation="0" wrapText="false" indent="0" shrinkToFit="true"/>
      <protection locked="false" hidden="false"/>
    </xf>
    <xf numFmtId="164" fontId="40" fillId="0" borderId="9" xfId="29" applyFont="true" applyBorder="true" applyAlignment="true" applyProtection="true">
      <alignment horizontal="center" vertical="center" textRotation="0" wrapText="true" indent="0" shrinkToFit="false"/>
      <protection locked="false" hidden="false"/>
    </xf>
    <xf numFmtId="164" fontId="40" fillId="0" borderId="6" xfId="29" applyFont="true" applyBorder="true" applyAlignment="true" applyProtection="true">
      <alignment horizontal="general" vertical="center" textRotation="0" wrapText="true" indent="0" shrinkToFit="false"/>
      <protection locked="false" hidden="false"/>
    </xf>
    <xf numFmtId="168" fontId="40" fillId="0" borderId="6" xfId="29" applyFont="true" applyBorder="true" applyAlignment="true" applyProtection="true">
      <alignment horizontal="center" vertical="center" textRotation="0" wrapText="false" indent="0" shrinkToFit="true"/>
      <protection locked="false" hidden="false"/>
    </xf>
    <xf numFmtId="175" fontId="37" fillId="0" borderId="6" xfId="29" applyFont="true" applyBorder="true" applyAlignment="true" applyProtection="true">
      <alignment horizontal="right" vertical="center" textRotation="0" wrapText="false" indent="0" shrinkToFit="true"/>
      <protection locked="false" hidden="false"/>
    </xf>
    <xf numFmtId="176" fontId="37" fillId="0" borderId="6" xfId="29" applyFont="true" applyBorder="true" applyAlignment="true" applyProtection="true">
      <alignment horizontal="center" vertical="center" textRotation="0" wrapText="false" indent="0" shrinkToFit="true"/>
      <protection locked="false" hidden="false"/>
    </xf>
    <xf numFmtId="175" fontId="37" fillId="0" borderId="25" xfId="29" applyFont="true" applyBorder="true" applyAlignment="true" applyProtection="true">
      <alignment horizontal="right" vertical="center" textRotation="0" wrapText="false" indent="0" shrinkToFit="true"/>
      <protection locked="false" hidden="false"/>
    </xf>
    <xf numFmtId="168" fontId="37" fillId="0" borderId="6" xfId="29" applyFont="true" applyBorder="true" applyAlignment="true" applyProtection="true">
      <alignment horizontal="center" vertical="center" textRotation="0" wrapText="false" indent="0" shrinkToFit="true"/>
      <protection locked="false" hidden="false"/>
    </xf>
    <xf numFmtId="164" fontId="39" fillId="0" borderId="10" xfId="29" applyFont="true" applyBorder="true" applyAlignment="true" applyProtection="true">
      <alignment horizontal="left" vertical="top" textRotation="0" wrapText="true" indent="0" shrinkToFit="false"/>
      <protection locked="false" hidden="false"/>
    </xf>
    <xf numFmtId="164" fontId="39" fillId="0" borderId="6" xfId="29" applyFont="true" applyBorder="true" applyAlignment="true" applyProtection="true">
      <alignment horizontal="center" vertical="center" textRotation="0" wrapText="true" indent="0" shrinkToFit="false"/>
      <protection locked="false" hidden="false"/>
    </xf>
    <xf numFmtId="175" fontId="38" fillId="0" borderId="8" xfId="29" applyFont="true" applyBorder="true" applyAlignment="true" applyProtection="true">
      <alignment horizontal="general" vertical="center" textRotation="0" wrapText="false" indent="0" shrinkToFit="true"/>
      <protection locked="false" hidden="false"/>
    </xf>
    <xf numFmtId="164" fontId="39" fillId="0" borderId="11" xfId="29" applyFont="true" applyBorder="true" applyAlignment="true" applyProtection="true">
      <alignment horizontal="center" vertical="center" textRotation="0" wrapText="true" indent="0" shrinkToFit="false"/>
      <protection locked="false" hidden="false"/>
    </xf>
    <xf numFmtId="175" fontId="38" fillId="0" borderId="12" xfId="29" applyFont="true" applyBorder="true" applyAlignment="true" applyProtection="true">
      <alignment horizontal="general" vertical="center" textRotation="0" wrapText="false" indent="0" shrinkToFit="true"/>
      <protection locked="false" hidden="false"/>
    </xf>
    <xf numFmtId="164" fontId="39" fillId="0" borderId="0" xfId="29" applyFont="true" applyBorder="false" applyAlignment="true" applyProtection="true">
      <alignment horizontal="left" vertical="center" textRotation="0" wrapText="true" indent="0" shrinkToFit="false"/>
      <protection locked="false" hidden="false"/>
    </xf>
    <xf numFmtId="165" fontId="37" fillId="0" borderId="0" xfId="21" applyFont="true" applyBorder="true" applyAlignment="true" applyProtection="true">
      <alignment horizontal="left" vertical="top" textRotation="0" wrapText="false" indent="0" shrinkToFit="false"/>
      <protection locked="false" hidden="false"/>
    </xf>
    <xf numFmtId="164" fontId="41" fillId="0" borderId="33" xfId="0" applyFont="true" applyBorder="true" applyAlignment="true" applyProtection="true">
      <alignment horizontal="center" vertical="bottom" textRotation="0" wrapText="false" indent="0" shrinkToFit="false"/>
      <protection locked="true" hidden="false"/>
    </xf>
    <xf numFmtId="164" fontId="0" fillId="0" borderId="28" xfId="0" applyFont="false" applyBorder="true" applyAlignment="true" applyProtection="true">
      <alignment horizontal="general" vertical="bottom" textRotation="0" wrapText="false" indent="0" shrinkToFit="false"/>
      <protection locked="true" hidden="false"/>
    </xf>
    <xf numFmtId="164" fontId="21" fillId="0" borderId="28" xfId="0" applyFont="true" applyBorder="true" applyAlignment="true" applyProtection="true">
      <alignment horizontal="general" vertical="bottom" textRotation="0" wrapText="false" indent="0" shrinkToFit="false"/>
      <protection locked="true" hidden="false"/>
    </xf>
    <xf numFmtId="164" fontId="0" fillId="0" borderId="29" xfId="0" applyFont="false" applyBorder="true" applyAlignment="true" applyProtection="true">
      <alignment horizontal="general" vertical="bottom" textRotation="0" wrapText="false" indent="0" shrinkToFit="false"/>
      <protection locked="true" hidden="false"/>
    </xf>
    <xf numFmtId="164" fontId="41" fillId="0" borderId="41" xfId="0" applyFont="true" applyBorder="true" applyAlignment="true" applyProtection="true">
      <alignment horizontal="center" vertical="bottom" textRotation="0" wrapText="false" indent="0" shrinkToFit="false"/>
      <protection locked="true" hidden="false"/>
    </xf>
    <xf numFmtId="164" fontId="0" fillId="0" borderId="42" xfId="0" applyFont="fals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0" fillId="0" borderId="30" xfId="0" applyFont="false" applyBorder="true" applyAlignment="true" applyProtection="true">
      <alignment horizontal="general" vertical="bottom" textRotation="0" wrapText="false" indent="0" shrinkToFit="false"/>
      <protection locked="true" hidden="false"/>
    </xf>
    <xf numFmtId="164" fontId="0" fillId="0" borderId="9" xfId="0" applyFont="true" applyBorder="true" applyAlignment="true" applyProtection="true">
      <alignment horizontal="center" vertical="bottom" textRotation="0" wrapText="false" indent="0" shrinkToFit="false"/>
      <protection locked="true" hidden="false"/>
    </xf>
    <xf numFmtId="164" fontId="0" fillId="0" borderId="43" xfId="0" applyFont="false" applyBorder="true" applyAlignment="true" applyProtection="true">
      <alignment horizontal="general" vertical="bottom" textRotation="0" wrapText="false" indent="0" shrinkToFit="false"/>
      <protection locked="true" hidden="false"/>
    </xf>
    <xf numFmtId="164" fontId="42" fillId="8" borderId="4" xfId="0" applyFont="true" applyBorder="true" applyAlignment="true" applyProtection="true">
      <alignment horizontal="center" vertical="center" textRotation="0" wrapText="true" indent="0" shrinkToFit="false"/>
      <protection locked="true" hidden="false"/>
    </xf>
    <xf numFmtId="164" fontId="0" fillId="0" borderId="44" xfId="0" applyFont="true" applyBorder="true" applyAlignment="true" applyProtection="true">
      <alignment horizontal="center" vertical="bottom" textRotation="0" wrapText="false" indent="0" shrinkToFit="false"/>
      <protection locked="true" hidden="false"/>
    </xf>
    <xf numFmtId="164" fontId="0" fillId="0" borderId="6" xfId="0" applyFont="false" applyBorder="true" applyAlignment="true" applyProtection="true">
      <alignment horizontal="general" vertical="bottom" textRotation="0" wrapText="false" indent="0" shrinkToFit="false"/>
      <protection locked="true" hidden="false"/>
    </xf>
    <xf numFmtId="164" fontId="21" fillId="0" borderId="44" xfId="0" applyFont="true" applyBorder="true" applyAlignment="true" applyProtection="true">
      <alignment horizontal="center" vertical="bottom" textRotation="0" wrapText="false" indent="0" shrinkToFit="false"/>
      <protection locked="true" hidden="false"/>
    </xf>
    <xf numFmtId="164" fontId="43" fillId="0" borderId="6" xfId="0" applyFont="true" applyBorder="true" applyAlignment="true" applyProtection="true">
      <alignment horizontal="general" vertical="bottom" textRotation="0" wrapText="false" indent="0" shrinkToFit="false"/>
      <protection locked="true" hidden="false"/>
    </xf>
    <xf numFmtId="164" fontId="0" fillId="2" borderId="43" xfId="0" applyFont="false" applyBorder="true" applyAlignment="true" applyProtection="true">
      <alignment horizontal="left" vertical="center" textRotation="0" wrapText="false" indent="0" shrinkToFit="false"/>
      <protection locked="true" hidden="true"/>
    </xf>
    <xf numFmtId="164" fontId="0" fillId="0" borderId="8" xfId="0" applyFont="true" applyBorder="true" applyAlignment="true" applyProtection="true">
      <alignment horizontal="center" vertical="bottom" textRotation="0" wrapText="false" indent="0" shrinkToFit="false"/>
      <protection locked="true" hidden="false"/>
    </xf>
    <xf numFmtId="164" fontId="0" fillId="0" borderId="10" xfId="0" applyFont="true" applyBorder="true" applyAlignment="true" applyProtection="true">
      <alignment horizontal="center" vertical="bottom" textRotation="0" wrapText="false" indent="0" shrinkToFit="false"/>
      <protection locked="true" hidden="false"/>
    </xf>
    <xf numFmtId="164" fontId="0" fillId="2" borderId="45" xfId="0" applyFont="false" applyBorder="true" applyAlignment="true" applyProtection="true">
      <alignment horizontal="general" vertical="bottom" textRotation="0" wrapText="false" indent="0" shrinkToFit="false"/>
      <protection locked="true" hidden="true"/>
    </xf>
    <xf numFmtId="164" fontId="0" fillId="0" borderId="16" xfId="0" applyFont="true" applyBorder="true" applyAlignment="true" applyProtection="true">
      <alignment horizontal="center" vertical="bottom" textRotation="0" wrapText="false" indent="0" shrinkToFit="false"/>
      <protection locked="true" hidden="false"/>
    </xf>
    <xf numFmtId="170" fontId="0" fillId="2" borderId="12" xfId="0" applyFont="false" applyBorder="true" applyAlignment="true" applyProtection="true">
      <alignment horizontal="center" vertical="bottom" textRotation="0" wrapText="false" indent="0" shrinkToFit="false"/>
      <protection locked="false" hidden="false"/>
    </xf>
    <xf numFmtId="164" fontId="20" fillId="5" borderId="46" xfId="0" applyFont="true" applyBorder="true" applyAlignment="true" applyProtection="true">
      <alignment horizontal="general" vertical="bottom" textRotation="0" wrapText="false" indent="0" shrinkToFit="false"/>
      <protection locked="true" hidden="false"/>
    </xf>
    <xf numFmtId="164" fontId="29" fillId="5" borderId="4" xfId="0" applyFont="true" applyBorder="true" applyAlignment="true" applyProtection="true">
      <alignment horizontal="center" vertical="center" textRotation="0" wrapText="false" indent="0" shrinkToFit="false"/>
      <protection locked="true" hidden="false"/>
    </xf>
    <xf numFmtId="168" fontId="29" fillId="5" borderId="4" xfId="0" applyFont="true" applyBorder="true" applyAlignment="true" applyProtection="true">
      <alignment horizontal="center" vertical="center" textRotation="0" wrapText="false" indent="0" shrinkToFit="false"/>
      <protection locked="true" hidden="false"/>
    </xf>
    <xf numFmtId="168" fontId="29" fillId="5" borderId="47" xfId="0" applyFont="true" applyBorder="true" applyAlignment="true" applyProtection="true">
      <alignment horizontal="center" vertical="bottom" textRotation="0" wrapText="false" indent="0" shrinkToFit="false"/>
      <protection locked="true" hidden="false"/>
    </xf>
    <xf numFmtId="164" fontId="29" fillId="5" borderId="21" xfId="0" applyFont="true" applyBorder="true" applyAlignment="true" applyProtection="true">
      <alignment horizontal="general" vertical="bottom" textRotation="0" wrapText="false" indent="0" shrinkToFit="false"/>
      <protection locked="true" hidden="false"/>
    </xf>
    <xf numFmtId="164" fontId="41" fillId="0" borderId="41" xfId="0" applyFont="true" applyBorder="true" applyAlignment="true" applyProtection="true">
      <alignment horizontal="general" vertical="bottom" textRotation="0" wrapText="false" indent="0" shrinkToFit="false"/>
      <protection locked="true" hidden="false"/>
    </xf>
    <xf numFmtId="164" fontId="41" fillId="0" borderId="42" xfId="0" applyFont="true" applyBorder="true" applyAlignment="true" applyProtection="true">
      <alignment horizontal="general" vertical="bottom" textRotation="0" wrapText="false" indent="0" shrinkToFit="false"/>
      <protection locked="true" hidden="false"/>
    </xf>
    <xf numFmtId="164" fontId="41" fillId="0" borderId="48" xfId="0" applyFont="true" applyBorder="true" applyAlignment="true" applyProtection="true">
      <alignment horizontal="general" vertical="bottom" textRotation="0" wrapText="false" indent="0" shrinkToFit="false"/>
      <protection locked="true" hidden="false"/>
    </xf>
    <xf numFmtId="164" fontId="29" fillId="5" borderId="49" xfId="0" applyFont="true" applyBorder="true" applyAlignment="true" applyProtection="true">
      <alignment horizontal="left" vertical="bottom" textRotation="0" wrapText="true" indent="0" shrinkToFit="false"/>
      <protection locked="true" hidden="false"/>
    </xf>
    <xf numFmtId="168" fontId="29" fillId="5" borderId="14" xfId="0" applyFont="true" applyBorder="true" applyAlignment="true" applyProtection="true">
      <alignment horizontal="center" vertical="bottom" textRotation="0" wrapText="false" indent="0" shrinkToFit="false"/>
      <protection locked="true" hidden="false"/>
    </xf>
    <xf numFmtId="164" fontId="29" fillId="5" borderId="25" xfId="0" applyFont="true" applyBorder="true" applyAlignment="true" applyProtection="true">
      <alignment horizontal="general" vertical="bottom" textRotation="0" wrapText="false" indent="0" shrinkToFit="false"/>
      <protection locked="true" hidden="false"/>
    </xf>
    <xf numFmtId="164" fontId="0" fillId="0" borderId="9" xfId="0" applyFont="true" applyBorder="true" applyAlignment="true" applyProtection="true">
      <alignment horizontal="left" vertical="center" textRotation="0" wrapText="true" indent="0" shrinkToFit="false"/>
      <protection locked="true" hidden="false"/>
    </xf>
    <xf numFmtId="168" fontId="0" fillId="0" borderId="14" xfId="0" applyFont="false" applyBorder="true" applyAlignment="true" applyProtection="true">
      <alignment horizontal="center" vertical="center" textRotation="0" wrapText="true" indent="0" shrinkToFit="false"/>
      <protection locked="true" hidden="false"/>
    </xf>
    <xf numFmtId="177" fontId="0" fillId="0" borderId="43" xfId="0" applyFont="false" applyBorder="true" applyAlignment="true" applyProtection="true">
      <alignment horizontal="center" vertical="bottom" textRotation="0" wrapText="false" indent="0" shrinkToFit="false"/>
      <protection locked="true" hidden="false"/>
    </xf>
    <xf numFmtId="178" fontId="29" fillId="8" borderId="8" xfId="0" applyFont="true" applyBorder="true" applyAlignment="true" applyProtection="true">
      <alignment horizontal="center" vertical="center" textRotation="0" wrapText="true" indent="0" shrinkToFit="false"/>
      <protection locked="true" hidden="false"/>
    </xf>
    <xf numFmtId="178" fontId="0" fillId="0" borderId="0" xfId="19" applyFont="true" applyBorder="true" applyAlignment="true" applyProtection="true">
      <alignment horizontal="center" vertical="center" textRotation="0" wrapText="false" indent="0" shrinkToFit="false"/>
      <protection locked="true" hidden="false"/>
    </xf>
    <xf numFmtId="168" fontId="0" fillId="0" borderId="44" xfId="0" applyFont="false" applyBorder="true" applyAlignment="true" applyProtection="true">
      <alignment horizontal="center" vertical="center" textRotation="0" wrapText="true" indent="0" shrinkToFit="false"/>
      <protection locked="true" hidden="false"/>
    </xf>
    <xf numFmtId="164" fontId="29" fillId="7" borderId="24" xfId="0" applyFont="true" applyBorder="true" applyAlignment="true" applyProtection="true">
      <alignment horizontal="left" vertical="bottom" textRotation="0" wrapText="true" indent="0" shrinkToFit="false"/>
      <protection locked="true" hidden="false"/>
    </xf>
    <xf numFmtId="168" fontId="0" fillId="0" borderId="44" xfId="0" applyFont="false" applyBorder="true" applyAlignment="true" applyProtection="true">
      <alignment horizontal="center" vertical="bottom" textRotation="0" wrapText="false" indent="0" shrinkToFit="false"/>
      <protection locked="true" hidden="false"/>
    </xf>
    <xf numFmtId="164" fontId="29" fillId="0" borderId="9" xfId="0" applyFont="true" applyBorder="true" applyAlignment="true" applyProtection="true">
      <alignment horizontal="left" vertical="center" textRotation="0" wrapText="true" indent="0" shrinkToFit="false"/>
      <protection locked="true" hidden="false"/>
    </xf>
    <xf numFmtId="178" fontId="29" fillId="8" borderId="8" xfId="0" applyFont="true" applyBorder="true" applyAlignment="true" applyProtection="true">
      <alignment horizontal="center" vertical="center" textRotation="0" wrapText="true" indent="0" shrinkToFit="false"/>
      <protection locked="false" hidden="false"/>
    </xf>
    <xf numFmtId="177" fontId="0" fillId="0" borderId="43" xfId="0" applyFont="false" applyBorder="true" applyAlignment="true" applyProtection="true">
      <alignment horizontal="left" vertical="bottom" textRotation="0" wrapText="true" indent="0" shrinkToFit="false"/>
      <protection locked="true" hidden="false"/>
    </xf>
    <xf numFmtId="177" fontId="0" fillId="0" borderId="43" xfId="0" applyFont="false" applyBorder="true" applyAlignment="true" applyProtection="true">
      <alignment horizontal="center" vertical="bottom" textRotation="0" wrapText="true" indent="0" shrinkToFit="false"/>
      <protection locked="true" hidden="false"/>
    </xf>
    <xf numFmtId="168" fontId="0" fillId="0" borderId="44" xfId="0" applyFont="false" applyBorder="true" applyAlignment="true" applyProtection="true">
      <alignment horizontal="general" vertical="bottom" textRotation="0" wrapText="false" indent="0" shrinkToFit="false"/>
      <protection locked="true" hidden="false"/>
    </xf>
    <xf numFmtId="179" fontId="45" fillId="0" borderId="50" xfId="0" applyFont="true" applyBorder="true" applyAlignment="true" applyProtection="true">
      <alignment horizontal="general" vertical="center" textRotation="0" wrapText="true" indent="0" shrinkToFit="false"/>
      <protection locked="true" hidden="false"/>
    </xf>
    <xf numFmtId="164" fontId="20" fillId="5" borderId="4" xfId="0" applyFont="true" applyBorder="true" applyAlignment="true" applyProtection="true">
      <alignment horizontal="general" vertical="bottom" textRotation="0" wrapText="false" indent="0" shrinkToFit="false"/>
      <protection locked="true" hidden="false"/>
    </xf>
    <xf numFmtId="177" fontId="20" fillId="5" borderId="2" xfId="0" applyFont="true" applyBorder="true" applyAlignment="true" applyProtection="true">
      <alignment horizontal="general" vertical="bottom" textRotation="0" wrapText="false" indent="0" shrinkToFit="false"/>
      <protection locked="true" hidden="false"/>
    </xf>
    <xf numFmtId="177" fontId="20" fillId="5" borderId="4" xfId="0" applyFont="true" applyBorder="true" applyAlignment="true" applyProtection="true">
      <alignment horizontal="center" vertical="bottom" textRotation="0" wrapText="false" indent="0" shrinkToFit="false"/>
      <protection locked="true" hidden="false"/>
    </xf>
    <xf numFmtId="164" fontId="0" fillId="5" borderId="4" xfId="0" applyFont="fals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7" fontId="0" fillId="0" borderId="0" xfId="0" applyFont="false" applyBorder="fals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left" vertical="center" textRotation="0" wrapText="false" indent="0" shrinkToFit="false"/>
      <protection locked="true" hidden="false"/>
    </xf>
    <xf numFmtId="164" fontId="0" fillId="0" borderId="21" xfId="0" applyFont="false" applyBorder="true" applyAlignment="true" applyProtection="true">
      <alignment horizontal="center" vertical="bottom" textRotation="0" wrapText="false" indent="0" shrinkToFit="false"/>
      <protection locked="true" hidden="false"/>
    </xf>
    <xf numFmtId="164" fontId="0" fillId="0" borderId="24" xfId="0" applyFont="false" applyBorder="true" applyAlignment="true" applyProtection="true">
      <alignment horizontal="center" vertical="bottom" textRotation="0" wrapText="false" indent="0" shrinkToFit="false"/>
      <protection locked="true" hidden="false"/>
    </xf>
    <xf numFmtId="164" fontId="0" fillId="0" borderId="51" xfId="0" applyFont="false" applyBorder="true" applyAlignment="true" applyProtection="true">
      <alignment horizontal="center" vertical="bottom" textRotation="0" wrapText="false" indent="0" shrinkToFit="false"/>
      <protection locked="true" hidden="false"/>
    </xf>
    <xf numFmtId="164" fontId="46" fillId="9" borderId="52" xfId="0" applyFont="true" applyBorder="true" applyAlignment="true" applyProtection="true">
      <alignment horizontal="general" vertical="center" textRotation="0" wrapText="false" indent="0" shrinkToFit="false"/>
      <protection locked="true" hidden="false"/>
    </xf>
    <xf numFmtId="164" fontId="46" fillId="9" borderId="53" xfId="0" applyFont="true" applyBorder="true" applyAlignment="true" applyProtection="true">
      <alignment horizontal="center" vertical="center" textRotation="0" wrapText="false" indent="0" shrinkToFit="false"/>
      <protection locked="true" hidden="false"/>
    </xf>
    <xf numFmtId="177" fontId="29" fillId="9" borderId="4" xfId="0" applyFont="true" applyBorder="true" applyAlignment="true" applyProtection="true">
      <alignment horizontal="center" vertical="center" textRotation="0" wrapText="false" indent="0" shrinkToFit="false"/>
      <protection locked="true" hidden="false"/>
    </xf>
    <xf numFmtId="164" fontId="29" fillId="9" borderId="4" xfId="0" applyFont="true" applyBorder="true" applyAlignment="true" applyProtection="true">
      <alignment horizontal="center" vertical="center" textRotation="0" wrapText="false" indent="0" shrinkToFit="false"/>
      <protection locked="true" hidden="false"/>
    </xf>
    <xf numFmtId="164" fontId="0" fillId="0" borderId="5" xfId="0" applyFont="false" applyBorder="true" applyAlignment="true" applyProtection="true">
      <alignment horizontal="center" vertical="bottom" textRotation="0" wrapText="true" indent="0" shrinkToFit="false"/>
      <protection locked="true" hidden="false"/>
    </xf>
    <xf numFmtId="164" fontId="0" fillId="0" borderId="19" xfId="0" applyFont="false" applyBorder="true" applyAlignment="true" applyProtection="true">
      <alignment horizontal="center" vertical="bottom" textRotation="0" wrapText="false" indent="0" shrinkToFit="false"/>
      <protection locked="true" hidden="false"/>
    </xf>
    <xf numFmtId="177" fontId="29" fillId="0" borderId="41" xfId="0" applyFont="true" applyBorder="true" applyAlignment="true" applyProtection="true">
      <alignment horizontal="center" vertical="center" textRotation="0" wrapText="false" indent="0" shrinkToFit="false"/>
      <protection locked="true" hidden="false"/>
    </xf>
    <xf numFmtId="177" fontId="29" fillId="0" borderId="6" xfId="0" applyFont="true" applyBorder="true" applyAlignment="true" applyProtection="true">
      <alignment horizontal="center" vertical="center" textRotation="0" wrapText="true" indent="0" shrinkToFit="false"/>
      <protection locked="true" hidden="false"/>
    </xf>
    <xf numFmtId="173" fontId="47" fillId="0" borderId="25" xfId="0" applyFont="true" applyBorder="true" applyAlignment="true" applyProtection="true">
      <alignment horizontal="center" vertical="center" textRotation="0" wrapText="false" indent="0" shrinkToFit="false"/>
      <protection locked="false" hidden="false"/>
    </xf>
    <xf numFmtId="164" fontId="0" fillId="0" borderId="10" xfId="0" applyFont="false" applyBorder="true" applyAlignment="true" applyProtection="true">
      <alignment horizontal="center" vertical="bottom" textRotation="0" wrapText="false" indent="0" shrinkToFit="false"/>
      <protection locked="true" hidden="false"/>
    </xf>
    <xf numFmtId="164" fontId="0" fillId="0" borderId="12" xfId="0" applyFont="false" applyBorder="true" applyAlignment="true" applyProtection="true">
      <alignment horizontal="center" vertical="bottom" textRotation="0" wrapText="false" indent="0" shrinkToFit="false"/>
      <protection locked="true" hidden="false"/>
    </xf>
    <xf numFmtId="177" fontId="29" fillId="0" borderId="9"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general"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8" fontId="0" fillId="0" borderId="0" xfId="0" applyFont="false" applyBorder="true" applyAlignment="true" applyProtection="true">
      <alignment horizontal="general" vertical="bottom" textRotation="0" wrapText="false" indent="0" shrinkToFit="false"/>
      <protection locked="true" hidden="false"/>
    </xf>
    <xf numFmtId="177" fontId="29" fillId="0" borderId="28" xfId="0" applyFont="true" applyBorder="true" applyAlignment="true" applyProtection="true">
      <alignment horizontal="general" vertical="center" textRotation="0" wrapText="false" indent="0" shrinkToFit="false"/>
      <protection locked="true" hidden="false"/>
    </xf>
    <xf numFmtId="177" fontId="29" fillId="0" borderId="0" xfId="0" applyFont="true" applyBorder="false" applyAlignment="true" applyProtection="true">
      <alignment horizontal="general" vertical="center" textRotation="0" wrapText="false" indent="0" shrinkToFit="false"/>
      <protection locked="true" hidden="false"/>
    </xf>
    <xf numFmtId="164" fontId="48" fillId="0" borderId="0" xfId="0" applyFont="true" applyBorder="false" applyAlignment="true" applyProtection="true">
      <alignment horizontal="general" vertical="center" textRotation="0" wrapText="false" indent="0" shrinkToFit="false"/>
      <protection locked="true" hidden="false"/>
    </xf>
    <xf numFmtId="164" fontId="49" fillId="0" borderId="0" xfId="0" applyFont="true" applyBorder="false" applyAlignment="true" applyProtection="true">
      <alignment horizontal="center" vertical="center" textRotation="0" wrapText="false" indent="0" shrinkToFit="false"/>
      <protection locked="true" hidden="false"/>
    </xf>
    <xf numFmtId="164" fontId="49" fillId="0" borderId="0" xfId="0" applyFont="true" applyBorder="false" applyAlignment="true" applyProtection="true">
      <alignment horizontal="general" vertical="center" textRotation="0" wrapText="false" indent="0" shrinkToFit="false"/>
      <protection locked="true" hidden="false"/>
    </xf>
    <xf numFmtId="164" fontId="48" fillId="0" borderId="6" xfId="0" applyFont="true" applyBorder="true" applyAlignment="true" applyProtection="true">
      <alignment horizontal="general" vertical="center" textRotation="0" wrapText="false" indent="0" shrinkToFit="false"/>
      <protection locked="true" hidden="false"/>
    </xf>
    <xf numFmtId="164" fontId="50" fillId="0" borderId="6" xfId="0" applyFont="true" applyBorder="true" applyAlignment="true" applyProtection="true">
      <alignment horizontal="center" vertical="center" textRotation="0" wrapText="false" indent="0" shrinkToFit="false"/>
      <protection locked="true" hidden="false"/>
    </xf>
    <xf numFmtId="164" fontId="49" fillId="0" borderId="6" xfId="0" applyFont="true" applyBorder="true" applyAlignment="true" applyProtection="true">
      <alignment horizontal="center" vertical="center" textRotation="0" wrapText="false" indent="0" shrinkToFit="false"/>
      <protection locked="true" hidden="false"/>
    </xf>
    <xf numFmtId="164" fontId="25" fillId="0" borderId="6" xfId="0" applyFont="true" applyBorder="true" applyAlignment="true" applyProtection="true">
      <alignment horizontal="center" vertical="center" textRotation="0" wrapText="false" indent="0" shrinkToFit="false"/>
      <protection locked="true" hidden="false"/>
    </xf>
    <xf numFmtId="164" fontId="23" fillId="0" borderId="6" xfId="0" applyFont="true" applyBorder="true" applyAlignment="true" applyProtection="true">
      <alignment horizontal="general" vertical="center" textRotation="0" wrapText="false" indent="0" shrinkToFit="false"/>
      <protection locked="true" hidden="false"/>
    </xf>
    <xf numFmtId="164" fontId="23" fillId="0" borderId="6" xfId="0" applyFont="true" applyBorder="true" applyAlignment="true" applyProtection="true">
      <alignment horizontal="center" vertical="center" textRotation="0" wrapText="false" indent="0" shrinkToFit="false"/>
      <protection locked="true" hidden="false"/>
    </xf>
    <xf numFmtId="167" fontId="23" fillId="0" borderId="6" xfId="0" applyFont="true" applyBorder="true" applyAlignment="true" applyProtection="true">
      <alignment horizontal="center" vertical="center" textRotation="0" wrapText="false" indent="0" shrinkToFit="false"/>
      <protection locked="true" hidden="false"/>
    </xf>
    <xf numFmtId="164" fontId="23" fillId="0" borderId="6" xfId="0" applyFont="true" applyBorder="true" applyAlignment="true" applyProtection="true">
      <alignment horizontal="center" vertical="center" textRotation="0" wrapText="true" indent="0" shrinkToFit="false"/>
      <protection locked="true" hidden="false"/>
    </xf>
    <xf numFmtId="164" fontId="51" fillId="10" borderId="54" xfId="0" applyFont="true" applyBorder="true" applyAlignment="true" applyProtection="true">
      <alignment horizontal="left" vertical="center" textRotation="0" wrapText="false" indent="1" shrinkToFit="false"/>
      <protection locked="true" hidden="false"/>
    </xf>
    <xf numFmtId="170" fontId="30" fillId="0" borderId="55" xfId="0"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left" vertical="center" textRotation="0" wrapText="false" indent="0" shrinkToFit="false"/>
      <protection locked="true" hidden="false"/>
    </xf>
    <xf numFmtId="164" fontId="51" fillId="10" borderId="0" xfId="0" applyFont="true" applyBorder="false" applyAlignment="true" applyProtection="true">
      <alignment horizontal="left" vertical="center" textRotation="0" wrapText="false" indent="1" shrinkToFit="false"/>
      <protection locked="true" hidden="false"/>
    </xf>
    <xf numFmtId="164" fontId="30" fillId="0" borderId="56" xfId="0"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left" vertical="center" textRotation="0" wrapText="false" indent="0" shrinkToFit="false"/>
      <protection locked="false" hidden="false"/>
    </xf>
    <xf numFmtId="164" fontId="51" fillId="10" borderId="57" xfId="0" applyFont="true" applyBorder="true" applyAlignment="true" applyProtection="true">
      <alignment horizontal="left" vertical="center" textRotation="0" wrapText="false" indent="1" shrinkToFit="false"/>
      <protection locked="true" hidden="false"/>
    </xf>
    <xf numFmtId="164" fontId="30" fillId="0" borderId="58" xfId="0" applyFont="true" applyBorder="true" applyAlignment="true" applyProtection="true">
      <alignment horizontal="center" vertical="center" textRotation="0" wrapText="false" indent="0" shrinkToFit="false"/>
      <protection locked="false" hidden="false"/>
    </xf>
    <xf numFmtId="164" fontId="52" fillId="0" borderId="0" xfId="0" applyFont="true" applyBorder="false" applyAlignment="true" applyProtection="true">
      <alignment horizontal="right" vertical="bottom" textRotation="0" wrapText="false" indent="0" shrinkToFit="false"/>
      <protection locked="true" hidden="false"/>
    </xf>
    <xf numFmtId="164" fontId="53" fillId="10" borderId="59" xfId="0" applyFont="true" applyBorder="true" applyAlignment="true" applyProtection="true">
      <alignment horizontal="left" vertical="center" textRotation="0" wrapText="true" indent="1" shrinkToFit="false"/>
      <protection locked="true" hidden="false"/>
    </xf>
    <xf numFmtId="164" fontId="51" fillId="6" borderId="60" xfId="0" applyFont="true" applyBorder="true" applyAlignment="true" applyProtection="true">
      <alignment horizontal="center" vertical="center" textRotation="0" wrapText="false" indent="0" shrinkToFit="false"/>
      <protection locked="true" hidden="false"/>
    </xf>
    <xf numFmtId="164" fontId="51" fillId="11" borderId="60" xfId="0" applyFont="true" applyBorder="true" applyAlignment="true" applyProtection="true">
      <alignment horizontal="center" vertical="center" textRotation="0" wrapText="false" indent="0" shrinkToFit="false"/>
      <protection locked="true" hidden="false"/>
    </xf>
    <xf numFmtId="164" fontId="54" fillId="12" borderId="60" xfId="0" applyFont="true" applyBorder="true" applyAlignment="true" applyProtection="true">
      <alignment horizontal="center" vertical="center" textRotation="0" wrapText="false" indent="0" shrinkToFit="false"/>
      <protection locked="true" hidden="false"/>
    </xf>
    <xf numFmtId="164" fontId="54" fillId="13" borderId="60" xfId="0" applyFont="true" applyBorder="true" applyAlignment="true" applyProtection="true">
      <alignment horizontal="center" vertical="center" textRotation="0" wrapText="false" indent="0" shrinkToFit="false"/>
      <protection locked="true" hidden="false"/>
    </xf>
    <xf numFmtId="164" fontId="54" fillId="14" borderId="60" xfId="0" applyFont="true" applyBorder="true" applyAlignment="true" applyProtection="true">
      <alignment horizontal="center" vertical="center" textRotation="0" wrapText="false" indent="0" shrinkToFit="false"/>
      <protection locked="true" hidden="false"/>
    </xf>
    <xf numFmtId="164" fontId="51" fillId="15" borderId="61" xfId="0" applyFont="true" applyBorder="true" applyAlignment="true" applyProtection="true">
      <alignment horizontal="center" vertical="center" textRotation="0" wrapText="false" indent="0" shrinkToFit="false"/>
      <protection locked="true" hidden="false"/>
    </xf>
    <xf numFmtId="164" fontId="31" fillId="0" borderId="62" xfId="0" applyFont="true" applyBorder="true" applyAlignment="true" applyProtection="true">
      <alignment horizontal="center" vertical="center" textRotation="0" wrapText="false" indent="0" shrinkToFit="false"/>
      <protection locked="false" hidden="false"/>
    </xf>
    <xf numFmtId="164" fontId="31" fillId="0" borderId="63" xfId="0" applyFont="true" applyBorder="true" applyAlignment="true" applyProtection="true">
      <alignment horizontal="center" vertical="center" textRotation="0" wrapText="false" indent="0" shrinkToFit="false"/>
      <protection locked="false" hidden="false"/>
    </xf>
    <xf numFmtId="164" fontId="55" fillId="8" borderId="64" xfId="0" applyFont="true" applyBorder="true" applyAlignment="true" applyProtection="true">
      <alignment horizontal="center" vertical="bottom" textRotation="0" wrapText="false" indent="0" shrinkToFit="false"/>
      <protection locked="true" hidden="false"/>
    </xf>
    <xf numFmtId="164" fontId="55" fillId="8" borderId="65" xfId="0" applyFont="true" applyBorder="true" applyAlignment="true" applyProtection="true">
      <alignment horizontal="center" vertical="bottom" textRotation="0" wrapText="false" indent="0" shrinkToFit="false"/>
      <protection locked="true" hidden="false"/>
    </xf>
    <xf numFmtId="164" fontId="56" fillId="8" borderId="66" xfId="0" applyFont="true" applyBorder="true" applyAlignment="true" applyProtection="true">
      <alignment horizontal="center" vertical="top" textRotation="0" wrapText="true" indent="0" shrinkToFit="false"/>
      <protection locked="true" hidden="false"/>
    </xf>
    <xf numFmtId="164" fontId="52" fillId="8" borderId="66" xfId="0" applyFont="true" applyBorder="true" applyAlignment="true" applyProtection="true">
      <alignment horizontal="center" vertical="top" textRotation="0" wrapText="true" indent="0" shrinkToFit="false"/>
      <protection locked="true" hidden="false"/>
    </xf>
    <xf numFmtId="164" fontId="52" fillId="8" borderId="67" xfId="0" applyFont="true" applyBorder="true" applyAlignment="true" applyProtection="true">
      <alignment horizontal="center" vertical="top" textRotation="0" wrapText="true" indent="0" shrinkToFit="false"/>
      <protection locked="true" hidden="false"/>
    </xf>
    <xf numFmtId="164" fontId="48" fillId="0" borderId="0" xfId="0" applyFont="true" applyBorder="false" applyAlignment="true" applyProtection="true">
      <alignment horizontal="left" vertical="center" textRotation="0" wrapText="false" indent="1" shrinkToFit="false"/>
      <protection locked="true" hidden="false"/>
    </xf>
    <xf numFmtId="164" fontId="49" fillId="0" borderId="0" xfId="0" applyFont="true" applyBorder="false" applyAlignment="true" applyProtection="true">
      <alignment horizontal="center" vertical="center" textRotation="0" wrapText="true" indent="0" shrinkToFit="false"/>
      <protection locked="true" hidden="false"/>
    </xf>
    <xf numFmtId="164" fontId="57" fillId="0" borderId="62" xfId="0" applyFont="true" applyBorder="true" applyAlignment="true" applyProtection="true">
      <alignment horizontal="center" vertical="center" textRotation="0" wrapText="false" indent="0" shrinkToFit="false"/>
      <protection locked="false" hidden="false"/>
    </xf>
    <xf numFmtId="164" fontId="57" fillId="0" borderId="63" xfId="0"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left" vertical="center" textRotation="0" wrapText="true" indent="1" shrinkToFit="false"/>
      <protection locked="true" hidden="false"/>
    </xf>
    <xf numFmtId="164" fontId="53" fillId="10" borderId="68" xfId="0" applyFont="true" applyBorder="true" applyAlignment="true" applyProtection="true">
      <alignment horizontal="left" vertical="center" textRotation="0" wrapText="true" indent="1" shrinkToFit="false"/>
      <protection locked="true" hidden="false"/>
    </xf>
    <xf numFmtId="164" fontId="58" fillId="10" borderId="69" xfId="0" applyFont="true" applyBorder="true" applyAlignment="true" applyProtection="true">
      <alignment horizontal="center" vertical="center" textRotation="0" wrapText="false" indent="0" shrinkToFit="false"/>
      <protection locked="true" hidden="false"/>
    </xf>
    <xf numFmtId="164" fontId="58" fillId="10" borderId="70" xfId="0" applyFont="true" applyBorder="true" applyAlignment="true" applyProtection="true">
      <alignment horizontal="center" vertical="center" textRotation="0" wrapText="false" indent="0" shrinkToFit="false"/>
      <protection locked="true" hidden="false"/>
    </xf>
    <xf numFmtId="164" fontId="30" fillId="0" borderId="67" xfId="0" applyFont="true" applyBorder="true" applyAlignment="true" applyProtection="true">
      <alignment horizontal="left" vertical="center" textRotation="0" wrapText="true" indent="1" shrinkToFit="false"/>
      <protection locked="false" hidden="false"/>
    </xf>
    <xf numFmtId="164" fontId="40" fillId="0" borderId="0" xfId="0" applyFont="true" applyBorder="false" applyAlignment="true" applyProtection="true">
      <alignment horizontal="general" vertical="center" textRotation="0" wrapText="false" indent="0" shrinkToFit="false"/>
      <protection locked="true" hidden="false"/>
    </xf>
    <xf numFmtId="164" fontId="59" fillId="0" borderId="0" xfId="0" applyFont="true" applyBorder="false" applyAlignment="true" applyProtection="true">
      <alignment horizontal="center" vertical="center" textRotation="0" wrapText="false" indent="0" shrinkToFit="false"/>
      <protection locked="true" hidden="false"/>
    </xf>
    <xf numFmtId="164" fontId="59" fillId="0" borderId="0" xfId="0" applyFont="true" applyBorder="false" applyAlignment="true" applyProtection="true">
      <alignment horizontal="general" vertical="center" textRotation="0" wrapText="false" indent="0" shrinkToFit="false"/>
      <protection locked="true" hidden="false"/>
    </xf>
    <xf numFmtId="164" fontId="60" fillId="0" borderId="0" xfId="0" applyFont="true" applyBorder="true" applyAlignment="true" applyProtection="true">
      <alignment horizontal="left" vertical="center" textRotation="0" wrapText="true" indent="0" shrinkToFit="false"/>
      <protection locked="true" hidden="false"/>
    </xf>
    <xf numFmtId="164" fontId="30" fillId="0" borderId="42" xfId="0" applyFont="true" applyBorder="true" applyAlignment="true" applyProtection="true">
      <alignment horizontal="left" vertical="center" textRotation="0" wrapText="false" indent="0" shrinkToFit="false"/>
      <protection locked="true" hidden="false"/>
    </xf>
    <xf numFmtId="164" fontId="59" fillId="0" borderId="0" xfId="0" applyFont="true" applyBorder="false" applyAlignment="true" applyProtection="true">
      <alignment horizontal="general" vertical="center" textRotation="0" wrapText="false" indent="0" shrinkToFit="false"/>
      <protection locked="false" hidden="false"/>
    </xf>
    <xf numFmtId="164" fontId="30" fillId="0" borderId="71" xfId="0" applyFont="true" applyBorder="true" applyAlignment="true" applyProtection="true">
      <alignment horizontal="left" vertical="center" textRotation="0" wrapText="false" indent="0" shrinkToFit="false"/>
      <protection locked="true" hidden="false"/>
    </xf>
    <xf numFmtId="164" fontId="30" fillId="0" borderId="71" xfId="0" applyFont="true" applyBorder="true" applyAlignment="true" applyProtection="true">
      <alignment horizontal="center" vertical="center" textRotation="0" wrapText="false" indent="0" shrinkToFit="false"/>
      <protection locked="true" hidden="false"/>
    </xf>
    <xf numFmtId="164" fontId="30" fillId="0" borderId="0" xfId="0" applyFont="true" applyBorder="false" applyAlignment="true" applyProtection="true">
      <alignment horizontal="center" vertical="center" textRotation="0" wrapText="false" indent="0" shrinkToFit="false"/>
      <protection locked="true" hidden="false"/>
    </xf>
    <xf numFmtId="164" fontId="30" fillId="0" borderId="0" xfId="0" applyFont="true" applyBorder="false" applyAlignment="true" applyProtection="true">
      <alignment horizontal="general" vertical="center" textRotation="0" wrapText="false" indent="0" shrinkToFit="false"/>
      <protection locked="true" hidden="false"/>
    </xf>
    <xf numFmtId="164" fontId="61" fillId="0" borderId="0" xfId="0" applyFont="true" applyBorder="false" applyAlignment="true" applyProtection="true">
      <alignment horizontal="general" vertical="center" textRotation="0" wrapText="true" indent="0" shrinkToFit="false"/>
      <protection locked="true" hidden="false"/>
    </xf>
    <xf numFmtId="164" fontId="62" fillId="0" borderId="0" xfId="0" applyFont="true" applyBorder="true" applyAlignment="true" applyProtection="true">
      <alignment horizontal="center" vertical="bottom" textRotation="0" wrapText="true" indent="0" shrinkToFit="false"/>
      <protection locked="true" hidden="false"/>
    </xf>
    <xf numFmtId="164" fontId="0" fillId="0" borderId="0" xfId="24" applyFont="true" applyBorder="false" applyAlignment="true" applyProtection="true">
      <alignment horizontal="general" vertical="bottom" textRotation="0" wrapText="false" indent="0" shrinkToFit="false"/>
      <protection locked="true" hidden="false"/>
    </xf>
    <xf numFmtId="164" fontId="0" fillId="0" borderId="0" xfId="24" applyFont="true" applyBorder="false" applyAlignment="true" applyProtection="true">
      <alignment horizontal="general" vertical="bottom" textRotation="0" wrapText="false" indent="0" shrinkToFit="false"/>
      <protection locked="true" hidden="true"/>
    </xf>
    <xf numFmtId="164" fontId="0" fillId="0" borderId="6" xfId="24" applyFont="true" applyBorder="true" applyAlignment="true" applyProtection="true">
      <alignment horizontal="center" vertical="center" textRotation="45" wrapText="false" indent="0" shrinkToFit="false"/>
      <protection locked="true" hidden="true"/>
    </xf>
    <xf numFmtId="164" fontId="63" fillId="0" borderId="43" xfId="24" applyFont="true" applyBorder="true" applyAlignment="true" applyProtection="true">
      <alignment horizontal="center" vertical="center" textRotation="0" wrapText="false" indent="0" shrinkToFit="false"/>
      <protection locked="true" hidden="true"/>
    </xf>
    <xf numFmtId="164" fontId="63" fillId="0" borderId="6" xfId="24" applyFont="true" applyBorder="true" applyAlignment="true" applyProtection="true">
      <alignment horizontal="center" vertical="center" textRotation="0" wrapText="false" indent="0" shrinkToFit="false"/>
      <protection locked="true" hidden="true"/>
    </xf>
    <xf numFmtId="164" fontId="64" fillId="0" borderId="6" xfId="24" applyFont="true" applyBorder="true" applyAlignment="true" applyProtection="true">
      <alignment horizontal="center" vertical="center" textRotation="0" wrapText="false" indent="0" shrinkToFit="false"/>
      <protection locked="true" hidden="true"/>
    </xf>
    <xf numFmtId="164" fontId="65" fillId="0" borderId="6" xfId="24" applyFont="true" applyBorder="true" applyAlignment="true" applyProtection="true">
      <alignment horizontal="center" vertical="center" textRotation="0" wrapText="false" indent="0" shrinkToFit="false"/>
      <protection locked="true" hidden="true"/>
    </xf>
    <xf numFmtId="164" fontId="66" fillId="0" borderId="6" xfId="24" applyFont="true" applyBorder="true" applyAlignment="true" applyProtection="true">
      <alignment horizontal="center" vertical="center" textRotation="0" wrapText="false" indent="0" shrinkToFit="false"/>
      <protection locked="true" hidden="true"/>
    </xf>
    <xf numFmtId="172" fontId="66" fillId="0" borderId="6" xfId="24" applyFont="true" applyBorder="true" applyAlignment="true" applyProtection="true">
      <alignment horizontal="center" vertical="center" textRotation="0" wrapText="false" indent="0" shrinkToFit="false"/>
      <protection locked="true" hidden="true"/>
    </xf>
    <xf numFmtId="164" fontId="29" fillId="5" borderId="6" xfId="24" applyFont="true" applyBorder="true" applyAlignment="true" applyProtection="true">
      <alignment horizontal="general" vertical="center" textRotation="0" wrapText="false" indent="0" shrinkToFit="false"/>
      <protection locked="true" hidden="true"/>
    </xf>
    <xf numFmtId="164" fontId="31" fillId="2" borderId="6" xfId="24" applyFont="true" applyBorder="true" applyAlignment="true" applyProtection="true">
      <alignment horizontal="center" vertical="center" textRotation="0" wrapText="false" indent="0" shrinkToFit="false"/>
      <protection locked="true" hidden="true"/>
    </xf>
    <xf numFmtId="164" fontId="22" fillId="5" borderId="6" xfId="24" applyFont="true" applyBorder="true" applyAlignment="true" applyProtection="true">
      <alignment horizontal="center" vertical="center" textRotation="0" wrapText="false" indent="0" shrinkToFit="false"/>
      <protection locked="true" hidden="true"/>
    </xf>
    <xf numFmtId="164" fontId="55" fillId="2" borderId="43" xfId="24" applyFont="true" applyBorder="true" applyAlignment="true" applyProtection="true">
      <alignment horizontal="center" vertical="center" textRotation="0" wrapText="false" indent="0" shrinkToFit="false"/>
      <protection locked="true" hidden="true"/>
    </xf>
    <xf numFmtId="164" fontId="55" fillId="2" borderId="44" xfId="24" applyFont="true" applyBorder="true" applyAlignment="true" applyProtection="true">
      <alignment horizontal="center" vertical="center" textRotation="0" wrapText="false" indent="0" shrinkToFit="false"/>
      <protection locked="true" hidden="true"/>
    </xf>
    <xf numFmtId="164" fontId="67" fillId="2" borderId="43" xfId="24" applyFont="true" applyBorder="true" applyAlignment="true" applyProtection="true">
      <alignment horizontal="center" vertical="center" textRotation="0" wrapText="false" indent="0" shrinkToFit="false"/>
      <protection locked="true" hidden="true"/>
    </xf>
    <xf numFmtId="170" fontId="67" fillId="2" borderId="72" xfId="24" applyFont="true" applyBorder="true" applyAlignment="true" applyProtection="true">
      <alignment horizontal="center" vertical="center" textRotation="0" wrapText="false" indent="0" shrinkToFit="false"/>
      <protection locked="true" hidden="true"/>
    </xf>
    <xf numFmtId="164" fontId="67" fillId="2" borderId="72" xfId="24" applyFont="true" applyBorder="true" applyAlignment="true" applyProtection="true">
      <alignment horizontal="general" vertical="center" textRotation="0" wrapText="false" indent="0" shrinkToFit="false"/>
      <protection locked="true" hidden="true"/>
    </xf>
    <xf numFmtId="170" fontId="67" fillId="2" borderId="44" xfId="24" applyFont="true" applyBorder="true" applyAlignment="true" applyProtection="true">
      <alignment horizontal="center" vertical="center" textRotation="0" wrapText="false" indent="0" shrinkToFit="false"/>
      <protection locked="true" hidden="true"/>
    </xf>
    <xf numFmtId="164" fontId="39" fillId="2" borderId="6" xfId="24" applyFont="true" applyBorder="true" applyAlignment="true" applyProtection="true">
      <alignment horizontal="center" vertical="center" textRotation="0" wrapText="false" indent="0" shrinkToFit="false"/>
      <protection locked="true" hidden="true"/>
    </xf>
    <xf numFmtId="180" fontId="68" fillId="2" borderId="6" xfId="24" applyFont="true" applyBorder="true" applyAlignment="true" applyProtection="true">
      <alignment horizontal="center" vertical="center" textRotation="0" wrapText="false" indent="0" shrinkToFit="false"/>
      <protection locked="true" hidden="true"/>
    </xf>
    <xf numFmtId="164" fontId="45" fillId="2" borderId="6" xfId="24" applyFont="true" applyBorder="true" applyAlignment="true" applyProtection="true">
      <alignment horizontal="center" vertical="center" textRotation="0" wrapText="true" indent="0" shrinkToFit="false"/>
      <protection locked="true" hidden="true"/>
    </xf>
    <xf numFmtId="164" fontId="0" fillId="0" borderId="43" xfId="24" applyFont="true" applyBorder="true" applyAlignment="true" applyProtection="true">
      <alignment horizontal="general" vertical="bottom" textRotation="0" wrapText="false" indent="0" shrinkToFit="false"/>
      <protection locked="true" hidden="false"/>
    </xf>
    <xf numFmtId="164" fontId="0" fillId="0" borderId="44" xfId="24" applyFont="true" applyBorder="true" applyAlignment="true" applyProtection="true">
      <alignment horizontal="general" vertical="bottom" textRotation="0" wrapText="false" indent="0" shrinkToFit="false"/>
      <protection locked="true" hidden="false"/>
    </xf>
    <xf numFmtId="180" fontId="69" fillId="5" borderId="6" xfId="24" applyFont="true" applyBorder="true" applyAlignment="true" applyProtection="true">
      <alignment horizontal="center" vertical="center" textRotation="0" wrapText="false" indent="0" shrinkToFit="false"/>
      <protection locked="true" hidden="true"/>
    </xf>
    <xf numFmtId="164" fontId="45" fillId="5" borderId="6" xfId="24" applyFont="true" applyBorder="true" applyAlignment="true" applyProtection="true">
      <alignment horizontal="center" vertical="center" textRotation="0" wrapText="true" indent="0" shrinkToFit="false"/>
      <protection locked="true" hidden="true"/>
    </xf>
    <xf numFmtId="167" fontId="29" fillId="0" borderId="0" xfId="24" applyFont="true" applyBorder="false" applyAlignment="true" applyProtection="true">
      <alignment horizontal="general" vertical="bottom" textRotation="0" wrapText="false" indent="0" shrinkToFit="false"/>
      <protection locked="true" hidden="true"/>
    </xf>
    <xf numFmtId="164" fontId="29" fillId="5" borderId="6" xfId="24" applyFont="true" applyBorder="true" applyAlignment="true" applyProtection="true">
      <alignment horizontal="center" vertical="center" textRotation="0" wrapText="false" indent="0" shrinkToFit="false"/>
      <protection locked="true" hidden="true"/>
    </xf>
    <xf numFmtId="180" fontId="70" fillId="8" borderId="6" xfId="24" applyFont="true" applyBorder="true" applyAlignment="true" applyProtection="true">
      <alignment horizontal="center" vertical="center" textRotation="90" wrapText="false" indent="0" shrinkToFit="false"/>
      <protection locked="true" hidden="true"/>
    </xf>
    <xf numFmtId="164" fontId="29" fillId="5" borderId="15" xfId="24" applyFont="true" applyBorder="true" applyAlignment="true" applyProtection="true">
      <alignment horizontal="center" vertical="center" textRotation="0" wrapText="true" indent="0" shrinkToFit="false"/>
      <protection locked="true" hidden="true"/>
    </xf>
    <xf numFmtId="164" fontId="0" fillId="0" borderId="0" xfId="24" applyFont="true" applyBorder="false" applyAlignment="true" applyProtection="true">
      <alignment horizontal="general" vertical="center" textRotation="0" wrapText="false" indent="0" shrinkToFit="false"/>
      <protection locked="true" hidden="true"/>
    </xf>
    <xf numFmtId="164" fontId="46" fillId="0" borderId="6" xfId="24" applyFont="true" applyBorder="true" applyAlignment="true" applyProtection="true">
      <alignment horizontal="center" vertical="center" textRotation="0" wrapText="false" indent="0" shrinkToFit="false"/>
      <protection locked="true" hidden="true"/>
    </xf>
    <xf numFmtId="164" fontId="29" fillId="0" borderId="6" xfId="24" applyFont="true" applyBorder="true" applyAlignment="true" applyProtection="true">
      <alignment horizontal="center" vertical="center" textRotation="0" wrapText="false" indent="0" shrinkToFit="false"/>
      <protection locked="false" hidden="false"/>
    </xf>
    <xf numFmtId="164" fontId="22" fillId="0" borderId="6" xfId="24" applyFont="true" applyBorder="true" applyAlignment="true" applyProtection="true">
      <alignment horizontal="center" vertical="center" textRotation="0" wrapText="false" indent="0" shrinkToFit="false"/>
      <protection locked="true" hidden="true"/>
    </xf>
    <xf numFmtId="164" fontId="0" fillId="0" borderId="0" xfId="24" applyFont="true" applyBorder="false" applyAlignment="true" applyProtection="true">
      <alignment horizontal="general" vertical="center" textRotation="0" wrapText="false" indent="0" shrinkToFit="false"/>
      <protection locked="true" hidden="false"/>
    </xf>
    <xf numFmtId="164" fontId="71" fillId="0" borderId="6" xfId="24" applyFont="true" applyBorder="true" applyAlignment="true" applyProtection="true">
      <alignment horizontal="center" vertical="center" textRotation="0" wrapText="false" indent="0" shrinkToFit="false"/>
      <protection locked="false" hidden="false"/>
    </xf>
    <xf numFmtId="164" fontId="29" fillId="5" borderId="6" xfId="24" applyFont="true" applyBorder="true" applyAlignment="true" applyProtection="true">
      <alignment horizontal="general" vertical="center" textRotation="0" wrapText="false" indent="0" shrinkToFit="false"/>
      <protection locked="false" hidden="false"/>
    </xf>
    <xf numFmtId="164" fontId="46" fillId="5" borderId="6" xfId="24" applyFont="true" applyBorder="true" applyAlignment="true" applyProtection="true">
      <alignment horizontal="center" vertical="center" textRotation="0" wrapText="false" indent="0" shrinkToFit="false"/>
      <protection locked="true" hidden="true"/>
    </xf>
    <xf numFmtId="164" fontId="22" fillId="0" borderId="6" xfId="24" applyFont="true" applyBorder="true" applyAlignment="true" applyProtection="true">
      <alignment horizontal="center" vertical="bottom" textRotation="0" wrapText="false" indent="0" shrinkToFit="false"/>
      <protection locked="false" hidden="false"/>
    </xf>
    <xf numFmtId="167" fontId="22" fillId="0" borderId="6" xfId="24" applyFont="true" applyBorder="true" applyAlignment="true" applyProtection="true">
      <alignment horizontal="center" vertical="bottom" textRotation="0" wrapText="false" indent="0" shrinkToFit="false"/>
      <protection locked="false" hidden="false"/>
    </xf>
    <xf numFmtId="164" fontId="29" fillId="0" borderId="15" xfId="24" applyFont="true" applyBorder="true" applyAlignment="true" applyProtection="true">
      <alignment horizontal="center" vertical="bottom" textRotation="0" wrapText="false" indent="0" shrinkToFit="false"/>
      <protection locked="false" hidden="false"/>
    </xf>
    <xf numFmtId="164" fontId="29" fillId="0" borderId="6" xfId="24" applyFont="true" applyBorder="true" applyAlignment="true" applyProtection="true">
      <alignment horizontal="center" vertical="bottom" textRotation="0" wrapText="false" indent="0" shrinkToFit="false"/>
      <protection locked="false" hidden="false"/>
    </xf>
    <xf numFmtId="164" fontId="0" fillId="0" borderId="6" xfId="24" applyFont="true" applyBorder="true" applyAlignment="true" applyProtection="true">
      <alignment horizontal="center" vertical="bottom" textRotation="0" wrapText="false" indent="0" shrinkToFit="false"/>
      <protection locked="false" hidden="false"/>
    </xf>
    <xf numFmtId="167" fontId="0" fillId="0" borderId="6" xfId="24" applyFont="true" applyBorder="true" applyAlignment="true" applyProtection="true">
      <alignment horizontal="center" vertical="bottom" textRotation="0" wrapText="false" indent="0" shrinkToFit="false"/>
      <protection locked="false" hidden="false"/>
    </xf>
    <xf numFmtId="164" fontId="46" fillId="2" borderId="6" xfId="24" applyFont="true" applyBorder="true" applyAlignment="true" applyProtection="true">
      <alignment horizontal="center" vertical="bottom" textRotation="0" wrapText="false" indent="0" shrinkToFit="false"/>
      <protection locked="true" hidden="true"/>
    </xf>
    <xf numFmtId="164" fontId="0" fillId="2" borderId="6" xfId="24" applyFont="true" applyBorder="true" applyAlignment="true" applyProtection="true">
      <alignment horizontal="center" vertical="bottom" textRotation="0" wrapText="false" indent="0" shrinkToFit="false"/>
      <protection locked="true" hidden="true"/>
    </xf>
    <xf numFmtId="164" fontId="29" fillId="0" borderId="6" xfId="24" applyFont="true" applyBorder="true" applyAlignment="true" applyProtection="true">
      <alignment horizontal="general" vertical="bottom" textRotation="0" wrapText="false" indent="0" shrinkToFit="false"/>
      <protection locked="true" hidden="true"/>
    </xf>
    <xf numFmtId="164" fontId="29" fillId="0" borderId="6" xfId="24" applyFont="true" applyBorder="true" applyAlignment="true" applyProtection="true">
      <alignment horizontal="center" vertical="top" textRotation="0" wrapText="true" indent="0" shrinkToFit="false"/>
      <protection locked="true" hidden="true"/>
    </xf>
    <xf numFmtId="164" fontId="29" fillId="0" borderId="6" xfId="24" applyFont="true" applyBorder="true" applyAlignment="true" applyProtection="true">
      <alignment horizontal="center" vertical="bottom" textRotation="0" wrapText="false" indent="0" shrinkToFit="false"/>
      <protection locked="true" hidden="true"/>
    </xf>
    <xf numFmtId="164" fontId="72" fillId="0" borderId="6" xfId="24" applyFont="true" applyBorder="true" applyAlignment="true" applyProtection="true">
      <alignment horizontal="left" vertical="top" textRotation="0" wrapText="false" indent="0" shrinkToFit="false"/>
      <protection locked="true" hidden="true"/>
    </xf>
    <xf numFmtId="170" fontId="29" fillId="0" borderId="6" xfId="24" applyFont="true" applyBorder="true" applyAlignment="true" applyProtection="true">
      <alignment horizontal="center" vertical="top" textRotation="0" wrapText="true" indent="0" shrinkToFit="false"/>
      <protection locked="false" hidden="false"/>
    </xf>
    <xf numFmtId="181" fontId="0" fillId="0" borderId="0" xfId="24" applyFont="true" applyBorder="false" applyAlignment="true" applyProtection="true">
      <alignment horizontal="general" vertical="bottom" textRotation="0" wrapText="false" indent="0" shrinkToFit="false"/>
      <protection locked="true" hidden="false"/>
    </xf>
    <xf numFmtId="164" fontId="73" fillId="0" borderId="4" xfId="0" applyFont="true" applyBorder="true" applyAlignment="true" applyProtection="true">
      <alignment horizontal="center" vertical="center" textRotation="0" wrapText="true" indent="0" shrinkToFit="false"/>
      <protection locked="true" hidden="false"/>
    </xf>
    <xf numFmtId="164" fontId="74" fillId="0" borderId="4" xfId="0" applyFont="true" applyBorder="true" applyAlignment="true" applyProtection="true">
      <alignment horizontal="center" vertical="center" textRotation="0" wrapText="true" indent="0" shrinkToFit="false"/>
      <protection locked="true" hidden="false"/>
    </xf>
    <xf numFmtId="164" fontId="76" fillId="0" borderId="4" xfId="0" applyFont="true" applyBorder="true" applyAlignment="true" applyProtection="true">
      <alignment horizontal="center" vertical="center" textRotation="0" wrapText="true" indent="0" shrinkToFit="false"/>
      <protection locked="true" hidden="false"/>
    </xf>
    <xf numFmtId="164" fontId="77" fillId="0" borderId="4" xfId="0" applyFont="true" applyBorder="true" applyAlignment="true" applyProtection="true">
      <alignment horizontal="center" vertical="center" textRotation="0" wrapText="true" indent="0" shrinkToFit="false"/>
      <protection locked="true" hidden="false"/>
    </xf>
    <xf numFmtId="164" fontId="75" fillId="0" borderId="4" xfId="0" applyFont="true" applyBorder="true" applyAlignment="true" applyProtection="true">
      <alignment horizontal="center" vertical="center" textRotation="0" wrapText="true" indent="0" shrinkToFit="false"/>
      <protection locked="true" hidden="false"/>
    </xf>
    <xf numFmtId="164" fontId="45" fillId="16" borderId="4" xfId="0" applyFont="true" applyBorder="true" applyAlignment="true" applyProtection="true">
      <alignment horizontal="general" vertical="center" textRotation="0" wrapText="false" indent="0" shrinkToFit="false"/>
      <protection locked="true" hidden="false"/>
    </xf>
    <xf numFmtId="164" fontId="19" fillId="0" borderId="4" xfId="0" applyFont="true" applyBorder="true" applyAlignment="true" applyProtection="true">
      <alignment horizontal="center" vertical="center" textRotation="0" wrapText="false" indent="0" shrinkToFit="false"/>
      <protection locked="true" hidden="false"/>
    </xf>
    <xf numFmtId="164" fontId="19" fillId="0" borderId="4" xfId="0" applyFont="true" applyBorder="true" applyAlignment="true" applyProtection="true">
      <alignment horizontal="center" vertical="center" textRotation="0" wrapText="false" indent="0" shrinkToFit="false"/>
      <protection locked="false" hidden="false"/>
    </xf>
    <xf numFmtId="164" fontId="19" fillId="0" borderId="4" xfId="0" applyFont="true" applyBorder="true" applyAlignment="true" applyProtection="true">
      <alignment horizontal="center" vertical="center" textRotation="0" wrapText="false" indent="0" shrinkToFit="false"/>
      <protection locked="true" hidden="true"/>
    </xf>
    <xf numFmtId="164" fontId="45" fillId="0" borderId="4" xfId="0" applyFont="true" applyBorder="true" applyAlignment="true" applyProtection="true">
      <alignment horizontal="center" vertical="center" textRotation="0" wrapText="false" indent="0" shrinkToFit="false"/>
      <protection locked="true" hidden="false"/>
    </xf>
    <xf numFmtId="164" fontId="78" fillId="0" borderId="4" xfId="0" applyFont="true" applyBorder="true" applyAlignment="true" applyProtection="true">
      <alignment horizontal="center" vertical="center" textRotation="0" wrapText="false" indent="0" shrinkToFit="false"/>
      <protection locked="false" hidden="false"/>
    </xf>
    <xf numFmtId="167" fontId="21" fillId="0" borderId="4" xfId="0" applyFont="true" applyBorder="true" applyAlignment="true" applyProtection="true">
      <alignment horizontal="left" vertical="center" textRotation="0" wrapText="true" indent="0" shrinkToFit="false"/>
      <protection locked="false" hidden="false"/>
    </xf>
    <xf numFmtId="164" fontId="21" fillId="0" borderId="4" xfId="0" applyFont="true" applyBorder="true" applyAlignment="true" applyProtection="true">
      <alignment horizontal="center" vertical="center" textRotation="0" wrapText="false" indent="0" shrinkToFit="false"/>
      <protection locked="false" hidden="false"/>
    </xf>
    <xf numFmtId="164" fontId="79" fillId="0" borderId="4" xfId="0" applyFont="true" applyBorder="true" applyAlignment="true" applyProtection="true">
      <alignment horizontal="center" vertical="center" textRotation="0" wrapText="false" indent="0" shrinkToFit="false"/>
      <protection locked="false" hidden="false"/>
    </xf>
    <xf numFmtId="164" fontId="21" fillId="0" borderId="4" xfId="0" applyFont="true" applyBorder="true" applyAlignment="true" applyProtection="true">
      <alignment horizontal="left" vertical="center" textRotation="0" wrapText="true" indent="0" shrinkToFit="false"/>
      <protection locked="false" hidden="false"/>
    </xf>
    <xf numFmtId="164" fontId="80" fillId="0" borderId="0" xfId="0" applyFont="true" applyBorder="false" applyAlignment="true" applyProtection="true">
      <alignment horizontal="left" vertical="bottom" textRotation="0" wrapText="false" indent="0" shrinkToFit="false"/>
      <protection locked="true" hidden="false"/>
    </xf>
    <xf numFmtId="164" fontId="21" fillId="0" borderId="4" xfId="0" applyFont="true" applyBorder="true" applyAlignment="true" applyProtection="true">
      <alignment horizontal="general" vertical="center" textRotation="0" wrapText="true" indent="0" shrinkToFit="false"/>
      <protection locked="false" hidden="false"/>
    </xf>
    <xf numFmtId="164" fontId="59" fillId="0" borderId="4" xfId="0" applyFont="true" applyBorder="true" applyAlignment="true" applyProtection="true">
      <alignment horizontal="center" vertical="center" textRotation="0" wrapText="false" indent="0" shrinkToFit="false"/>
      <protection locked="false" hidden="false"/>
    </xf>
    <xf numFmtId="164" fontId="19" fillId="0" borderId="4" xfId="0" applyFont="true" applyBorder="true" applyAlignment="true" applyProtection="true">
      <alignment horizontal="general" vertical="center" textRotation="0" wrapText="false" indent="0" shrinkToFit="false"/>
      <protection locked="false" hidden="false"/>
    </xf>
    <xf numFmtId="164" fontId="0" fillId="0" borderId="4" xfId="0" applyFont="false" applyBorder="true" applyAlignment="true" applyProtection="true">
      <alignment horizontal="general" vertical="center" textRotation="0" wrapText="false" indent="0" shrinkToFit="false"/>
      <protection locked="false" hidden="false"/>
    </xf>
    <xf numFmtId="164" fontId="45" fillId="0" borderId="4" xfId="0" applyFont="true" applyBorder="true" applyAlignment="true" applyProtection="true">
      <alignment horizontal="center" vertical="center" textRotation="0" wrapText="false" indent="0" shrinkToFit="false"/>
      <protection locked="false" hidden="false"/>
    </xf>
    <xf numFmtId="164" fontId="19" fillId="0" borderId="4" xfId="0" applyFont="true" applyBorder="true" applyAlignment="true" applyProtection="true">
      <alignment horizontal="general" vertical="center" textRotation="0" wrapText="false" indent="0" shrinkToFit="false"/>
      <protection locked="true" hidden="false"/>
    </xf>
    <xf numFmtId="164" fontId="33" fillId="0" borderId="4" xfId="0" applyFont="true" applyBorder="true" applyAlignment="true" applyProtection="true">
      <alignment horizontal="left" vertical="center" textRotation="0" wrapText="false" indent="0" shrinkToFit="false"/>
      <protection locked="true" hidden="false"/>
    </xf>
    <xf numFmtId="164" fontId="19" fillId="0" borderId="4" xfId="0" applyFont="true" applyBorder="true" applyAlignment="true" applyProtection="true">
      <alignment horizontal="general" vertical="center" textRotation="0" wrapText="true" indent="0" shrinkToFit="false"/>
      <protection locked="true" hidden="false"/>
    </xf>
    <xf numFmtId="173" fontId="19" fillId="0" borderId="4" xfId="0" applyFont="true" applyBorder="true" applyAlignment="true" applyProtection="true">
      <alignment horizontal="left" vertical="center" textRotation="0" wrapText="true" indent="0" shrinkToFit="false"/>
      <protection locked="false" hidden="false"/>
    </xf>
    <xf numFmtId="164" fontId="19" fillId="0" borderId="4" xfId="0" applyFont="true" applyBorder="true" applyAlignment="true" applyProtection="true">
      <alignment horizontal="left" vertical="center" textRotation="0" wrapText="true" indent="0" shrinkToFit="false"/>
      <protection locked="true" hidden="false"/>
    </xf>
    <xf numFmtId="164" fontId="0" fillId="0" borderId="4" xfId="0" applyFont="false" applyBorder="true" applyAlignment="true" applyProtection="true">
      <alignment horizontal="general" vertical="center" textRotation="0" wrapText="false" indent="0" shrinkToFit="false"/>
      <protection locked="true" hidden="false"/>
    </xf>
    <xf numFmtId="164" fontId="81" fillId="0" borderId="0" xfId="0" applyFont="true" applyBorder="true" applyAlignment="true" applyProtection="true">
      <alignment horizontal="center" vertical="center" textRotation="0" wrapText="false" indent="0" shrinkToFit="false"/>
      <protection locked="true" hidden="false"/>
    </xf>
    <xf numFmtId="164" fontId="81" fillId="0" borderId="0" xfId="0" applyFont="true" applyBorder="true" applyAlignment="true" applyProtection="true">
      <alignment horizontal="center" vertical="bottom" textRotation="0" wrapText="false" indent="0" shrinkToFit="false"/>
      <protection locked="true" hidden="false"/>
    </xf>
    <xf numFmtId="164" fontId="82" fillId="0" borderId="0" xfId="0" applyFont="true" applyBorder="true" applyAlignment="true" applyProtection="true">
      <alignment horizontal="center" vertical="top" textRotation="0" wrapText="true" indent="0" shrinkToFit="false"/>
      <protection locked="true" hidden="false"/>
    </xf>
    <xf numFmtId="164" fontId="5" fillId="2" borderId="0" xfId="28" applyFont="true" applyBorder="false" applyAlignment="true" applyProtection="true">
      <alignment horizontal="general" vertical="bottom" textRotation="0" wrapText="false" indent="0" shrinkToFit="false"/>
      <protection locked="true" hidden="false"/>
    </xf>
    <xf numFmtId="164" fontId="83" fillId="2" borderId="0" xfId="28" applyFont="true" applyBorder="false" applyAlignment="true" applyProtection="true">
      <alignment horizontal="general" vertical="bottom" textRotation="0" wrapText="false" indent="0" shrinkToFit="false"/>
      <protection locked="true" hidden="false"/>
    </xf>
    <xf numFmtId="164" fontId="5" fillId="2" borderId="33" xfId="28" applyFont="true" applyBorder="true" applyAlignment="true" applyProtection="true">
      <alignment horizontal="general" vertical="bottom" textRotation="0" wrapText="false" indent="0" shrinkToFit="false"/>
      <protection locked="true" hidden="false"/>
    </xf>
    <xf numFmtId="164" fontId="83" fillId="2" borderId="28" xfId="28" applyFont="true" applyBorder="true" applyAlignment="true" applyProtection="true">
      <alignment horizontal="general" vertical="bottom" textRotation="0" wrapText="false" indent="0" shrinkToFit="false"/>
      <protection locked="true" hidden="false"/>
    </xf>
    <xf numFmtId="164" fontId="5" fillId="2" borderId="28" xfId="28" applyFont="true" applyBorder="true" applyAlignment="true" applyProtection="true">
      <alignment horizontal="general" vertical="bottom" textRotation="0" wrapText="false" indent="0" shrinkToFit="false"/>
      <protection locked="true" hidden="false"/>
    </xf>
    <xf numFmtId="164" fontId="5" fillId="2" borderId="29" xfId="28" applyFont="true" applyBorder="true" applyAlignment="true" applyProtection="true">
      <alignment horizontal="general" vertical="bottom" textRotation="0" wrapText="false" indent="0" shrinkToFit="false"/>
      <protection locked="true" hidden="false"/>
    </xf>
    <xf numFmtId="164" fontId="5" fillId="2" borderId="34" xfId="28" applyFont="true" applyBorder="true" applyAlignment="true" applyProtection="true">
      <alignment horizontal="general" vertical="bottom" textRotation="0" wrapText="false" indent="0" shrinkToFit="false"/>
      <protection locked="true" hidden="false"/>
    </xf>
    <xf numFmtId="164" fontId="5" fillId="2" borderId="30" xfId="28" applyFont="true" applyBorder="true" applyAlignment="true" applyProtection="true">
      <alignment horizontal="general" vertical="bottom" textRotation="0" wrapText="false" indent="0" shrinkToFit="false"/>
      <protection locked="true" hidden="false"/>
    </xf>
    <xf numFmtId="164" fontId="84" fillId="2" borderId="0" xfId="28" applyFont="true" applyBorder="true" applyAlignment="true" applyProtection="true">
      <alignment horizontal="center" vertical="center" textRotation="0" wrapText="false" indent="0" shrinkToFit="false"/>
      <protection locked="true" hidden="false"/>
    </xf>
    <xf numFmtId="164" fontId="85" fillId="2" borderId="0" xfId="28" applyFont="true" applyBorder="true" applyAlignment="true" applyProtection="true">
      <alignment horizontal="center" vertical="center" textRotation="0" wrapText="false" indent="0" shrinkToFit="false"/>
      <protection locked="true" hidden="false"/>
    </xf>
    <xf numFmtId="164" fontId="86" fillId="2" borderId="30" xfId="28" applyFont="true" applyBorder="true" applyAlignment="true" applyProtection="true">
      <alignment horizontal="general" vertical="center" textRotation="0" wrapText="false" indent="0" shrinkToFit="false"/>
      <protection locked="true" hidden="false"/>
    </xf>
    <xf numFmtId="164" fontId="86" fillId="2" borderId="0" xfId="28" applyFont="true" applyBorder="false" applyAlignment="true" applyProtection="true">
      <alignment horizontal="general" vertical="center" textRotation="0" wrapText="false" indent="0" shrinkToFit="false"/>
      <protection locked="true" hidden="false"/>
    </xf>
    <xf numFmtId="164" fontId="87" fillId="2" borderId="0" xfId="28" applyFont="true" applyBorder="false" applyAlignment="true" applyProtection="true">
      <alignment horizontal="center" vertical="center" textRotation="0" wrapText="false" indent="0" shrinkToFit="false"/>
      <protection locked="true" hidden="false"/>
    </xf>
    <xf numFmtId="164" fontId="88" fillId="2" borderId="0" xfId="28" applyFont="true" applyBorder="false" applyAlignment="true" applyProtection="true">
      <alignment horizontal="general" vertical="bottom" textRotation="0" wrapText="false" indent="0" shrinkToFit="false"/>
      <protection locked="true" hidden="false"/>
    </xf>
    <xf numFmtId="164" fontId="89" fillId="2" borderId="0" xfId="28" applyFont="true" applyBorder="false" applyAlignment="true" applyProtection="true">
      <alignment horizontal="general" vertical="bottom" textRotation="0" wrapText="false" indent="0" shrinkToFit="false"/>
      <protection locked="true" hidden="false"/>
    </xf>
    <xf numFmtId="164" fontId="90" fillId="2" borderId="0" xfId="28" applyFont="true" applyBorder="false" applyAlignment="true" applyProtection="true">
      <alignment horizontal="general" vertical="bottom" textRotation="0" wrapText="false" indent="0" shrinkToFit="false"/>
      <protection locked="true" hidden="false"/>
    </xf>
    <xf numFmtId="164" fontId="90" fillId="2" borderId="30" xfId="28" applyFont="true" applyBorder="true" applyAlignment="true" applyProtection="true">
      <alignment horizontal="general" vertical="bottom" textRotation="0" wrapText="false" indent="0" shrinkToFit="false"/>
      <protection locked="true" hidden="false"/>
    </xf>
    <xf numFmtId="164" fontId="91" fillId="2" borderId="0" xfId="28" applyFont="true" applyBorder="false" applyAlignment="true" applyProtection="true">
      <alignment horizontal="right" vertical="center" textRotation="0" wrapText="false" indent="0" shrinkToFit="false"/>
      <protection locked="true" hidden="false"/>
    </xf>
    <xf numFmtId="164" fontId="89" fillId="2" borderId="0" xfId="28" applyFont="true" applyBorder="false" applyAlignment="true" applyProtection="true">
      <alignment horizontal="general" vertical="center" textRotation="0" wrapText="false" indent="0" shrinkToFit="false"/>
      <protection locked="true" hidden="false"/>
    </xf>
    <xf numFmtId="172" fontId="90" fillId="2" borderId="0" xfId="28" applyFont="true" applyBorder="true" applyAlignment="true" applyProtection="true">
      <alignment horizontal="left" vertical="center" textRotation="0" wrapText="false" indent="0" shrinkToFit="false"/>
      <protection locked="true" hidden="false"/>
    </xf>
    <xf numFmtId="164" fontId="91" fillId="2" borderId="0" xfId="28" applyFont="true" applyBorder="false" applyAlignment="true" applyProtection="true">
      <alignment horizontal="general" vertical="bottom" textRotation="0" wrapText="false" indent="0" shrinkToFit="false"/>
      <protection locked="true" hidden="false"/>
    </xf>
    <xf numFmtId="172" fontId="90" fillId="2" borderId="0" xfId="28" applyFont="true" applyBorder="false" applyAlignment="true" applyProtection="true">
      <alignment horizontal="left" vertical="center" textRotation="0" wrapText="false" indent="0" shrinkToFit="false"/>
      <protection locked="true" hidden="false"/>
    </xf>
    <xf numFmtId="164" fontId="91" fillId="2" borderId="0" xfId="28" applyFont="true" applyBorder="false" applyAlignment="true" applyProtection="true">
      <alignment horizontal="right" vertical="top" textRotation="0" wrapText="false" indent="0" shrinkToFit="false"/>
      <protection locked="true" hidden="false"/>
    </xf>
    <xf numFmtId="172" fontId="92" fillId="2" borderId="0" xfId="28" applyFont="true" applyBorder="true" applyAlignment="true" applyProtection="true">
      <alignment horizontal="left" vertical="top" textRotation="0" wrapText="true" indent="0" shrinkToFit="false"/>
      <protection locked="true" hidden="false"/>
    </xf>
    <xf numFmtId="164" fontId="90" fillId="2" borderId="0" xfId="28" applyFont="true" applyBorder="false" applyAlignment="true" applyProtection="true">
      <alignment horizontal="right" vertical="center" textRotation="0" wrapText="false" indent="0" shrinkToFit="false"/>
      <protection locked="true" hidden="false"/>
    </xf>
    <xf numFmtId="164" fontId="93" fillId="2" borderId="0" xfId="28" applyFont="true" applyBorder="false" applyAlignment="true" applyProtection="true">
      <alignment horizontal="general" vertical="bottom" textRotation="0" wrapText="false" indent="0" shrinkToFit="false"/>
      <protection locked="true" hidden="false"/>
    </xf>
    <xf numFmtId="164" fontId="94" fillId="2" borderId="0" xfId="28" applyFont="true" applyBorder="false" applyAlignment="true" applyProtection="true">
      <alignment horizontal="general" vertical="bottom" textRotation="0" wrapText="false" indent="0" shrinkToFit="false"/>
      <protection locked="true" hidden="false"/>
    </xf>
    <xf numFmtId="164" fontId="95" fillId="2" borderId="0" xfId="28" applyFont="true" applyBorder="false" applyAlignment="true" applyProtection="true">
      <alignment horizontal="general" vertical="center" textRotation="0" wrapText="false" indent="0" shrinkToFit="false"/>
      <protection locked="true" hidden="false"/>
    </xf>
    <xf numFmtId="164" fontId="95" fillId="2" borderId="0" xfId="28" applyFont="true" applyBorder="false" applyAlignment="true" applyProtection="true">
      <alignment horizontal="left" vertical="center" textRotation="0" wrapText="false" indent="0" shrinkToFit="false"/>
      <protection locked="true" hidden="false"/>
    </xf>
    <xf numFmtId="164" fontId="95" fillId="2" borderId="0" xfId="28" applyFont="true" applyBorder="false" applyAlignment="true" applyProtection="true">
      <alignment horizontal="general" vertical="bottom" textRotation="0" wrapText="false" indent="0" shrinkToFit="false"/>
      <protection locked="true" hidden="false"/>
    </xf>
    <xf numFmtId="164" fontId="96" fillId="0" borderId="4" xfId="0" applyFont="true" applyBorder="true" applyAlignment="true" applyProtection="true">
      <alignment horizontal="left" vertical="bottom" textRotation="0" wrapText="true" indent="0" shrinkToFit="false"/>
      <protection locked="true" hidden="false"/>
    </xf>
    <xf numFmtId="164" fontId="5" fillId="2" borderId="35" xfId="28" applyFont="true" applyBorder="true" applyAlignment="true" applyProtection="true">
      <alignment horizontal="general" vertical="bottom" textRotation="0" wrapText="false" indent="0" shrinkToFit="false"/>
      <protection locked="true" hidden="false"/>
    </xf>
    <xf numFmtId="164" fontId="83" fillId="2" borderId="32" xfId="28" applyFont="true" applyBorder="true" applyAlignment="true" applyProtection="true">
      <alignment horizontal="general" vertical="bottom" textRotation="0" wrapText="false" indent="0" shrinkToFit="false"/>
      <protection locked="true" hidden="false"/>
    </xf>
    <xf numFmtId="164" fontId="5" fillId="2" borderId="32" xfId="28" applyFont="true" applyBorder="true" applyAlignment="true" applyProtection="true">
      <alignment horizontal="general" vertical="bottom" textRotation="0" wrapText="false" indent="0" shrinkToFit="false"/>
      <protection locked="true" hidden="false"/>
    </xf>
    <xf numFmtId="164" fontId="5" fillId="2" borderId="36" xfId="28"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0" fillId="3" borderId="0" xfId="0" applyFont="false" applyBorder="false" applyAlignment="true" applyProtection="true">
      <alignment horizontal="left" vertical="bottom" textRotation="0" wrapText="false" indent="0" shrinkToFit="false"/>
      <protection locked="true" hidden="false"/>
    </xf>
    <xf numFmtId="164" fontId="31" fillId="3" borderId="0" xfId="26" applyFont="true" applyBorder="false" applyAlignment="true" applyProtection="true">
      <alignment horizontal="general" vertical="bottom" textRotation="0" wrapText="false" indent="0" shrinkToFit="false"/>
      <protection locked="true" hidden="false"/>
    </xf>
    <xf numFmtId="164" fontId="30" fillId="3" borderId="0" xfId="26"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72" fontId="31" fillId="3" borderId="0" xfId="26" applyFont="true" applyBorder="false" applyAlignment="true" applyProtection="true">
      <alignment horizontal="general" vertical="bottom" textRotation="0" wrapText="false" indent="0" shrinkToFit="false"/>
      <protection locked="true" hidden="false"/>
    </xf>
    <xf numFmtId="164" fontId="40" fillId="3" borderId="0" xfId="26" applyFont="true" applyBorder="false" applyAlignment="true" applyProtection="true">
      <alignment horizontal="general" vertical="bottom" textRotation="0" wrapText="false" indent="0" shrinkToFit="false"/>
      <protection locked="true" hidden="false"/>
    </xf>
    <xf numFmtId="164" fontId="97" fillId="3" borderId="0" xfId="0" applyFont="true" applyBorder="false" applyAlignment="true" applyProtection="true">
      <alignment horizontal="general" vertical="bottom" textRotation="0" wrapText="false" indent="0" shrinkToFit="false"/>
      <protection locked="true" hidden="false"/>
    </xf>
    <xf numFmtId="164" fontId="98" fillId="3" borderId="0" xfId="0" applyFont="true" applyBorder="false" applyAlignment="true" applyProtection="true">
      <alignment horizontal="general" vertical="bottom" textRotation="0" wrapText="false" indent="0" shrinkToFit="false"/>
      <protection locked="true" hidden="false"/>
    </xf>
    <xf numFmtId="164" fontId="34" fillId="3" borderId="0" xfId="26" applyFont="true" applyBorder="false" applyAlignment="true" applyProtection="true">
      <alignment horizontal="right" vertical="bottom" textRotation="0" wrapText="false" indent="0" shrinkToFit="false"/>
      <protection locked="true" hidden="false"/>
    </xf>
    <xf numFmtId="164" fontId="34" fillId="3" borderId="0" xfId="26" applyFont="true" applyBorder="false" applyAlignment="true" applyProtection="true">
      <alignment horizontal="general" vertical="bottom" textRotation="0" wrapText="false" indent="0" shrinkToFit="false"/>
      <protection locked="true" hidden="false"/>
    </xf>
    <xf numFmtId="164" fontId="34" fillId="3" borderId="0" xfId="26" applyFont="true" applyBorder="false" applyAlignment="true" applyProtection="true">
      <alignment horizontal="left" vertical="bottom" textRotation="0" wrapText="false" indent="0" shrinkToFit="false"/>
      <protection locked="true" hidden="false"/>
    </xf>
    <xf numFmtId="164" fontId="99" fillId="3" borderId="0" xfId="26" applyFont="true" applyBorder="false" applyAlignment="true" applyProtection="true">
      <alignment horizontal="general" vertical="bottom" textRotation="0" wrapText="false" indent="0" shrinkToFit="false"/>
      <protection locked="true" hidden="false"/>
    </xf>
    <xf numFmtId="164" fontId="100" fillId="3" borderId="0" xfId="26" applyFont="true" applyBorder="false" applyAlignment="true" applyProtection="true">
      <alignment horizontal="general" vertical="bottom" textRotation="0" wrapText="false" indent="0" shrinkToFit="false"/>
      <protection locked="true" hidden="false"/>
    </xf>
    <xf numFmtId="164" fontId="101" fillId="3" borderId="0" xfId="26" applyFont="true" applyBorder="false" applyAlignment="true" applyProtection="true">
      <alignment horizontal="general" vertical="bottom" textRotation="0" wrapText="false" indent="0" shrinkToFit="false"/>
      <protection locked="true" hidden="false"/>
    </xf>
    <xf numFmtId="164" fontId="102" fillId="3" borderId="0" xfId="26" applyFont="true" applyBorder="false" applyAlignment="true" applyProtection="true">
      <alignment horizontal="general" vertical="bottom" textRotation="0" wrapText="false" indent="0" shrinkToFit="false"/>
      <protection locked="true" hidden="false"/>
    </xf>
    <xf numFmtId="182" fontId="40" fillId="3" borderId="0" xfId="26" applyFont="true" applyBorder="false" applyAlignment="true" applyProtection="true">
      <alignment horizontal="center" vertical="bottom" textRotation="0" wrapText="false" indent="0" shrinkToFit="false"/>
      <protection locked="true" hidden="false"/>
    </xf>
    <xf numFmtId="177" fontId="39" fillId="3" borderId="0" xfId="26" applyFont="true" applyBorder="false" applyAlignment="true" applyProtection="true">
      <alignment horizontal="center" vertical="bottom" textRotation="0" wrapText="false" indent="0" shrinkToFit="false"/>
      <protection locked="true" hidden="false"/>
    </xf>
    <xf numFmtId="167" fontId="39" fillId="3" borderId="0" xfId="26" applyFont="true" applyBorder="false" applyAlignment="true" applyProtection="true">
      <alignment horizontal="center" vertical="bottom" textRotation="0" wrapText="false" indent="0" shrinkToFit="false"/>
      <protection locked="true" hidden="false"/>
    </xf>
    <xf numFmtId="164" fontId="39" fillId="3" borderId="0" xfId="26" applyFont="true" applyBorder="false" applyAlignment="true" applyProtection="true">
      <alignment horizontal="center" vertical="bottom" textRotation="0" wrapText="false" indent="0" shrinkToFit="false"/>
      <protection locked="true" hidden="false"/>
    </xf>
    <xf numFmtId="164" fontId="78" fillId="3" borderId="0" xfId="0" applyFont="true" applyBorder="false" applyAlignment="true" applyProtection="true">
      <alignment horizontal="left" vertical="bottom" textRotation="0" wrapText="false" indent="0" shrinkToFit="false"/>
      <protection locked="true" hidden="false"/>
    </xf>
    <xf numFmtId="164" fontId="78" fillId="3" borderId="0" xfId="0" applyFont="true" applyBorder="false" applyAlignment="true" applyProtection="true">
      <alignment horizontal="general" vertical="bottom" textRotation="0" wrapText="false" indent="0" shrinkToFit="false"/>
      <protection locked="true" hidden="false"/>
    </xf>
    <xf numFmtId="167" fontId="67" fillId="3" borderId="0" xfId="26" applyFont="true" applyBorder="false" applyAlignment="true" applyProtection="true">
      <alignment horizontal="left" vertical="bottom" textRotation="0" wrapText="false" indent="0" shrinkToFit="false"/>
      <protection locked="true" hidden="false"/>
    </xf>
    <xf numFmtId="164" fontId="55" fillId="3" borderId="34" xfId="23" applyFont="true" applyBorder="true" applyAlignment="true" applyProtection="true">
      <alignment horizontal="general" vertical="bottom" textRotation="0" wrapText="false" indent="0" shrinkToFit="false"/>
      <protection locked="true" hidden="false"/>
    </xf>
    <xf numFmtId="164" fontId="67" fillId="3" borderId="0" xfId="23" applyFont="true" applyBorder="true" applyAlignment="true" applyProtection="true">
      <alignment horizontal="left" vertical="bottom" textRotation="0" wrapText="false" indent="0" shrinkToFit="false"/>
      <protection locked="true" hidden="false"/>
    </xf>
    <xf numFmtId="164" fontId="22" fillId="3" borderId="0" xfId="23" applyFont="true" applyBorder="false" applyAlignment="true" applyProtection="true">
      <alignment horizontal="general" vertical="bottom" textRotation="0" wrapText="false" indent="0" shrinkToFit="false"/>
      <protection locked="true" hidden="false"/>
    </xf>
    <xf numFmtId="164" fontId="103" fillId="3" borderId="1" xfId="0" applyFont="true" applyBorder="true" applyAlignment="true" applyProtection="true">
      <alignment horizontal="left" vertical="bottom" textRotation="0" wrapText="false" indent="0" shrinkToFit="false"/>
      <protection locked="true" hidden="false"/>
    </xf>
    <xf numFmtId="164" fontId="103" fillId="3" borderId="1" xfId="0" applyFont="true" applyBorder="true" applyAlignment="true" applyProtection="true">
      <alignment horizontal="center" vertical="bottom" textRotation="0" wrapText="true" indent="0" shrinkToFit="false"/>
      <protection locked="true" hidden="false"/>
    </xf>
    <xf numFmtId="164" fontId="40" fillId="3" borderId="0" xfId="23" applyFont="true" applyBorder="false" applyAlignment="true" applyProtection="true">
      <alignment horizontal="general" vertical="bottom" textRotation="0" wrapText="false" indent="0" shrinkToFit="false"/>
      <protection locked="true" hidden="false"/>
    </xf>
    <xf numFmtId="164" fontId="104" fillId="3" borderId="28" xfId="27" applyFont="true" applyBorder="true" applyAlignment="true" applyProtection="true">
      <alignment horizontal="left" vertical="bottom" textRotation="0" wrapText="false" indent="0" shrinkToFit="false"/>
      <protection locked="true" hidden="false"/>
    </xf>
    <xf numFmtId="164" fontId="104" fillId="3" borderId="0" xfId="27" applyFont="true" applyBorder="true" applyAlignment="true" applyProtection="true">
      <alignment horizontal="left" vertical="bottom" textRotation="0" wrapText="true" indent="0" shrinkToFit="false"/>
      <protection locked="true" hidden="false"/>
    </xf>
    <xf numFmtId="164" fontId="105" fillId="3" borderId="0" xfId="27" applyFont="true" applyBorder="true" applyAlignment="true" applyProtection="true">
      <alignment horizontal="general" vertical="bottom" textRotation="0" wrapText="false" indent="0" shrinkToFit="false"/>
      <protection locked="true" hidden="false"/>
    </xf>
    <xf numFmtId="164" fontId="104" fillId="3" borderId="0" xfId="27" applyFont="true" applyBorder="true" applyAlignment="true" applyProtection="true">
      <alignment horizontal="general" vertical="bottom" textRotation="0" wrapText="true" indent="0" shrinkToFit="false"/>
      <protection locked="true" hidden="false"/>
    </xf>
    <xf numFmtId="164" fontId="104" fillId="3" borderId="0" xfId="27" applyFont="true" applyBorder="true" applyAlignment="true" applyProtection="true">
      <alignment horizontal="left" vertical="bottom" textRotation="0" wrapText="false" indent="0" shrinkToFit="false"/>
      <protection locked="true" hidden="false"/>
    </xf>
    <xf numFmtId="164" fontId="106" fillId="3" borderId="0" xfId="27" applyFont="true" applyBorder="true" applyAlignment="true" applyProtection="true">
      <alignment horizontal="left" vertical="bottom" textRotation="0" wrapText="false" indent="0" shrinkToFit="false"/>
      <protection locked="true" hidden="false"/>
    </xf>
    <xf numFmtId="164" fontId="106" fillId="3" borderId="0" xfId="23" applyFont="true" applyBorder="true" applyAlignment="true" applyProtection="true">
      <alignment horizontal="left" vertical="bottom" textRotation="0" wrapText="false" indent="0" shrinkToFit="false"/>
      <protection locked="true" hidden="false"/>
    </xf>
    <xf numFmtId="164" fontId="106" fillId="4" borderId="0" xfId="26" applyFont="true" applyBorder="false" applyAlignment="true" applyProtection="true">
      <alignment horizontal="left" vertical="bottom" textRotation="0" wrapText="false" indent="0" shrinkToFit="false"/>
      <protection locked="true" hidden="false"/>
    </xf>
    <xf numFmtId="168" fontId="107" fillId="4" borderId="0" xfId="26" applyFont="true" applyBorder="false" applyAlignment="true" applyProtection="true">
      <alignment horizontal="general" vertical="bottom" textRotation="0" wrapText="false" indent="0" shrinkToFit="false"/>
      <protection locked="true" hidden="false"/>
    </xf>
    <xf numFmtId="164" fontId="107" fillId="4" borderId="0" xfId="26" applyFont="true" applyBorder="false" applyAlignment="true" applyProtection="true">
      <alignment horizontal="general" vertical="bottom" textRotation="0" wrapText="false" indent="0" shrinkToFit="false"/>
      <protection locked="true" hidden="false"/>
    </xf>
    <xf numFmtId="164" fontId="108" fillId="4" borderId="0" xfId="0" applyFont="true" applyBorder="false" applyAlignment="true" applyProtection="true">
      <alignment horizontal="general" vertical="bottom" textRotation="0" wrapText="false" indent="0" shrinkToFit="false"/>
      <protection locked="true" hidden="false"/>
    </xf>
    <xf numFmtId="164" fontId="97" fillId="4" borderId="0" xfId="0" applyFont="true" applyBorder="false" applyAlignment="true" applyProtection="true">
      <alignment horizontal="general" vertical="bottom" textRotation="0" wrapText="false" indent="0" shrinkToFit="false"/>
      <protection locked="true" hidden="false"/>
    </xf>
    <xf numFmtId="164" fontId="0" fillId="4" borderId="0" xfId="0" applyFont="false" applyBorder="false" applyAlignment="true" applyProtection="true">
      <alignment horizontal="general" vertical="bottom" textRotation="0" wrapText="false" indent="0" shrinkToFit="false"/>
      <protection locked="true" hidden="false"/>
    </xf>
    <xf numFmtId="164" fontId="109" fillId="4" borderId="0" xfId="26" applyFont="true" applyBorder="false" applyAlignment="true" applyProtection="true">
      <alignment horizontal="left" vertical="bottom" textRotation="0" wrapText="false" indent="0" shrinkToFit="false"/>
      <protection locked="true" hidden="false"/>
    </xf>
    <xf numFmtId="168" fontId="110" fillId="4" borderId="0" xfId="26" applyFont="true" applyBorder="false" applyAlignment="true" applyProtection="true">
      <alignment horizontal="general" vertical="bottom" textRotation="0" wrapText="false" indent="0" shrinkToFit="false"/>
      <protection locked="true" hidden="false"/>
    </xf>
    <xf numFmtId="164" fontId="110" fillId="4" borderId="0" xfId="26" applyFont="true" applyBorder="false" applyAlignment="true" applyProtection="true">
      <alignment horizontal="general" vertical="bottom" textRotation="0" wrapText="false" indent="0" shrinkToFit="false"/>
      <protection locked="true" hidden="false"/>
    </xf>
    <xf numFmtId="164" fontId="109" fillId="4" borderId="6" xfId="26" applyFont="true" applyBorder="true" applyAlignment="true" applyProtection="true">
      <alignment horizontal="center" vertical="bottom" textRotation="0" wrapText="false" indent="0" shrinkToFit="false"/>
      <protection locked="true" hidden="false"/>
    </xf>
    <xf numFmtId="164" fontId="109" fillId="4" borderId="0" xfId="26" applyFont="true" applyBorder="false" applyAlignment="true" applyProtection="true">
      <alignment horizontal="general" vertical="bottom" textRotation="0" wrapText="false" indent="0" shrinkToFit="false"/>
      <protection locked="true" hidden="false"/>
    </xf>
    <xf numFmtId="164" fontId="110" fillId="4" borderId="0" xfId="0" applyFont="true" applyBorder="false" applyAlignment="true" applyProtection="true">
      <alignment horizontal="general" vertical="bottom" textRotation="0" wrapText="false" indent="0" shrinkToFit="false"/>
      <protection locked="true" hidden="false"/>
    </xf>
    <xf numFmtId="164" fontId="111" fillId="4" borderId="0" xfId="0" applyFont="true" applyBorder="false" applyAlignment="true" applyProtection="true">
      <alignment horizontal="general" vertical="bottom" textRotation="0" wrapText="false" indent="0" shrinkToFit="false"/>
      <protection locked="true" hidden="false"/>
    </xf>
    <xf numFmtId="164" fontId="106" fillId="4" borderId="0" xfId="26" applyFont="true" applyBorder="false" applyAlignment="true" applyProtection="true">
      <alignment horizontal="center" vertical="bottom" textRotation="0" wrapText="false" indent="0" shrinkToFit="false"/>
      <protection locked="true" hidden="false"/>
    </xf>
    <xf numFmtId="164" fontId="106" fillId="4" borderId="0" xfId="26" applyFont="true" applyBorder="false" applyAlignment="true" applyProtection="true">
      <alignment horizontal="general" vertical="bottom" textRotation="0" wrapText="false" indent="0" shrinkToFit="false"/>
      <protection locked="true" hidden="false"/>
    </xf>
    <xf numFmtId="168" fontId="106" fillId="4" borderId="6" xfId="26" applyFont="true" applyBorder="true" applyAlignment="true" applyProtection="true">
      <alignment horizontal="center" vertical="bottom" textRotation="0" wrapText="false" indent="0" shrinkToFit="false"/>
      <protection locked="true" hidden="false"/>
    </xf>
    <xf numFmtId="167" fontId="106" fillId="4" borderId="6" xfId="26" applyFont="true" applyBorder="true" applyAlignment="true" applyProtection="true">
      <alignment horizontal="center" vertical="bottom" textRotation="0" wrapText="false" indent="0" shrinkToFit="false"/>
      <protection locked="true" hidden="false"/>
    </xf>
    <xf numFmtId="183" fontId="112" fillId="4" borderId="0" xfId="26" applyFont="true" applyBorder="false" applyAlignment="true" applyProtection="true">
      <alignment horizontal="right" vertical="center" textRotation="0" wrapText="false" indent="0" shrinkToFit="false"/>
      <protection locked="true" hidden="false"/>
    </xf>
    <xf numFmtId="164" fontId="113" fillId="4" borderId="0" xfId="26" applyFont="true" applyBorder="true" applyAlignment="true" applyProtection="true">
      <alignment horizontal="center" vertical="bottom" textRotation="0" wrapText="false" indent="0" shrinkToFit="false"/>
      <protection locked="true" hidden="false"/>
    </xf>
    <xf numFmtId="168" fontId="106" fillId="4" borderId="0" xfId="26" applyFont="true" applyBorder="false" applyAlignment="true" applyProtection="true">
      <alignment horizontal="center" vertical="bottom" textRotation="0" wrapText="false" indent="0" shrinkToFit="false"/>
      <protection locked="true" hidden="false"/>
    </xf>
    <xf numFmtId="167" fontId="106" fillId="4" borderId="0" xfId="26" applyFont="true" applyBorder="false" applyAlignment="true" applyProtection="true">
      <alignment horizontal="center" vertical="bottom" textRotation="0" wrapText="false" indent="0" shrinkToFit="false"/>
      <protection locked="true" hidden="false"/>
    </xf>
    <xf numFmtId="183" fontId="112" fillId="4" borderId="0" xfId="26" applyFont="true" applyBorder="false" applyAlignment="true" applyProtection="true">
      <alignment horizontal="right" vertical="bottom" textRotation="0" wrapText="false" indent="0" shrinkToFit="false"/>
      <protection locked="true" hidden="false"/>
    </xf>
    <xf numFmtId="164" fontId="106" fillId="4" borderId="33" xfId="26" applyFont="true" applyBorder="true" applyAlignment="true" applyProtection="true">
      <alignment horizontal="center" vertical="bottom" textRotation="0" wrapText="false" indent="0" shrinkToFit="false"/>
      <protection locked="true" hidden="false"/>
    </xf>
    <xf numFmtId="164" fontId="114" fillId="4" borderId="4" xfId="0" applyFont="true" applyBorder="true" applyAlignment="true" applyProtection="true">
      <alignment horizontal="center" vertical="bottom" textRotation="0" wrapText="true" indent="0" shrinkToFit="false"/>
      <protection locked="true" hidden="false"/>
    </xf>
    <xf numFmtId="164" fontId="106" fillId="4" borderId="6" xfId="26" applyFont="true" applyBorder="true" applyAlignment="true" applyProtection="true">
      <alignment horizontal="center" vertical="bottom" textRotation="0" wrapText="false" indent="0" shrinkToFit="false"/>
      <protection locked="true" hidden="false"/>
    </xf>
    <xf numFmtId="164" fontId="106" fillId="4" borderId="0" xfId="26" applyFont="true" applyBorder="true" applyAlignment="true" applyProtection="true">
      <alignment horizontal="center" vertical="bottom" textRotation="0" wrapText="false" indent="0" shrinkToFit="false"/>
      <protection locked="true" hidden="false"/>
    </xf>
    <xf numFmtId="164" fontId="114" fillId="4" borderId="34" xfId="0" applyFont="true" applyBorder="true" applyAlignment="true" applyProtection="true">
      <alignment horizontal="general" vertical="bottom" textRotation="0" wrapText="false" indent="0" shrinkToFit="false"/>
      <protection locked="true" hidden="false"/>
    </xf>
    <xf numFmtId="164" fontId="114" fillId="4" borderId="35" xfId="0" applyFont="true" applyBorder="true" applyAlignment="true" applyProtection="true">
      <alignment horizontal="general" vertical="bottom" textRotation="0" wrapText="false" indent="0" shrinkToFit="false"/>
      <protection locked="true" hidden="false"/>
    </xf>
    <xf numFmtId="164" fontId="114" fillId="4" borderId="0" xfId="0" applyFont="true" applyBorder="false" applyAlignment="true" applyProtection="true">
      <alignment horizontal="left" vertical="bottom" textRotation="0" wrapText="false" indent="0" shrinkToFit="false"/>
      <protection locked="true" hidden="false"/>
    </xf>
    <xf numFmtId="164" fontId="115" fillId="4" borderId="0" xfId="26" applyFont="true" applyBorder="false" applyAlignment="true" applyProtection="true">
      <alignment horizontal="general" vertical="center" textRotation="0" wrapText="true" indent="0" shrinkToFit="false"/>
      <protection locked="true" hidden="false"/>
    </xf>
    <xf numFmtId="168" fontId="21" fillId="4" borderId="0" xfId="0" applyFont="true" applyBorder="false" applyAlignment="true" applyProtection="true">
      <alignment horizontal="general" vertical="bottom" textRotation="0" wrapText="false" indent="0" shrinkToFit="false"/>
      <protection locked="true" hidden="false"/>
    </xf>
    <xf numFmtId="164" fontId="106" fillId="4" borderId="30" xfId="26" applyFont="true" applyBorder="true" applyAlignment="true" applyProtection="true">
      <alignment horizontal="center" vertical="bottom" textRotation="0" wrapText="true" indent="0" shrinkToFit="false"/>
      <protection locked="true" hidden="false"/>
    </xf>
    <xf numFmtId="164" fontId="106" fillId="4" borderId="0" xfId="26" applyFont="true" applyBorder="false" applyAlignment="true" applyProtection="true">
      <alignment horizontal="general" vertical="bottom" textRotation="0" wrapText="true" indent="0" shrinkToFit="false"/>
      <protection locked="true" hidden="false"/>
    </xf>
    <xf numFmtId="164" fontId="108" fillId="4" borderId="0" xfId="0" applyFont="true" applyBorder="false" applyAlignment="true" applyProtection="true">
      <alignment horizontal="general" vertical="center" textRotation="0" wrapText="false" indent="0" shrinkToFit="false"/>
      <protection locked="true" hidden="false"/>
    </xf>
    <xf numFmtId="164" fontId="115" fillId="4" borderId="0" xfId="26" applyFont="true" applyBorder="false" applyAlignment="true" applyProtection="true">
      <alignment horizontal="general" vertical="bottom" textRotation="0" wrapText="false" indent="0" shrinkToFit="false"/>
      <protection locked="true" hidden="false"/>
    </xf>
    <xf numFmtId="164" fontId="115" fillId="4" borderId="0" xfId="26" applyFont="true" applyBorder="false" applyAlignment="true" applyProtection="true">
      <alignment horizontal="left" vertical="center" textRotation="0" wrapText="true" indent="0" shrinkToFit="false"/>
      <protection locked="true" hidden="false"/>
    </xf>
    <xf numFmtId="164" fontId="115" fillId="4" borderId="0" xfId="26" applyFont="true" applyBorder="true" applyAlignment="true" applyProtection="true">
      <alignment horizontal="left" vertical="bottom" textRotation="0" wrapText="false" indent="0" shrinkToFit="false"/>
      <protection locked="true" hidden="false"/>
    </xf>
    <xf numFmtId="164" fontId="114" fillId="4" borderId="0" xfId="0" applyFont="true" applyBorder="false" applyAlignment="true" applyProtection="true">
      <alignment horizontal="left" vertical="center" textRotation="0" wrapText="false" indent="0" shrinkToFit="false"/>
      <protection locked="true" hidden="false"/>
    </xf>
    <xf numFmtId="164" fontId="114" fillId="4" borderId="0" xfId="0" applyFont="true" applyBorder="false" applyAlignment="true" applyProtection="true">
      <alignment horizontal="general" vertical="center" textRotation="0" wrapText="false" indent="0" shrinkToFit="false"/>
      <protection locked="true" hidden="false"/>
    </xf>
    <xf numFmtId="164" fontId="115" fillId="4" borderId="0" xfId="26" applyFont="true" applyBorder="true" applyAlignment="true" applyProtection="true">
      <alignment horizontal="left" vertical="center" textRotation="0" wrapText="false" indent="0" shrinkToFit="false"/>
      <protection locked="true" hidden="false"/>
    </xf>
    <xf numFmtId="164" fontId="106" fillId="4" borderId="0" xfId="26" applyFont="true" applyBorder="false" applyAlignment="true" applyProtection="true">
      <alignment horizontal="general" vertical="center" textRotation="0" wrapText="false" indent="0" shrinkToFit="false"/>
      <protection locked="true" hidden="false"/>
    </xf>
    <xf numFmtId="164" fontId="29" fillId="4" borderId="0" xfId="0" applyFont="true" applyBorder="false" applyAlignment="true" applyProtection="true">
      <alignment horizontal="general" vertical="center" textRotation="0" wrapText="false" indent="0" shrinkToFit="false"/>
      <protection locked="true" hidden="false"/>
    </xf>
    <xf numFmtId="164" fontId="106" fillId="4" borderId="6" xfId="26" applyFont="true" applyBorder="true" applyAlignment="true" applyProtection="true">
      <alignment horizontal="center" vertical="center" textRotation="0" wrapText="false" indent="0" shrinkToFit="true"/>
      <protection locked="true" hidden="false"/>
    </xf>
    <xf numFmtId="164" fontId="106" fillId="4" borderId="0" xfId="26" applyFont="true" applyBorder="true" applyAlignment="true" applyProtection="true">
      <alignment horizontal="left" vertical="bottom" textRotation="0" wrapText="true" indent="0" shrinkToFit="false"/>
      <protection locked="true" hidden="false"/>
    </xf>
    <xf numFmtId="164" fontId="106" fillId="4" borderId="0" xfId="23" applyFont="true" applyBorder="false" applyAlignment="true" applyProtection="true">
      <alignment horizontal="left" vertical="center" textRotation="0" wrapText="false" indent="0" shrinkToFit="false"/>
      <protection locked="true" hidden="false"/>
    </xf>
    <xf numFmtId="168" fontId="106" fillId="4" borderId="0" xfId="23" applyFont="true" applyBorder="false" applyAlignment="true" applyProtection="true">
      <alignment horizontal="general" vertical="center" textRotation="0" wrapText="false" indent="0" shrinkToFit="false"/>
      <protection locked="true" hidden="false"/>
    </xf>
    <xf numFmtId="164" fontId="115" fillId="4" borderId="0" xfId="26" applyFont="true" applyBorder="false" applyAlignment="true" applyProtection="true">
      <alignment horizontal="left" vertical="center" textRotation="0" wrapText="false" indent="0" shrinkToFit="false"/>
      <protection locked="true" hidden="false"/>
    </xf>
    <xf numFmtId="164" fontId="116" fillId="4" borderId="0" xfId="0" applyFont="true" applyBorder="false" applyAlignment="true" applyProtection="true">
      <alignment horizontal="general" vertical="center" textRotation="0" wrapText="false" indent="0" shrinkToFit="false"/>
      <protection locked="true" hidden="false"/>
    </xf>
    <xf numFmtId="164" fontId="106" fillId="4" borderId="0" xfId="23" applyFont="true" applyBorder="false" applyAlignment="true" applyProtection="true">
      <alignment horizontal="general" vertical="center" textRotation="0" wrapText="false" indent="0" shrinkToFit="false"/>
      <protection locked="true" hidden="false"/>
    </xf>
    <xf numFmtId="164" fontId="39" fillId="4" borderId="0" xfId="23" applyFont="true" applyBorder="false" applyAlignment="true" applyProtection="true">
      <alignment horizontal="general" vertical="center" textRotation="0" wrapText="false" indent="0" shrinkToFit="false"/>
      <protection locked="true" hidden="false"/>
    </xf>
    <xf numFmtId="164" fontId="106" fillId="4" borderId="0" xfId="26" applyFont="true" applyBorder="false" applyAlignment="true" applyProtection="true">
      <alignment horizontal="left" vertical="center" textRotation="0" wrapText="false" indent="0" shrinkToFit="false"/>
      <protection locked="true" hidden="false"/>
    </xf>
    <xf numFmtId="168" fontId="107" fillId="4" borderId="0" xfId="26" applyFont="true" applyBorder="false" applyAlignment="true" applyProtection="true">
      <alignment horizontal="general" vertical="center" textRotation="0" wrapText="false" indent="0" shrinkToFit="false"/>
      <protection locked="true" hidden="false"/>
    </xf>
    <xf numFmtId="164" fontId="107" fillId="4" borderId="0" xfId="26" applyFont="true" applyBorder="false" applyAlignment="true" applyProtection="true">
      <alignment horizontal="general" vertical="center" textRotation="0" wrapText="false" indent="0" shrinkToFit="false"/>
      <protection locked="true" hidden="false"/>
    </xf>
    <xf numFmtId="168" fontId="106" fillId="4" borderId="6" xfId="26" applyFont="true" applyBorder="true" applyAlignment="true" applyProtection="true">
      <alignment horizontal="center" vertical="center" textRotation="0" wrapText="false" indent="0" shrinkToFit="false"/>
      <protection locked="true" hidden="false"/>
    </xf>
    <xf numFmtId="164" fontId="0" fillId="4" borderId="0" xfId="0" applyFont="false" applyBorder="false" applyAlignment="true" applyProtection="true">
      <alignment horizontal="general" vertical="center" textRotation="0" wrapText="false" indent="0" shrinkToFit="false"/>
      <protection locked="true" hidden="false"/>
    </xf>
    <xf numFmtId="164" fontId="106" fillId="4" borderId="0" xfId="26" applyFont="true" applyBorder="true" applyAlignment="true" applyProtection="true">
      <alignment horizontal="left" vertical="center" textRotation="0" wrapText="true" indent="0" shrinkToFit="false"/>
      <protection locked="true" hidden="false"/>
    </xf>
    <xf numFmtId="168" fontId="106" fillId="4" borderId="0" xfId="26" applyFont="true" applyBorder="false" applyAlignment="true" applyProtection="true">
      <alignment horizontal="center" vertical="center" textRotation="0" wrapText="false" indent="0" shrinkToFit="false"/>
      <protection locked="true" hidden="false"/>
    </xf>
    <xf numFmtId="183" fontId="106" fillId="4" borderId="0" xfId="26" applyFont="true" applyBorder="false" applyAlignment="true" applyProtection="true">
      <alignment horizontal="right" vertical="center" textRotation="0" wrapText="false" indent="0" shrinkToFit="false"/>
      <protection locked="true" hidden="false"/>
    </xf>
    <xf numFmtId="164" fontId="106" fillId="4" borderId="0" xfId="26" applyFont="true" applyBorder="false" applyAlignment="true" applyProtection="true">
      <alignment horizontal="center" vertical="bottom" textRotation="0" wrapText="true" indent="0" shrinkToFit="false"/>
      <protection locked="true" hidden="false"/>
    </xf>
    <xf numFmtId="164" fontId="106" fillId="4" borderId="34" xfId="23" applyFont="true" applyBorder="true" applyAlignment="true" applyProtection="true">
      <alignment horizontal="left" vertical="center" textRotation="0" wrapText="false" indent="0" shrinkToFit="false"/>
      <protection locked="true" hidden="false"/>
    </xf>
    <xf numFmtId="164" fontId="106" fillId="4" borderId="6" xfId="26" applyFont="true" applyBorder="true" applyAlignment="true" applyProtection="true">
      <alignment horizontal="center" vertical="center" textRotation="0" wrapText="false" indent="0" shrinkToFit="false"/>
      <protection locked="true" hidden="false"/>
    </xf>
    <xf numFmtId="164" fontId="106" fillId="2" borderId="34" xfId="23" applyFont="true" applyBorder="true" applyAlignment="true" applyProtection="true">
      <alignment horizontal="left" vertical="center" textRotation="0" wrapText="false" indent="0" shrinkToFit="false"/>
      <protection locked="true" hidden="false"/>
    </xf>
    <xf numFmtId="164" fontId="107" fillId="2" borderId="0" xfId="26" applyFont="true" applyBorder="false" applyAlignment="true" applyProtection="true">
      <alignment horizontal="general" vertical="center" textRotation="0" wrapText="false" indent="0" shrinkToFit="false"/>
      <protection locked="true" hidden="false"/>
    </xf>
    <xf numFmtId="164" fontId="117" fillId="2" borderId="0" xfId="26" applyFont="true" applyBorder="true" applyAlignment="true" applyProtection="true">
      <alignment horizontal="center" vertical="center" textRotation="0" wrapText="false" indent="0" shrinkToFit="false"/>
      <protection locked="true" hidden="false"/>
    </xf>
    <xf numFmtId="164" fontId="106" fillId="0" borderId="34" xfId="23" applyFont="true" applyBorder="true" applyAlignment="true" applyProtection="true">
      <alignment horizontal="left" vertical="center" textRotation="0" wrapText="false" indent="0" shrinkToFit="false"/>
      <protection locked="true" hidden="false"/>
    </xf>
    <xf numFmtId="164" fontId="107" fillId="0" borderId="0" xfId="26" applyFont="true" applyBorder="false" applyAlignment="true" applyProtection="true">
      <alignment horizontal="general" vertical="center" textRotation="0" wrapText="false" indent="0" shrinkToFit="false"/>
      <protection locked="true" hidden="false"/>
    </xf>
    <xf numFmtId="164" fontId="106" fillId="0" borderId="0" xfId="26" applyFont="true" applyBorder="true" applyAlignment="true" applyProtection="true">
      <alignment horizontal="left" vertical="center" textRotation="0" wrapText="true" indent="0" shrinkToFit="false"/>
      <protection locked="true" hidden="false"/>
    </xf>
    <xf numFmtId="164" fontId="114" fillId="0" borderId="0" xfId="0" applyFont="true" applyBorder="false" applyAlignment="true" applyProtection="true">
      <alignment horizontal="left" vertical="center" textRotation="0" wrapText="false" indent="0" shrinkToFit="false"/>
      <protection locked="true" hidden="false"/>
    </xf>
    <xf numFmtId="164" fontId="106" fillId="0" borderId="0" xfId="26" applyFont="true" applyBorder="false" applyAlignment="true" applyProtection="true">
      <alignment horizontal="general" vertical="center" textRotation="0" wrapText="false" indent="0" shrinkToFit="false"/>
      <protection locked="true" hidden="false"/>
    </xf>
    <xf numFmtId="164" fontId="106" fillId="0" borderId="0" xfId="26" applyFont="true" applyBorder="false" applyAlignment="true" applyProtection="true">
      <alignment horizontal="left" vertical="center" textRotation="0" wrapText="false" indent="0" shrinkToFit="false"/>
      <protection locked="true" hidden="false"/>
    </xf>
    <xf numFmtId="164" fontId="29" fillId="0" borderId="0" xfId="0" applyFont="true" applyBorder="false" applyAlignment="true" applyProtection="true">
      <alignment horizontal="general" vertical="center" textRotation="0" wrapText="false" indent="0" shrinkToFit="false"/>
      <protection locked="true" hidden="false"/>
    </xf>
    <xf numFmtId="164" fontId="106" fillId="0" borderId="0" xfId="23" applyFont="true" applyBorder="false" applyAlignment="true" applyProtection="true">
      <alignment horizontal="left" vertical="center" textRotation="0" wrapText="false" indent="0" shrinkToFit="false"/>
      <protection locked="true" hidden="false"/>
    </xf>
    <xf numFmtId="164" fontId="106" fillId="0" borderId="0" xfId="26" applyFont="true" applyBorder="false" applyAlignment="true" applyProtection="true">
      <alignment horizontal="general" vertical="bottom" textRotation="0" wrapText="false" indent="0" shrinkToFit="false"/>
      <protection locked="true" hidden="false"/>
    </xf>
    <xf numFmtId="164" fontId="106" fillId="0" borderId="0" xfId="26" applyFont="true" applyBorder="false" applyAlignment="true" applyProtection="true">
      <alignment horizontal="left"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false" indent="0" shrinkToFit="false"/>
      <protection locked="true" hidden="false"/>
    </xf>
    <xf numFmtId="164" fontId="114" fillId="0" borderId="0" xfId="0" applyFont="true" applyBorder="false" applyAlignment="true" applyProtection="true">
      <alignment horizontal="left" vertical="bottom" textRotation="0" wrapText="false" indent="0" shrinkToFit="false"/>
      <protection locked="true" hidden="false"/>
    </xf>
    <xf numFmtId="164" fontId="106" fillId="2" borderId="0" xfId="26" applyFont="true" applyBorder="false" applyAlignment="true" applyProtection="true">
      <alignment horizontal="general" vertical="bottom" textRotation="0" wrapText="false" indent="0" shrinkToFit="false"/>
      <protection locked="true" hidden="false"/>
    </xf>
    <xf numFmtId="164" fontId="107" fillId="0" borderId="0" xfId="26" applyFont="true" applyBorder="false" applyAlignment="true" applyProtection="true">
      <alignment horizontal="general" vertical="bottom" textRotation="0" wrapText="false" indent="0" shrinkToFit="false"/>
      <protection locked="true" hidden="false"/>
    </xf>
    <xf numFmtId="164" fontId="107" fillId="0" borderId="0" xfId="26" applyFont="true" applyBorder="false" applyAlignment="true" applyProtection="true">
      <alignment horizontal="left" vertical="bottom" textRotation="0" wrapText="false" indent="0" shrinkToFit="false"/>
      <protection locked="true" hidden="false"/>
    </xf>
    <xf numFmtId="164" fontId="118" fillId="0" borderId="0" xfId="0" applyFont="true" applyBorder="false" applyAlignment="true" applyProtection="true">
      <alignment horizontal="general" vertical="center" textRotation="0" wrapText="false" indent="0" shrinkToFit="false"/>
      <protection locked="true" hidden="false"/>
    </xf>
    <xf numFmtId="164" fontId="108" fillId="0" borderId="0" xfId="0" applyFont="true" applyBorder="false" applyAlignment="true" applyProtection="true">
      <alignment horizontal="general" vertical="center" textRotation="0" wrapText="false" indent="0" shrinkToFit="false"/>
      <protection locked="true" hidden="false"/>
    </xf>
    <xf numFmtId="164" fontId="114" fillId="0" borderId="0" xfId="0" applyFont="true" applyBorder="false" applyAlignment="true" applyProtection="true">
      <alignment horizontal="general" vertical="center" textRotation="0" wrapText="false" indent="0" shrinkToFit="false"/>
      <protection locked="true" hidden="false"/>
    </xf>
    <xf numFmtId="164" fontId="114" fillId="0" borderId="0" xfId="0" applyFont="true" applyBorder="true" applyAlignment="true" applyProtection="true">
      <alignment horizontal="left" vertical="center" textRotation="0" wrapText="true" indent="0" shrinkToFit="false"/>
      <protection locked="true" hidden="false"/>
    </xf>
    <xf numFmtId="164" fontId="107" fillId="2" borderId="0" xfId="26" applyFont="true" applyBorder="false" applyAlignment="true" applyProtection="true">
      <alignment horizontal="left" vertical="bottom" textRotation="0" wrapText="false" indent="0" shrinkToFit="false"/>
      <protection locked="true" hidden="false"/>
    </xf>
    <xf numFmtId="164" fontId="107" fillId="2" borderId="0" xfId="26" applyFont="true" applyBorder="false" applyAlignment="true" applyProtection="true">
      <alignment horizontal="general" vertical="bottom" textRotation="0" wrapText="false" indent="0" shrinkToFit="false"/>
      <protection locked="true" hidden="false"/>
    </xf>
    <xf numFmtId="164" fontId="107" fillId="0" borderId="0" xfId="23" applyFont="true" applyBorder="false" applyAlignment="true" applyProtection="true">
      <alignment horizontal="general" vertical="bottom" textRotation="0" wrapText="false" indent="0" shrinkToFit="false"/>
      <protection locked="true" hidden="false"/>
    </xf>
    <xf numFmtId="164" fontId="40" fillId="0" borderId="0" xfId="23" applyFont="true" applyBorder="false" applyAlignment="true" applyProtection="true">
      <alignment horizontal="general" vertical="bottom" textRotation="0" wrapText="false" indent="0" shrinkToFit="false"/>
      <protection locked="true" hidden="false"/>
    </xf>
    <xf numFmtId="164" fontId="106" fillId="2" borderId="0" xfId="26" applyFont="true" applyBorder="false" applyAlignment="true" applyProtection="true">
      <alignment horizontal="left" vertical="bottom" textRotation="0" wrapText="false" indent="0" shrinkToFit="false"/>
      <protection locked="true" hidden="false"/>
    </xf>
    <xf numFmtId="164" fontId="40" fillId="2" borderId="0" xfId="26" applyFont="true" applyBorder="false" applyAlignment="true" applyProtection="true">
      <alignment horizontal="left" vertical="bottom" textRotation="0" wrapText="false" indent="0" shrinkToFit="false"/>
      <protection locked="true" hidden="false"/>
    </xf>
    <xf numFmtId="164" fontId="40" fillId="2" borderId="0" xfId="26" applyFont="true" applyBorder="false" applyAlignment="true" applyProtection="true">
      <alignment horizontal="general" vertical="bottom" textRotation="0" wrapText="false" indent="0" shrinkToFit="false"/>
      <protection locked="true" hidden="false"/>
    </xf>
    <xf numFmtId="164" fontId="119" fillId="2" borderId="0" xfId="26" applyFont="true" applyBorder="true" applyAlignment="true" applyProtection="true">
      <alignment horizontal="general" vertical="center" textRotation="0" wrapText="false" indent="0" shrinkToFit="false"/>
      <protection locked="true" hidden="false"/>
    </xf>
    <xf numFmtId="164" fontId="5" fillId="0" borderId="6" xfId="31" applyFont="true" applyBorder="true" applyAlignment="true" applyProtection="true">
      <alignment horizontal="left" vertical="bottom" textRotation="0" wrapText="false" indent="0" shrinkToFit="false"/>
      <protection locked="true" hidden="false"/>
    </xf>
    <xf numFmtId="164" fontId="5" fillId="4" borderId="6" xfId="31" applyFont="true" applyBorder="true" applyAlignment="true" applyProtection="true">
      <alignment horizontal="left" vertical="bottom" textRotation="0" wrapText="false" indent="0" shrinkToFit="false"/>
      <protection locked="true" hidden="false"/>
    </xf>
    <xf numFmtId="164" fontId="5" fillId="0" borderId="0" xfId="31" applyFont="true" applyBorder="false" applyAlignment="true" applyProtection="true">
      <alignment horizontal="general" vertical="bottom" textRotation="0" wrapText="false" indent="0" shrinkToFit="false"/>
      <protection locked="true" hidden="false"/>
    </xf>
    <xf numFmtId="164" fontId="120" fillId="0" borderId="6" xfId="31" applyFont="true" applyBorder="true" applyAlignment="true" applyProtection="true">
      <alignment horizontal="left" vertical="center" textRotation="0" wrapText="true" indent="0" shrinkToFit="false"/>
      <protection locked="true" hidden="false"/>
    </xf>
    <xf numFmtId="164" fontId="121" fillId="4" borderId="6" xfId="31" applyFont="true" applyBorder="true" applyAlignment="true" applyProtection="true">
      <alignment horizontal="left" vertical="center" textRotation="0" wrapText="true" indent="0" shrinkToFit="false"/>
      <protection locked="true" hidden="false"/>
    </xf>
    <xf numFmtId="164" fontId="121" fillId="0" borderId="7" xfId="31" applyFont="true" applyBorder="true" applyAlignment="true" applyProtection="true">
      <alignment horizontal="center" vertical="center" textRotation="0" wrapText="true" indent="0" shrinkToFit="false"/>
      <protection locked="true" hidden="false"/>
    </xf>
    <xf numFmtId="164" fontId="120" fillId="0" borderId="21" xfId="31" applyFont="true" applyBorder="true" applyAlignment="true" applyProtection="true">
      <alignment horizontal="general" vertical="center" textRotation="0" wrapText="true" indent="0" shrinkToFit="false"/>
      <protection locked="true" hidden="false"/>
    </xf>
    <xf numFmtId="177" fontId="122" fillId="0" borderId="0" xfId="31" applyFont="true" applyBorder="false" applyAlignment="true" applyProtection="true">
      <alignment horizontal="general" vertical="bottom" textRotation="0" wrapText="false" indent="0" shrinkToFit="false"/>
      <protection locked="false" hidden="false"/>
    </xf>
    <xf numFmtId="164" fontId="121" fillId="0" borderId="6" xfId="31" applyFont="true" applyBorder="true" applyAlignment="true" applyProtection="true">
      <alignment horizontal="left" vertical="center" textRotation="0" wrapText="true" indent="0" shrinkToFit="false"/>
      <protection locked="true" hidden="false"/>
    </xf>
    <xf numFmtId="164" fontId="121" fillId="0" borderId="44" xfId="31" applyFont="true" applyBorder="true" applyAlignment="true" applyProtection="true">
      <alignment horizontal="center" vertical="center" textRotation="0" wrapText="true" indent="0" shrinkToFit="false"/>
      <protection locked="true" hidden="false"/>
    </xf>
    <xf numFmtId="164" fontId="121" fillId="0" borderId="6" xfId="31" applyFont="true" applyBorder="true" applyAlignment="true" applyProtection="true">
      <alignment horizontal="center" vertical="center" textRotation="0" wrapText="true" indent="0" shrinkToFit="false"/>
      <protection locked="true" hidden="false"/>
    </xf>
    <xf numFmtId="164" fontId="121" fillId="0" borderId="8" xfId="31" applyFont="true" applyBorder="true" applyAlignment="true" applyProtection="true">
      <alignment horizontal="center" vertical="center" textRotation="0" wrapText="true" indent="0" shrinkToFit="false"/>
      <protection locked="true" hidden="false"/>
    </xf>
    <xf numFmtId="164" fontId="123" fillId="0" borderId="6" xfId="31" applyFont="true" applyBorder="true" applyAlignment="true" applyProtection="true">
      <alignment horizontal="left" vertical="center" textRotation="0" wrapText="true" indent="0" shrinkToFit="false"/>
      <protection locked="true" hidden="false"/>
    </xf>
    <xf numFmtId="164" fontId="120" fillId="0" borderId="44" xfId="31" applyFont="true" applyBorder="true" applyAlignment="true" applyProtection="true">
      <alignment horizontal="center" vertical="center" textRotation="0" wrapText="true" indent="0" shrinkToFit="false"/>
      <protection locked="true" hidden="false"/>
    </xf>
    <xf numFmtId="164" fontId="120" fillId="0" borderId="6" xfId="31" applyFont="true" applyBorder="true" applyAlignment="true" applyProtection="true">
      <alignment horizontal="center" vertical="center" textRotation="0" wrapText="true" indent="0" shrinkToFit="false"/>
      <protection locked="true" hidden="false"/>
    </xf>
    <xf numFmtId="173" fontId="120" fillId="0" borderId="6" xfId="31" applyFont="true" applyBorder="true" applyAlignment="true" applyProtection="true">
      <alignment horizontal="center" vertical="center" textRotation="0" wrapText="true" indent="0" shrinkToFit="false"/>
      <protection locked="true" hidden="false"/>
    </xf>
    <xf numFmtId="164" fontId="120" fillId="0" borderId="8" xfId="31" applyFont="true" applyBorder="true" applyAlignment="true" applyProtection="true">
      <alignment horizontal="center" vertical="center" textRotation="0" wrapText="true" indent="0" shrinkToFit="false"/>
      <protection locked="true" hidden="false"/>
    </xf>
    <xf numFmtId="184" fontId="120" fillId="0" borderId="0" xfId="31" applyFont="true" applyBorder="false" applyAlignment="true" applyProtection="true">
      <alignment horizontal="general" vertical="bottom" textRotation="0" wrapText="false" indent="0" shrinkToFit="false"/>
      <protection locked="true" hidden="false"/>
    </xf>
    <xf numFmtId="164" fontId="124" fillId="0" borderId="27" xfId="31" applyFont="true" applyBorder="true" applyAlignment="true" applyProtection="true">
      <alignment horizontal="center" vertical="bottom" textRotation="0" wrapText="false" indent="0" shrinkToFit="false"/>
      <protection locked="true" hidden="false"/>
    </xf>
    <xf numFmtId="177" fontId="122" fillId="0" borderId="0" xfId="31" applyFont="true" applyBorder="false" applyAlignment="true" applyProtection="true">
      <alignment horizontal="general" vertical="bottom" textRotation="0" wrapText="false" indent="0" shrinkToFit="false"/>
      <protection locked="true" hidden="false"/>
    </xf>
    <xf numFmtId="177" fontId="5" fillId="0" borderId="0" xfId="31" applyFont="true" applyBorder="false" applyAlignment="true" applyProtection="true">
      <alignment horizontal="general" vertical="bottom" textRotation="0" wrapText="false" indent="0" shrinkToFit="false"/>
      <protection locked="true" hidden="false"/>
    </xf>
    <xf numFmtId="164" fontId="125" fillId="16" borderId="6" xfId="30" applyFont="true" applyBorder="true" applyAlignment="true" applyProtection="true">
      <alignment horizontal="left" vertical="center" textRotation="0" wrapText="true" indent="0" shrinkToFit="false"/>
      <protection locked="true" hidden="false"/>
    </xf>
    <xf numFmtId="164" fontId="120" fillId="17" borderId="6" xfId="30" applyFont="true" applyBorder="true" applyAlignment="true" applyProtection="true">
      <alignment horizontal="left" vertical="center" textRotation="0" wrapText="false" indent="0" shrinkToFit="false"/>
      <protection locked="false" hidden="false"/>
    </xf>
    <xf numFmtId="173" fontId="120" fillId="0" borderId="47" xfId="30" applyFont="true" applyBorder="true" applyAlignment="true" applyProtection="true">
      <alignment horizontal="center" vertical="center" textRotation="0" wrapText="false" indent="0" shrinkToFit="false"/>
      <protection locked="false" hidden="false"/>
    </xf>
    <xf numFmtId="164" fontId="125" fillId="16" borderId="7" xfId="30" applyFont="true" applyBorder="true" applyAlignment="true" applyProtection="true">
      <alignment horizontal="left" vertical="center" textRotation="0" wrapText="true" indent="0" shrinkToFit="false"/>
      <protection locked="true" hidden="false"/>
    </xf>
    <xf numFmtId="164" fontId="89" fillId="0" borderId="7" xfId="30" applyFont="true" applyBorder="true" applyAlignment="true" applyProtection="true">
      <alignment horizontal="left" vertical="center" textRotation="0" wrapText="true" indent="0" shrinkToFit="false"/>
      <protection locked="false" hidden="false"/>
    </xf>
    <xf numFmtId="164" fontId="90" fillId="2" borderId="6" xfId="30" applyFont="true" applyBorder="true" applyAlignment="true" applyProtection="true">
      <alignment horizontal="center" vertical="center" textRotation="0" wrapText="true" indent="0" shrinkToFit="false"/>
      <protection locked="false" hidden="false"/>
    </xf>
    <xf numFmtId="164" fontId="120" fillId="0" borderId="44" xfId="30" applyFont="true" applyBorder="true" applyAlignment="true" applyProtection="true">
      <alignment horizontal="center" vertical="center" textRotation="0" wrapText="false" indent="0" shrinkToFit="false"/>
      <protection locked="false" hidden="false"/>
    </xf>
    <xf numFmtId="164" fontId="120" fillId="0" borderId="6" xfId="30" applyFont="true" applyBorder="true" applyAlignment="true" applyProtection="true">
      <alignment horizontal="center" vertical="center" textRotation="0" wrapText="false" indent="0" shrinkToFit="false"/>
      <protection locked="false" hidden="false"/>
    </xf>
    <xf numFmtId="164" fontId="125" fillId="16" borderId="20" xfId="30" applyFont="true" applyBorder="true" applyAlignment="true" applyProtection="true">
      <alignment horizontal="general" vertical="center" textRotation="0" wrapText="true" indent="0" shrinkToFit="false"/>
      <protection locked="true" hidden="false"/>
    </xf>
    <xf numFmtId="164" fontId="90" fillId="0" borderId="6" xfId="0" applyFont="true" applyBorder="true" applyAlignment="true" applyProtection="true">
      <alignment horizontal="general" vertical="center" textRotation="0" wrapText="false" indent="0" shrinkToFit="false"/>
      <protection locked="true" hidden="false"/>
    </xf>
    <xf numFmtId="164" fontId="126" fillId="0" borderId="0" xfId="31" applyFont="true" applyBorder="false" applyAlignment="true" applyProtection="true">
      <alignment horizontal="general" vertical="bottom" textRotation="0" wrapText="false" indent="0" shrinkToFit="false"/>
      <protection locked="true" hidden="false"/>
    </xf>
    <xf numFmtId="164" fontId="120" fillId="0" borderId="16" xfId="30" applyFont="true" applyBorder="true" applyAlignment="true" applyProtection="true">
      <alignment horizontal="center" vertical="center" textRotation="0" wrapText="false" indent="0" shrinkToFit="false"/>
      <protection locked="false" hidden="false"/>
    </xf>
    <xf numFmtId="164" fontId="125" fillId="16" borderId="11" xfId="30" applyFont="true" applyBorder="true" applyAlignment="true" applyProtection="true">
      <alignment horizontal="left" vertical="center" textRotation="0" wrapText="true" indent="0" shrinkToFit="false"/>
      <protection locked="true" hidden="false"/>
    </xf>
    <xf numFmtId="164" fontId="120" fillId="0" borderId="11" xfId="30" applyFont="true" applyBorder="true" applyAlignment="true" applyProtection="true">
      <alignment horizontal="center" vertical="center" textRotation="0" wrapText="false" indent="0" shrinkToFit="false"/>
      <protection locked="false" hidden="false"/>
    </xf>
    <xf numFmtId="164" fontId="125" fillId="16" borderId="11" xfId="30" applyFont="true" applyBorder="true" applyAlignment="true" applyProtection="true">
      <alignment horizontal="general" vertical="center" textRotation="0" wrapText="true" indent="0" shrinkToFit="false"/>
      <protection locked="true" hidden="false"/>
    </xf>
    <xf numFmtId="164" fontId="121" fillId="0" borderId="40" xfId="30" applyFont="true" applyBorder="true" applyAlignment="true" applyProtection="true">
      <alignment horizontal="center" vertical="center" textRotation="0" wrapText="false" indent="0" shrinkToFit="false"/>
      <protection locked="false" hidden="false"/>
    </xf>
    <xf numFmtId="164" fontId="127" fillId="0" borderId="0" xfId="31" applyFont="true" applyBorder="false" applyAlignment="true" applyProtection="true">
      <alignment horizontal="general" vertical="bottom" textRotation="0" wrapText="false" indent="0" shrinkToFit="false"/>
      <protection locked="true" hidden="false"/>
    </xf>
    <xf numFmtId="164" fontId="125" fillId="18" borderId="6" xfId="31" applyFont="true" applyBorder="true" applyAlignment="true" applyProtection="true">
      <alignment horizontal="left" vertical="center" textRotation="0" wrapText="true" indent="0" shrinkToFit="false"/>
      <protection locked="true" hidden="false"/>
    </xf>
    <xf numFmtId="177" fontId="121" fillId="17" borderId="6" xfId="31" applyFont="true" applyBorder="true" applyAlignment="true" applyProtection="true">
      <alignment horizontal="left" vertical="center" textRotation="0" wrapText="false" indent="0" shrinkToFit="false"/>
      <protection locked="true" hidden="false"/>
    </xf>
    <xf numFmtId="164" fontId="125" fillId="2" borderId="6" xfId="31" applyFont="true" applyBorder="true" applyAlignment="true" applyProtection="true">
      <alignment horizontal="left" vertical="center" textRotation="0" wrapText="true" indent="0" shrinkToFit="false"/>
      <protection locked="true" hidden="false"/>
    </xf>
    <xf numFmtId="164" fontId="120" fillId="2" borderId="28" xfId="31" applyFont="true" applyBorder="true" applyAlignment="true" applyProtection="true">
      <alignment horizontal="general" vertical="bottom" textRotation="0" wrapText="false" indent="0" shrinkToFit="false"/>
      <protection locked="true" hidden="false"/>
    </xf>
    <xf numFmtId="164" fontId="125" fillId="2" borderId="28" xfId="31" applyFont="true" applyBorder="true" applyAlignment="true" applyProtection="true">
      <alignment horizontal="left" vertical="center" textRotation="0" wrapText="true" indent="0" shrinkToFit="false"/>
      <protection locked="true" hidden="false"/>
    </xf>
    <xf numFmtId="164" fontId="125" fillId="0" borderId="0" xfId="31" applyFont="true" applyBorder="false" applyAlignment="true" applyProtection="true">
      <alignment horizontal="left" vertical="center" textRotation="0" wrapText="true" indent="0" shrinkToFit="false"/>
      <protection locked="true" hidden="false"/>
    </xf>
    <xf numFmtId="164" fontId="92" fillId="0" borderId="29" xfId="31" applyFont="true" applyBorder="true" applyAlignment="true" applyProtection="true">
      <alignment horizontal="center" vertical="center" textRotation="0" wrapText="false" indent="0" shrinkToFit="false"/>
      <protection locked="true" hidden="false"/>
    </xf>
    <xf numFmtId="164" fontId="5" fillId="2" borderId="0" xfId="31" applyFont="true" applyBorder="false" applyAlignment="true" applyProtection="true">
      <alignment horizontal="general" vertical="bottom" textRotation="0" wrapText="false" indent="0" shrinkToFit="false"/>
      <protection locked="true" hidden="false"/>
    </xf>
    <xf numFmtId="164" fontId="126" fillId="2" borderId="0" xfId="31" applyFont="true" applyBorder="false" applyAlignment="true" applyProtection="true">
      <alignment horizontal="general" vertical="bottom" textRotation="0" wrapText="false" indent="0" shrinkToFit="false"/>
      <protection locked="true" hidden="false"/>
    </xf>
    <xf numFmtId="177" fontId="128" fillId="17" borderId="6" xfId="30" applyFont="true" applyBorder="true" applyAlignment="true" applyProtection="true">
      <alignment horizontal="left" vertical="center" textRotation="0" wrapText="false" indent="0" shrinkToFit="false"/>
      <protection locked="false" hidden="false"/>
    </xf>
    <xf numFmtId="164" fontId="125" fillId="16" borderId="6" xfId="31" applyFont="true" applyBorder="true" applyAlignment="true" applyProtection="true">
      <alignment horizontal="left" vertical="center" textRotation="0" wrapText="true" indent="0" shrinkToFit="false"/>
      <protection locked="true" hidden="false"/>
    </xf>
    <xf numFmtId="164" fontId="120" fillId="2" borderId="47" xfId="31" applyFont="true" applyBorder="true" applyAlignment="true" applyProtection="true">
      <alignment horizontal="center" vertical="center" textRotation="0" wrapText="false" indent="0" shrinkToFit="false"/>
      <protection locked="false" hidden="false"/>
    </xf>
    <xf numFmtId="164" fontId="125" fillId="16" borderId="7" xfId="31" applyFont="true" applyBorder="true" applyAlignment="true" applyProtection="true">
      <alignment horizontal="left" vertical="center" textRotation="0" wrapText="true" indent="0" shrinkToFit="false"/>
      <protection locked="true" hidden="false"/>
    </xf>
    <xf numFmtId="164" fontId="120" fillId="2" borderId="7" xfId="31" applyFont="true" applyBorder="true" applyAlignment="true" applyProtection="true">
      <alignment horizontal="center" vertical="center" textRotation="0" wrapText="false" indent="0" shrinkToFit="false"/>
      <protection locked="false" hidden="false"/>
    </xf>
    <xf numFmtId="164" fontId="125" fillId="16" borderId="7" xfId="0" applyFont="true" applyBorder="true" applyAlignment="true" applyProtection="true">
      <alignment horizontal="left" vertical="center" textRotation="0" wrapText="true" indent="0" shrinkToFit="false"/>
      <protection locked="true" hidden="false"/>
    </xf>
    <xf numFmtId="164" fontId="121" fillId="2" borderId="21" xfId="0" applyFont="true" applyBorder="true" applyAlignment="true" applyProtection="true">
      <alignment horizontal="center" vertical="center" textRotation="0" wrapText="true" indent="0" shrinkToFit="false"/>
      <protection locked="false" hidden="false"/>
    </xf>
    <xf numFmtId="177" fontId="126" fillId="0" borderId="0" xfId="31" applyFont="true" applyBorder="false" applyAlignment="true" applyProtection="true">
      <alignment horizontal="general" vertical="bottom" textRotation="0" wrapText="false" indent="0" shrinkToFit="false"/>
      <protection locked="true" hidden="false"/>
    </xf>
    <xf numFmtId="177" fontId="121" fillId="17" borderId="6" xfId="31" applyFont="true" applyBorder="true" applyAlignment="true" applyProtection="true">
      <alignment horizontal="left" vertical="center" textRotation="0" wrapText="false" indent="0" shrinkToFit="false"/>
      <protection locked="false" hidden="false"/>
    </xf>
    <xf numFmtId="164" fontId="129" fillId="2" borderId="73" xfId="31" applyFont="true" applyBorder="true" applyAlignment="true" applyProtection="true">
      <alignment horizontal="center" vertical="center" textRotation="0" wrapText="false" indent="0" shrinkToFit="false"/>
      <protection locked="false" hidden="false"/>
    </xf>
    <xf numFmtId="164" fontId="121" fillId="2" borderId="6" xfId="31" applyFont="true" applyBorder="true" applyAlignment="true" applyProtection="true">
      <alignment horizontal="center" vertical="center" textRotation="0" wrapText="false" indent="0" shrinkToFit="false"/>
      <protection locked="true" hidden="false"/>
    </xf>
    <xf numFmtId="164" fontId="125" fillId="16" borderId="6" xfId="0" applyFont="true" applyBorder="true" applyAlignment="true" applyProtection="true">
      <alignment horizontal="left" vertical="center" textRotation="0" wrapText="true" indent="0" shrinkToFit="false"/>
      <protection locked="true" hidden="false"/>
    </xf>
    <xf numFmtId="164" fontId="121" fillId="2" borderId="8" xfId="0" applyFont="true" applyBorder="true" applyAlignment="true" applyProtection="true">
      <alignment horizontal="center" vertical="center" textRotation="0" wrapText="false" indent="0" shrinkToFit="false"/>
      <protection locked="false" hidden="false"/>
    </xf>
    <xf numFmtId="164" fontId="125" fillId="18" borderId="6" xfId="0" applyFont="true" applyBorder="true" applyAlignment="true" applyProtection="true">
      <alignment horizontal="left" vertical="center" textRotation="0" wrapText="true" indent="0" shrinkToFit="false"/>
      <protection locked="true" hidden="false"/>
    </xf>
    <xf numFmtId="177" fontId="121" fillId="17" borderId="6" xfId="0" applyFont="true" applyBorder="true" applyAlignment="true" applyProtection="true">
      <alignment horizontal="left" vertical="center" textRotation="0" wrapText="false" indent="0" shrinkToFit="false"/>
      <protection locked="false" hidden="false"/>
    </xf>
    <xf numFmtId="164" fontId="125" fillId="16" borderId="15" xfId="31" applyFont="true" applyBorder="true" applyAlignment="true" applyProtection="true">
      <alignment horizontal="left" vertical="center" textRotation="0" wrapText="true" indent="0" shrinkToFit="false"/>
      <protection locked="true" hidden="false"/>
    </xf>
    <xf numFmtId="177" fontId="121" fillId="2" borderId="42" xfId="0" applyFont="true" applyBorder="true" applyAlignment="true" applyProtection="true">
      <alignment horizontal="center" vertical="center" textRotation="0" wrapText="false" indent="0" shrinkToFit="false"/>
      <protection locked="false" hidden="false"/>
    </xf>
    <xf numFmtId="177" fontId="125" fillId="2" borderId="43" xfId="0" applyFont="true" applyBorder="true" applyAlignment="true" applyProtection="true">
      <alignment horizontal="center" vertical="center" textRotation="0" wrapText="true" indent="0" shrinkToFit="false"/>
      <protection locked="true" hidden="false"/>
    </xf>
    <xf numFmtId="164" fontId="125" fillId="2" borderId="6" xfId="0" applyFont="true" applyBorder="true" applyAlignment="true" applyProtection="true">
      <alignment horizontal="general" vertical="center" textRotation="0" wrapText="true" indent="0" shrinkToFit="false"/>
      <protection locked="true" hidden="false"/>
    </xf>
    <xf numFmtId="164" fontId="125" fillId="2" borderId="6" xfId="0" applyFont="true" applyBorder="true" applyAlignment="true" applyProtection="true">
      <alignment horizontal="center" vertical="center" textRotation="0" wrapText="true" indent="0" shrinkToFit="false"/>
      <protection locked="true" hidden="false"/>
    </xf>
    <xf numFmtId="177" fontId="130" fillId="0" borderId="0" xfId="31" applyFont="true" applyBorder="false" applyAlignment="true" applyProtection="true">
      <alignment horizontal="general" vertical="bottom" textRotation="0" wrapText="false" indent="0" shrinkToFit="false"/>
      <protection locked="true" hidden="false"/>
    </xf>
    <xf numFmtId="164" fontId="124" fillId="0" borderId="6" xfId="31" applyFont="true" applyBorder="true" applyAlignment="true" applyProtection="true">
      <alignment horizontal="left" vertical="bottom" textRotation="0" wrapText="false" indent="0" shrinkToFit="false"/>
      <protection locked="true" hidden="false"/>
    </xf>
    <xf numFmtId="164" fontId="124" fillId="0" borderId="32" xfId="31" applyFont="true" applyBorder="true" applyAlignment="true" applyProtection="true">
      <alignment horizontal="general" vertical="bottom" textRotation="0" wrapText="false" indent="0" shrinkToFit="false"/>
      <protection locked="true" hidden="false"/>
    </xf>
    <xf numFmtId="164" fontId="131" fillId="4" borderId="6" xfId="31" applyFont="true" applyBorder="true" applyAlignment="true" applyProtection="true">
      <alignment horizontal="left" vertical="center" textRotation="0" wrapText="true" indent="0" shrinkToFit="false"/>
      <protection locked="true" hidden="false"/>
    </xf>
    <xf numFmtId="164" fontId="131" fillId="7" borderId="74" xfId="31" applyFont="true" applyBorder="true" applyAlignment="true" applyProtection="true">
      <alignment horizontal="center" vertical="center" textRotation="0" wrapText="true" indent="0" shrinkToFit="false"/>
      <protection locked="true" hidden="false"/>
    </xf>
    <xf numFmtId="164" fontId="131" fillId="7" borderId="75" xfId="31" applyFont="true" applyBorder="true" applyAlignment="true" applyProtection="true">
      <alignment horizontal="center" vertical="center" textRotation="0" wrapText="true" indent="0" shrinkToFit="false"/>
      <protection locked="true" hidden="false"/>
    </xf>
    <xf numFmtId="164" fontId="131" fillId="7" borderId="53" xfId="31" applyFont="true" applyBorder="true" applyAlignment="true" applyProtection="true">
      <alignment horizontal="left" vertical="center" textRotation="0" wrapText="true" indent="0" shrinkToFit="false"/>
      <protection locked="true" hidden="false"/>
    </xf>
    <xf numFmtId="177" fontId="5" fillId="7" borderId="0" xfId="31" applyFont="true" applyBorder="false" applyAlignment="true" applyProtection="true">
      <alignment horizontal="general" vertical="bottom" textRotation="0" wrapText="false" indent="0" shrinkToFit="false"/>
      <protection locked="true" hidden="false"/>
    </xf>
    <xf numFmtId="164" fontId="5" fillId="7" borderId="0" xfId="31" applyFont="true" applyBorder="false" applyAlignment="true" applyProtection="true">
      <alignment horizontal="general" vertical="bottom" textRotation="0" wrapText="false" indent="0" shrinkToFit="false"/>
      <protection locked="true" hidden="false"/>
    </xf>
    <xf numFmtId="164" fontId="0" fillId="19" borderId="6" xfId="0" applyFont="true" applyBorder="true" applyAlignment="true" applyProtection="true">
      <alignment horizontal="center" vertical="center" textRotation="0" wrapText="false" indent="0" shrinkToFit="false"/>
      <protection locked="true" hidden="false"/>
    </xf>
    <xf numFmtId="164" fontId="0" fillId="19" borderId="6" xfId="0" applyFont="true" applyBorder="true" applyAlignment="true" applyProtection="true">
      <alignment horizontal="left" vertical="bottom" textRotation="0" wrapText="true" indent="0" shrinkToFit="false"/>
      <protection locked="true" hidden="false"/>
    </xf>
    <xf numFmtId="177" fontId="0" fillId="19" borderId="6" xfId="0" applyFont="false" applyBorder="true" applyAlignment="true" applyProtection="true">
      <alignment horizontal="left" vertical="bottom" textRotation="0" wrapText="false" indent="0" shrinkToFit="false"/>
      <protection locked="true" hidden="false"/>
    </xf>
    <xf numFmtId="177" fontId="132" fillId="17" borderId="47" xfId="31" applyFont="true" applyBorder="true" applyAlignment="true" applyProtection="true">
      <alignment horizontal="center" vertical="center" textRotation="0" wrapText="false" indent="0" shrinkToFit="false"/>
      <protection locked="false" hidden="false"/>
    </xf>
    <xf numFmtId="177" fontId="132" fillId="17" borderId="7" xfId="31" applyFont="true" applyBorder="true" applyAlignment="true" applyProtection="true">
      <alignment horizontal="center" vertical="center" textRotation="0" wrapText="false" indent="0" shrinkToFit="false"/>
      <protection locked="false" hidden="false"/>
    </xf>
    <xf numFmtId="177" fontId="133" fillId="17" borderId="7" xfId="31" applyFont="true" applyBorder="true" applyAlignment="true" applyProtection="true">
      <alignment horizontal="center" vertical="center" textRotation="0" wrapText="false" indent="0" shrinkToFit="false"/>
      <protection locked="false" hidden="false"/>
    </xf>
    <xf numFmtId="177" fontId="125" fillId="17" borderId="21" xfId="31" applyFont="true" applyBorder="true" applyAlignment="true" applyProtection="true">
      <alignment horizontal="center" vertical="center" textRotation="0" wrapText="true" indent="0" shrinkToFit="false"/>
      <protection locked="false" hidden="false"/>
    </xf>
    <xf numFmtId="177" fontId="122" fillId="0" borderId="0" xfId="31" applyFont="true" applyBorder="false" applyAlignment="true" applyProtection="true">
      <alignment horizontal="center" vertical="center" textRotation="0" wrapText="false" indent="0" shrinkToFit="false"/>
      <protection locked="false" hidden="false"/>
    </xf>
    <xf numFmtId="177" fontId="92" fillId="0" borderId="0" xfId="31" applyFont="true" applyBorder="true" applyAlignment="true" applyProtection="true">
      <alignment horizontal="center" vertical="center" textRotation="0" wrapText="false" indent="0" shrinkToFit="false"/>
      <protection locked="false" hidden="false"/>
    </xf>
    <xf numFmtId="164" fontId="5" fillId="0" borderId="0" xfId="31" applyFont="true" applyBorder="false" applyAlignment="true" applyProtection="true">
      <alignment horizontal="general" vertical="bottom" textRotation="0" wrapText="false" indent="0" shrinkToFit="false"/>
      <protection locked="false" hidden="false"/>
    </xf>
    <xf numFmtId="177" fontId="134" fillId="0" borderId="0" xfId="31" applyFont="true" applyBorder="false" applyAlignment="true" applyProtection="true">
      <alignment horizontal="general" vertical="center" textRotation="0" wrapText="false" indent="0" shrinkToFit="false"/>
      <protection locked="false" hidden="false"/>
    </xf>
    <xf numFmtId="177" fontId="132" fillId="17" borderId="44" xfId="31" applyFont="true" applyBorder="true" applyAlignment="true" applyProtection="true">
      <alignment horizontal="center" vertical="center" textRotation="0" wrapText="false" indent="0" shrinkToFit="false"/>
      <protection locked="false" hidden="false"/>
    </xf>
    <xf numFmtId="177" fontId="132" fillId="17" borderId="6" xfId="31" applyFont="true" applyBorder="true" applyAlignment="true" applyProtection="true">
      <alignment horizontal="center" vertical="center" textRotation="0" wrapText="false" indent="0" shrinkToFit="false"/>
      <protection locked="false" hidden="false"/>
    </xf>
    <xf numFmtId="177" fontId="133" fillId="17" borderId="6" xfId="31" applyFont="true" applyBorder="true" applyAlignment="true" applyProtection="true">
      <alignment horizontal="center" vertical="center" textRotation="0" wrapText="false" indent="0" shrinkToFit="false"/>
      <protection locked="false" hidden="false"/>
    </xf>
    <xf numFmtId="177" fontId="125" fillId="17" borderId="8" xfId="31" applyFont="true" applyBorder="true" applyAlignment="true" applyProtection="true">
      <alignment horizontal="center" vertical="center" textRotation="0" wrapText="true" indent="0" shrinkToFit="false"/>
      <protection locked="false" hidden="false"/>
    </xf>
    <xf numFmtId="177" fontId="126" fillId="0" borderId="0" xfId="31" applyFont="true" applyBorder="false" applyAlignment="true" applyProtection="true">
      <alignment horizontal="general" vertical="bottom" textRotation="0" wrapText="false" indent="0" shrinkToFit="false"/>
      <protection locked="false" hidden="false"/>
    </xf>
    <xf numFmtId="177" fontId="92" fillId="0" borderId="0" xfId="31" applyFont="true" applyBorder="false" applyAlignment="true" applyProtection="true">
      <alignment horizontal="center" vertical="center" textRotation="0" wrapText="false" indent="0" shrinkToFit="false"/>
      <protection locked="false" hidden="false"/>
    </xf>
    <xf numFmtId="164" fontId="92" fillId="0" borderId="0" xfId="31" applyFont="true" applyBorder="false" applyAlignment="true" applyProtection="true">
      <alignment horizontal="center" vertical="center" textRotation="0" wrapText="false" indent="0" shrinkToFit="false"/>
      <protection locked="false" hidden="false"/>
    </xf>
    <xf numFmtId="164" fontId="130" fillId="0" borderId="0" xfId="31" applyFont="true" applyBorder="false" applyAlignment="true" applyProtection="true">
      <alignment horizontal="general" vertical="bottom" textRotation="0" wrapText="false" indent="0" shrinkToFit="false"/>
      <protection locked="false" hidden="false"/>
    </xf>
    <xf numFmtId="164" fontId="122" fillId="0" borderId="0" xfId="31" applyFont="true" applyBorder="false" applyAlignment="true" applyProtection="true">
      <alignment horizontal="general" vertical="bottom" textRotation="0" wrapText="false" indent="0" shrinkToFit="false"/>
      <protection locked="false" hidden="false"/>
    </xf>
    <xf numFmtId="164" fontId="0" fillId="0" borderId="6" xfId="0" applyFont="true" applyBorder="true" applyAlignment="true" applyProtection="true">
      <alignment horizontal="left" vertical="center" textRotation="0" wrapText="false" indent="0" shrinkToFit="false"/>
      <protection locked="true" hidden="false"/>
    </xf>
    <xf numFmtId="177" fontId="0" fillId="0" borderId="6" xfId="0" applyFont="false" applyBorder="true" applyAlignment="true" applyProtection="true">
      <alignment horizontal="left" vertical="center" textRotation="0" wrapText="false" indent="0" shrinkToFit="false"/>
      <protection locked="true" hidden="false"/>
    </xf>
    <xf numFmtId="177" fontId="80" fillId="0" borderId="14" xfId="31" applyFont="true" applyBorder="true" applyAlignment="true" applyProtection="true">
      <alignment horizontal="center" vertical="center" textRotation="0" wrapText="false" indent="0" shrinkToFit="false"/>
      <protection locked="false" hidden="false"/>
    </xf>
    <xf numFmtId="177" fontId="132" fillId="20" borderId="6" xfId="31" applyFont="true" applyBorder="true" applyAlignment="true" applyProtection="true">
      <alignment horizontal="center" vertical="center" textRotation="0" wrapText="false" indent="0" shrinkToFit="false"/>
      <protection locked="false" hidden="false"/>
    </xf>
    <xf numFmtId="177" fontId="133" fillId="20" borderId="6" xfId="31" applyFont="true" applyBorder="true" applyAlignment="true" applyProtection="true">
      <alignment horizontal="center" vertical="center" textRotation="0" wrapText="false" indent="0" shrinkToFit="false"/>
      <protection locked="false" hidden="false"/>
    </xf>
    <xf numFmtId="164" fontId="135" fillId="0" borderId="25" xfId="31" applyFont="true" applyBorder="true" applyAlignment="true" applyProtection="true">
      <alignment horizontal="center" vertical="center" textRotation="0" wrapText="false" indent="0" shrinkToFit="false"/>
      <protection locked="false" hidden="false"/>
    </xf>
    <xf numFmtId="177" fontId="135" fillId="0" borderId="25" xfId="31" applyFont="true" applyBorder="true" applyAlignment="true" applyProtection="true">
      <alignment horizontal="center" vertical="center" textRotation="0" wrapText="false" indent="0" shrinkToFit="false"/>
      <protection locked="false" hidden="false"/>
    </xf>
    <xf numFmtId="177" fontId="5" fillId="0" borderId="0" xfId="31" applyFont="true" applyBorder="false" applyAlignment="true" applyProtection="true">
      <alignment horizontal="general" vertical="bottom" textRotation="0" wrapText="false" indent="0" shrinkToFit="false"/>
      <protection locked="false" hidden="false"/>
    </xf>
    <xf numFmtId="164" fontId="136" fillId="2" borderId="25" xfId="31" applyFont="true" applyBorder="true" applyAlignment="true" applyProtection="true">
      <alignment horizontal="center" vertical="center" textRotation="0" wrapText="false" indent="0" shrinkToFit="false"/>
      <protection locked="false" hidden="false"/>
    </xf>
    <xf numFmtId="177" fontId="137" fillId="0" borderId="4" xfId="32" applyFont="true" applyBorder="true" applyAlignment="true" applyProtection="true">
      <alignment horizontal="center" vertical="bottom" textRotation="0" wrapText="false" indent="0" shrinkToFit="false"/>
      <protection locked="true" hidden="false"/>
    </xf>
    <xf numFmtId="185" fontId="5" fillId="0" borderId="0" xfId="31" applyFont="true" applyBorder="false" applyAlignment="true" applyProtection="true">
      <alignment horizontal="general" vertical="bottom" textRotation="0" wrapText="false" indent="0" shrinkToFit="false"/>
      <protection locked="false" hidden="false"/>
    </xf>
    <xf numFmtId="164" fontId="0" fillId="21" borderId="6" xfId="0" applyFont="true" applyBorder="true" applyAlignment="true" applyProtection="true">
      <alignment horizontal="left" vertical="center" textRotation="0" wrapText="false" indent="0" shrinkToFit="false"/>
      <protection locked="true" hidden="false"/>
    </xf>
    <xf numFmtId="164" fontId="0" fillId="21" borderId="6" xfId="0" applyFont="true" applyBorder="true" applyAlignment="true" applyProtection="true">
      <alignment horizontal="left" vertical="center" textRotation="0" wrapText="true" indent="0" shrinkToFit="false"/>
      <protection locked="true" hidden="false"/>
    </xf>
    <xf numFmtId="177" fontId="0" fillId="21" borderId="6" xfId="0" applyFont="false" applyBorder="true" applyAlignment="true" applyProtection="true">
      <alignment horizontal="left" vertical="center" textRotation="0" wrapText="false" indent="0" shrinkToFit="false"/>
      <protection locked="true" hidden="false"/>
    </xf>
    <xf numFmtId="164" fontId="0" fillId="22" borderId="6" xfId="0" applyFont="true" applyBorder="true" applyAlignment="true" applyProtection="true">
      <alignment horizontal="left" vertical="center" textRotation="0" wrapText="false" indent="0" shrinkToFit="false"/>
      <protection locked="true" hidden="false"/>
    </xf>
    <xf numFmtId="164" fontId="0" fillId="22" borderId="6" xfId="0" applyFont="true" applyBorder="true" applyAlignment="true" applyProtection="true">
      <alignment horizontal="left" vertical="center" textRotation="0" wrapText="true" indent="0" shrinkToFit="false"/>
      <protection locked="true" hidden="false"/>
    </xf>
    <xf numFmtId="177" fontId="0" fillId="22" borderId="6" xfId="0" applyFont="false" applyBorder="true" applyAlignment="true" applyProtection="true">
      <alignment horizontal="left" vertical="center" textRotation="0" wrapText="false" indent="0" shrinkToFit="false"/>
      <protection locked="true" hidden="false"/>
    </xf>
    <xf numFmtId="164" fontId="0" fillId="23" borderId="6" xfId="0" applyFont="true" applyBorder="true" applyAlignment="true" applyProtection="true">
      <alignment horizontal="left" vertical="center" textRotation="0" wrapText="false" indent="0" shrinkToFit="false"/>
      <protection locked="true" hidden="false"/>
    </xf>
    <xf numFmtId="164" fontId="0" fillId="23" borderId="6" xfId="0" applyFont="true" applyBorder="true" applyAlignment="true" applyProtection="true">
      <alignment horizontal="left" vertical="center" textRotation="0" wrapText="true" indent="0" shrinkToFit="false"/>
      <protection locked="true" hidden="false"/>
    </xf>
    <xf numFmtId="177" fontId="0" fillId="23" borderId="6" xfId="0" applyFont="false" applyBorder="true" applyAlignment="true" applyProtection="true">
      <alignment horizontal="left" vertical="center" textRotation="0" wrapText="false" indent="0" shrinkToFit="false"/>
      <protection locked="true" hidden="false"/>
    </xf>
    <xf numFmtId="177" fontId="80" fillId="0" borderId="74" xfId="31" applyFont="true" applyBorder="true" applyAlignment="true" applyProtection="true">
      <alignment horizontal="center" vertical="center" textRotation="0" wrapText="false" indent="0" shrinkToFit="false"/>
      <protection locked="false" hidden="false"/>
    </xf>
    <xf numFmtId="164" fontId="135" fillId="0" borderId="53" xfId="31" applyFont="true" applyBorder="true" applyAlignment="true" applyProtection="true">
      <alignment horizontal="center" vertical="center" textRotation="0" wrapText="false" indent="0" shrinkToFit="false"/>
      <protection locked="false" hidden="false"/>
    </xf>
    <xf numFmtId="164" fontId="125" fillId="2" borderId="25" xfId="31" applyFont="true" applyBorder="true" applyAlignment="true" applyProtection="true">
      <alignment horizontal="center" vertical="center" textRotation="0" wrapText="false" indent="0" shrinkToFit="false"/>
      <protection locked="false" hidden="false"/>
    </xf>
    <xf numFmtId="164" fontId="136" fillId="2" borderId="53" xfId="31" applyFont="true" applyBorder="true" applyAlignment="true" applyProtection="true">
      <alignment horizontal="center" vertical="center" textRotation="0" wrapText="false" indent="0" shrinkToFit="false"/>
      <protection locked="false" hidden="false"/>
    </xf>
    <xf numFmtId="164" fontId="136" fillId="4" borderId="25" xfId="31" applyFont="true" applyBorder="true" applyAlignment="true" applyProtection="true">
      <alignment horizontal="center" vertical="center" textRotation="0" wrapText="false" indent="0" shrinkToFit="false"/>
      <protection locked="false" hidden="false"/>
    </xf>
    <xf numFmtId="164" fontId="138" fillId="4" borderId="6" xfId="31" applyFont="true" applyBorder="true" applyAlignment="true" applyProtection="true">
      <alignment horizontal="center" vertical="center" textRotation="0" wrapText="false" indent="0" shrinkToFit="false"/>
      <protection locked="false" hidden="false"/>
    </xf>
    <xf numFmtId="177" fontId="80" fillId="17" borderId="14" xfId="31" applyFont="true" applyBorder="true" applyAlignment="true" applyProtection="true">
      <alignment horizontal="center" vertical="center" textRotation="0" wrapText="false" indent="0" shrinkToFit="false"/>
      <protection locked="false" hidden="false"/>
    </xf>
    <xf numFmtId="164" fontId="125" fillId="20" borderId="21" xfId="31" applyFont="true" applyBorder="true" applyAlignment="true" applyProtection="true">
      <alignment horizontal="center" vertical="center" textRotation="0" wrapText="true" indent="0" shrinkToFit="false"/>
      <protection locked="false" hidden="false"/>
    </xf>
    <xf numFmtId="177" fontId="132" fillId="20" borderId="44" xfId="31" applyFont="true" applyBorder="true" applyAlignment="true" applyProtection="true">
      <alignment horizontal="center" vertical="center" textRotation="0" wrapText="false" indent="0" shrinkToFit="false"/>
      <protection locked="false" hidden="false"/>
    </xf>
    <xf numFmtId="164" fontId="139" fillId="20" borderId="8" xfId="20" applyFont="true" applyBorder="true" applyAlignment="true" applyProtection="true">
      <alignment horizontal="center" vertical="center" textRotation="0" wrapText="true" indent="0" shrinkToFit="false"/>
      <protection locked="false" hidden="false"/>
    </xf>
    <xf numFmtId="164" fontId="125" fillId="20" borderId="8" xfId="31" applyFont="true" applyBorder="true" applyAlignment="true" applyProtection="true">
      <alignment horizontal="center" vertical="center" textRotation="0" wrapText="true" indent="0" shrinkToFit="false"/>
      <protection locked="false" hidden="false"/>
    </xf>
    <xf numFmtId="164" fontId="0" fillId="24" borderId="6" xfId="0" applyFont="true" applyBorder="true" applyAlignment="true" applyProtection="true">
      <alignment horizontal="left" vertical="center" textRotation="0" wrapText="false" indent="0" shrinkToFit="false"/>
      <protection locked="true" hidden="false"/>
    </xf>
    <xf numFmtId="164" fontId="0" fillId="24" borderId="6" xfId="0" applyFont="true" applyBorder="true" applyAlignment="true" applyProtection="true">
      <alignment horizontal="left" vertical="center" textRotation="0" wrapText="true" indent="0" shrinkToFit="false"/>
      <protection locked="true" hidden="false"/>
    </xf>
    <xf numFmtId="177" fontId="0" fillId="24" borderId="6" xfId="0" applyFont="false" applyBorder="true" applyAlignment="true" applyProtection="true">
      <alignment horizontal="left" vertical="center" textRotation="0" wrapText="false" indent="0" shrinkToFit="false"/>
      <protection locked="true" hidden="false"/>
    </xf>
    <xf numFmtId="184" fontId="90" fillId="0" borderId="0" xfId="31" applyFont="true" applyBorder="false" applyAlignment="true" applyProtection="true">
      <alignment horizontal="general" vertical="bottom" textRotation="0" wrapText="false" indent="0" shrinkToFit="false"/>
      <protection locked="false" hidden="false"/>
    </xf>
    <xf numFmtId="164" fontId="0" fillId="25" borderId="6" xfId="0" applyFont="true" applyBorder="true" applyAlignment="true" applyProtection="true">
      <alignment horizontal="left" vertical="center" textRotation="0" wrapText="false" indent="0" shrinkToFit="false"/>
      <protection locked="true" hidden="false"/>
    </xf>
    <xf numFmtId="164" fontId="0" fillId="25" borderId="6" xfId="0" applyFont="true" applyBorder="true" applyAlignment="true" applyProtection="true">
      <alignment horizontal="left" vertical="center" textRotation="0" wrapText="true" indent="0" shrinkToFit="false"/>
      <protection locked="true" hidden="false"/>
    </xf>
    <xf numFmtId="177" fontId="0" fillId="25" borderId="6" xfId="0" applyFont="false" applyBorder="true" applyAlignment="true" applyProtection="true">
      <alignment horizontal="left" vertical="center" textRotation="0" wrapText="false" indent="0" shrinkToFit="false"/>
      <protection locked="true" hidden="false"/>
    </xf>
    <xf numFmtId="177" fontId="80" fillId="0" borderId="44" xfId="31" applyFont="true" applyBorder="true" applyAlignment="true" applyProtection="true">
      <alignment horizontal="center" vertical="center" textRotation="0" wrapText="false" indent="0" shrinkToFit="false"/>
      <protection locked="false" hidden="false"/>
    </xf>
    <xf numFmtId="164" fontId="0" fillId="26" borderId="6" xfId="0" applyFont="true" applyBorder="true" applyAlignment="true" applyProtection="true">
      <alignment horizontal="left" vertical="center" textRotation="0" wrapText="false" indent="0" shrinkToFit="false"/>
      <protection locked="true" hidden="false"/>
    </xf>
    <xf numFmtId="164" fontId="0" fillId="26" borderId="6" xfId="0" applyFont="true" applyBorder="true" applyAlignment="true" applyProtection="true">
      <alignment horizontal="left" vertical="center" textRotation="0" wrapText="true" indent="0" shrinkToFit="false"/>
      <protection locked="true" hidden="false"/>
    </xf>
    <xf numFmtId="177" fontId="0" fillId="26" borderId="6" xfId="0" applyFont="false" applyBorder="true" applyAlignment="true" applyProtection="true">
      <alignment horizontal="left" vertical="center" textRotation="0" wrapText="false" indent="0" shrinkToFit="false"/>
      <protection locked="true" hidden="false"/>
    </xf>
    <xf numFmtId="164" fontId="5" fillId="0" borderId="15" xfId="31" applyFont="true" applyBorder="true" applyAlignment="true" applyProtection="true">
      <alignment horizontal="general" vertical="bottom" textRotation="0" wrapText="false" indent="0" shrinkToFit="false"/>
      <protection locked="false" hidden="false"/>
    </xf>
    <xf numFmtId="164" fontId="0" fillId="27" borderId="6" xfId="0" applyFont="true" applyBorder="true" applyAlignment="true" applyProtection="true">
      <alignment horizontal="left" vertical="center" textRotation="0" wrapText="false" indent="0" shrinkToFit="false"/>
      <protection locked="true" hidden="false"/>
    </xf>
    <xf numFmtId="164" fontId="0" fillId="27" borderId="6" xfId="0" applyFont="true" applyBorder="true" applyAlignment="true" applyProtection="true">
      <alignment horizontal="left" vertical="center" textRotation="0" wrapText="true" indent="0" shrinkToFit="false"/>
      <protection locked="true" hidden="false"/>
    </xf>
    <xf numFmtId="177" fontId="0" fillId="27" borderId="6" xfId="0" applyFont="false" applyBorder="true" applyAlignment="true" applyProtection="true">
      <alignment horizontal="left" vertical="center" textRotation="0" wrapText="false" indent="0" shrinkToFit="false"/>
      <protection locked="true" hidden="false"/>
    </xf>
    <xf numFmtId="177" fontId="80" fillId="20" borderId="47" xfId="31" applyFont="true" applyBorder="true" applyAlignment="true" applyProtection="true">
      <alignment horizontal="center" vertical="center" textRotation="0" wrapText="false" indent="0" shrinkToFit="false"/>
      <protection locked="false" hidden="false"/>
    </xf>
    <xf numFmtId="186" fontId="123" fillId="20" borderId="21" xfId="31" applyFont="true" applyBorder="true" applyAlignment="true" applyProtection="true">
      <alignment horizontal="center" vertical="center" textRotation="0" wrapText="false" indent="0" shrinkToFit="false"/>
      <protection locked="false" hidden="false"/>
    </xf>
    <xf numFmtId="177" fontId="80" fillId="20" borderId="44" xfId="31" applyFont="true" applyBorder="true" applyAlignment="true" applyProtection="true">
      <alignment horizontal="center" vertical="center" textRotation="0" wrapText="false" indent="0" shrinkToFit="false"/>
      <protection locked="false" hidden="false"/>
    </xf>
    <xf numFmtId="164" fontId="123" fillId="20" borderId="8" xfId="31" applyFont="true" applyBorder="true" applyAlignment="true" applyProtection="true">
      <alignment horizontal="center" vertical="center" textRotation="0" wrapText="true" indent="0" shrinkToFit="false"/>
      <protection locked="false" hidden="false"/>
    </xf>
    <xf numFmtId="177" fontId="80" fillId="20" borderId="16" xfId="31" applyFont="true" applyBorder="true" applyAlignment="true" applyProtection="true">
      <alignment horizontal="center" vertical="center" textRotation="0" wrapText="false" indent="0" shrinkToFit="false"/>
      <protection locked="false" hidden="false"/>
    </xf>
    <xf numFmtId="186" fontId="123" fillId="20" borderId="12" xfId="31" applyFont="true" applyBorder="true" applyAlignment="true" applyProtection="true">
      <alignment horizontal="center" vertical="center" textRotation="0" wrapText="false" indent="0" shrinkToFit="false"/>
      <protection locked="false" hidden="false"/>
    </xf>
    <xf numFmtId="186" fontId="123" fillId="20" borderId="23" xfId="31" applyFont="true" applyBorder="true" applyAlignment="true" applyProtection="true">
      <alignment horizontal="center" vertical="center" textRotation="0" wrapText="false" indent="0" shrinkToFit="false"/>
      <protection locked="false" hidden="false"/>
    </xf>
    <xf numFmtId="164" fontId="89" fillId="0" borderId="0" xfId="31" applyFont="true" applyBorder="false" applyAlignment="true" applyProtection="true">
      <alignment horizontal="general" vertical="bottom" textRotation="0" wrapText="false" indent="0" shrinkToFit="false"/>
      <protection locked="false" hidden="false"/>
    </xf>
    <xf numFmtId="186" fontId="123" fillId="20" borderId="25" xfId="31" applyFont="true" applyBorder="true" applyAlignment="true" applyProtection="true">
      <alignment horizontal="center" vertical="center" textRotation="0" wrapText="false" indent="0" shrinkToFit="false"/>
      <protection locked="false" hidden="false"/>
    </xf>
    <xf numFmtId="186" fontId="123" fillId="20" borderId="8" xfId="31" applyFont="true" applyBorder="true" applyAlignment="true" applyProtection="true">
      <alignment horizontal="center" vertical="center" textRotation="0" wrapText="false" indent="0" shrinkToFit="false"/>
      <protection locked="false" hidden="false"/>
    </xf>
    <xf numFmtId="177" fontId="123" fillId="20" borderId="8" xfId="31" applyFont="true" applyBorder="true" applyAlignment="true" applyProtection="true">
      <alignment horizontal="center" vertical="center" textRotation="0" wrapText="false" indent="0" shrinkToFit="false"/>
      <protection locked="false" hidden="false"/>
    </xf>
    <xf numFmtId="164" fontId="126" fillId="4" borderId="0" xfId="31" applyFont="true" applyBorder="false" applyAlignment="true" applyProtection="true">
      <alignment horizontal="general" vertical="center" textRotation="0" wrapText="true" indent="0" shrinkToFit="false"/>
      <protection locked="false" hidden="false"/>
    </xf>
    <xf numFmtId="164" fontId="5" fillId="0" borderId="0" xfId="31" applyFont="true" applyBorder="false" applyAlignment="true" applyProtection="true">
      <alignment horizontal="general" vertical="center" textRotation="0" wrapText="true" indent="0" shrinkToFit="false"/>
      <protection locked="false" hidden="false"/>
    </xf>
    <xf numFmtId="164" fontId="126" fillId="0" borderId="0" xfId="31" applyFont="true" applyBorder="false" applyAlignment="true" applyProtection="true">
      <alignment horizontal="general" vertical="bottom" textRotation="0" wrapText="false" indent="0" shrinkToFit="false"/>
      <protection locked="false" hidden="false"/>
    </xf>
    <xf numFmtId="168" fontId="123" fillId="20" borderId="12" xfId="31" applyFont="true" applyBorder="true" applyAlignment="true" applyProtection="true">
      <alignment horizontal="center" vertical="center" textRotation="0" wrapText="false" indent="0" shrinkToFit="false"/>
      <protection locked="false" hidden="false"/>
    </xf>
    <xf numFmtId="164" fontId="0" fillId="28" borderId="6" xfId="0" applyFont="true" applyBorder="true" applyAlignment="true" applyProtection="true">
      <alignment horizontal="left" vertical="center" textRotation="0" wrapText="false" indent="0" shrinkToFit="false"/>
      <protection locked="true" hidden="false"/>
    </xf>
    <xf numFmtId="164" fontId="0" fillId="28" borderId="6" xfId="0" applyFont="true" applyBorder="true" applyAlignment="true" applyProtection="true">
      <alignment horizontal="left" vertical="center" textRotation="0" wrapText="true" indent="0" shrinkToFit="false"/>
      <protection locked="true" hidden="false"/>
    </xf>
    <xf numFmtId="177" fontId="0" fillId="28" borderId="6" xfId="0" applyFont="false" applyBorder="true" applyAlignment="true" applyProtection="true">
      <alignment horizontal="left" vertical="center" textRotation="0" wrapText="false" indent="0" shrinkToFit="false"/>
      <protection locked="true" hidden="false"/>
    </xf>
    <xf numFmtId="164" fontId="0" fillId="29" borderId="6" xfId="0" applyFont="true" applyBorder="true" applyAlignment="true" applyProtection="true">
      <alignment horizontal="left" vertical="center" textRotation="0" wrapText="false" indent="0" shrinkToFit="false"/>
      <protection locked="true" hidden="false"/>
    </xf>
    <xf numFmtId="164" fontId="0" fillId="29" borderId="6" xfId="0" applyFont="true" applyBorder="true" applyAlignment="true" applyProtection="true">
      <alignment horizontal="left" vertical="center" textRotation="0" wrapText="true" indent="0" shrinkToFit="false"/>
      <protection locked="true" hidden="false"/>
    </xf>
    <xf numFmtId="177" fontId="0" fillId="29" borderId="6" xfId="0" applyFont="false" applyBorder="true" applyAlignment="true" applyProtection="true">
      <alignment horizontal="left" vertical="center" textRotation="0" wrapText="false" indent="0" shrinkToFit="false"/>
      <protection locked="true" hidden="false"/>
    </xf>
    <xf numFmtId="164" fontId="0" fillId="30" borderId="6" xfId="0" applyFont="true" applyBorder="true" applyAlignment="true" applyProtection="true">
      <alignment horizontal="left" vertical="center" textRotation="0" wrapText="false" indent="0" shrinkToFit="false"/>
      <protection locked="true" hidden="false"/>
    </xf>
    <xf numFmtId="164" fontId="0" fillId="30" borderId="6" xfId="0" applyFont="true" applyBorder="true" applyAlignment="true" applyProtection="true">
      <alignment horizontal="left" vertical="center" textRotation="0" wrapText="true" indent="0" shrinkToFit="false"/>
      <protection locked="true" hidden="false"/>
    </xf>
    <xf numFmtId="177" fontId="0" fillId="30" borderId="6" xfId="0" applyFont="false" applyBorder="true" applyAlignment="true" applyProtection="true">
      <alignment horizontal="left" vertical="center" textRotation="0" wrapText="false" indent="0" shrinkToFit="false"/>
      <protection locked="true" hidden="false"/>
    </xf>
    <xf numFmtId="164" fontId="123" fillId="0" borderId="8" xfId="31" applyFont="true" applyBorder="true" applyAlignment="true" applyProtection="true">
      <alignment horizontal="center" vertical="center" textRotation="0" wrapText="false" indent="0" shrinkToFit="false"/>
      <protection locked="false" hidden="false"/>
    </xf>
    <xf numFmtId="164" fontId="123" fillId="0" borderId="23" xfId="31" applyFont="true" applyBorder="true" applyAlignment="true" applyProtection="true">
      <alignment horizontal="center" vertical="center" textRotation="0" wrapText="false" indent="0" shrinkToFit="false"/>
      <protection locked="false" hidden="false"/>
    </xf>
    <xf numFmtId="164" fontId="138" fillId="4" borderId="76" xfId="31" applyFont="true" applyBorder="true" applyAlignment="true" applyProtection="true">
      <alignment horizontal="center" vertical="center" textRotation="0" wrapText="false" indent="0" shrinkToFit="false"/>
      <protection locked="false" hidden="false"/>
    </xf>
    <xf numFmtId="164" fontId="138" fillId="4" borderId="51" xfId="31" applyFont="true" applyBorder="true" applyAlignment="true" applyProtection="true">
      <alignment horizontal="center" vertical="center" textRotation="0" wrapText="false" indent="0" shrinkToFit="false"/>
      <protection locked="false" hidden="false"/>
    </xf>
    <xf numFmtId="164" fontId="123" fillId="0" borderId="25" xfId="31" applyFont="true" applyBorder="true" applyAlignment="true" applyProtection="true">
      <alignment horizontal="center" vertical="center" textRotation="0" wrapText="false" indent="0" shrinkToFit="false"/>
      <protection locked="false" hidden="false"/>
    </xf>
    <xf numFmtId="168" fontId="123" fillId="20" borderId="21" xfId="31" applyFont="true" applyBorder="true" applyAlignment="true" applyProtection="true">
      <alignment horizontal="center" vertical="center" textRotation="0" wrapText="false" indent="0" shrinkToFit="false"/>
      <protection locked="false" hidden="false"/>
    </xf>
    <xf numFmtId="164" fontId="0" fillId="31" borderId="6" xfId="0" applyFont="true" applyBorder="true" applyAlignment="true" applyProtection="true">
      <alignment horizontal="left" vertical="center" textRotation="0" wrapText="false" indent="0" shrinkToFit="false"/>
      <protection locked="true" hidden="false"/>
    </xf>
    <xf numFmtId="164" fontId="0" fillId="31" borderId="6" xfId="0" applyFont="true" applyBorder="true" applyAlignment="true" applyProtection="true">
      <alignment horizontal="left" vertical="center" textRotation="0" wrapText="true" indent="0" shrinkToFit="false"/>
      <protection locked="true" hidden="false"/>
    </xf>
    <xf numFmtId="177" fontId="0" fillId="31" borderId="6" xfId="0" applyFont="false" applyBorder="true" applyAlignment="true" applyProtection="true">
      <alignment horizontal="left" vertical="center" textRotation="0" wrapText="false" indent="0" shrinkToFit="false"/>
      <protection locked="true" hidden="false"/>
    </xf>
    <xf numFmtId="164" fontId="32" fillId="4" borderId="8" xfId="31" applyFont="true" applyBorder="true" applyAlignment="true" applyProtection="true">
      <alignment horizontal="center" vertical="center" textRotation="0" wrapText="false" indent="0" shrinkToFit="false"/>
      <protection locked="false" hidden="false"/>
    </xf>
    <xf numFmtId="164" fontId="136" fillId="4" borderId="53" xfId="31" applyFont="true" applyBorder="true" applyAlignment="true" applyProtection="true">
      <alignment horizontal="center" vertical="center" textRotation="0" wrapText="false" indent="0" shrinkToFit="false"/>
      <protection locked="false" hidden="false"/>
    </xf>
    <xf numFmtId="164" fontId="0" fillId="32" borderId="6" xfId="0" applyFont="true" applyBorder="true" applyAlignment="true" applyProtection="true">
      <alignment horizontal="left" vertical="center" textRotation="0" wrapText="false" indent="0" shrinkToFit="false"/>
      <protection locked="true" hidden="false"/>
    </xf>
    <xf numFmtId="164" fontId="0" fillId="32" borderId="6" xfId="0" applyFont="true" applyBorder="true" applyAlignment="true" applyProtection="true">
      <alignment horizontal="left" vertical="center" textRotation="0" wrapText="true" indent="0" shrinkToFit="false"/>
      <protection locked="true" hidden="false"/>
    </xf>
    <xf numFmtId="177" fontId="0" fillId="32" borderId="6" xfId="0" applyFont="false" applyBorder="true" applyAlignment="true" applyProtection="true">
      <alignment horizontal="left" vertical="center" textRotation="0" wrapText="false" indent="0" shrinkToFit="false"/>
      <protection locked="true" hidden="false"/>
    </xf>
    <xf numFmtId="164" fontId="0" fillId="33" borderId="6" xfId="0" applyFont="true" applyBorder="true" applyAlignment="true" applyProtection="true">
      <alignment horizontal="left" vertical="center" textRotation="0" wrapText="false" indent="0" shrinkToFit="false"/>
      <protection locked="true" hidden="false"/>
    </xf>
    <xf numFmtId="164" fontId="0" fillId="33" borderId="6" xfId="0" applyFont="true" applyBorder="true" applyAlignment="true" applyProtection="true">
      <alignment horizontal="left" vertical="center" textRotation="0" wrapText="true" indent="0" shrinkToFit="false"/>
      <protection locked="true" hidden="false"/>
    </xf>
    <xf numFmtId="177" fontId="0" fillId="33" borderId="6" xfId="0" applyFont="false" applyBorder="true" applyAlignment="true" applyProtection="true">
      <alignment horizontal="left" vertical="center" textRotation="0" wrapText="false" indent="0" shrinkToFit="false"/>
      <protection locked="true" hidden="false"/>
    </xf>
    <xf numFmtId="177" fontId="80" fillId="20" borderId="14" xfId="31" applyFont="true" applyBorder="true" applyAlignment="true" applyProtection="true">
      <alignment horizontal="center" vertical="center" textRotation="0" wrapText="false" indent="0" shrinkToFit="false"/>
      <protection locked="false" hidden="false"/>
    </xf>
    <xf numFmtId="164" fontId="0" fillId="34" borderId="6" xfId="0" applyFont="true" applyBorder="true" applyAlignment="true" applyProtection="true">
      <alignment horizontal="left" vertical="center" textRotation="0" wrapText="false" indent="0" shrinkToFit="false"/>
      <protection locked="true" hidden="false"/>
    </xf>
    <xf numFmtId="164" fontId="0" fillId="34" borderId="6" xfId="0" applyFont="true" applyBorder="true" applyAlignment="true" applyProtection="true">
      <alignment horizontal="left" vertical="center" textRotation="0" wrapText="true" indent="0" shrinkToFit="false"/>
      <protection locked="true" hidden="false"/>
    </xf>
    <xf numFmtId="177" fontId="0" fillId="34" borderId="6" xfId="0" applyFont="false" applyBorder="true" applyAlignment="true" applyProtection="true">
      <alignment horizontal="left" vertical="center" textRotation="0" wrapText="false" indent="0" shrinkToFit="false"/>
      <protection locked="true" hidden="false"/>
    </xf>
    <xf numFmtId="164" fontId="55" fillId="20" borderId="8" xfId="31" applyFont="true" applyBorder="true" applyAlignment="true" applyProtection="true">
      <alignment horizontal="center" vertical="center" textRotation="0" wrapText="true" indent="0" shrinkToFit="false"/>
      <protection locked="false" hidden="false"/>
    </xf>
    <xf numFmtId="164" fontId="136" fillId="2" borderId="8" xfId="31" applyFont="true" applyBorder="true" applyAlignment="true" applyProtection="true">
      <alignment horizontal="center" vertical="center" textRotation="0" wrapText="false" indent="0" shrinkToFit="false"/>
      <protection locked="false" hidden="false"/>
    </xf>
    <xf numFmtId="177" fontId="80" fillId="2" borderId="14" xfId="31" applyFont="true" applyBorder="true" applyAlignment="true" applyProtection="true">
      <alignment horizontal="center" vertical="center" textRotation="0" wrapText="false" indent="0" shrinkToFit="false"/>
      <protection locked="false" hidden="false"/>
    </xf>
    <xf numFmtId="164" fontId="5" fillId="2" borderId="0" xfId="31" applyFont="true" applyBorder="false" applyAlignment="true" applyProtection="true">
      <alignment horizontal="general" vertical="bottom" textRotation="0" wrapText="false" indent="0" shrinkToFit="false"/>
      <protection locked="false" hidden="false"/>
    </xf>
    <xf numFmtId="168" fontId="124" fillId="20" borderId="21" xfId="31" applyFont="true" applyBorder="true" applyAlignment="true" applyProtection="true">
      <alignment horizontal="center" vertical="center" textRotation="0" wrapText="false" indent="0" shrinkToFit="false"/>
      <protection locked="false" hidden="false"/>
    </xf>
    <xf numFmtId="177" fontId="140" fillId="20" borderId="44" xfId="31" applyFont="true" applyBorder="true" applyAlignment="true" applyProtection="true">
      <alignment horizontal="center" vertical="center" textRotation="0" wrapText="false" indent="0" shrinkToFit="false"/>
      <protection locked="false" hidden="false"/>
    </xf>
    <xf numFmtId="168" fontId="124" fillId="20" borderId="8" xfId="31" applyFont="true" applyBorder="true" applyAlignment="true" applyProtection="true">
      <alignment horizontal="center" vertical="center" textRotation="0" wrapText="true" indent="0" shrinkToFit="false"/>
      <protection locked="false" hidden="false"/>
    </xf>
    <xf numFmtId="177" fontId="140" fillId="20" borderId="16" xfId="31" applyFont="true" applyBorder="true" applyAlignment="true" applyProtection="true">
      <alignment horizontal="center" vertical="center" textRotation="0" wrapText="false" indent="0" shrinkToFit="false"/>
      <protection locked="false" hidden="false"/>
    </xf>
    <xf numFmtId="164" fontId="123" fillId="20" borderId="12" xfId="31" applyFont="true" applyBorder="true" applyAlignment="true" applyProtection="true">
      <alignment horizontal="center" vertical="center" textRotation="0" wrapText="true" indent="0" shrinkToFit="false"/>
      <protection locked="false" hidden="false"/>
    </xf>
    <xf numFmtId="177" fontId="140" fillId="4" borderId="74" xfId="31" applyFont="true" applyBorder="true" applyAlignment="true" applyProtection="true">
      <alignment horizontal="center" vertical="center" textRotation="0" wrapText="false" indent="0" shrinkToFit="false"/>
      <protection locked="false" hidden="false"/>
    </xf>
    <xf numFmtId="164" fontId="124" fillId="4" borderId="53" xfId="31" applyFont="true" applyBorder="true" applyAlignment="true" applyProtection="true">
      <alignment horizontal="center" vertical="center" textRotation="0" wrapText="false" indent="0" shrinkToFit="false"/>
      <protection locked="false" hidden="false"/>
    </xf>
    <xf numFmtId="164" fontId="0" fillId="35" borderId="6" xfId="0" applyFont="true" applyBorder="true" applyAlignment="true" applyProtection="true">
      <alignment horizontal="left" vertical="center" textRotation="0" wrapText="false" indent="0" shrinkToFit="false"/>
      <protection locked="true" hidden="false"/>
    </xf>
    <xf numFmtId="164" fontId="0" fillId="35" borderId="6" xfId="0" applyFont="true" applyBorder="true" applyAlignment="true" applyProtection="true">
      <alignment horizontal="left" vertical="center" textRotation="0" wrapText="true" indent="0" shrinkToFit="false"/>
      <protection locked="true" hidden="false"/>
    </xf>
    <xf numFmtId="177" fontId="0" fillId="35" borderId="6" xfId="0" applyFont="false" applyBorder="true" applyAlignment="true" applyProtection="true">
      <alignment horizontal="left" vertical="center" textRotation="0" wrapText="false" indent="0" shrinkToFit="false"/>
      <protection locked="true" hidden="false"/>
    </xf>
    <xf numFmtId="164" fontId="0" fillId="36" borderId="6" xfId="0" applyFont="true" applyBorder="true" applyAlignment="true" applyProtection="true">
      <alignment horizontal="left" vertical="center" textRotation="0" wrapText="false" indent="0" shrinkToFit="false"/>
      <protection locked="true" hidden="false"/>
    </xf>
    <xf numFmtId="164" fontId="0" fillId="36" borderId="6" xfId="0" applyFont="true" applyBorder="true" applyAlignment="true" applyProtection="true">
      <alignment horizontal="left" vertical="center" textRotation="0" wrapText="true" indent="0" shrinkToFit="false"/>
      <protection locked="true" hidden="false"/>
    </xf>
    <xf numFmtId="177" fontId="0" fillId="36" borderId="6" xfId="0" applyFont="false" applyBorder="true" applyAlignment="true" applyProtection="true">
      <alignment horizontal="left" vertical="center" textRotation="0" wrapText="false" indent="0" shrinkToFit="false"/>
      <protection locked="true" hidden="false"/>
    </xf>
    <xf numFmtId="164" fontId="0" fillId="37" borderId="6" xfId="0" applyFont="true" applyBorder="true" applyAlignment="true" applyProtection="true">
      <alignment horizontal="left" vertical="center" textRotation="0" wrapText="false" indent="0" shrinkToFit="false"/>
      <protection locked="true" hidden="false"/>
    </xf>
    <xf numFmtId="164" fontId="0" fillId="37" borderId="6" xfId="0" applyFont="true" applyBorder="true" applyAlignment="true" applyProtection="true">
      <alignment horizontal="left" vertical="center" textRotation="0" wrapText="true" indent="0" shrinkToFit="false"/>
      <protection locked="true" hidden="false"/>
    </xf>
    <xf numFmtId="177" fontId="0" fillId="37" borderId="6" xfId="0" applyFont="false" applyBorder="true" applyAlignment="true" applyProtection="true">
      <alignment horizontal="left" vertical="center" textRotation="0" wrapText="false" indent="0" shrinkToFit="false"/>
      <protection locked="true" hidden="false"/>
    </xf>
    <xf numFmtId="164" fontId="0" fillId="38" borderId="6" xfId="0" applyFont="true" applyBorder="true" applyAlignment="true" applyProtection="true">
      <alignment horizontal="left" vertical="center" textRotation="0" wrapText="false" indent="0" shrinkToFit="false"/>
      <protection locked="true" hidden="false"/>
    </xf>
    <xf numFmtId="164" fontId="0" fillId="38" borderId="6" xfId="0" applyFont="true" applyBorder="true" applyAlignment="true" applyProtection="true">
      <alignment horizontal="left" vertical="center" textRotation="0" wrapText="true" indent="0" shrinkToFit="false"/>
      <protection locked="true" hidden="false"/>
    </xf>
    <xf numFmtId="177" fontId="0" fillId="38" borderId="6" xfId="0" applyFont="false" applyBorder="true" applyAlignment="true" applyProtection="true">
      <alignment horizontal="left" vertical="center" textRotation="0" wrapText="false" indent="0" shrinkToFit="false"/>
      <protection locked="true" hidden="false"/>
    </xf>
    <xf numFmtId="164" fontId="0" fillId="39" borderId="6" xfId="0" applyFont="true" applyBorder="true" applyAlignment="true" applyProtection="true">
      <alignment horizontal="left" vertical="center" textRotation="0" wrapText="false" indent="0" shrinkToFit="false"/>
      <protection locked="true" hidden="false"/>
    </xf>
    <xf numFmtId="164" fontId="0" fillId="39" borderId="6" xfId="0" applyFont="true" applyBorder="true" applyAlignment="true" applyProtection="true">
      <alignment horizontal="left" vertical="center" textRotation="0" wrapText="true" indent="0" shrinkToFit="false"/>
      <protection locked="true" hidden="false"/>
    </xf>
    <xf numFmtId="177" fontId="0" fillId="39" borderId="6" xfId="0" applyFont="false" applyBorder="true" applyAlignment="true" applyProtection="true">
      <alignment horizontal="left" vertical="center" textRotation="0" wrapText="false" indent="0" shrinkToFit="false"/>
      <protection locked="true" hidden="false"/>
    </xf>
    <xf numFmtId="164" fontId="5" fillId="0" borderId="6" xfId="31" applyFont="true" applyBorder="true" applyAlignment="true" applyProtection="true">
      <alignment horizontal="left" vertical="center" textRotation="90" wrapText="true" indent="0" shrinkToFit="false"/>
      <protection locked="false" hidden="false"/>
    </xf>
    <xf numFmtId="164" fontId="5" fillId="4" borderId="6" xfId="31" applyFont="true" applyBorder="true" applyAlignment="true" applyProtection="true">
      <alignment horizontal="left" vertical="center" textRotation="0" wrapText="false" indent="0" shrinkToFit="false"/>
      <protection locked="false" hidden="false"/>
    </xf>
    <xf numFmtId="164" fontId="5" fillId="0" borderId="6" xfId="31" applyFont="true" applyBorder="true" applyAlignment="true" applyProtection="true">
      <alignment horizontal="left" vertical="center" textRotation="0" wrapText="false" indent="0" shrinkToFit="false"/>
      <protection locked="false" hidden="false"/>
    </xf>
    <xf numFmtId="164" fontId="5" fillId="0" borderId="0" xfId="31" applyFont="true" applyBorder="false" applyAlignment="true" applyProtection="true">
      <alignment horizontal="center" vertical="center" textRotation="0" wrapText="false" indent="0" shrinkToFit="false"/>
      <protection locked="false" hidden="false"/>
    </xf>
    <xf numFmtId="164" fontId="5" fillId="0" borderId="6" xfId="31" applyFont="true" applyBorder="true" applyAlignment="true" applyProtection="true">
      <alignment horizontal="left" vertical="center" textRotation="0" wrapText="true" indent="0" shrinkToFit="false"/>
      <protection locked="false" hidden="false"/>
    </xf>
    <xf numFmtId="164" fontId="5" fillId="0" borderId="6" xfId="31" applyFont="true" applyBorder="true" applyAlignment="true" applyProtection="true">
      <alignment horizontal="left" vertical="bottom" textRotation="0" wrapText="true" indent="0" shrinkToFit="false"/>
      <protection locked="false" hidden="false"/>
    </xf>
    <xf numFmtId="164" fontId="5" fillId="4" borderId="6" xfId="31" applyFont="true" applyBorder="true" applyAlignment="true" applyProtection="true">
      <alignment horizontal="left" vertical="bottom" textRotation="0" wrapText="false" indent="0" shrinkToFit="false"/>
      <protection locked="false" hidden="false"/>
    </xf>
    <xf numFmtId="164" fontId="5" fillId="0" borderId="6" xfId="31" applyFont="true" applyBorder="true" applyAlignment="true" applyProtection="true">
      <alignment horizontal="left" vertical="bottom" textRotation="0" wrapText="false" indent="0" shrinkToFit="false"/>
      <protection locked="false" hidden="false"/>
    </xf>
    <xf numFmtId="164" fontId="5" fillId="0" borderId="6" xfId="31" applyFont="true" applyBorder="true" applyAlignment="true" applyProtection="true">
      <alignment horizontal="left" vertical="bottom" textRotation="0" wrapText="true" indent="0" shrinkToFit="false"/>
      <protection locked="true" hidden="false"/>
    </xf>
    <xf numFmtId="164" fontId="5" fillId="4" borderId="0" xfId="31" applyFont="true" applyBorder="false" applyAlignment="true" applyProtection="true">
      <alignment horizontal="general" vertical="bottom" textRotation="0" wrapText="false" indent="0" shrinkToFit="false"/>
      <protection locked="true" hidden="false"/>
    </xf>
    <xf numFmtId="164" fontId="141" fillId="40" borderId="6" xfId="0" applyFont="true" applyBorder="true" applyAlignment="true" applyProtection="true">
      <alignment horizontal="center" vertical="bottom" textRotation="0" wrapText="false" indent="0" shrinkToFit="false"/>
      <protection locked="true" hidden="false"/>
    </xf>
    <xf numFmtId="164" fontId="0" fillId="19" borderId="0" xfId="0" applyFont="true" applyBorder="true" applyAlignment="true" applyProtection="true">
      <alignment horizontal="general" vertical="bottom" textRotation="0" wrapText="false" indent="0" shrinkToFit="false"/>
      <protection locked="true" hidden="false"/>
    </xf>
    <xf numFmtId="164" fontId="0" fillId="19" borderId="6" xfId="0" applyFont="true" applyBorder="true" applyAlignment="true" applyProtection="true">
      <alignment horizontal="general" vertical="bottom" textRotation="0" wrapText="true" indent="0" shrinkToFit="false"/>
      <protection locked="true" hidden="false"/>
    </xf>
    <xf numFmtId="177" fontId="0" fillId="19" borderId="6" xfId="0" applyFont="false" applyBorder="true" applyAlignment="true" applyProtection="true">
      <alignment horizontal="general" vertical="bottom" textRotation="0" wrapText="false" indent="0" shrinkToFit="false"/>
      <protection locked="true" hidden="false"/>
    </xf>
    <xf numFmtId="185" fontId="0" fillId="19" borderId="6" xfId="0" applyFont="false" applyBorder="true" applyAlignment="true" applyProtection="true">
      <alignment horizontal="general" vertical="bottom" textRotation="0" wrapText="false" indent="0" shrinkToFit="false"/>
      <protection locked="true" hidden="false"/>
    </xf>
    <xf numFmtId="164" fontId="0" fillId="19" borderId="6" xfId="0" applyFont="true" applyBorder="true" applyAlignment="true" applyProtection="true">
      <alignment horizontal="general" vertical="bottom" textRotation="0" wrapText="false" indent="0" shrinkToFit="false"/>
      <protection locked="true" hidden="false"/>
    </xf>
    <xf numFmtId="164" fontId="0" fillId="21" borderId="0" xfId="0" applyFont="true" applyBorder="true" applyAlignment="true" applyProtection="true">
      <alignment horizontal="general" vertical="bottom" textRotation="0" wrapText="false" indent="0" shrinkToFit="false"/>
      <protection locked="true" hidden="false"/>
    </xf>
    <xf numFmtId="164" fontId="0" fillId="21" borderId="6" xfId="0" applyFont="true" applyBorder="true" applyAlignment="true" applyProtection="true">
      <alignment horizontal="general" vertical="bottom" textRotation="0" wrapText="true" indent="0" shrinkToFit="false"/>
      <protection locked="true" hidden="false"/>
    </xf>
    <xf numFmtId="177" fontId="0" fillId="21" borderId="6" xfId="0" applyFont="false" applyBorder="true" applyAlignment="true" applyProtection="true">
      <alignment horizontal="general" vertical="bottom" textRotation="0" wrapText="false" indent="0" shrinkToFit="false"/>
      <protection locked="true" hidden="false"/>
    </xf>
    <xf numFmtId="185" fontId="0" fillId="21" borderId="6" xfId="0" applyFont="false" applyBorder="true" applyAlignment="true" applyProtection="true">
      <alignment horizontal="general" vertical="bottom" textRotation="0" wrapText="false" indent="0" shrinkToFit="false"/>
      <protection locked="true" hidden="false"/>
    </xf>
    <xf numFmtId="164" fontId="0" fillId="21" borderId="6" xfId="0" applyFont="true" applyBorder="true" applyAlignment="true" applyProtection="true">
      <alignment horizontal="general" vertical="bottom" textRotation="0" wrapText="false" indent="0" shrinkToFit="false"/>
      <protection locked="true" hidden="false"/>
    </xf>
    <xf numFmtId="164" fontId="0" fillId="22" borderId="0" xfId="0" applyFont="true" applyBorder="true" applyAlignment="true" applyProtection="true">
      <alignment horizontal="general" vertical="bottom" textRotation="0" wrapText="false" indent="0" shrinkToFit="false"/>
      <protection locked="true" hidden="false"/>
    </xf>
    <xf numFmtId="164" fontId="0" fillId="22" borderId="6" xfId="0" applyFont="true" applyBorder="true" applyAlignment="true" applyProtection="true">
      <alignment horizontal="general" vertical="bottom" textRotation="0" wrapText="true" indent="0" shrinkToFit="false"/>
      <protection locked="true" hidden="false"/>
    </xf>
    <xf numFmtId="177" fontId="0" fillId="22" borderId="6" xfId="0" applyFont="false" applyBorder="true" applyAlignment="true" applyProtection="true">
      <alignment horizontal="general" vertical="bottom" textRotation="0" wrapText="false" indent="0" shrinkToFit="false"/>
      <protection locked="true" hidden="false"/>
    </xf>
    <xf numFmtId="185" fontId="0" fillId="22" borderId="6" xfId="0" applyFont="false" applyBorder="true" applyAlignment="true" applyProtection="true">
      <alignment horizontal="general" vertical="bottom" textRotation="0" wrapText="false" indent="0" shrinkToFit="false"/>
      <protection locked="true" hidden="false"/>
    </xf>
    <xf numFmtId="164" fontId="0" fillId="22" borderId="6" xfId="0" applyFont="true" applyBorder="true" applyAlignment="true" applyProtection="true">
      <alignment horizontal="general" vertical="bottom" textRotation="0" wrapText="false" indent="0" shrinkToFit="false"/>
      <protection locked="true" hidden="false"/>
    </xf>
    <xf numFmtId="164" fontId="0" fillId="23" borderId="0" xfId="0" applyFont="true" applyBorder="true" applyAlignment="true" applyProtection="true">
      <alignment horizontal="general" vertical="bottom" textRotation="0" wrapText="false" indent="0" shrinkToFit="false"/>
      <protection locked="true" hidden="false"/>
    </xf>
    <xf numFmtId="164" fontId="0" fillId="23" borderId="6" xfId="0" applyFont="true" applyBorder="true" applyAlignment="true" applyProtection="true">
      <alignment horizontal="general" vertical="bottom" textRotation="0" wrapText="true" indent="0" shrinkToFit="false"/>
      <protection locked="true" hidden="false"/>
    </xf>
    <xf numFmtId="177" fontId="0" fillId="23" borderId="6" xfId="0" applyFont="false" applyBorder="true" applyAlignment="true" applyProtection="true">
      <alignment horizontal="general" vertical="bottom" textRotation="0" wrapText="false" indent="0" shrinkToFit="false"/>
      <protection locked="true" hidden="false"/>
    </xf>
    <xf numFmtId="185" fontId="0" fillId="23" borderId="6" xfId="0" applyFont="false" applyBorder="true" applyAlignment="true" applyProtection="true">
      <alignment horizontal="general" vertical="bottom" textRotation="0" wrapText="false" indent="0" shrinkToFit="false"/>
      <protection locked="true" hidden="false"/>
    </xf>
    <xf numFmtId="164" fontId="0" fillId="23" borderId="6" xfId="0" applyFont="true" applyBorder="true" applyAlignment="true" applyProtection="true">
      <alignment horizontal="general" vertical="bottom" textRotation="0" wrapText="false" indent="0" shrinkToFit="false"/>
      <protection locked="true" hidden="false"/>
    </xf>
    <xf numFmtId="164" fontId="0" fillId="24" borderId="0" xfId="0" applyFont="true" applyBorder="true" applyAlignment="true" applyProtection="true">
      <alignment horizontal="general" vertical="bottom" textRotation="0" wrapText="false" indent="0" shrinkToFit="false"/>
      <protection locked="true" hidden="false"/>
    </xf>
    <xf numFmtId="164" fontId="0" fillId="24" borderId="6" xfId="0" applyFont="true" applyBorder="true" applyAlignment="true" applyProtection="true">
      <alignment horizontal="general" vertical="bottom" textRotation="0" wrapText="true" indent="0" shrinkToFit="false"/>
      <protection locked="true" hidden="false"/>
    </xf>
    <xf numFmtId="177" fontId="0" fillId="24" borderId="6" xfId="0" applyFont="false" applyBorder="true" applyAlignment="true" applyProtection="true">
      <alignment horizontal="general" vertical="bottom" textRotation="0" wrapText="false" indent="0" shrinkToFit="false"/>
      <protection locked="true" hidden="false"/>
    </xf>
    <xf numFmtId="185" fontId="0" fillId="24" borderId="6" xfId="0" applyFont="false" applyBorder="true" applyAlignment="true" applyProtection="true">
      <alignment horizontal="general" vertical="bottom" textRotation="0" wrapText="false" indent="0" shrinkToFit="false"/>
      <protection locked="true" hidden="false"/>
    </xf>
    <xf numFmtId="164" fontId="0" fillId="24" borderId="6" xfId="0" applyFont="true" applyBorder="true" applyAlignment="true" applyProtection="true">
      <alignment horizontal="general" vertical="bottom" textRotation="0" wrapText="false" indent="0" shrinkToFit="false"/>
      <protection locked="true" hidden="false"/>
    </xf>
    <xf numFmtId="164" fontId="0" fillId="25" borderId="0" xfId="0" applyFont="true" applyBorder="true" applyAlignment="true" applyProtection="true">
      <alignment horizontal="general" vertical="bottom" textRotation="0" wrapText="false" indent="0" shrinkToFit="false"/>
      <protection locked="true" hidden="false"/>
    </xf>
    <xf numFmtId="164" fontId="0" fillId="25" borderId="6" xfId="0" applyFont="true" applyBorder="true" applyAlignment="true" applyProtection="true">
      <alignment horizontal="general" vertical="bottom" textRotation="0" wrapText="true" indent="0" shrinkToFit="false"/>
      <protection locked="true" hidden="false"/>
    </xf>
    <xf numFmtId="177" fontId="0" fillId="25" borderId="6" xfId="0" applyFont="false" applyBorder="true" applyAlignment="true" applyProtection="true">
      <alignment horizontal="general" vertical="bottom" textRotation="0" wrapText="false" indent="0" shrinkToFit="false"/>
      <protection locked="true" hidden="false"/>
    </xf>
    <xf numFmtId="185" fontId="0" fillId="25" borderId="6" xfId="0" applyFont="false" applyBorder="true" applyAlignment="true" applyProtection="true">
      <alignment horizontal="general" vertical="bottom" textRotation="0" wrapText="false" indent="0" shrinkToFit="false"/>
      <protection locked="true" hidden="false"/>
    </xf>
    <xf numFmtId="164" fontId="0" fillId="25" borderId="6" xfId="0" applyFont="true" applyBorder="true" applyAlignment="true" applyProtection="true">
      <alignment horizontal="general" vertical="bottom" textRotation="0" wrapText="false" indent="0" shrinkToFit="false"/>
      <protection locked="true" hidden="false"/>
    </xf>
    <xf numFmtId="164" fontId="0" fillId="26" borderId="0" xfId="0" applyFont="true" applyBorder="true" applyAlignment="true" applyProtection="true">
      <alignment horizontal="general" vertical="bottom" textRotation="0" wrapText="false" indent="0" shrinkToFit="false"/>
      <protection locked="true" hidden="false"/>
    </xf>
    <xf numFmtId="164" fontId="0" fillId="26" borderId="6" xfId="0" applyFont="true" applyBorder="true" applyAlignment="true" applyProtection="true">
      <alignment horizontal="general" vertical="bottom" textRotation="0" wrapText="true" indent="0" shrinkToFit="false"/>
      <protection locked="true" hidden="false"/>
    </xf>
    <xf numFmtId="177" fontId="0" fillId="26" borderId="6" xfId="0" applyFont="false" applyBorder="true" applyAlignment="true" applyProtection="true">
      <alignment horizontal="general" vertical="bottom" textRotation="0" wrapText="false" indent="0" shrinkToFit="false"/>
      <protection locked="true" hidden="false"/>
    </xf>
    <xf numFmtId="185" fontId="0" fillId="26" borderId="6" xfId="0" applyFont="false" applyBorder="true" applyAlignment="true" applyProtection="true">
      <alignment horizontal="general" vertical="bottom" textRotation="0" wrapText="false" indent="0" shrinkToFit="false"/>
      <protection locked="true" hidden="false"/>
    </xf>
    <xf numFmtId="164" fontId="0" fillId="26" borderId="6" xfId="0" applyFont="true" applyBorder="true" applyAlignment="true" applyProtection="true">
      <alignment horizontal="general" vertical="bottom" textRotation="0" wrapText="false" indent="0" shrinkToFit="false"/>
      <protection locked="true" hidden="false"/>
    </xf>
    <xf numFmtId="164" fontId="0" fillId="27" borderId="0" xfId="0" applyFont="true" applyBorder="true" applyAlignment="true" applyProtection="true">
      <alignment horizontal="general" vertical="bottom" textRotation="0" wrapText="false" indent="0" shrinkToFit="false"/>
      <protection locked="true" hidden="false"/>
    </xf>
    <xf numFmtId="164" fontId="0" fillId="27" borderId="6" xfId="0" applyFont="true" applyBorder="true" applyAlignment="true" applyProtection="true">
      <alignment horizontal="general" vertical="bottom" textRotation="0" wrapText="true" indent="0" shrinkToFit="false"/>
      <protection locked="true" hidden="false"/>
    </xf>
    <xf numFmtId="177" fontId="0" fillId="27" borderId="6" xfId="0" applyFont="false" applyBorder="true" applyAlignment="true" applyProtection="true">
      <alignment horizontal="general" vertical="bottom" textRotation="0" wrapText="false" indent="0" shrinkToFit="false"/>
      <protection locked="true" hidden="false"/>
    </xf>
    <xf numFmtId="185" fontId="0" fillId="27" borderId="6" xfId="0" applyFont="false" applyBorder="true" applyAlignment="true" applyProtection="true">
      <alignment horizontal="general" vertical="bottom" textRotation="0" wrapText="false" indent="0" shrinkToFit="false"/>
      <protection locked="true" hidden="false"/>
    </xf>
    <xf numFmtId="164" fontId="0" fillId="27" borderId="6" xfId="0" applyFont="true" applyBorder="true" applyAlignment="true" applyProtection="true">
      <alignment horizontal="general" vertical="bottom" textRotation="0" wrapText="false" indent="0" shrinkToFit="false"/>
      <protection locked="true" hidden="false"/>
    </xf>
    <xf numFmtId="164" fontId="0" fillId="28" borderId="0" xfId="0" applyFont="true" applyBorder="true" applyAlignment="true" applyProtection="true">
      <alignment horizontal="general" vertical="bottom" textRotation="0" wrapText="false" indent="0" shrinkToFit="false"/>
      <protection locked="true" hidden="false"/>
    </xf>
    <xf numFmtId="164" fontId="0" fillId="28" borderId="6" xfId="0" applyFont="true" applyBorder="true" applyAlignment="true" applyProtection="true">
      <alignment horizontal="general" vertical="bottom" textRotation="0" wrapText="true" indent="0" shrinkToFit="false"/>
      <protection locked="true" hidden="false"/>
    </xf>
    <xf numFmtId="177" fontId="0" fillId="28" borderId="6" xfId="0" applyFont="false" applyBorder="true" applyAlignment="true" applyProtection="true">
      <alignment horizontal="general" vertical="bottom" textRotation="0" wrapText="false" indent="0" shrinkToFit="false"/>
      <protection locked="true" hidden="false"/>
    </xf>
    <xf numFmtId="185" fontId="0" fillId="28" borderId="6" xfId="0" applyFont="false" applyBorder="true" applyAlignment="true" applyProtection="true">
      <alignment horizontal="general" vertical="bottom" textRotation="0" wrapText="false" indent="0" shrinkToFit="false"/>
      <protection locked="true" hidden="false"/>
    </xf>
    <xf numFmtId="164" fontId="0" fillId="28" borderId="6" xfId="0" applyFont="true" applyBorder="true" applyAlignment="true" applyProtection="true">
      <alignment horizontal="general" vertical="bottom" textRotation="0" wrapText="false" indent="0" shrinkToFit="false"/>
      <protection locked="true" hidden="false"/>
    </xf>
    <xf numFmtId="164" fontId="0" fillId="29" borderId="0" xfId="0" applyFont="true" applyBorder="true" applyAlignment="true" applyProtection="true">
      <alignment horizontal="general" vertical="bottom" textRotation="0" wrapText="false" indent="0" shrinkToFit="false"/>
      <protection locked="true" hidden="false"/>
    </xf>
    <xf numFmtId="164" fontId="0" fillId="29" borderId="6" xfId="0" applyFont="true" applyBorder="true" applyAlignment="true" applyProtection="true">
      <alignment horizontal="general" vertical="bottom" textRotation="0" wrapText="true" indent="0" shrinkToFit="false"/>
      <protection locked="true" hidden="false"/>
    </xf>
    <xf numFmtId="177" fontId="0" fillId="29" borderId="6" xfId="0" applyFont="false" applyBorder="true" applyAlignment="true" applyProtection="true">
      <alignment horizontal="general" vertical="bottom" textRotation="0" wrapText="false" indent="0" shrinkToFit="false"/>
      <protection locked="true" hidden="false"/>
    </xf>
    <xf numFmtId="185" fontId="0" fillId="29" borderId="6" xfId="0" applyFont="false" applyBorder="true" applyAlignment="true" applyProtection="true">
      <alignment horizontal="general" vertical="bottom" textRotation="0" wrapText="false" indent="0" shrinkToFit="false"/>
      <protection locked="true" hidden="false"/>
    </xf>
    <xf numFmtId="164" fontId="0" fillId="29" borderId="6" xfId="0" applyFont="true" applyBorder="true" applyAlignment="true" applyProtection="true">
      <alignment horizontal="general" vertical="bottom" textRotation="0" wrapText="false" indent="0" shrinkToFit="false"/>
      <protection locked="true" hidden="false"/>
    </xf>
    <xf numFmtId="164" fontId="0" fillId="30" borderId="0" xfId="0" applyFont="true" applyBorder="true" applyAlignment="true" applyProtection="true">
      <alignment horizontal="general" vertical="bottom" textRotation="0" wrapText="false" indent="0" shrinkToFit="false"/>
      <protection locked="true" hidden="false"/>
    </xf>
    <xf numFmtId="164" fontId="0" fillId="30" borderId="6" xfId="0" applyFont="true" applyBorder="true" applyAlignment="true" applyProtection="true">
      <alignment horizontal="general" vertical="bottom" textRotation="0" wrapText="true" indent="0" shrinkToFit="false"/>
      <protection locked="true" hidden="false"/>
    </xf>
    <xf numFmtId="177" fontId="0" fillId="30" borderId="6" xfId="0" applyFont="false" applyBorder="true" applyAlignment="true" applyProtection="true">
      <alignment horizontal="general" vertical="bottom" textRotation="0" wrapText="false" indent="0" shrinkToFit="false"/>
      <protection locked="true" hidden="false"/>
    </xf>
    <xf numFmtId="185" fontId="0" fillId="30" borderId="6" xfId="0" applyFont="false" applyBorder="true" applyAlignment="true" applyProtection="true">
      <alignment horizontal="general" vertical="bottom" textRotation="0" wrapText="false" indent="0" shrinkToFit="false"/>
      <protection locked="true" hidden="false"/>
    </xf>
    <xf numFmtId="164" fontId="0" fillId="30" borderId="6" xfId="0" applyFont="true" applyBorder="true" applyAlignment="true" applyProtection="true">
      <alignment horizontal="general" vertical="bottom" textRotation="0" wrapText="false" indent="0" shrinkToFit="false"/>
      <protection locked="true" hidden="false"/>
    </xf>
    <xf numFmtId="164" fontId="0" fillId="31" borderId="0" xfId="0" applyFont="true" applyBorder="true" applyAlignment="true" applyProtection="true">
      <alignment horizontal="general" vertical="bottom" textRotation="0" wrapText="false" indent="0" shrinkToFit="false"/>
      <protection locked="true" hidden="false"/>
    </xf>
    <xf numFmtId="164" fontId="0" fillId="31" borderId="6" xfId="0" applyFont="true" applyBorder="true" applyAlignment="true" applyProtection="true">
      <alignment horizontal="general" vertical="bottom" textRotation="0" wrapText="true" indent="0" shrinkToFit="false"/>
      <protection locked="true" hidden="false"/>
    </xf>
    <xf numFmtId="177" fontId="0" fillId="31" borderId="6" xfId="0" applyFont="false" applyBorder="true" applyAlignment="true" applyProtection="true">
      <alignment horizontal="general" vertical="bottom" textRotation="0" wrapText="false" indent="0" shrinkToFit="false"/>
      <protection locked="true" hidden="false"/>
    </xf>
    <xf numFmtId="185" fontId="0" fillId="31" borderId="6" xfId="0" applyFont="false" applyBorder="true" applyAlignment="true" applyProtection="true">
      <alignment horizontal="general" vertical="bottom" textRotation="0" wrapText="false" indent="0" shrinkToFit="false"/>
      <protection locked="true" hidden="false"/>
    </xf>
    <xf numFmtId="164" fontId="0" fillId="31" borderId="6" xfId="0" applyFont="true" applyBorder="true" applyAlignment="true" applyProtection="true">
      <alignment horizontal="general" vertical="bottom" textRotation="0" wrapText="false" indent="0" shrinkToFit="false"/>
      <protection locked="true" hidden="false"/>
    </xf>
    <xf numFmtId="164" fontId="0" fillId="32" borderId="0" xfId="0" applyFont="true" applyBorder="true" applyAlignment="true" applyProtection="true">
      <alignment horizontal="general" vertical="bottom" textRotation="0" wrapText="false" indent="0" shrinkToFit="false"/>
      <protection locked="true" hidden="false"/>
    </xf>
    <xf numFmtId="164" fontId="0" fillId="32" borderId="6" xfId="0" applyFont="true" applyBorder="true" applyAlignment="true" applyProtection="true">
      <alignment horizontal="general" vertical="bottom" textRotation="0" wrapText="true" indent="0" shrinkToFit="false"/>
      <protection locked="true" hidden="false"/>
    </xf>
    <xf numFmtId="177" fontId="0" fillId="32" borderId="6" xfId="0" applyFont="false" applyBorder="true" applyAlignment="true" applyProtection="true">
      <alignment horizontal="general" vertical="bottom" textRotation="0" wrapText="false" indent="0" shrinkToFit="false"/>
      <protection locked="true" hidden="false"/>
    </xf>
    <xf numFmtId="185" fontId="0" fillId="32" borderId="6" xfId="0" applyFont="false" applyBorder="true" applyAlignment="true" applyProtection="true">
      <alignment horizontal="general" vertical="bottom" textRotation="0" wrapText="false" indent="0" shrinkToFit="false"/>
      <protection locked="true" hidden="false"/>
    </xf>
    <xf numFmtId="164" fontId="0" fillId="32" borderId="6" xfId="0" applyFont="true" applyBorder="true" applyAlignment="true" applyProtection="true">
      <alignment horizontal="general" vertical="bottom" textRotation="0" wrapText="false" indent="0" shrinkToFit="false"/>
      <protection locked="true" hidden="false"/>
    </xf>
    <xf numFmtId="164" fontId="0" fillId="33" borderId="0" xfId="0" applyFont="true" applyBorder="true" applyAlignment="true" applyProtection="true">
      <alignment horizontal="general" vertical="bottom" textRotation="0" wrapText="false" indent="0" shrinkToFit="false"/>
      <protection locked="true" hidden="false"/>
    </xf>
    <xf numFmtId="164" fontId="0" fillId="33" borderId="6" xfId="0" applyFont="true" applyBorder="true" applyAlignment="true" applyProtection="true">
      <alignment horizontal="general" vertical="bottom" textRotation="0" wrapText="true" indent="0" shrinkToFit="false"/>
      <protection locked="true" hidden="false"/>
    </xf>
    <xf numFmtId="177" fontId="0" fillId="33" borderId="6" xfId="0" applyFont="false" applyBorder="true" applyAlignment="true" applyProtection="true">
      <alignment horizontal="general" vertical="bottom" textRotation="0" wrapText="false" indent="0" shrinkToFit="false"/>
      <protection locked="true" hidden="false"/>
    </xf>
    <xf numFmtId="185" fontId="0" fillId="33" borderId="6" xfId="0" applyFont="false" applyBorder="true" applyAlignment="true" applyProtection="true">
      <alignment horizontal="general" vertical="bottom" textRotation="0" wrapText="false" indent="0" shrinkToFit="false"/>
      <protection locked="true" hidden="false"/>
    </xf>
    <xf numFmtId="164" fontId="0" fillId="33" borderId="6" xfId="0" applyFont="true" applyBorder="true" applyAlignment="true" applyProtection="true">
      <alignment horizontal="general" vertical="bottom" textRotation="0" wrapText="false" indent="0" shrinkToFit="false"/>
      <protection locked="true" hidden="false"/>
    </xf>
    <xf numFmtId="164" fontId="0" fillId="34" borderId="0" xfId="0" applyFont="true" applyBorder="true" applyAlignment="true" applyProtection="true">
      <alignment horizontal="general" vertical="bottom" textRotation="0" wrapText="false" indent="0" shrinkToFit="false"/>
      <protection locked="true" hidden="false"/>
    </xf>
    <xf numFmtId="164" fontId="0" fillId="34" borderId="6" xfId="0" applyFont="true" applyBorder="true" applyAlignment="true" applyProtection="true">
      <alignment horizontal="general" vertical="bottom" textRotation="0" wrapText="true" indent="0" shrinkToFit="false"/>
      <protection locked="true" hidden="false"/>
    </xf>
    <xf numFmtId="177" fontId="0" fillId="34" borderId="6" xfId="0" applyFont="false" applyBorder="true" applyAlignment="true" applyProtection="true">
      <alignment horizontal="general" vertical="bottom" textRotation="0" wrapText="false" indent="0" shrinkToFit="false"/>
      <protection locked="true" hidden="false"/>
    </xf>
    <xf numFmtId="185" fontId="0" fillId="34" borderId="6" xfId="0" applyFont="false" applyBorder="true" applyAlignment="true" applyProtection="true">
      <alignment horizontal="general" vertical="bottom" textRotation="0" wrapText="false" indent="0" shrinkToFit="false"/>
      <protection locked="true" hidden="false"/>
    </xf>
    <xf numFmtId="164" fontId="0" fillId="34" borderId="6" xfId="0" applyFont="true" applyBorder="true" applyAlignment="true" applyProtection="true">
      <alignment horizontal="general" vertical="bottom" textRotation="0" wrapText="false" indent="0" shrinkToFit="false"/>
      <protection locked="true" hidden="false"/>
    </xf>
    <xf numFmtId="164" fontId="0" fillId="35" borderId="0" xfId="0" applyFont="true" applyBorder="true" applyAlignment="true" applyProtection="true">
      <alignment horizontal="general" vertical="bottom" textRotation="0" wrapText="false" indent="0" shrinkToFit="false"/>
      <protection locked="true" hidden="false"/>
    </xf>
    <xf numFmtId="164" fontId="0" fillId="35" borderId="6" xfId="0" applyFont="true" applyBorder="true" applyAlignment="true" applyProtection="true">
      <alignment horizontal="general" vertical="bottom" textRotation="0" wrapText="true" indent="0" shrinkToFit="false"/>
      <protection locked="true" hidden="false"/>
    </xf>
    <xf numFmtId="177" fontId="0" fillId="35" borderId="6" xfId="0" applyFont="false" applyBorder="true" applyAlignment="true" applyProtection="true">
      <alignment horizontal="general" vertical="bottom" textRotation="0" wrapText="false" indent="0" shrinkToFit="false"/>
      <protection locked="true" hidden="false"/>
    </xf>
    <xf numFmtId="185" fontId="0" fillId="35" borderId="6" xfId="0" applyFont="false" applyBorder="true" applyAlignment="true" applyProtection="true">
      <alignment horizontal="general" vertical="bottom" textRotation="0" wrapText="false" indent="0" shrinkToFit="false"/>
      <protection locked="true" hidden="false"/>
    </xf>
    <xf numFmtId="164" fontId="0" fillId="35" borderId="6" xfId="0" applyFont="true" applyBorder="true" applyAlignment="true" applyProtection="true">
      <alignment horizontal="general" vertical="bottom" textRotation="0" wrapText="false" indent="0" shrinkToFit="false"/>
      <protection locked="true" hidden="false"/>
    </xf>
    <xf numFmtId="164" fontId="0" fillId="36" borderId="0" xfId="0" applyFont="true" applyBorder="true" applyAlignment="true" applyProtection="true">
      <alignment horizontal="general" vertical="bottom" textRotation="0" wrapText="false" indent="0" shrinkToFit="false"/>
      <protection locked="true" hidden="false"/>
    </xf>
    <xf numFmtId="164" fontId="0" fillId="36" borderId="6" xfId="0" applyFont="true" applyBorder="true" applyAlignment="true" applyProtection="true">
      <alignment horizontal="general" vertical="bottom" textRotation="0" wrapText="true" indent="0" shrinkToFit="false"/>
      <protection locked="true" hidden="false"/>
    </xf>
    <xf numFmtId="177" fontId="0" fillId="36" borderId="6" xfId="0" applyFont="false" applyBorder="true" applyAlignment="true" applyProtection="true">
      <alignment horizontal="general" vertical="bottom" textRotation="0" wrapText="false" indent="0" shrinkToFit="false"/>
      <protection locked="true" hidden="false"/>
    </xf>
    <xf numFmtId="185" fontId="0" fillId="36" borderId="6" xfId="0" applyFont="false" applyBorder="true" applyAlignment="true" applyProtection="true">
      <alignment horizontal="general" vertical="bottom" textRotation="0" wrapText="false" indent="0" shrinkToFit="false"/>
      <protection locked="true" hidden="false"/>
    </xf>
    <xf numFmtId="164" fontId="0" fillId="36" borderId="6" xfId="0" applyFont="true" applyBorder="true" applyAlignment="true" applyProtection="true">
      <alignment horizontal="general" vertical="bottom" textRotation="0" wrapText="false" indent="0" shrinkToFit="false"/>
      <protection locked="true" hidden="false"/>
    </xf>
    <xf numFmtId="164" fontId="0" fillId="37" borderId="0" xfId="0" applyFont="true" applyBorder="true" applyAlignment="true" applyProtection="true">
      <alignment horizontal="general" vertical="bottom" textRotation="0" wrapText="false" indent="0" shrinkToFit="false"/>
      <protection locked="true" hidden="false"/>
    </xf>
    <xf numFmtId="164" fontId="0" fillId="37" borderId="6" xfId="0" applyFont="true" applyBorder="true" applyAlignment="true" applyProtection="true">
      <alignment horizontal="general" vertical="bottom" textRotation="0" wrapText="true" indent="0" shrinkToFit="false"/>
      <protection locked="true" hidden="false"/>
    </xf>
    <xf numFmtId="177" fontId="0" fillId="37" borderId="6" xfId="0" applyFont="false" applyBorder="true" applyAlignment="true" applyProtection="true">
      <alignment horizontal="general" vertical="bottom" textRotation="0" wrapText="false" indent="0" shrinkToFit="false"/>
      <protection locked="true" hidden="false"/>
    </xf>
    <xf numFmtId="185" fontId="0" fillId="37" borderId="6" xfId="0" applyFont="false" applyBorder="true" applyAlignment="true" applyProtection="true">
      <alignment horizontal="general" vertical="bottom" textRotation="0" wrapText="false" indent="0" shrinkToFit="false"/>
      <protection locked="true" hidden="false"/>
    </xf>
    <xf numFmtId="164" fontId="0" fillId="37" borderId="6" xfId="0" applyFont="true" applyBorder="true" applyAlignment="true" applyProtection="true">
      <alignment horizontal="general" vertical="bottom" textRotation="0" wrapText="false" indent="0" shrinkToFit="false"/>
      <protection locked="true" hidden="false"/>
    </xf>
    <xf numFmtId="164" fontId="0" fillId="38" borderId="0" xfId="0" applyFont="true" applyBorder="true" applyAlignment="true" applyProtection="true">
      <alignment horizontal="general" vertical="bottom" textRotation="0" wrapText="false" indent="0" shrinkToFit="false"/>
      <protection locked="true" hidden="false"/>
    </xf>
    <xf numFmtId="164" fontId="0" fillId="38" borderId="6" xfId="0" applyFont="true" applyBorder="true" applyAlignment="true" applyProtection="true">
      <alignment horizontal="general" vertical="bottom" textRotation="0" wrapText="true" indent="0" shrinkToFit="false"/>
      <protection locked="true" hidden="false"/>
    </xf>
    <xf numFmtId="177" fontId="0" fillId="38" borderId="6" xfId="0" applyFont="false" applyBorder="true" applyAlignment="true" applyProtection="true">
      <alignment horizontal="general" vertical="bottom" textRotation="0" wrapText="false" indent="0" shrinkToFit="false"/>
      <protection locked="true" hidden="false"/>
    </xf>
    <xf numFmtId="185" fontId="0" fillId="38" borderId="6" xfId="0" applyFont="false" applyBorder="true" applyAlignment="true" applyProtection="true">
      <alignment horizontal="general" vertical="bottom" textRotation="0" wrapText="false" indent="0" shrinkToFit="false"/>
      <protection locked="true" hidden="false"/>
    </xf>
    <xf numFmtId="164" fontId="0" fillId="38" borderId="6" xfId="0" applyFont="true" applyBorder="true" applyAlignment="true" applyProtection="true">
      <alignment horizontal="general" vertical="bottom" textRotation="0" wrapText="false" indent="0" shrinkToFit="false"/>
      <protection locked="true" hidden="false"/>
    </xf>
    <xf numFmtId="164" fontId="0" fillId="39" borderId="0" xfId="0" applyFont="true" applyBorder="true" applyAlignment="true" applyProtection="true">
      <alignment horizontal="general" vertical="bottom" textRotation="0" wrapText="false" indent="0" shrinkToFit="false"/>
      <protection locked="true" hidden="false"/>
    </xf>
    <xf numFmtId="164" fontId="0" fillId="39" borderId="6" xfId="0" applyFont="true" applyBorder="true" applyAlignment="true" applyProtection="true">
      <alignment horizontal="general" vertical="bottom" textRotation="0" wrapText="true" indent="0" shrinkToFit="false"/>
      <protection locked="true" hidden="false"/>
    </xf>
    <xf numFmtId="177" fontId="0" fillId="39" borderId="6" xfId="0" applyFont="false" applyBorder="true" applyAlignment="true" applyProtection="true">
      <alignment horizontal="general" vertical="bottom" textRotation="0" wrapText="false" indent="0" shrinkToFit="false"/>
      <protection locked="true" hidden="false"/>
    </xf>
    <xf numFmtId="185" fontId="0" fillId="39" borderId="6" xfId="0" applyFont="false" applyBorder="true" applyAlignment="true" applyProtection="true">
      <alignment horizontal="general" vertical="bottom" textRotation="0" wrapText="false" indent="0" shrinkToFit="false"/>
      <protection locked="true" hidden="false"/>
    </xf>
    <xf numFmtId="164" fontId="0" fillId="39" borderId="6" xfId="0" applyFont="true" applyBorder="true" applyAlignment="true" applyProtection="true">
      <alignment horizontal="general" vertical="bottom" textRotation="0" wrapText="false" indent="0" shrinkToFit="false"/>
      <protection locked="true" hidden="false"/>
    </xf>
    <xf numFmtId="164" fontId="0" fillId="41" borderId="6" xfId="0" applyFont="true" applyBorder="true" applyAlignment="true" applyProtection="true">
      <alignment horizontal="general" vertical="bottom" textRotation="0" wrapText="false" indent="0" shrinkToFit="false"/>
      <protection locked="true" hidden="false"/>
    </xf>
    <xf numFmtId="164" fontId="0" fillId="0" borderId="6" xfId="0" applyFont="true" applyBorder="true" applyAlignment="true" applyProtection="true">
      <alignment horizontal="general" vertical="bottom" textRotation="0" wrapText="true" indent="0" shrinkToFit="false"/>
      <protection locked="true" hidden="false"/>
    </xf>
    <xf numFmtId="185" fontId="0" fillId="0" borderId="43" xfId="0" applyFont="false" applyBorder="true" applyAlignment="true" applyProtection="true">
      <alignment horizontal="general" vertical="bottom" textRotation="0" wrapText="false" indent="0" shrinkToFit="false"/>
      <protection locked="true" hidden="false"/>
    </xf>
    <xf numFmtId="177" fontId="0" fillId="41" borderId="43" xfId="0" applyFont="false" applyBorder="true" applyAlignment="true" applyProtection="true">
      <alignment horizontal="general" vertical="bottom" textRotation="0" wrapText="false" indent="0" shrinkToFit="false"/>
      <protection locked="true" hidden="false"/>
    </xf>
    <xf numFmtId="164" fontId="0" fillId="42" borderId="6" xfId="0" applyFont="true" applyBorder="true" applyAlignment="true" applyProtection="true">
      <alignment horizontal="general" vertical="bottom" textRotation="0" wrapText="false" indent="0" shrinkToFit="false"/>
      <protection locked="true" hidden="false"/>
    </xf>
    <xf numFmtId="177" fontId="0" fillId="42" borderId="43" xfId="0" applyFont="false" applyBorder="true" applyAlignment="true" applyProtection="true">
      <alignment horizontal="general" vertical="bottom" textRotation="0" wrapText="false" indent="0" shrinkToFit="false"/>
      <protection locked="true" hidden="false"/>
    </xf>
    <xf numFmtId="164" fontId="0" fillId="43" borderId="6" xfId="0" applyFont="true" applyBorder="true" applyAlignment="true" applyProtection="true">
      <alignment horizontal="general" vertical="bottom" textRotation="0" wrapText="false" indent="0" shrinkToFit="false"/>
      <protection locked="true" hidden="false"/>
    </xf>
    <xf numFmtId="177" fontId="0" fillId="43" borderId="43" xfId="0" applyFont="false" applyBorder="true" applyAlignment="true" applyProtection="true">
      <alignment horizontal="general" vertical="bottom" textRotation="0" wrapText="false" indent="0" shrinkToFit="false"/>
      <protection locked="true" hidden="false"/>
    </xf>
    <xf numFmtId="164" fontId="0" fillId="44" borderId="6" xfId="0" applyFont="true" applyBorder="true" applyAlignment="true" applyProtection="true">
      <alignment horizontal="general" vertical="bottom" textRotation="0" wrapText="false" indent="0" shrinkToFit="false"/>
      <protection locked="true" hidden="false"/>
    </xf>
    <xf numFmtId="177" fontId="0" fillId="44" borderId="43" xfId="0" applyFont="false" applyBorder="true" applyAlignment="true" applyProtection="true">
      <alignment horizontal="general" vertical="bottom" textRotation="0" wrapText="false" indent="0" shrinkToFit="false"/>
      <protection locked="true" hidden="false"/>
    </xf>
    <xf numFmtId="164" fontId="0" fillId="45" borderId="6" xfId="0" applyFont="true" applyBorder="true" applyAlignment="true" applyProtection="true">
      <alignment horizontal="general" vertical="bottom" textRotation="0" wrapText="false" indent="0" shrinkToFit="false"/>
      <protection locked="true" hidden="false"/>
    </xf>
    <xf numFmtId="177" fontId="0" fillId="45" borderId="43" xfId="0" applyFont="false" applyBorder="true" applyAlignment="true" applyProtection="true">
      <alignment horizontal="general" vertical="bottom" textRotation="0" wrapText="false" indent="0" shrinkToFit="false"/>
      <protection locked="true" hidden="false"/>
    </xf>
    <xf numFmtId="164" fontId="0" fillId="46" borderId="6" xfId="0" applyFont="true" applyBorder="true" applyAlignment="true" applyProtection="true">
      <alignment horizontal="general" vertical="bottom" textRotation="0" wrapText="false" indent="0" shrinkToFit="false"/>
      <protection locked="true" hidden="false"/>
    </xf>
    <xf numFmtId="177" fontId="0" fillId="46" borderId="43" xfId="0" applyFont="false" applyBorder="true" applyAlignment="true" applyProtection="true">
      <alignment horizontal="general" vertical="bottom" textRotation="0" wrapText="false" indent="0" shrinkToFit="false"/>
      <protection locked="true" hidden="false"/>
    </xf>
    <xf numFmtId="164" fontId="0" fillId="47" borderId="6" xfId="0" applyFont="true" applyBorder="true" applyAlignment="true" applyProtection="true">
      <alignment horizontal="general" vertical="bottom" textRotation="0" wrapText="false" indent="0" shrinkToFit="false"/>
      <protection locked="true" hidden="false"/>
    </xf>
    <xf numFmtId="177" fontId="0" fillId="47" borderId="43" xfId="0" applyFont="false" applyBorder="true" applyAlignment="true" applyProtection="true">
      <alignment horizontal="general" vertical="bottom" textRotation="0" wrapText="false" indent="0" shrinkToFit="false"/>
      <protection locked="true" hidden="false"/>
    </xf>
    <xf numFmtId="164" fontId="0" fillId="48" borderId="6" xfId="0" applyFont="true" applyBorder="true" applyAlignment="true" applyProtection="true">
      <alignment horizontal="general" vertical="bottom" textRotation="0" wrapText="false" indent="0" shrinkToFit="false"/>
      <protection locked="true" hidden="false"/>
    </xf>
    <xf numFmtId="177" fontId="0" fillId="48" borderId="43" xfId="0" applyFont="false" applyBorder="true" applyAlignment="true" applyProtection="true">
      <alignment horizontal="general" vertical="bottom" textRotation="0" wrapText="false" indent="0" shrinkToFit="false"/>
      <protection locked="true" hidden="false"/>
    </xf>
    <xf numFmtId="164" fontId="0" fillId="49" borderId="6" xfId="0" applyFont="true" applyBorder="true" applyAlignment="true" applyProtection="true">
      <alignment horizontal="general" vertical="bottom" textRotation="0" wrapText="false" indent="0" shrinkToFit="false"/>
      <protection locked="true" hidden="false"/>
    </xf>
    <xf numFmtId="177" fontId="0" fillId="49" borderId="43" xfId="0" applyFont="false" applyBorder="true" applyAlignment="true" applyProtection="true">
      <alignment horizontal="general" vertical="bottom" textRotation="0" wrapText="false" indent="0" shrinkToFit="false"/>
      <protection locked="true" hidden="false"/>
    </xf>
    <xf numFmtId="164" fontId="0" fillId="50" borderId="6" xfId="0" applyFont="true" applyBorder="true" applyAlignment="true" applyProtection="true">
      <alignment horizontal="general" vertical="bottom" textRotation="0" wrapText="false" indent="0" shrinkToFit="false"/>
      <protection locked="true" hidden="false"/>
    </xf>
    <xf numFmtId="177" fontId="0" fillId="50" borderId="43" xfId="0" applyFont="false" applyBorder="true" applyAlignment="true" applyProtection="true">
      <alignment horizontal="general" vertical="bottom" textRotation="0" wrapText="false" indent="0" shrinkToFit="false"/>
      <protection locked="true" hidden="false"/>
    </xf>
  </cellXfs>
  <cellStyles count="19">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Hyperlink 2" xfId="22"/>
    <cellStyle name="Normal 12" xfId="23"/>
    <cellStyle name="Normal 19 2" xfId="24"/>
    <cellStyle name="Normal 2" xfId="25"/>
    <cellStyle name="Normal 2 2" xfId="26"/>
    <cellStyle name="Normal 2 2 2" xfId="27"/>
    <cellStyle name="Normal 2 3 2" xfId="28"/>
    <cellStyle name="Normal 3" xfId="29"/>
    <cellStyle name="Normal 3 2 2" xfId="30"/>
    <cellStyle name="Normal 3 4" xfId="31"/>
    <cellStyle name="Normal_Sheet1" xfId="32"/>
    <cellStyle name="*unknown*" xfId="20" builtinId="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20" Type="http://schemas.openxmlformats.org/officeDocument/2006/relationships/externalLink" Target="externalLinks/externalLink4.xml"/><Relationship Id="rId21" Type="http://schemas.openxmlformats.org/officeDocument/2006/relationships/externalLink" Target="externalLinks/externalLink5.xml"/><Relationship Id="rId22" Type="http://schemas.openxmlformats.org/officeDocument/2006/relationships/externalLink" Target="externalLinks/externalLink6.xml"/><Relationship Id="rId23" Type="http://schemas.openxmlformats.org/officeDocument/2006/relationships/externalLink" Target="externalLinks/externalLink7.xml"/><Relationship Id="rId24" Type="http://schemas.openxmlformats.org/officeDocument/2006/relationships/externalLink" Target="externalLinks/externalLink8.xml"/><Relationship Id="rId25" Type="http://schemas.openxmlformats.org/officeDocument/2006/relationships/externalLink" Target="externalLinks/externalLink9.xml"/><Relationship Id="rId26" Type="http://schemas.openxmlformats.org/officeDocument/2006/relationships/externalLink" Target="externalLinks/externalLink10.xml"/><Relationship Id="rId27" Type="http://schemas.openxmlformats.org/officeDocument/2006/relationships/externalLink" Target="externalLinks/externalLink11.xml"/><Relationship Id="rId28" Type="http://schemas.openxmlformats.org/officeDocument/2006/relationships/externalLink" Target="externalLinks/externalLink12.xml"/><Relationship Id="rId29" Type="http://schemas.openxmlformats.org/officeDocument/2006/relationships/externalLink" Target="externalLinks/externalLink13.xml"/><Relationship Id="rId30" Type="http://schemas.openxmlformats.org/officeDocument/2006/relationships/externalLink" Target="externalLinks/externalLink14.xml"/><Relationship Id="rId31" Type="http://schemas.openxmlformats.org/officeDocument/2006/relationships/externalLink" Target="externalLinks/externalLink15.xml"/><Relationship Id="rId32" Type="http://schemas.openxmlformats.org/officeDocument/2006/relationships/externalLink" Target="externalLinks/externalLink16.xml"/><Relationship Id="rId33" Type="http://schemas.openxmlformats.org/officeDocument/2006/relationships/externalLink" Target="externalLinks/externalLink17.xml"/><Relationship Id="rId34" Type="http://schemas.openxmlformats.org/officeDocument/2006/relationships/externalLink" Target="externalLinks/externalLink18.xml"/><Relationship Id="rId35" Type="http://schemas.openxmlformats.org/officeDocument/2006/relationships/externalLink" Target="externalLinks/externalLink19.xml"/><Relationship Id="rId36" Type="http://schemas.openxmlformats.org/officeDocument/2006/relationships/externalLink" Target="externalLinks/externalLink20.xml"/><Relationship Id="rId37" Type="http://schemas.openxmlformats.org/officeDocument/2006/relationships/externalLink" Target="externalLinks/externalLink21.xml"/><Relationship Id="rId38" Type="http://schemas.openxmlformats.org/officeDocument/2006/relationships/externalLink" Target="externalLinks/externalLink22.xml"/><Relationship Id="rId39" Type="http://schemas.openxmlformats.org/officeDocument/2006/relationships/externalLink" Target="externalLinks/externalLink23.xml"/><Relationship Id="rId40" Type="http://schemas.openxmlformats.org/officeDocument/2006/relationships/externalLink" Target="externalLinks/externalLink24.xml"/><Relationship Id="rId41" Type="http://schemas.openxmlformats.org/officeDocument/2006/relationships/externalLink" Target="externalLinks/externalLink25.xml"/><Relationship Id="rId42" Type="http://schemas.openxmlformats.org/officeDocument/2006/relationships/externalLink" Target="externalLinks/externalLink26.xml"/><Relationship Id="rId43" Type="http://schemas.openxmlformats.org/officeDocument/2006/relationships/externalLink" Target="externalLinks/externalLink27.xml"/><Relationship Id="rId44" Type="http://schemas.openxmlformats.org/officeDocument/2006/relationships/externalLink" Target="externalLinks/externalLink28.xml"/><Relationship Id="rId45" Type="http://schemas.openxmlformats.org/officeDocument/2006/relationships/externalLink" Target="externalLinks/externalLink29.xml"/><Relationship Id="rId46" Type="http://schemas.openxmlformats.org/officeDocument/2006/relationships/externalLink" Target="externalLinks/externalLink30.xml"/><Relationship Id="rId47" Type="http://schemas.openxmlformats.org/officeDocument/2006/relationships/externalLink" Target="externalLinks/externalLink31.xml"/><Relationship Id="rId48" Type="http://schemas.openxmlformats.org/officeDocument/2006/relationships/externalLink" Target="externalLinks/externalLink32.xml"/><Relationship Id="rId49" Type="http://schemas.openxmlformats.org/officeDocument/2006/relationships/externalLink" Target="externalLinks/externalLink33.xml"/><Relationship Id="rId50" Type="http://schemas.openxmlformats.org/officeDocument/2006/relationships/externalLink" Target="externalLinks/externalLink34.xml"/><Relationship Id="rId51" Type="http://schemas.openxmlformats.org/officeDocument/2006/relationships/externalLink" Target="externalLinks/externalLink35.xml"/><Relationship Id="rId52" Type="http://schemas.openxmlformats.org/officeDocument/2006/relationships/externalLink" Target="externalLinks/externalLink36.xml"/><Relationship Id="rId53" Type="http://schemas.openxmlformats.org/officeDocument/2006/relationships/externalLink" Target="externalLinks/externalLink37.xml"/><Relationship Id="rId54" Type="http://schemas.openxmlformats.org/officeDocument/2006/relationships/externalLink" Target="externalLinks/externalLink38.xml"/><Relationship Id="rId55" Type="http://schemas.openxmlformats.org/officeDocument/2006/relationships/externalLink" Target="externalLinks/externalLink39.xml"/><Relationship Id="rId56" Type="http://schemas.openxmlformats.org/officeDocument/2006/relationships/externalLink" Target="externalLinks/externalLink40.xml"/><Relationship Id="rId57" Type="http://schemas.openxmlformats.org/officeDocument/2006/relationships/externalLink" Target="externalLinks/externalLink41.xml"/><Relationship Id="rId58" Type="http://schemas.openxmlformats.org/officeDocument/2006/relationships/externalLink" Target="externalLinks/externalLink42.xml"/><Relationship Id="rId59" Type="http://schemas.openxmlformats.org/officeDocument/2006/relationships/externalLink" Target="externalLinks/externalLink43.xml"/><Relationship Id="rId60" Type="http://schemas.openxmlformats.org/officeDocument/2006/relationships/externalLink" Target="externalLinks/externalLink44.xml"/><Relationship Id="rId61" Type="http://schemas.openxmlformats.org/officeDocument/2006/relationships/externalLink" Target="externalLinks/externalLink45.xml"/><Relationship Id="rId62" Type="http://schemas.openxmlformats.org/officeDocument/2006/relationships/externalLink" Target="externalLinks/externalLink46.xml"/><Relationship Id="rId63" Type="http://schemas.openxmlformats.org/officeDocument/2006/relationships/externalLink" Target="externalLinks/externalLink47.xml"/><Relationship Id="rId64" Type="http://schemas.openxmlformats.org/officeDocument/2006/relationships/externalLink" Target="externalLinks/externalLink48.xml"/><Relationship Id="rId65" Type="http://schemas.openxmlformats.org/officeDocument/2006/relationships/externalLink" Target="externalLinks/externalLink49.xml"/><Relationship Id="rId66" Type="http://schemas.openxmlformats.org/officeDocument/2006/relationships/externalLink" Target="externalLinks/externalLink50.xml"/><Relationship Id="rId67" Type="http://schemas.openxmlformats.org/officeDocument/2006/relationships/externalLink" Target="externalLinks/externalLink51.xml"/><Relationship Id="rId68" Type="http://schemas.openxmlformats.org/officeDocument/2006/relationships/externalLink" Target="externalLinks/externalLink52.xml"/><Relationship Id="rId69" Type="http://schemas.openxmlformats.org/officeDocument/2006/relationships/externalLink" Target="externalLinks/externalLink53.xml"/><Relationship Id="rId70" Type="http://schemas.openxmlformats.org/officeDocument/2006/relationships/externalLink" Target="externalLinks/externalLink54.xml"/><Relationship Id="rId71" Type="http://schemas.openxmlformats.org/officeDocument/2006/relationships/externalLink" Target="externalLinks/externalLink55.xml"/><Relationship Id="rId72" Type="http://schemas.openxmlformats.org/officeDocument/2006/relationships/externalLink" Target="externalLinks/externalLink56.xml"/><Relationship Id="rId73" Type="http://schemas.openxmlformats.org/officeDocument/2006/relationships/externalLink" Target="externalLinks/externalLink57.xml"/><Relationship Id="rId74" Type="http://schemas.openxmlformats.org/officeDocument/2006/relationships/externalLink" Target="externalLinks/externalLink58.xml"/><Relationship Id="rId75" Type="http://schemas.openxmlformats.org/officeDocument/2006/relationships/externalLink" Target="externalLinks/externalLink59.xml"/><Relationship Id="rId76" Type="http://schemas.openxmlformats.org/officeDocument/2006/relationships/externalLink" Target="externalLinks/externalLink60.xml"/><Relationship Id="rId77" Type="http://schemas.openxmlformats.org/officeDocument/2006/relationships/externalLink" Target="externalLinks/externalLink61.xml"/><Relationship Id="rId78" Type="http://schemas.openxmlformats.org/officeDocument/2006/relationships/externalLink" Target="externalLinks/externalLink62.xml"/><Relationship Id="rId79" Type="http://schemas.openxmlformats.org/officeDocument/2006/relationships/externalLink" Target="externalLinks/externalLink63.xml"/><Relationship Id="rId80" Type="http://schemas.openxmlformats.org/officeDocument/2006/relationships/externalLink" Target="externalLinks/externalLink64.xml"/><Relationship Id="rId81" Type="http://schemas.openxmlformats.org/officeDocument/2006/relationships/externalLink" Target="externalLinks/externalLink65.xml"/><Relationship Id="rId82" Type="http://schemas.openxmlformats.org/officeDocument/2006/relationships/externalLink" Target="externalLinks/externalLink66.xml"/><Relationship Id="rId83" Type="http://schemas.openxmlformats.org/officeDocument/2006/relationships/externalLink" Target="externalLinks/externalLink67.xml"/><Relationship Id="rId84" Type="http://schemas.openxmlformats.org/officeDocument/2006/relationships/externalLink" Target="externalLinks/externalLink68.xml"/><Relationship Id="rId85" Type="http://schemas.openxmlformats.org/officeDocument/2006/relationships/externalLink" Target="externalLinks/externalLink69.xml"/><Relationship Id="rId86" Type="http://schemas.openxmlformats.org/officeDocument/2006/relationships/externalLink" Target="externalLinks/externalLink70.xml"/><Relationship Id="rId87" Type="http://schemas.openxmlformats.org/officeDocument/2006/relationships/externalLink" Target="externalLinks/externalLink71.xml"/><Relationship Id="rId88" Type="http://schemas.openxmlformats.org/officeDocument/2006/relationships/externalLink" Target="externalLinks/externalLink72.xml"/><Relationship Id="rId89" Type="http://schemas.openxmlformats.org/officeDocument/2006/relationships/externalLink" Target="externalLinks/externalLink73.xml"/><Relationship Id="rId90" Type="http://schemas.openxmlformats.org/officeDocument/2006/relationships/externalLink" Target="externalLinks/externalLink74.xml"/><Relationship Id="rId91" Type="http://schemas.openxmlformats.org/officeDocument/2006/relationships/externalLink" Target="externalLinks/externalLink75.xml"/><Relationship Id="rId92" Type="http://schemas.openxmlformats.org/officeDocument/2006/relationships/externalLink" Target="externalLinks/externalLink76.xml"/><Relationship Id="rId93" Type="http://schemas.openxmlformats.org/officeDocument/2006/relationships/externalLink" Target="externalLinks/externalLink77.xml"/><Relationship Id="rId94" Type="http://schemas.openxmlformats.org/officeDocument/2006/relationships/externalLink" Target="externalLinks/externalLink78.xml"/><Relationship Id="rId95" Type="http://schemas.openxmlformats.org/officeDocument/2006/relationships/externalLink" Target="externalLinks/externalLink79.xml"/><Relationship Id="rId96" Type="http://schemas.openxmlformats.org/officeDocument/2006/relationships/externalLink" Target="externalLinks/externalLink80.xml"/><Relationship Id="rId97" Type="http://schemas.openxmlformats.org/officeDocument/2006/relationships/externalLink" Target="externalLinks/externalLink81.xml"/><Relationship Id="rId98" Type="http://schemas.openxmlformats.org/officeDocument/2006/relationships/externalLink" Target="externalLinks/externalLink82.xml"/><Relationship Id="rId99" Type="http://schemas.openxmlformats.org/officeDocument/2006/relationships/externalLink" Target="externalLinks/externalLink83.xml"/><Relationship Id="rId100" Type="http://schemas.openxmlformats.org/officeDocument/2006/relationships/externalLink" Target="externalLinks/externalLink84.xml"/><Relationship Id="rId101" Type="http://schemas.openxmlformats.org/officeDocument/2006/relationships/externalLink" Target="externalLinks/externalLink85.xml"/><Relationship Id="rId102" Type="http://schemas.openxmlformats.org/officeDocument/2006/relationships/externalLink" Target="externalLinks/externalLink86.xml"/><Relationship Id="rId103" Type="http://schemas.openxmlformats.org/officeDocument/2006/relationships/externalLink" Target="externalLinks/externalLink87.xml"/><Relationship Id="rId104" Type="http://schemas.openxmlformats.org/officeDocument/2006/relationships/externalLink" Target="externalLinks/externalLink88.xml"/><Relationship Id="rId105" Type="http://schemas.openxmlformats.org/officeDocument/2006/relationships/externalLink" Target="externalLinks/externalLink89.xml"/><Relationship Id="rId106" Type="http://schemas.openxmlformats.org/officeDocument/2006/relationships/externalLink" Target="externalLinks/externalLink90.xml"/><Relationship Id="rId107" Type="http://schemas.openxmlformats.org/officeDocument/2006/relationships/externalLink" Target="externalLinks/externalLink91.xml"/><Relationship Id="rId108" Type="http://schemas.openxmlformats.org/officeDocument/2006/relationships/externalLink" Target="externalLinks/externalLink92.xml"/><Relationship Id="rId109" Type="http://schemas.openxmlformats.org/officeDocument/2006/relationships/externalLink" Target="externalLinks/externalLink93.xml"/><Relationship Id="rId110" Type="http://schemas.openxmlformats.org/officeDocument/2006/relationships/externalLink" Target="externalLinks/externalLink94.xml"/><Relationship Id="rId111" Type="http://schemas.openxmlformats.org/officeDocument/2006/relationships/externalLink" Target="externalLinks/externalLink95.xml"/><Relationship Id="rId112" Type="http://schemas.openxmlformats.org/officeDocument/2006/relationships/externalLink" Target="externalLinks/externalLink96.xml"/><Relationship Id="rId113" Type="http://schemas.openxmlformats.org/officeDocument/2006/relationships/externalLink" Target="externalLinks/externalLink97.xml"/><Relationship Id="rId114" Type="http://schemas.openxmlformats.org/officeDocument/2006/relationships/externalLink" Target="externalLinks/externalLink98.xml"/><Relationship Id="rId115" Type="http://schemas.openxmlformats.org/officeDocument/2006/relationships/externalLink" Target="externalLinks/externalLink99.xml"/><Relationship Id="rId116" Type="http://schemas.openxmlformats.org/officeDocument/2006/relationships/externalLink" Target="externalLinks/externalLink100.xml"/><Relationship Id="rId117" Type="http://schemas.openxmlformats.org/officeDocument/2006/relationships/externalLink" Target="externalLinks/externalLink101.xml"/><Relationship Id="rId118" Type="http://schemas.openxmlformats.org/officeDocument/2006/relationships/externalLink" Target="externalLinks/externalLink102.xml"/><Relationship Id="rId119" Type="http://schemas.openxmlformats.org/officeDocument/2006/relationships/externalLink" Target="externalLinks/externalLink103.xml"/><Relationship Id="rId120" Type="http://schemas.openxmlformats.org/officeDocument/2006/relationships/externalLink" Target="externalLinks/externalLink104.xml"/><Relationship Id="rId121" Type="http://schemas.openxmlformats.org/officeDocument/2006/relationships/externalLink" Target="externalLinks/externalLink105.xml"/><Relationship Id="rId122" Type="http://schemas.openxmlformats.org/officeDocument/2006/relationships/externalLink" Target="externalLinks/externalLink106.xml"/><Relationship Id="rId123" Type="http://schemas.openxmlformats.org/officeDocument/2006/relationships/externalLink" Target="externalLinks/externalLink107.xml"/><Relationship Id="rId124" Type="http://schemas.openxmlformats.org/officeDocument/2006/relationships/externalLink" Target="externalLinks/externalLink108.xml"/><Relationship Id="rId125" Type="http://schemas.openxmlformats.org/officeDocument/2006/relationships/externalLink" Target="externalLinks/externalLink109.xml"/><Relationship Id="rId126" Type="http://schemas.openxmlformats.org/officeDocument/2006/relationships/externalLink" Target="externalLinks/externalLink110.xml"/><Relationship Id="rId127" Type="http://schemas.openxmlformats.org/officeDocument/2006/relationships/externalLink" Target="externalLinks/externalLink111.xml"/><Relationship Id="rId128" Type="http://schemas.openxmlformats.org/officeDocument/2006/relationships/externalLink" Target="externalLinks/externalLink112.xml"/><Relationship Id="rId129" Type="http://schemas.openxmlformats.org/officeDocument/2006/relationships/externalLink" Target="externalLinks/externalLink113.xml"/><Relationship Id="rId130" Type="http://schemas.openxmlformats.org/officeDocument/2006/relationships/externalLink" Target="externalLinks/externalLink114.xml"/><Relationship Id="rId131" Type="http://schemas.openxmlformats.org/officeDocument/2006/relationships/externalLink" Target="externalLinks/externalLink115.xml"/><Relationship Id="rId132" Type="http://schemas.openxmlformats.org/officeDocument/2006/relationships/externalLink" Target="externalLinks/externalLink116.xml"/><Relationship Id="rId133" Type="http://schemas.openxmlformats.org/officeDocument/2006/relationships/externalLink" Target="externalLinks/externalLink117.xml"/><Relationship Id="rId134" Type="http://schemas.openxmlformats.org/officeDocument/2006/relationships/externalLink" Target="externalLinks/externalLink118.xml"/><Relationship Id="rId135" Type="http://schemas.openxmlformats.org/officeDocument/2006/relationships/externalLink" Target="externalLinks/externalLink119.xml"/><Relationship Id="rId136" Type="http://schemas.openxmlformats.org/officeDocument/2006/relationships/externalLink" Target="externalLinks/externalLink120.xml"/><Relationship Id="rId137" Type="http://schemas.openxmlformats.org/officeDocument/2006/relationships/externalLink" Target="externalLinks/externalLink121.xml"/><Relationship Id="rId138" Type="http://schemas.openxmlformats.org/officeDocument/2006/relationships/externalLink" Target="externalLinks/externalLink122.xml"/><Relationship Id="rId139" Type="http://schemas.openxmlformats.org/officeDocument/2006/relationships/externalLink" Target="externalLinks/externalLink123.xml"/><Relationship Id="rId140" Type="http://schemas.openxmlformats.org/officeDocument/2006/relationships/externalLink" Target="externalLinks/externalLink124.xml"/><Relationship Id="rId141" Type="http://schemas.openxmlformats.org/officeDocument/2006/relationships/externalLink" Target="externalLinks/externalLink125.xml"/><Relationship Id="rId142" Type="http://schemas.openxmlformats.org/officeDocument/2006/relationships/externalLink" Target="externalLinks/externalLink126.xml"/><Relationship Id="rId143" Type="http://schemas.openxmlformats.org/officeDocument/2006/relationships/externalLink" Target="externalLinks/externalLink127.xml"/><Relationship Id="rId144" Type="http://schemas.openxmlformats.org/officeDocument/2006/relationships/externalLink" Target="externalLinks/externalLink128.xml"/><Relationship Id="rId145" Type="http://schemas.openxmlformats.org/officeDocument/2006/relationships/externalLink" Target="externalLinks/externalLink129.xml"/><Relationship Id="rId146" Type="http://schemas.openxmlformats.org/officeDocument/2006/relationships/externalLink" Target="externalLinks/externalLink130.xml"/><Relationship Id="rId147" Type="http://schemas.openxmlformats.org/officeDocument/2006/relationships/externalLink" Target="externalLinks/externalLink131.xml"/><Relationship Id="rId148" Type="http://schemas.openxmlformats.org/officeDocument/2006/relationships/externalLink" Target="externalLinks/externalLink132.xml"/><Relationship Id="rId149" Type="http://schemas.openxmlformats.org/officeDocument/2006/relationships/externalLink" Target="externalLinks/externalLink133.xml"/><Relationship Id="rId150" Type="http://schemas.openxmlformats.org/officeDocument/2006/relationships/externalLink" Target="externalLinks/externalLink134.xml"/><Relationship Id="rId151" Type="http://schemas.openxmlformats.org/officeDocument/2006/relationships/externalLink" Target="externalLinks/externalLink135.xml"/><Relationship Id="rId152" Type="http://schemas.openxmlformats.org/officeDocument/2006/relationships/externalLink" Target="externalLinks/externalLink136.xml"/><Relationship Id="rId153" Type="http://schemas.openxmlformats.org/officeDocument/2006/relationships/externalLink" Target="externalLinks/externalLink137.xml"/><Relationship Id="rId154" Type="http://schemas.openxmlformats.org/officeDocument/2006/relationships/externalLink" Target="externalLinks/externalLink138.xml"/><Relationship Id="rId155" Type="http://schemas.openxmlformats.org/officeDocument/2006/relationships/externalLink" Target="externalLinks/externalLink139.xml"/><Relationship Id="rId156" Type="http://schemas.openxmlformats.org/officeDocument/2006/relationships/externalLink" Target="externalLinks/externalLink140.xml"/><Relationship Id="rId157" Type="http://schemas.openxmlformats.org/officeDocument/2006/relationships/externalLink" Target="externalLinks/externalLink141.xml"/><Relationship Id="rId158" Type="http://schemas.openxmlformats.org/officeDocument/2006/relationships/externalLink" Target="externalLinks/externalLink142.xml"/><Relationship Id="rId159" Type="http://schemas.openxmlformats.org/officeDocument/2006/relationships/externalLink" Target="externalLinks/externalLink143.xml"/><Relationship Id="rId160" Type="http://schemas.openxmlformats.org/officeDocument/2006/relationships/externalLink" Target="externalLinks/externalLink144.xml"/><Relationship Id="rId161" Type="http://schemas.openxmlformats.org/officeDocument/2006/relationships/externalLink" Target="externalLinks/externalLink145.xml"/><Relationship Id="rId162" Type="http://schemas.openxmlformats.org/officeDocument/2006/relationships/externalLink" Target="externalLinks/externalLink146.xml"/><Relationship Id="rId163" Type="http://schemas.openxmlformats.org/officeDocument/2006/relationships/externalLink" Target="externalLinks/externalLink147.xml"/><Relationship Id="rId164" Type="http://schemas.openxmlformats.org/officeDocument/2006/relationships/externalLink" Target="externalLinks/externalLink148.xml"/><Relationship Id="rId165" Type="http://schemas.openxmlformats.org/officeDocument/2006/relationships/externalLink" Target="externalLinks/externalLink149.xml"/><Relationship Id="rId166" Type="http://schemas.openxmlformats.org/officeDocument/2006/relationships/externalLink" Target="externalLinks/externalLink150.xml"/><Relationship Id="rId167" Type="http://schemas.openxmlformats.org/officeDocument/2006/relationships/externalLink" Target="externalLinks/externalLink151.xml"/><Relationship Id="rId168" Type="http://schemas.openxmlformats.org/officeDocument/2006/relationships/externalLink" Target="externalLinks/externalLink152.xml"/><Relationship Id="rId169" Type="http://schemas.openxmlformats.org/officeDocument/2006/relationships/externalLink" Target="externalLinks/externalLink153.xml"/><Relationship Id="rId170" Type="http://schemas.openxmlformats.org/officeDocument/2006/relationships/externalLink" Target="externalLinks/externalLink154.xml"/><Relationship Id="rId171" Type="http://schemas.openxmlformats.org/officeDocument/2006/relationships/externalLink" Target="externalLinks/externalLink155.xml"/><Relationship Id="rId172" Type="http://schemas.openxmlformats.org/officeDocument/2006/relationships/externalLink" Target="externalLinks/externalLink156.xml"/><Relationship Id="rId173" Type="http://schemas.openxmlformats.org/officeDocument/2006/relationships/externalLink" Target="externalLinks/externalLink157.xml"/><Relationship Id="rId174" Type="http://schemas.openxmlformats.org/officeDocument/2006/relationships/externalLink" Target="externalLinks/externalLink158.xml"/><Relationship Id="rId175" Type="http://schemas.openxmlformats.org/officeDocument/2006/relationships/externalLink" Target="externalLinks/externalLink159.xml"/><Relationship Id="rId176" Type="http://schemas.openxmlformats.org/officeDocument/2006/relationships/externalLink" Target="externalLinks/externalLink160.xml"/><Relationship Id="rId177" Type="http://schemas.openxmlformats.org/officeDocument/2006/relationships/externalLink" Target="externalLinks/externalLink161.xml"/><Relationship Id="rId178" Type="http://schemas.openxmlformats.org/officeDocument/2006/relationships/externalLink" Target="externalLinks/externalLink162.xml"/><Relationship Id="rId179" Type="http://schemas.openxmlformats.org/officeDocument/2006/relationships/externalLink" Target="externalLinks/externalLink163.xml"/><Relationship Id="rId180" Type="http://schemas.openxmlformats.org/officeDocument/2006/relationships/externalLink" Target="externalLinks/externalLink164.xml"/><Relationship Id="rId181" Type="http://schemas.openxmlformats.org/officeDocument/2006/relationships/externalLink" Target="externalLinks/externalLink165.xml"/><Relationship Id="rId182" Type="http://schemas.openxmlformats.org/officeDocument/2006/relationships/externalLink" Target="externalLinks/externalLink166.xml"/><Relationship Id="rId183" Type="http://schemas.openxmlformats.org/officeDocument/2006/relationships/externalLink" Target="externalLinks/externalLink167.xml"/><Relationship Id="rId184" Type="http://schemas.openxmlformats.org/officeDocument/2006/relationships/externalLink" Target="externalLinks/externalLink168.xml"/><Relationship Id="rId185" Type="http://schemas.openxmlformats.org/officeDocument/2006/relationships/externalLink" Target="externalLinks/externalLink169.xml"/><Relationship Id="rId186" Type="http://schemas.openxmlformats.org/officeDocument/2006/relationships/externalLink" Target="externalLinks/externalLink170.xml"/><Relationship Id="rId187" Type="http://schemas.openxmlformats.org/officeDocument/2006/relationships/externalLink" Target="externalLinks/externalLink171.xml"/><Relationship Id="rId188" Type="http://schemas.openxmlformats.org/officeDocument/2006/relationships/externalLink" Target="externalLinks/externalLink172.xml"/><Relationship Id="rId189" Type="http://schemas.openxmlformats.org/officeDocument/2006/relationships/externalLink" Target="externalLinks/externalLink173.xml"/><Relationship Id="rId190" Type="http://schemas.openxmlformats.org/officeDocument/2006/relationships/externalLink" Target="externalLinks/externalLink174.xml"/><Relationship Id="rId191" Type="http://schemas.openxmlformats.org/officeDocument/2006/relationships/externalLink" Target="externalLinks/externalLink175.xml"/><Relationship Id="rId192" Type="http://schemas.openxmlformats.org/officeDocument/2006/relationships/externalLink" Target="externalLinks/externalLink176.xml"/><Relationship Id="rId193" Type="http://schemas.openxmlformats.org/officeDocument/2006/relationships/externalLink" Target="externalLinks/externalLink177.xml"/><Relationship Id="rId194" Type="http://schemas.openxmlformats.org/officeDocument/2006/relationships/externalLink" Target="externalLinks/externalLink178.xml"/><Relationship Id="rId195" Type="http://schemas.openxmlformats.org/officeDocument/2006/relationships/externalLink" Target="externalLinks/externalLink179.xml"/><Relationship Id="rId196" Type="http://schemas.openxmlformats.org/officeDocument/2006/relationships/externalLink" Target="externalLinks/externalLink180.xml"/><Relationship Id="rId197" Type="http://schemas.openxmlformats.org/officeDocument/2006/relationships/externalLink" Target="externalLinks/externalLink181.xml"/><Relationship Id="rId198" Type="http://schemas.openxmlformats.org/officeDocument/2006/relationships/externalLink" Target="externalLinks/externalLink182.xml"/><Relationship Id="rId199" Type="http://schemas.openxmlformats.org/officeDocument/2006/relationships/externalLink" Target="externalLinks/externalLink183.xml"/><Relationship Id="rId200" Type="http://schemas.openxmlformats.org/officeDocument/2006/relationships/externalLink" Target="externalLinks/externalLink184.xml"/><Relationship Id="rId201" Type="http://schemas.openxmlformats.org/officeDocument/2006/relationships/externalLink" Target="externalLinks/externalLink185.xml"/><Relationship Id="rId202" Type="http://schemas.openxmlformats.org/officeDocument/2006/relationships/externalLink" Target="externalLinks/externalLink186.xml"/><Relationship Id="rId203" Type="http://schemas.openxmlformats.org/officeDocument/2006/relationships/externalLink" Target="externalLinks/externalLink187.xml"/><Relationship Id="rId204" Type="http://schemas.openxmlformats.org/officeDocument/2006/relationships/externalLink" Target="externalLinks/externalLink188.xml"/><Relationship Id="rId205" Type="http://schemas.openxmlformats.org/officeDocument/2006/relationships/externalLink" Target="externalLinks/externalLink189.xml"/><Relationship Id="rId206" Type="http://schemas.openxmlformats.org/officeDocument/2006/relationships/externalLink" Target="externalLinks/externalLink190.xml"/><Relationship Id="rId207" Type="http://schemas.openxmlformats.org/officeDocument/2006/relationships/externalLink" Target="externalLinks/externalLink191.xml"/><Relationship Id="rId208" Type="http://schemas.openxmlformats.org/officeDocument/2006/relationships/externalLink" Target="externalLinks/externalLink192.xml"/><Relationship Id="rId209" Type="http://schemas.openxmlformats.org/officeDocument/2006/relationships/externalLink" Target="externalLinks/externalLink193.xml"/><Relationship Id="rId210" Type="http://schemas.openxmlformats.org/officeDocument/2006/relationships/externalLink" Target="externalLinks/externalLink194.xml"/><Relationship Id="rId211" Type="http://schemas.openxmlformats.org/officeDocument/2006/relationships/sharedStrings" Target="sharedStrings.xml"/>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1.jpeg"/><Relationship Id="rId3" Type="http://schemas.openxmlformats.org/officeDocument/2006/relationships/image" Target="../media/image1.jpeg"/><Relationship Id="rId4" Type="http://schemas.openxmlformats.org/officeDocument/2006/relationships/image" Target="../media/image1.jpeg"/><Relationship Id="rId5" Type="http://schemas.openxmlformats.org/officeDocument/2006/relationships/image" Target="../media/image1.jpeg"/><Relationship Id="rId6" Type="http://schemas.openxmlformats.org/officeDocument/2006/relationships/image" Target="../media/image1.jpeg"/><Relationship Id="rId7" Type="http://schemas.openxmlformats.org/officeDocument/2006/relationships/image" Target="../media/image1.jpeg"/>
</Relationships>
</file>

<file path=xl/drawings/_rels/drawing5.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
</Relationships>
</file>

<file path=xl/drawings/_rels/drawing6.xml.rels><?xml version="1.0" encoding="UTF-8"?>
<Relationships xmlns="http://schemas.openxmlformats.org/package/2006/relationships"><Relationship Id="rId1" Type="http://schemas.openxmlformats.org/officeDocument/2006/relationships/image" Target="../media/image4.jpeg"/>
</Relationships>
</file>

<file path=xl/drawings/_rels/drawing7.xml.rels><?xml version="1.0" encoding="UTF-8"?>
<Relationships xmlns="http://schemas.openxmlformats.org/package/2006/relationships"><Relationship Id="rId1" Type="http://schemas.openxmlformats.org/officeDocument/2006/relationships/image" Target="../media/image5.png"/>
</Relationships>
</file>

<file path=xl/drawings/_rels/drawing8.xml.rels><?xml version="1.0" encoding="UTF-8"?>
<Relationships xmlns="http://schemas.openxmlformats.org/package/2006/relationships"><Relationship Id="rId1" Type="http://schemas.openxmlformats.org/officeDocument/2006/relationships/image" Target="../media/image6.jpeg"/><Relationship Id="rId2" Type="http://schemas.openxmlformats.org/officeDocument/2006/relationships/image" Target="../media/image2.png"/><Relationship Id="rId3" Type="http://schemas.openxmlformats.org/officeDocument/2006/relationships/image" Target="../media/image3.png"/>
</Relationships>
</file>

<file path=xl/drawings/_rels/drawing9.xml.rels><?xml version="1.0" encoding="UTF-8"?>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7.png"/><Relationship Id="rId3" Type="http://schemas.openxmlformats.org/officeDocument/2006/relationships/image" Target="../media/image8.svg"/>
</Relationships>
</file>

<file path=xl/drawings/_rels/drawing11.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
</Relationships>
</file>

<file path=xl/drawings/_rels/drawing13.xml.rels><?xml version="1.0" encoding="UTF-8"?>
<Relationships xmlns="http://schemas.openxmlformats.org/package/2006/relationships"><Relationship Id="rId1" Type="http://schemas.openxmlformats.org/officeDocument/2006/relationships/image" Target="../media/image9.jpeg"/><Relationship Id="rId2" Type="http://schemas.openxmlformats.org/officeDocument/2006/relationships/image" Target="../media/image10.png"/>
</Relationships>
</file>

<file path=xl/drawings/_rels/drawing14.xml.rels><?xml version="1.0" encoding="UTF-8"?>
<Relationships xmlns="http://schemas.openxmlformats.org/package/2006/relationships"><Relationship Id="rId1" Type="http://schemas.openxmlformats.org/officeDocument/2006/relationships/image" Target="../media/image11.png"/><Relationship Id="rId2" Type="http://schemas.openxmlformats.org/officeDocument/2006/relationships/image" Target="../media/image12.png"/><Relationship Id="rId3" Type="http://schemas.openxmlformats.org/officeDocument/2006/relationships/image" Target="../media/image13.svg"/><Relationship Id="rId4" Type="http://schemas.openxmlformats.org/officeDocument/2006/relationships/image" Target="../media/image14.png"/><Relationship Id="rId5" Type="http://schemas.openxmlformats.org/officeDocument/2006/relationships/image" Target="../media/image15.svg"/><Relationship Id="rId6" Type="http://schemas.openxmlformats.org/officeDocument/2006/relationships/image" Target="../media/image16.png"/><Relationship Id="rId7" Type="http://schemas.openxmlformats.org/officeDocument/2006/relationships/image" Target="../media/image17.svg"/><Relationship Id="rId8" Type="http://schemas.openxmlformats.org/officeDocument/2006/relationships/image" Target="../media/image16.png"/><Relationship Id="rId9" Type="http://schemas.openxmlformats.org/officeDocument/2006/relationships/image" Target="../media/image17.svg"/><Relationship Id="rId10" Type="http://schemas.openxmlformats.org/officeDocument/2006/relationships/image" Target="../media/image16.png"/><Relationship Id="rId11" Type="http://schemas.openxmlformats.org/officeDocument/2006/relationships/image" Target="../media/image17.svg"/><Relationship Id="rId12" Type="http://schemas.openxmlformats.org/officeDocument/2006/relationships/image" Target="../media/image16.png"/><Relationship Id="rId13" Type="http://schemas.openxmlformats.org/officeDocument/2006/relationships/image" Target="../media/image17.sv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1182240</xdr:colOff>
      <xdr:row>6</xdr:row>
      <xdr:rowOff>147960</xdr:rowOff>
    </xdr:from>
    <xdr:to>
      <xdr:col>6</xdr:col>
      <xdr:colOff>2263680</xdr:colOff>
      <xdr:row>6</xdr:row>
      <xdr:rowOff>548640</xdr:rowOff>
    </xdr:to>
    <xdr:pic>
      <xdr:nvPicPr>
        <xdr:cNvPr id="1" name="Picture 1"/>
        <xdr:cNvPicPr/>
      </xdr:nvPicPr>
      <xdr:blipFill>
        <a:blip r:embed="rId1"/>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2" name="Picture 2"/>
        <xdr:cNvPicPr/>
      </xdr:nvPicPr>
      <xdr:blipFill>
        <a:blip r:embed="rId2"/>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3" name="Picture 3"/>
        <xdr:cNvPicPr/>
      </xdr:nvPicPr>
      <xdr:blipFill>
        <a:blip r:embed="rId3"/>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4" name="Picture 4"/>
        <xdr:cNvPicPr/>
      </xdr:nvPicPr>
      <xdr:blipFill>
        <a:blip r:embed="rId4"/>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5" name="Picture 5"/>
        <xdr:cNvPicPr/>
      </xdr:nvPicPr>
      <xdr:blipFill>
        <a:blip r:embed="rId5"/>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6" name="Picture 7"/>
        <xdr:cNvPicPr/>
      </xdr:nvPicPr>
      <xdr:blipFill>
        <a:blip r:embed="rId6"/>
        <a:stretch/>
      </xdr:blipFill>
      <xdr:spPr>
        <a:xfrm>
          <a:off x="11334600" y="1576800"/>
          <a:ext cx="1081440" cy="400680"/>
        </a:xfrm>
        <a:prstGeom prst="rect">
          <a:avLst/>
        </a:prstGeom>
        <a:noFill/>
        <a:ln w="0">
          <a:noFill/>
        </a:ln>
      </xdr:spPr>
    </xdr:pic>
    <xdr:clientData/>
  </xdr:twoCellAnchor>
  <xdr:twoCellAnchor editAs="oneCell">
    <xdr:from>
      <xdr:col>6</xdr:col>
      <xdr:colOff>1182240</xdr:colOff>
      <xdr:row>6</xdr:row>
      <xdr:rowOff>147960</xdr:rowOff>
    </xdr:from>
    <xdr:to>
      <xdr:col>6</xdr:col>
      <xdr:colOff>2263680</xdr:colOff>
      <xdr:row>6</xdr:row>
      <xdr:rowOff>548640</xdr:rowOff>
    </xdr:to>
    <xdr:pic>
      <xdr:nvPicPr>
        <xdr:cNvPr id="7" name="Picture 6"/>
        <xdr:cNvPicPr/>
      </xdr:nvPicPr>
      <xdr:blipFill>
        <a:blip r:embed="rId7"/>
        <a:stretch/>
      </xdr:blipFill>
      <xdr:spPr>
        <a:xfrm>
          <a:off x="11334600" y="1576800"/>
          <a:ext cx="1081440" cy="4006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25</xdr:col>
          <xdr:colOff>0</xdr:colOff>
          <xdr:row>1</xdr:row>
          <xdr:rowOff>0</xdr:rowOff>
        </xdr:from>
        <xdr:to>
          <xdr:col>26</xdr:col>
          <xdr:colOff>0</xdr:colOff>
          <xdr:row>2</xdr:row>
          <xdr:rowOff>28440</xdr:rowOff>
        </xdr:to>
        <xdr:sp>
          <xdr:nvSpPr>
            <xdr:cNvPr id="1001" name="Button 1" descr="Login" hidden="0"/>
            <xdr:cNvSpPr/>
          </xdr:nvSpPr>
          <xdr:spPr>
            <a:xfrm>
              <a:off x="0" y="0"/>
              <a:ext cx="0" cy="0"/>
            </a:xfrm>
            <a:prstGeom prst="rect">
              <a:avLst/>
            </a:prstGeom>
          </xdr:spPr>
          <xdr:txBody>
            <a:bodyPr anchor="ctr">
              <a:noAutofit/>
            </a:bodyPr>
            <a:p>
              <a:r>
                <a:t>Login</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25</xdr:col>
          <xdr:colOff>28440</xdr:colOff>
          <xdr:row>2</xdr:row>
          <xdr:rowOff>57240</xdr:rowOff>
        </xdr:from>
        <xdr:to>
          <xdr:col>26</xdr:col>
          <xdr:colOff>0</xdr:colOff>
          <xdr:row>3</xdr:row>
          <xdr:rowOff>95400</xdr:rowOff>
        </xdr:to>
        <xdr:sp>
          <xdr:nvSpPr>
            <xdr:cNvPr id="1002" name="Button 2" descr="Logout" hidden="0"/>
            <xdr:cNvSpPr/>
          </xdr:nvSpPr>
          <xdr:spPr>
            <a:xfrm>
              <a:off x="0" y="0"/>
              <a:ext cx="0" cy="0"/>
            </a:xfrm>
            <a:prstGeom prst="rect">
              <a:avLst/>
            </a:prstGeom>
          </xdr:spPr>
          <xdr:txBody>
            <a:bodyPr anchor="ctr">
              <a:noAutofit/>
            </a:bodyPr>
            <a:p>
              <a:r>
                <a:t>Logout</a:t>
              </a:r>
            </a:p>
          </xdr:txBody>
        </xdr:sp>
        <xdr:clientData/>
      </xdr:twoCellAnchor>
    </mc:Choice>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0</xdr:colOff>
      <xdr:row>0</xdr:row>
      <xdr:rowOff>163080</xdr:rowOff>
    </xdr:from>
    <xdr:to>
      <xdr:col>2</xdr:col>
      <xdr:colOff>123840</xdr:colOff>
      <xdr:row>0</xdr:row>
      <xdr:rowOff>699840</xdr:rowOff>
    </xdr:to>
    <xdr:pic>
      <xdr:nvPicPr>
        <xdr:cNvPr id="8" name="Picture 1"/>
        <xdr:cNvPicPr/>
      </xdr:nvPicPr>
      <xdr:blipFill>
        <a:blip r:embed="rId1"/>
        <a:srcRect l="13234" t="33453" r="19434" b="30036"/>
        <a:stretch/>
      </xdr:blipFill>
      <xdr:spPr>
        <a:xfrm>
          <a:off x="0" y="163080"/>
          <a:ext cx="887760" cy="536760"/>
        </a:xfrm>
        <a:prstGeom prst="rect">
          <a:avLst/>
        </a:prstGeom>
        <a:noFill/>
        <a:ln w="0">
          <a:noFill/>
        </a:ln>
      </xdr:spPr>
    </xdr:pic>
    <xdr:clientData/>
  </xdr:twoCellAnchor>
  <xdr:twoCellAnchor editAs="oneCell">
    <xdr:from>
      <xdr:col>18</xdr:col>
      <xdr:colOff>312480</xdr:colOff>
      <xdr:row>0</xdr:row>
      <xdr:rowOff>45720</xdr:rowOff>
    </xdr:from>
    <xdr:to>
      <xdr:col>18</xdr:col>
      <xdr:colOff>1721520</xdr:colOff>
      <xdr:row>0</xdr:row>
      <xdr:rowOff>638640</xdr:rowOff>
    </xdr:to>
    <xdr:pic>
      <xdr:nvPicPr>
        <xdr:cNvPr id="9" name="Picture 3"/>
        <xdr:cNvPicPr/>
      </xdr:nvPicPr>
      <xdr:blipFill>
        <a:blip r:embed="rId2"/>
        <a:stretch/>
      </xdr:blipFill>
      <xdr:spPr>
        <a:xfrm>
          <a:off x="10127520" y="45720"/>
          <a:ext cx="1409040" cy="59292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35280</xdr:colOff>
      <xdr:row>0</xdr:row>
      <xdr:rowOff>46800</xdr:rowOff>
    </xdr:from>
    <xdr:to>
      <xdr:col>2</xdr:col>
      <xdr:colOff>743400</xdr:colOff>
      <xdr:row>0</xdr:row>
      <xdr:rowOff>748440</xdr:rowOff>
    </xdr:to>
    <xdr:pic>
      <xdr:nvPicPr>
        <xdr:cNvPr id="10" name="Picture 1"/>
        <xdr:cNvPicPr/>
      </xdr:nvPicPr>
      <xdr:blipFill>
        <a:blip r:embed="rId1"/>
        <a:stretch/>
      </xdr:blipFill>
      <xdr:spPr>
        <a:xfrm>
          <a:off x="35280" y="46800"/>
          <a:ext cx="1837080" cy="70164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200160</xdr:colOff>
      <xdr:row>1</xdr:row>
      <xdr:rowOff>9360</xdr:rowOff>
    </xdr:from>
    <xdr:to>
      <xdr:col>8</xdr:col>
      <xdr:colOff>1002600</xdr:colOff>
      <xdr:row>6</xdr:row>
      <xdr:rowOff>178560</xdr:rowOff>
    </xdr:to>
    <xdr:pic>
      <xdr:nvPicPr>
        <xdr:cNvPr id="11" name="Picture 1"/>
        <xdr:cNvPicPr/>
      </xdr:nvPicPr>
      <xdr:blipFill>
        <a:blip r:embed="rId1"/>
        <a:stretch/>
      </xdr:blipFill>
      <xdr:spPr>
        <a:xfrm>
          <a:off x="13295880" y="66600"/>
          <a:ext cx="802440" cy="1112040"/>
        </a:xfrm>
        <a:prstGeom prst="rect">
          <a:avLst/>
        </a:prstGeom>
        <a:noFill/>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310320</xdr:colOff>
      <xdr:row>3</xdr:row>
      <xdr:rowOff>474840</xdr:rowOff>
    </xdr:from>
    <xdr:to>
      <xdr:col>12</xdr:col>
      <xdr:colOff>782280</xdr:colOff>
      <xdr:row>11</xdr:row>
      <xdr:rowOff>54000</xdr:rowOff>
    </xdr:to>
    <xdr:pic>
      <xdr:nvPicPr>
        <xdr:cNvPr id="12" name="Picture 3"/>
        <xdr:cNvPicPr/>
      </xdr:nvPicPr>
      <xdr:blipFill>
        <a:blip r:embed="rId1"/>
        <a:stretch/>
      </xdr:blipFill>
      <xdr:spPr>
        <a:xfrm>
          <a:off x="10098360" y="1779840"/>
          <a:ext cx="3512160" cy="1655640"/>
        </a:xfrm>
        <a:prstGeom prst="rect">
          <a:avLst/>
        </a:prstGeom>
        <a:noFill/>
        <a:ln w="0">
          <a:noFill/>
        </a:ln>
      </xdr:spPr>
    </xdr:pic>
    <xdr:clientData/>
  </xdr:twoCellAnchor>
  <xdr:twoCellAnchor editAs="oneCell">
    <xdr:from>
      <xdr:col>0</xdr:col>
      <xdr:colOff>360360</xdr:colOff>
      <xdr:row>0</xdr:row>
      <xdr:rowOff>79200</xdr:rowOff>
    </xdr:from>
    <xdr:to>
      <xdr:col>0</xdr:col>
      <xdr:colOff>1073880</xdr:colOff>
      <xdr:row>0</xdr:row>
      <xdr:rowOff>613080</xdr:rowOff>
    </xdr:to>
    <xdr:pic>
      <xdr:nvPicPr>
        <xdr:cNvPr id="13" name="Picture 3"/>
        <xdr:cNvPicPr/>
      </xdr:nvPicPr>
      <xdr:blipFill>
        <a:blip r:embed="rId2"/>
        <a:srcRect l="13395" t="33200" r="19434" b="30923"/>
        <a:stretch/>
      </xdr:blipFill>
      <xdr:spPr>
        <a:xfrm>
          <a:off x="360360" y="79200"/>
          <a:ext cx="713520" cy="533880"/>
        </a:xfrm>
        <a:prstGeom prst="rect">
          <a:avLst/>
        </a:prstGeom>
        <a:noFill/>
        <a:ln w="0">
          <a:noFill/>
        </a:ln>
      </xdr:spPr>
    </xdr:pic>
    <xdr:clientData/>
  </xdr:twoCellAnchor>
  <xdr:twoCellAnchor editAs="oneCell">
    <xdr:from>
      <xdr:col>11</xdr:col>
      <xdr:colOff>507960</xdr:colOff>
      <xdr:row>0</xdr:row>
      <xdr:rowOff>21240</xdr:rowOff>
    </xdr:from>
    <xdr:to>
      <xdr:col>12</xdr:col>
      <xdr:colOff>118080</xdr:colOff>
      <xdr:row>0</xdr:row>
      <xdr:rowOff>747000</xdr:rowOff>
    </xdr:to>
    <xdr:pic>
      <xdr:nvPicPr>
        <xdr:cNvPr id="14" name="Picture 4"/>
        <xdr:cNvPicPr/>
      </xdr:nvPicPr>
      <xdr:blipFill>
        <a:blip r:embed="rId3"/>
        <a:stretch/>
      </xdr:blipFill>
      <xdr:spPr>
        <a:xfrm>
          <a:off x="12322800" y="21240"/>
          <a:ext cx="623520" cy="725760"/>
        </a:xfrm>
        <a:prstGeom prst="rect">
          <a:avLst/>
        </a:prstGeom>
        <a:noFill/>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38</xdr:col>
      <xdr:colOff>219240</xdr:colOff>
      <xdr:row>1</xdr:row>
      <xdr:rowOff>27000</xdr:rowOff>
    </xdr:from>
    <xdr:to>
      <xdr:col>40</xdr:col>
      <xdr:colOff>573120</xdr:colOff>
      <xdr:row>5</xdr:row>
      <xdr:rowOff>214920</xdr:rowOff>
    </xdr:to>
    <xdr:pic>
      <xdr:nvPicPr>
        <xdr:cNvPr id="15" name="Picture 1"/>
        <xdr:cNvPicPr/>
      </xdr:nvPicPr>
      <xdr:blipFill>
        <a:blip r:embed="rId1"/>
        <a:stretch/>
      </xdr:blipFill>
      <xdr:spPr>
        <a:xfrm>
          <a:off x="14732640" y="112680"/>
          <a:ext cx="921600" cy="1073880"/>
        </a:xfrm>
        <a:prstGeom prst="rect">
          <a:avLst/>
        </a:prstGeom>
        <a:noFill/>
        <a:ln w="0">
          <a:noFill/>
        </a:ln>
      </xdr:spPr>
    </xdr:pic>
    <xdr:clientData/>
  </xdr:twoCellAnchor>
  <xdr:twoCellAnchor editAs="oneCell">
    <xdr:from>
      <xdr:col>1</xdr:col>
      <xdr:colOff>200160</xdr:colOff>
      <xdr:row>1</xdr:row>
      <xdr:rowOff>0</xdr:rowOff>
    </xdr:from>
    <xdr:to>
      <xdr:col>1</xdr:col>
      <xdr:colOff>1628280</xdr:colOff>
      <xdr:row>5</xdr:row>
      <xdr:rowOff>158040</xdr:rowOff>
    </xdr:to>
    <xdr:pic>
      <xdr:nvPicPr>
        <xdr:cNvPr id="16" name="Graphic 2"/>
        <xdr:cNvPicPr/>
      </xdr:nvPicPr>
      <xdr:blipFill>
        <a:blip r:embed="rId2">
          <a:extLst>
            <a:ext uri="{96DAC541-7B7A-43D3-8B79-37D633B846F1}">
              <asvg:svgBlip xmlns:asvg="http://schemas.microsoft.com/office/drawing/2016/SVG/main" r:embed="rId3"/>
            </a:ext>
          </a:extLst>
        </a:blip>
        <a:stretch/>
      </xdr:blipFill>
      <xdr:spPr>
        <a:xfrm>
          <a:off x="333000" y="85680"/>
          <a:ext cx="1428120" cy="1044000"/>
        </a:xfrm>
        <a:prstGeom prst="rect">
          <a:avLst/>
        </a:prstGeom>
        <a:noFill/>
        <a:ln w="0">
          <a:noFill/>
        </a:ln>
      </xdr:spPr>
    </xdr:pic>
    <xdr:clientData/>
  </xdr:twoCellAnchor>
  <mc:AlternateContent xmlns:mc="http://schemas.openxmlformats.org/markup-compatibility/2006">
    <mc:Choice xmlns:a14="http://schemas.microsoft.com/office/drawing/2010/main" Requires="a14">
      <xdr:twoCellAnchor editAs="oneCell">
        <xdr:from>
          <xdr:col>80</xdr:col>
          <xdr:colOff>85680</xdr:colOff>
          <xdr:row>1</xdr:row>
          <xdr:rowOff>38160</xdr:rowOff>
        </xdr:from>
        <xdr:to>
          <xdr:col>81</xdr:col>
          <xdr:colOff>342720</xdr:colOff>
          <xdr:row>2</xdr:row>
          <xdr:rowOff>104760</xdr:rowOff>
        </xdr:to>
        <xdr:sp>
          <xdr:nvSpPr>
            <xdr:cNvPr id="1001" name="btnDuplicate" descr="Duplicate Sheet" hidden="0"/>
            <xdr:cNvSpPr/>
          </xdr:nvSpPr>
          <xdr:spPr>
            <a:xfrm>
              <a:off x="0" y="0"/>
              <a:ext cx="0" cy="0"/>
            </a:xfrm>
            <a:prstGeom prst="rect">
              <a:avLst/>
            </a:prstGeom>
          </xdr:spPr>
          <xdr:txBody>
            <a:bodyPr anchor="ctr">
              <a:noAutofit/>
            </a:bodyPr>
            <a:p>
              <a:r>
                <a:t>Duplicate Sheet</a:t>
              </a:r>
            </a:p>
          </xdr:txBody>
        </xdr:sp>
        <xdr:clientData/>
      </xdr:twoCellAnchor>
    </mc:Choice>
  </mc:AlternateContent>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273600</xdr:colOff>
      <xdr:row>0</xdr:row>
      <xdr:rowOff>59040</xdr:rowOff>
    </xdr:from>
    <xdr:to>
      <xdr:col>1</xdr:col>
      <xdr:colOff>263160</xdr:colOff>
      <xdr:row>0</xdr:row>
      <xdr:rowOff>538560</xdr:rowOff>
    </xdr:to>
    <xdr:pic>
      <xdr:nvPicPr>
        <xdr:cNvPr id="17" name="Picture 2"/>
        <xdr:cNvPicPr/>
      </xdr:nvPicPr>
      <xdr:blipFill>
        <a:blip r:embed="rId1"/>
        <a:srcRect l="13234" t="33453" r="19434" b="30036"/>
        <a:stretch/>
      </xdr:blipFill>
      <xdr:spPr>
        <a:xfrm>
          <a:off x="273600" y="59040"/>
          <a:ext cx="677160" cy="479520"/>
        </a:xfrm>
        <a:prstGeom prst="rect">
          <a:avLst/>
        </a:prstGeom>
        <a:noFill/>
        <a:ln w="0">
          <a:noFill/>
        </a:ln>
      </xdr:spPr>
    </xdr:pic>
    <xdr:clientData/>
  </xdr:twoCellAnchor>
  <xdr:twoCellAnchor editAs="oneCell">
    <xdr:from>
      <xdr:col>9</xdr:col>
      <xdr:colOff>360720</xdr:colOff>
      <xdr:row>0</xdr:row>
      <xdr:rowOff>23400</xdr:rowOff>
    </xdr:from>
    <xdr:to>
      <xdr:col>10</xdr:col>
      <xdr:colOff>80640</xdr:colOff>
      <xdr:row>0</xdr:row>
      <xdr:rowOff>556200</xdr:rowOff>
    </xdr:to>
    <xdr:pic>
      <xdr:nvPicPr>
        <xdr:cNvPr id="18" name="Picture 3"/>
        <xdr:cNvPicPr/>
      </xdr:nvPicPr>
      <xdr:blipFill>
        <a:blip r:embed="rId2"/>
        <a:stretch/>
      </xdr:blipFill>
      <xdr:spPr>
        <a:xfrm>
          <a:off x="7747560" y="23400"/>
          <a:ext cx="457920" cy="532800"/>
        </a:xfrm>
        <a:prstGeom prst="rect">
          <a:avLst/>
        </a:prstGeom>
        <a:noFill/>
        <a:ln w="0">
          <a:noFill/>
        </a:ln>
      </xdr:spPr>
    </xdr:pic>
    <xdr:clientData/>
  </xdr:twoCellAnchor>
  <mc:AlternateContent xmlns:mc="http://schemas.openxmlformats.org/markup-compatibility/2006">
    <mc:Choice xmlns:a14="http://schemas.microsoft.com/office/drawing/2010/main" Requires="a14">
      <xdr:twoCellAnchor editAs="oneCell">
        <xdr:from>
          <xdr:col>12</xdr:col>
          <xdr:colOff>47520</xdr:colOff>
          <xdr:row>0</xdr:row>
          <xdr:rowOff>142920</xdr:rowOff>
        </xdr:from>
        <xdr:to>
          <xdr:col>13</xdr:col>
          <xdr:colOff>314280</xdr:colOff>
          <xdr:row>1</xdr:row>
          <xdr:rowOff>85680</xdr:rowOff>
        </xdr:to>
        <xdr:sp>
          <xdr:nvSpPr>
            <xdr:cNvPr id="1001" name="btnDuplicate" descr="Duplicate Sheet" hidden="0"/>
            <xdr:cNvSpPr/>
          </xdr:nvSpPr>
          <xdr:spPr>
            <a:xfrm>
              <a:off x="0" y="0"/>
              <a:ext cx="0" cy="0"/>
            </a:xfrm>
            <a:prstGeom prst="rect">
              <a:avLst/>
            </a:prstGeom>
          </xdr:spPr>
          <xdr:txBody>
            <a:bodyPr anchor="ctr">
              <a:noAutofit/>
            </a:bodyPr>
            <a:p>
              <a:r>
                <a:t>Duplicate Sheet</a:t>
              </a:r>
            </a:p>
          </xdr:txBody>
        </xdr:sp>
        <xdr:clientData/>
      </xdr:twoCellAnchor>
    </mc:Choice>
  </mc:AlternateContent>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135000</xdr:colOff>
      <xdr:row>1</xdr:row>
      <xdr:rowOff>139680</xdr:rowOff>
    </xdr:from>
    <xdr:to>
      <xdr:col>2</xdr:col>
      <xdr:colOff>422640</xdr:colOff>
      <xdr:row>8</xdr:row>
      <xdr:rowOff>69840</xdr:rowOff>
    </xdr:to>
    <xdr:pic>
      <xdr:nvPicPr>
        <xdr:cNvPr id="19" name="Picture 1" descr="ADNOC_206bac93-7ae2-4997-9240-58189f455a65"/>
        <xdr:cNvPicPr/>
      </xdr:nvPicPr>
      <xdr:blipFill>
        <a:blip r:embed="rId1"/>
        <a:stretch/>
      </xdr:blipFill>
      <xdr:spPr>
        <a:xfrm>
          <a:off x="135000" y="301680"/>
          <a:ext cx="1389960" cy="1149120"/>
        </a:xfrm>
        <a:prstGeom prst="rect">
          <a:avLst/>
        </a:prstGeom>
        <a:noFill/>
        <a:ln w="0">
          <a:noFill/>
        </a:ln>
      </xdr:spPr>
    </xdr:pic>
    <xdr:clientData/>
  </xdr:twoCellAnchor>
  <xdr:twoCellAnchor editAs="oneCell">
    <xdr:from>
      <xdr:col>9</xdr:col>
      <xdr:colOff>899640</xdr:colOff>
      <xdr:row>1</xdr:row>
      <xdr:rowOff>149760</xdr:rowOff>
    </xdr:from>
    <xdr:to>
      <xdr:col>12</xdr:col>
      <xdr:colOff>560880</xdr:colOff>
      <xdr:row>8</xdr:row>
      <xdr:rowOff>64800</xdr:rowOff>
    </xdr:to>
    <xdr:pic>
      <xdr:nvPicPr>
        <xdr:cNvPr id="20" name="Picture 2"/>
        <xdr:cNvPicPr/>
      </xdr:nvPicPr>
      <xdr:blipFill>
        <a:blip r:embed="rId2"/>
        <a:stretch/>
      </xdr:blipFill>
      <xdr:spPr>
        <a:xfrm>
          <a:off x="8153280" y="311760"/>
          <a:ext cx="2755440" cy="1134000"/>
        </a:xfrm>
        <a:prstGeom prst="rect">
          <a:avLst/>
        </a:prstGeom>
        <a:noFill/>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641520</xdr:colOff>
      <xdr:row>0</xdr:row>
      <xdr:rowOff>114480</xdr:rowOff>
    </xdr:from>
    <xdr:to>
      <xdr:col>0</xdr:col>
      <xdr:colOff>2345040</xdr:colOff>
      <xdr:row>0</xdr:row>
      <xdr:rowOff>354960</xdr:rowOff>
    </xdr:to>
    <xdr:pic>
      <xdr:nvPicPr>
        <xdr:cNvPr id="21" name="Picture 2"/>
        <xdr:cNvPicPr/>
      </xdr:nvPicPr>
      <xdr:blipFill>
        <a:blip r:embed="rId1"/>
        <a:srcRect l="13217" t="33481" r="19451" b="30039"/>
        <a:stretch/>
      </xdr:blipFill>
      <xdr:spPr>
        <a:xfrm>
          <a:off x="641520" y="114480"/>
          <a:ext cx="1703520" cy="240480"/>
        </a:xfrm>
        <a:prstGeom prst="rect">
          <a:avLst/>
        </a:prstGeom>
        <a:noFill/>
        <a:ln w="0">
          <a:noFill/>
        </a:ln>
      </xdr:spPr>
    </xdr:pic>
    <xdr:clientData/>
  </xdr:twoCellAnchor>
  <xdr:twoCellAnchor editAs="oneCell">
    <xdr:from>
      <xdr:col>8</xdr:col>
      <xdr:colOff>1500840</xdr:colOff>
      <xdr:row>411</xdr:row>
      <xdr:rowOff>482760</xdr:rowOff>
    </xdr:from>
    <xdr:to>
      <xdr:col>9</xdr:col>
      <xdr:colOff>905760</xdr:colOff>
      <xdr:row>411</xdr:row>
      <xdr:rowOff>1396440</xdr:rowOff>
    </xdr:to>
    <xdr:pic>
      <xdr:nvPicPr>
        <xdr:cNvPr id="22" name="Graphic 2" descr="Bar graph with downward trend with solid fill"/>
        <xdr:cNvPicPr/>
      </xdr:nvPicPr>
      <xdr:blipFill>
        <a:blip r:embed="rId2">
          <a:extLst>
            <a:ext uri="{96DAC541-7B7A-43D3-8B79-37D633B846F1}">
              <asvg:svgBlip xmlns:asvg="http://schemas.microsoft.com/office/drawing/2016/SVG/main" r:embed="rId3"/>
            </a:ext>
          </a:extLst>
        </a:blip>
        <a:stretch/>
      </xdr:blipFill>
      <xdr:spPr>
        <a:xfrm>
          <a:off x="24222960" y="268525800"/>
          <a:ext cx="907560" cy="913680"/>
        </a:xfrm>
        <a:prstGeom prst="rect">
          <a:avLst/>
        </a:prstGeom>
        <a:noFill/>
        <a:ln w="0">
          <a:noFill/>
        </a:ln>
      </xdr:spPr>
    </xdr:pic>
    <xdr:clientData/>
  </xdr:twoCellAnchor>
  <xdr:twoCellAnchor editAs="oneCell">
    <xdr:from>
      <xdr:col>8</xdr:col>
      <xdr:colOff>1371600</xdr:colOff>
      <xdr:row>408</xdr:row>
      <xdr:rowOff>294480</xdr:rowOff>
    </xdr:from>
    <xdr:to>
      <xdr:col>9</xdr:col>
      <xdr:colOff>776520</xdr:colOff>
      <xdr:row>408</xdr:row>
      <xdr:rowOff>1208160</xdr:rowOff>
    </xdr:to>
    <xdr:pic>
      <xdr:nvPicPr>
        <xdr:cNvPr id="23" name="Graphic 3" descr="Bar graph with upward trend with solid fill"/>
        <xdr:cNvPicPr/>
      </xdr:nvPicPr>
      <xdr:blipFill>
        <a:blip r:embed="rId4">
          <a:extLst>
            <a:ext uri="{96DAC541-7B7A-43D3-8B79-37D633B846F1}">
              <asvg:svgBlip xmlns:asvg="http://schemas.microsoft.com/office/drawing/2016/SVG/main" r:embed="rId5"/>
            </a:ext>
          </a:extLst>
        </a:blip>
        <a:stretch/>
      </xdr:blipFill>
      <xdr:spPr>
        <a:xfrm>
          <a:off x="24093720" y="261346320"/>
          <a:ext cx="907560" cy="913680"/>
        </a:xfrm>
        <a:prstGeom prst="rect">
          <a:avLst/>
        </a:prstGeom>
        <a:noFill/>
        <a:ln w="0">
          <a:noFill/>
        </a:ln>
      </xdr:spPr>
    </xdr:pic>
    <xdr:clientData/>
  </xdr:twoCellAnchor>
  <xdr:twoCellAnchor editAs="oneCell">
    <xdr:from>
      <xdr:col>8</xdr:col>
      <xdr:colOff>1500840</xdr:colOff>
      <xdr:row>409</xdr:row>
      <xdr:rowOff>871560</xdr:rowOff>
    </xdr:from>
    <xdr:to>
      <xdr:col>9</xdr:col>
      <xdr:colOff>905760</xdr:colOff>
      <xdr:row>409</xdr:row>
      <xdr:rowOff>1778760</xdr:rowOff>
    </xdr:to>
    <xdr:pic>
      <xdr:nvPicPr>
        <xdr:cNvPr id="24" name="Graphic 4" descr="Baseball with solid fill"/>
        <xdr:cNvPicPr/>
      </xdr:nvPicPr>
      <xdr:blipFill>
        <a:blip r:embed="rId6">
          <a:extLst>
            <a:ext uri="{96DAC541-7B7A-43D3-8B79-37D633B846F1}">
              <asvg:svgBlip xmlns:asvg="http://schemas.microsoft.com/office/drawing/2016/SVG/main" r:embed="rId7"/>
            </a:ext>
          </a:extLst>
        </a:blip>
        <a:stretch/>
      </xdr:blipFill>
      <xdr:spPr>
        <a:xfrm>
          <a:off x="24222960" y="263561400"/>
          <a:ext cx="907560" cy="907200"/>
        </a:xfrm>
        <a:prstGeom prst="rect">
          <a:avLst/>
        </a:prstGeom>
        <a:noFill/>
        <a:ln w="0">
          <a:noFill/>
        </a:ln>
      </xdr:spPr>
    </xdr:pic>
    <xdr:clientData/>
  </xdr:twoCellAnchor>
  <xdr:twoCellAnchor editAs="oneCell">
    <xdr:from>
      <xdr:col>8</xdr:col>
      <xdr:colOff>1500840</xdr:colOff>
      <xdr:row>410</xdr:row>
      <xdr:rowOff>871560</xdr:rowOff>
    </xdr:from>
    <xdr:to>
      <xdr:col>9</xdr:col>
      <xdr:colOff>912240</xdr:colOff>
      <xdr:row>410</xdr:row>
      <xdr:rowOff>1785240</xdr:rowOff>
    </xdr:to>
    <xdr:pic>
      <xdr:nvPicPr>
        <xdr:cNvPr id="25" name="Graphic 5" descr="Baseball with solid fill"/>
        <xdr:cNvPicPr/>
      </xdr:nvPicPr>
      <xdr:blipFill>
        <a:blip r:embed="rId8">
          <a:extLst>
            <a:ext uri="{96DAC541-7B7A-43D3-8B79-37D633B846F1}">
              <asvg:svgBlip xmlns:asvg="http://schemas.microsoft.com/office/drawing/2016/SVG/main" r:embed="rId9"/>
            </a:ext>
          </a:extLst>
        </a:blip>
        <a:stretch/>
      </xdr:blipFill>
      <xdr:spPr>
        <a:xfrm>
          <a:off x="24222960" y="266095080"/>
          <a:ext cx="914040" cy="913680"/>
        </a:xfrm>
        <a:prstGeom prst="rect">
          <a:avLst/>
        </a:prstGeom>
        <a:noFill/>
        <a:ln w="0">
          <a:noFill/>
        </a:ln>
      </xdr:spPr>
    </xdr:pic>
    <xdr:clientData/>
  </xdr:twoCellAnchor>
  <xdr:twoCellAnchor editAs="oneCell">
    <xdr:from>
      <xdr:col>8</xdr:col>
      <xdr:colOff>1500840</xdr:colOff>
      <xdr:row>412</xdr:row>
      <xdr:rowOff>871560</xdr:rowOff>
    </xdr:from>
    <xdr:to>
      <xdr:col>9</xdr:col>
      <xdr:colOff>912240</xdr:colOff>
      <xdr:row>412</xdr:row>
      <xdr:rowOff>1785240</xdr:rowOff>
    </xdr:to>
    <xdr:pic>
      <xdr:nvPicPr>
        <xdr:cNvPr id="26" name="Graphic 6" descr="Baseball with solid fill"/>
        <xdr:cNvPicPr/>
      </xdr:nvPicPr>
      <xdr:blipFill>
        <a:blip r:embed="rId10">
          <a:extLst>
            <a:ext uri="{96DAC541-7B7A-43D3-8B79-37D633B846F1}">
              <asvg:svgBlip xmlns:asvg="http://schemas.microsoft.com/office/drawing/2016/SVG/main" r:embed="rId11"/>
            </a:ext>
          </a:extLst>
        </a:blip>
        <a:stretch/>
      </xdr:blipFill>
      <xdr:spPr>
        <a:xfrm>
          <a:off x="24222960" y="271381680"/>
          <a:ext cx="914040" cy="913680"/>
        </a:xfrm>
        <a:prstGeom prst="rect">
          <a:avLst/>
        </a:prstGeom>
        <a:noFill/>
        <a:ln w="0">
          <a:noFill/>
        </a:ln>
      </xdr:spPr>
    </xdr:pic>
    <xdr:clientData/>
  </xdr:twoCellAnchor>
  <xdr:twoCellAnchor editAs="oneCell">
    <xdr:from>
      <xdr:col>8</xdr:col>
      <xdr:colOff>1500840</xdr:colOff>
      <xdr:row>413</xdr:row>
      <xdr:rowOff>0</xdr:rowOff>
    </xdr:from>
    <xdr:to>
      <xdr:col>9</xdr:col>
      <xdr:colOff>912240</xdr:colOff>
      <xdr:row>414</xdr:row>
      <xdr:rowOff>408960</xdr:rowOff>
    </xdr:to>
    <xdr:pic>
      <xdr:nvPicPr>
        <xdr:cNvPr id="27" name="Graphic 7" descr="Baseball with solid fill"/>
        <xdr:cNvPicPr/>
      </xdr:nvPicPr>
      <xdr:blipFill>
        <a:blip r:embed="rId12">
          <a:extLst>
            <a:ext uri="{96DAC541-7B7A-43D3-8B79-37D633B846F1}">
              <asvg:svgBlip xmlns:asvg="http://schemas.microsoft.com/office/drawing/2016/SVG/main" r:embed="rId13"/>
            </a:ext>
          </a:extLst>
        </a:blip>
        <a:stretch/>
      </xdr:blipFill>
      <xdr:spPr>
        <a:xfrm>
          <a:off x="24222960" y="272586600"/>
          <a:ext cx="914040" cy="913680"/>
        </a:xfrm>
        <a:prstGeom prst="rect">
          <a:avLst/>
        </a:prstGeom>
        <a:noFill/>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ADCO/Avinash/Larut/Larut%20A-09/Single%20Blank.xls"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D:/Documents%20-%20Compls/002%20-%20Current%20Well%20Files/ZA-14AB/Wellbore%20Schematics/ZA-14AB%20ST%20Completion%20-%20Stimulation%20Workbook.xlsm"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teams/ONSDRDAS/Shared%20Documents/Drilling%20Services/Equipment%20Team/Automated%20Allocation%20and%20Forecast%20Project/Auto-Allocation%20Project-%20with%20Macros.xlsm" TargetMode="External"/>
</Relationships>
</file>

<file path=xl/externalLinks/_rels/externalLink4.xml.rels><?xml version="1.0" encoding="UTF-8"?>
<Relationships xmlns="http://schemas.openxmlformats.org/package/2006/relationships"><Relationship Id="rId1" Type="http://schemas.openxmlformats.org/officeDocument/2006/relationships/externalLinkPath" Target="../../../../../F:/Data/Excel/Dabbeiya/Cls-E/Objective%20Sheet/One%20Page%20Obj.xls" TargetMode="External"/>
</Relationships>
</file>

<file path=xl/externalLinks/_rels/externalLink5.xml.rels><?xml version="1.0" encoding="UTF-8"?>
<Relationships xmlns="http://schemas.openxmlformats.org/package/2006/relationships"><Relationship Id="rId1" Type="http://schemas.openxmlformats.org/officeDocument/2006/relationships/externalLinkPath" Target="file://8A5D00D5/Worksheet%20in%20Worksheet%20Scrap%20&apos;WELL%20TREATMENT%20R...&apos;" TargetMode="External"/>
</Relationships>
</file>

<file path=xl/externalLinks/_rels/externalLink6.xml.rels><?xml version="1.0" encoding="UTF-8"?>
<Relationships xmlns="http://schemas.openxmlformats.org/package/2006/relationships"><Relationship Id="rId1" Type="http://schemas.openxmlformats.org/officeDocument/2006/relationships/externalLinkPath" Target="https://emdadllc-my.sharepoint.com/Users/Admin/Documents/WHIP%20%20%20IRAN/Removable%20Disk/REPORTS/WHIPSTOCK%20REPORT%20V05.xls" TargetMode="External"/>
</Relationships>
</file>

<file path=xl/externalLinks/_rels/externalLink7.xml.rels><?xml version="1.0" encoding="UTF-8"?>
<Relationships xmlns="http://schemas.openxmlformats.org/package/2006/relationships"><Relationship Id="rId1" Type="http://schemas.openxmlformats.org/officeDocument/2006/relationships/externalLinkPath" Target="../../../../../D:/Users/ext-ISharan/OneDrive%20-%20Wellbore%20Integrity%20Solutions/Desktop/AboDhabi%20jobs/AD-61--BB1074/WELL%20JOB%20LOG%20(1).xlsm" TargetMode="External"/>
</Relationships>
</file>

<file path=xl/externalLinks/_rels/externalLink8.xml.rels><?xml version="1.0" encoding="UTF-8"?>
<Relationships xmlns="http://schemas.openxmlformats.org/package/2006/relationships"><Relationship Id="rId1" Type="http://schemas.openxmlformats.org/officeDocument/2006/relationships/externalLinkPath" Target="../../../../../A:/CALC7-2.XLS" TargetMode="External"/>
</Relationships>
</file>

<file path=xl/externalLinks/_rels/externalLink9.xml.rels><?xml version="1.0" encoding="UTF-8"?>
<Relationships xmlns="http://schemas.openxmlformats.org/package/2006/relationships"><Relationship Id="rId1" Type="http://schemas.openxmlformats.org/officeDocument/2006/relationships/externalLinkPath" Target="../../../../../D:/Documents%20and%20Settings/Ivonne/Local%20Settings/Temporary%20Internet%20Files/OLKF9/SPS%202918_0.XLS" TargetMode="External"/>
</Relationships>
</file>

<file path=xl/externalLinks/_rels/externalLink10.xml.rels><?xml version="1.0" encoding="UTF-8"?>
<Relationships xmlns="http://schemas.openxmlformats.org/package/2006/relationships"><Relationship Id="rId1"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Relationships>
</file>

<file path=xl/externalLinks/_rels/externalLink11.xml.rels><?xml version="1.0" encoding="UTF-8"?>
<Relationships xmlns="http://schemas.openxmlformats.org/package/2006/relationships"><Relationship Id="rId1" Type="http://schemas.openxmlformats.org/officeDocument/2006/relationships/externalLinkPath" Target="../../../../../Users/enwoony/Desktop/Nsiko%20North/9.625%20LINER%20HANGER/Nsiko%20North%20Liner%20Hanger%20Work%20Book.xls" TargetMode="External"/>
</Relationships>
</file>

<file path=xl/externalLinks/_rels/externalLink12.xml.rels><?xml version="1.0" encoding="UTF-8"?>
<Relationships xmlns="http://schemas.openxmlformats.org/package/2006/relationships"><Relationship Id="rId1" Type="http://schemas.openxmlformats.org/officeDocument/2006/relationships/externalLinkPath" Target="../../../../../F:/My%20Documents/TCP/JSOJOBS/d14k17a.xls" TargetMode="External"/>
</Relationships>
</file>

<file path=xl/externalLinks/_rels/externalLink13.xml.rels><?xml version="1.0" encoding="UTF-8"?>
<Relationships xmlns="http://schemas.openxmlformats.org/package/2006/relationships"><Relationship Id="rId1" Type="http://schemas.openxmlformats.org/officeDocument/2006/relationships/externalLinkPath" Target="https://adnocmpsa.sharepoint.com/teams/ONSDRBAB/Shared%20Documents/Completion%20and%20Workover/02-Well%20Program/2023%20Wells/BB-345/COMP_BAB_LCv14.xlsx" TargetMode="External"/>
</Relationships>
</file>

<file path=xl/externalLinks/_rels/externalLink14.xml.rels><?xml version="1.0" encoding="UTF-8"?>
<Relationships xmlns="http://schemas.openxmlformats.org/package/2006/relationships"><Relationship Id="rId1" Type="http://schemas.openxmlformats.org/officeDocument/2006/relationships/externalLinkPath" Target="../../../../../D:/Documents%20and%20Settings/adc1001988/Desktop/QW-13(1)/QW-13%20Opp.xls" TargetMode="External"/>
</Relationships>
</file>

<file path=xl/externalLinks/_rels/externalLink15.xml.rels><?xml version="1.0" encoding="UTF-8"?>
<Relationships xmlns="http://schemas.openxmlformats.org/package/2006/relationships"><Relationship Id="rId1" Type="http://schemas.openxmlformats.org/officeDocument/2006/relationships/externalLinkPath" Target="../../../../../Users/RKhoo/Desktop/WORKING%20FOLDER/ADNOC%20OFFSHORE/MEGA%204/P&amp;L/JAN%2021/12%20JAN/Q1718978%20P&amp;L%20rev%2008.xlsx" TargetMode="External"/>
</Relationships>
</file>

<file path=xl/externalLinks/_rels/externalLink16.xml.rels><?xml version="1.0" encoding="UTF-8"?>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Hydraulics.xls" TargetMode="External"/>
</Relationships>
</file>

<file path=xl/externalLinks/_rels/externalLink17.xml.rels><?xml version="1.0" encoding="UTF-8"?>
<Relationships xmlns="http://schemas.openxmlformats.org/package/2006/relationships"><Relationship Id="rId1" Type="http://schemas.openxmlformats.org/officeDocument/2006/relationships/externalLinkPath" Target="https://adnocmpsa.sharepoint.com/teams/ONSDRBAB/Shared%20Documents/Completion%20and%20Workover/02-Well%20Program/2023%20Wells/BB-248/COMP_PROG/COM_BB248_NA307_TB.xlsx" TargetMode="External"/>
</Relationships>
</file>

<file path=xl/externalLinks/_rels/externalLink18.xml.rels><?xml version="1.0" encoding="UTF-8"?>
<Relationships xmlns="http://schemas.openxmlformats.org/package/2006/relationships"><Relationship Id="rId1" Type="http://schemas.openxmlformats.org/officeDocument/2006/relationships/externalLinkPath" Target="../../../../../Users/105057423/Desktop/2017%2002/PC_1Q17%20QMI_W8_V2%20(Recd%20from%20Ashley%2023.02.17).xlsb" TargetMode="External"/>
</Relationships>
</file>

<file path=xl/externalLinks/_rels/externalLink19.xml.rels><?xml version="1.0" encoding="UTF-8"?>
<Relationships xmlns="http://schemas.openxmlformats.org/package/2006/relationships"><Relationship Id="rId1" Type="http://schemas.openxmlformats.org/officeDocument/2006/relationships/externalLinkPath" Target="https://adnocmpsa-my.sharepoint.com/Apps/My%20C%20Docs/Gbaran-16/Afam%209%20EOWR.doc/BAKER/7MRL84~1/Post%20Job%20Report/WT.xls" TargetMode="External"/>
</Relationships>
</file>

<file path=xl/externalLinks/_rels/externalLink20.xml.rels><?xml version="1.0" encoding="UTF-8"?>
<Relationships xmlns="http://schemas.openxmlformats.org/package/2006/relationships"><Relationship Id="rId1" Type="http://schemas.openxmlformats.org/officeDocument/2006/relationships/externalLinkPath" Target="https://adnocmpsa.sharepoint.com/Data/Excel/Dabbeiya/Cls-E/Objective%20Sheet/One%20Page%20Obj.xls" TargetMode="External"/>
</Relationships>
</file>

<file path=xl/externalLinks/_rels/externalLink21.xml.rels><?xml version="1.0" encoding="UTF-8"?>
<Relationships xmlns="http://schemas.openxmlformats.org/package/2006/relationships"><Relationship Id="rId1" Type="http://schemas.openxmlformats.org/officeDocument/2006/relationships/externalLinkPath" Target="../../../../../P:/Data/Excel/Dabbeiya/Cls-E/Objective%20Sheet/One%20Page%20Obj.xls" TargetMode="External"/>
</Relationships>
</file>

<file path=xl/externalLinks/_rels/externalLink22.xml.rels><?xml version="1.0" encoding="UTF-8"?>
<Relationships xmlns="http://schemas.openxmlformats.org/package/2006/relationships"><Relationship Id="rId1" Type="http://schemas.openxmlformats.org/officeDocument/2006/relationships/externalLinkPath" Target="https://adnocmpsa-my.sharepoint.com/Copy%20of%20Central%20Island%20-%20Halliburton%20HSE%20Observations.xlsx" TargetMode="External"/>
</Relationships>
</file>

<file path=xl/externalLinks/_rels/externalLink23.xml.rels><?xml version="1.0" encoding="UTF-8"?>
<Relationships xmlns="http://schemas.openxmlformats.org/package/2006/relationships"><Relationship Id="rId1" Type="http://schemas.openxmlformats.org/officeDocument/2006/relationships/externalLinkPath" Target="https://adnocmpsa-my.sharepoint.com/Apps/Rig%202/Soku%20Campaign/SOKU%20036/CASING%20&amp;%20CEMENTING/Personal.xls" TargetMode="External"/>
</Relationships>
</file>

<file path=xl/externalLinks/_rels/externalLink24.xml.rels><?xml version="1.0" encoding="UTF-8"?>
<Relationships xmlns="http://schemas.openxmlformats.org/package/2006/relationships"><Relationship Id="rId1"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Relationships>
</file>

<file path=xl/externalLinks/_rels/externalLink25.xml.rels><?xml version="1.0" encoding="UTF-8"?>
<Relationships xmlns="http://schemas.openxmlformats.org/package/2006/relationships"><Relationship Id="rId1" Type="http://schemas.openxmlformats.org/officeDocument/2006/relationships/externalLinkPath" Target="https://adnocmpsa.sharepoint.com/teams/ONSDRNEB/Shared%20Documents/Completion%20and%20Workover/A_Wells/DY302_2022/Lower%20Completion/Copy%20of%20Liner%20Inquiry%20Form%20ADNOC%20(003).xlsx" TargetMode="External"/>
</Relationships>
</file>

<file path=xl/externalLinks/_rels/externalLink26.xml.rels><?xml version="1.0" encoding="UTF-8"?>
<Relationships xmlns="http://schemas.openxmlformats.org/package/2006/relationships"><Relationship Id="rId1" Type="http://schemas.openxmlformats.org/officeDocument/2006/relationships/externalLinkPath" Target="../../../../../ADCO/Documents%20and%20Settings/hba7869/My%20Documents/My%20Documents/FC/QUALITY/HMS/Reviews/Well%20Report%20Templates/Well%20Completion%20Data%20Book%20(HES)1.xls" TargetMode="External"/>
</Relationships>
</file>

<file path=xl/externalLinks/_rels/externalLink27.xml.rels><?xml version="1.0" encoding="UTF-8"?>
<Relationships xmlns="http://schemas.openxmlformats.org/package/2006/relationships"><Relationship Id="rId1" Type="http://schemas.openxmlformats.org/officeDocument/2006/relationships/externalLinkPath" Target="file://Dxbfile001v/data$/Documents%20and%20Settings/hba5603/Desktop/DAS%20Job/OXY-Job/2004/IS-15A/IS-15A%20Report.xls" TargetMode="External"/>
</Relationships>
</file>

<file path=xl/externalLinks/_rels/externalLink28.xml.rels><?xml version="1.0" encoding="UTF-8"?>
<Relationships xmlns="http://schemas.openxmlformats.org/package/2006/relationships"><Relationship Id="rId1" Type="http://schemas.openxmlformats.org/officeDocument/2006/relationships/externalLinkPath" Target="../../../../../D:/Documents%20and%20Settings/ad1001635/Local%20Settings/Temporary%20Internet%20Files/OLK2B/Generic-2%20(version%202).xls" TargetMode="External"/>
</Relationships>
</file>

<file path=xl/externalLinks/_rels/externalLink29.xml.rels><?xml version="1.0" encoding="UTF-8"?>
<Relationships xmlns="http://schemas.openxmlformats.org/package/2006/relationships"><Relationship Id="rId1" Type="http://schemas.openxmlformats.org/officeDocument/2006/relationships/externalLinkPath" Target="../../../../../Users/umirarm/Documents/Clients/ADNOC/ADNOC%20Onshore/Wells/008.%20%20SB-926_AD-64_111422502/DHWS%20SB-926%20Ver1.xlsx" TargetMode="External"/>
</Relationships>
</file>

<file path=xl/externalLinks/_rels/externalLink30.xml.rels><?xml version="1.0" encoding="UTF-8"?>
<Relationships xmlns="http://schemas.openxmlformats.org/package/2006/relationships"><Relationship Id="rId1" Type="http://schemas.openxmlformats.org/officeDocument/2006/relationships/externalLinkPath" Target="../../../../../Users/binahm03/Desktop/Abu%20Dhabi/Liner%20Jobs/AL%20HOSN,%20SY-502,%20H&amp;P-476/Angsi%20C9%20Job%20log.xls" TargetMode="External"/>
</Relationships>
</file>

<file path=xl/externalLinks/_rels/externalLink31.xml.rels><?xml version="1.0" encoding="UTF-8"?>
<Relationships xmlns="http://schemas.openxmlformats.org/package/2006/relationships"><Relationship Id="rId1" Type="http://schemas.openxmlformats.org/officeDocument/2006/relationships/externalLinkPath" Target="../../../../../personal/mahmoud_ahmed2_weatherford_com/Documents/Desktop/EXECL/DUBAI%20PETROLEM%20TALLY/FC-34%20Workbook%20draft%20(version%201).xlsx" TargetMode="External"/>
</Relationships>
</file>

<file path=xl/externalLinks/_rels/externalLink32.xml.rels><?xml version="1.0" encoding="UTF-8"?>
<Relationships xmlns="http://schemas.openxmlformats.org/package/2006/relationships"><Relationship Id="rId1" Type="http://schemas.openxmlformats.org/officeDocument/2006/relationships/externalLinkPath" Target="../../../../../Users/212421818/Documents/3rd%20Rotation/Pressure%20Control/PC%20QMI/Q4/FW41/Q4%20PC%20QMI%20FW41%202015_10_06.xlsb" TargetMode="External"/>
</Relationships>
</file>

<file path=xl/externalLinks/_rels/externalLink33.xml.rels><?xml version="1.0" encoding="UTF-8"?>
<Relationships xmlns="http://schemas.openxmlformats.org/package/2006/relationships"><Relationship Id="rId1" Type="http://schemas.openxmlformats.org/officeDocument/2006/relationships/externalLinkPath" Target="../../../../../Users/105057423/AppData/Local/Microsoft/Windows/Temporary%20Internet%20Files/Content.Outlook/LKU8I04P/Offline%20Reports/Qatar_Q2_FW15_PC%20Service%20QMI%202016_03_04%20v1.xlsb" TargetMode="External"/>
</Relationships>
</file>

<file path=xl/externalLinks/_rels/externalLink34.xml.rels><?xml version="1.0" encoding="UTF-8"?>
<Relationships xmlns="http://schemas.openxmlformats.org/package/2006/relationships"><Relationship Id="rId1" Type="http://schemas.openxmlformats.org/officeDocument/2006/relationships/externalLinkPath" Target="../../../../../Users/h155384/Desktop/CWT/Paper%20Work/CWT%20schematic/JOB%20PACK%20%20CWT%20-ZB%20262.xls" TargetMode="External"/>
</Relationships>
</file>

<file path=xl/externalLinks/_rels/externalLink35.xml.rels><?xml version="1.0" encoding="UTF-8"?>
<Relationships xmlns="http://schemas.openxmlformats.org/package/2006/relationships"><Relationship Id="rId1" Type="http://schemas.openxmlformats.org/officeDocument/2006/relationships/externalLinkPath" Target="../../../../../Documents%20and%20Settings/105052158/My%20Documents/QMI/2012/SII%202012%20Input%20File.xls" TargetMode="External"/>
</Relationships>
</file>

<file path=xl/externalLinks/_rels/externalLink36.xml.rels><?xml version="1.0" encoding="UTF-8"?>
<Relationships xmlns="http://schemas.openxmlformats.org/package/2006/relationships"><Relationship Id="rId1" Type="http://schemas.openxmlformats.org/officeDocument/2006/relationships/externalLinkPath" Target="file://Opsmanager/ph%20operation/Finance/Invoices/SPDC/Tayo/Clients/Chevron/Dem%20Dec%2098.xls" TargetMode="External"/>
</Relationships>
</file>

<file path=xl/externalLinks/_rels/externalLink37.xml.rels><?xml version="1.0" encoding="UTF-8"?>
<Relationships xmlns="http://schemas.openxmlformats.org/package/2006/relationships"><Relationship Id="rId1" Type="http://schemas.openxmlformats.org/officeDocument/2006/relationships/externalLinkPath" Target="../../../../../Documents/mail/attach/TCOs/07EQG041_Hess_Sedco700_C37_17.5in_12.25in_TCO_Rev2.xls" TargetMode="External"/>
</Relationships>
</file>

<file path=xl/externalLinks/_rels/externalLink38.xml.rels><?xml version="1.0" encoding="UTF-8"?>
<Relationships xmlns="http://schemas.openxmlformats.org/package/2006/relationships"><Relationship Id="rId1" Type="http://schemas.openxmlformats.org/officeDocument/2006/relationships/externalLinkPath" Target="../../../../../Documents%20and%20Settings/MKharbotly/Local%20Settings/Temporary%20Internet%20Files/Content.IE5/E4HC4P8I/Back_up.xls" TargetMode="External"/>
</Relationships>
</file>

<file path=xl/externalLinks/_rels/externalLink39.xml.rels><?xml version="1.0" encoding="UTF-8"?>
<Relationships xmlns="http://schemas.openxmlformats.org/package/2006/relationships"><Relationship Id="rId1" Type="http://schemas.openxmlformats.org/officeDocument/2006/relationships/externalLinkPath" Target="file://PHC-S-010/Francis.Eriavbe$/cached/My%20Documents/My%20Documents/Petrohysics/FLAME%20reading%20materials/Uncflam8.xls" TargetMode="External"/>
</Relationships>
</file>

<file path=xl/externalLinks/_rels/externalLink40.xml.rels><?xml version="1.0" encoding="UTF-8"?>
<Relationships xmlns="http://schemas.openxmlformats.org/package/2006/relationships"><Relationship Id="rId1" Type="http://schemas.openxmlformats.org/officeDocument/2006/relationships/externalLinkPath" Target="file://dxbfile001v/data$/Documents%20and%20Settings/HB53868/Local%20Settings/Temporary%20Internet%20Files/Content.Outlook/XFK5D5KT/CPS%20FAR%20PAC%20(REVISED%202007).xls" TargetMode="External"/>
</Relationships>
</file>

<file path=xl/externalLinks/_rels/externalLink41.xml.rels><?xml version="1.0" encoding="UTF-8"?>
<Relationships xmlns="http://schemas.openxmlformats.org/package/2006/relationships"><Relationship Id="rId1" Type="http://schemas.openxmlformats.org/officeDocument/2006/relationships/externalLinkPath" Target="../../../../../D:/AMELIA&apos;S/Draft%20SC%20P%20cost(Thursday).xls" TargetMode="External"/>
</Relationships>
</file>

<file path=xl/externalLinks/_rels/externalLink42.xml.rels><?xml version="1.0" encoding="UTF-8"?>
<Relationships xmlns="http://schemas.openxmlformats.org/package/2006/relationships"><Relationship Id="rId1" Type="http://schemas.openxmlformats.org/officeDocument/2006/relationships/externalLinkPath" Target="../../../../../Users/e264590/Downloads/WCT/My%20Jobs/NOV%202022/AD-110%20SA-335/DS/SA335_BM307DS#_DHWS_0411%20FINAL%20LC.xlsx" TargetMode="External"/>
</Relationships>
</file>

<file path=xl/externalLinks/_rels/externalLink43.xml.rels><?xml version="1.0" encoding="UTF-8"?>
<Relationships xmlns="http://schemas.openxmlformats.org/package/2006/relationships"><Relationship Id="rId1" Type="http://schemas.openxmlformats.org/officeDocument/2006/relationships/externalLinkPath" Target="../../../../../Users/melonav/Desktop/ABUDHABI%20JOBS/2021/JULY/AD-110%20SA-314%207%20IN%20LINER%20JOB%20INFO/AD-110%20SA-314%20Liner%20%20Field%20Workbook,%20Currently%20updated,%20Rev.%20P.xlsm" TargetMode="External"/>
</Relationships>
</file>

<file path=xl/externalLinks/_rels/externalLink44.xml.rels><?xml version="1.0" encoding="UTF-8"?>
<Relationships xmlns="http://schemas.openxmlformats.org/package/2006/relationships"><Relationship Id="rId1" Type="http://schemas.openxmlformats.org/officeDocument/2006/relationships/externalLinkPath" Target="http://us.f2.yahoofs.com/bc/40ec80e8_492f/bc/Mail+Attachments/Weekly%20pipe%20costs.xls" TargetMode="External"/>
</Relationships>
</file>

<file path=xl/externalLinks/_rels/externalLink45.xml.rels><?xml version="1.0" encoding="UTF-8"?>
<Relationships xmlns="http://schemas.openxmlformats.org/package/2006/relationships"><Relationship Id="rId1" Type="http://schemas.openxmlformats.org/officeDocument/2006/relationships/externalLinkPath" Target="https://adnocmpsa-my.sharepoint.com/Apps/Rig%202/Soku%20Campaign/SOKU%20036/CASING%20&amp;%20CEMENTING/Well.xls" TargetMode="External"/>
</Relationships>
</file>

<file path=xl/externalLinks/_rels/externalLink46.xml.rels><?xml version="1.0" encoding="UTF-8"?>
<Relationships xmlns="http://schemas.openxmlformats.org/package/2006/relationships"><Relationship Id="rId1"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Relationships>
</file>

<file path=xl/externalLinks/_rels/externalLink47.xml.rels><?xml version="1.0" encoding="UTF-8"?>
<Relationships xmlns="http://schemas.openxmlformats.org/package/2006/relationships"><Relationship Id="rId1" Type="http://schemas.openxmlformats.org/officeDocument/2006/relationships/externalLinkPath" Target="https://adnocmpsa-my.sharepoint.com/Data/Exl/DEV-Baker.xls" TargetMode="External"/>
</Relationships>
</file>

<file path=xl/externalLinks/_rels/externalLink48.xml.rels><?xml version="1.0" encoding="UTF-8"?>
<Relationships xmlns="http://schemas.openxmlformats.org/package/2006/relationships"><Relationship Id="rId1" Type="http://schemas.openxmlformats.org/officeDocument/2006/relationships/externalLinkPath" Target="../../../../../D:/&#50629;&#47924;/5902(Agbami)/Weight/Topside/AGB-KBR-FT-RPT-GN-0171-00.xls" TargetMode="External"/>
</Relationships>
</file>

<file path=xl/externalLinks/_rels/externalLink49.xml.rels><?xml version="1.0" encoding="UTF-8"?>
<Relationships xmlns="http://schemas.openxmlformats.org/package/2006/relationships"><Relationship Id="rId1" Type="http://schemas.openxmlformats.org/officeDocument/2006/relationships/externalLinkPath" Target="../../../../../Users/abraahm/Desktop/Adco%20AD34%20DY239%207in%20Combo%20LH/ADNOC%20ONSHORE-AD-34-Liner%20Field%20Workbok%20GCPM-FLD001-50F1.xlsm" TargetMode="External"/>
</Relationships>
</file>

<file path=xl/externalLinks/_rels/externalLink50.xml.rels><?xml version="1.0" encoding="UTF-8"?>
<Relationships xmlns="http://schemas.openxmlformats.org/package/2006/relationships"><Relationship Id="rId1" Type="http://schemas.openxmlformats.org/officeDocument/2006/relationships/externalLinkPath" Target="file://CILBMRLT00869/c$/Documents%20and%20Settings/hal4422/My%20Documents/marc/CALCULOS/RedBook_v4.xls" TargetMode="External"/>
</Relationships>
</file>

<file path=xl/externalLinks/_rels/externalLink51.xml.rels><?xml version="1.0" encoding="UTF-8"?>
<Relationships xmlns="http://schemas.openxmlformats.org/package/2006/relationships"><Relationship Id="rId1" Type="http://schemas.openxmlformats.org/officeDocument/2006/relationships/externalLinkPath" Target="file://ushou-f-2001014/SHAREINF/SDS/Rolling%20Forecast/Current%20Forecast/FORECAST%20INPUT.xls" TargetMode="External"/>
</Relationships>
</file>

<file path=xl/externalLinks/_rels/externalLink52.xml.rels><?xml version="1.0" encoding="UTF-8"?>
<Relationships xmlns="http://schemas.openxmlformats.org/package/2006/relationships"><Relationship Id="rId1" Type="http://schemas.openxmlformats.org/officeDocument/2006/relationships/externalLinkPath" Target="../../../../../E:/Beppe/Darquain%20projet/Programs/Programs%20WO%20Compl%20Rigless/Proposal%20scheme/Premier/My%20Documents/My%20Documents/HSE.xls" TargetMode="External"/>
</Relationships>
</file>

<file path=xl/externalLinks/_rels/externalLink53.xml.rels><?xml version="1.0" encoding="UTF-8"?>
<Relationships xmlns="http://schemas.openxmlformats.org/package/2006/relationships"><Relationship Id="rId1" Type="http://schemas.openxmlformats.org/officeDocument/2006/relationships/externalLinkPath" Target="file://srvdepts/Depts/Evergreen/Thermodyn_ADI_template3.xls" TargetMode="External"/>
</Relationships>
</file>

<file path=xl/externalLinks/_rels/externalLink54.xml.rels><?xml version="1.0" encoding="UTF-8"?>
<Relationships xmlns="http://schemas.openxmlformats.org/package/2006/relationships"><Relationship Id="rId1" Type="http://schemas.openxmlformats.org/officeDocument/2006/relationships/externalLinkPath" Target="../../../../../D:/Documents%20and%20Settings/adc1001988/Local%20Settings/Temporary%20Internet%20Files/OLK9F/Data/Excel/Dabbeiya/Cls-E/Objective%20Sheet/One%20Page%20Obj.xls" TargetMode="External"/>
</Relationships>
</file>

<file path=xl/externalLinks/_rels/externalLink55.xml.rels><?xml version="1.0" encoding="UTF-8"?>
<Relationships xmlns="http://schemas.openxmlformats.org/package/2006/relationships"><Relationship Id="rId1"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Relationships>
</file>

<file path=xl/externalLinks/_rels/externalLink56.xml.rels><?xml version="1.0" encoding="UTF-8"?>
<Relationships xmlns="http://schemas.openxmlformats.org/package/2006/relationships"><Relationship Id="rId1" Type="http://schemas.openxmlformats.org/officeDocument/2006/relationships/externalLinkPath" Target="../../../../../A:/Single%20Blank.xls" TargetMode="External"/>
</Relationships>
</file>

<file path=xl/externalLinks/_rels/externalLink57.xml.rels><?xml version="1.0" encoding="UTF-8"?>
<Relationships xmlns="http://schemas.openxmlformats.org/package/2006/relationships"><Relationship Id="rId1" Type="http://schemas.openxmlformats.org/officeDocument/2006/relationships/externalLinkPath" Target="../../../../../Documents%20and%20Settings/guokath/Local%20Settings/Temporary%20Internet%20Files/OLK587/LH_ImportTemp.xls" TargetMode="External"/>
</Relationships>
</file>

<file path=xl/externalLinks/_rels/externalLink58.xml.rels><?xml version="1.0" encoding="UTF-8"?>
<Relationships xmlns="http://schemas.openxmlformats.org/package/2006/relationships"><Relationship Id="rId1" Type="http://schemas.openxmlformats.org/officeDocument/2006/relationships/externalLinkPath" Target="https://slb001-my.sharepoint.com/personal/pcao2_slb_com/Documents/Desktop/HARC_20210713185003_HARC_20210620_HARC_ML__Rev_3.xlsm" TargetMode="External"/>
</Relationships>
</file>

<file path=xl/externalLinks/_rels/externalLink59.xml.rels><?xml version="1.0" encoding="UTF-8"?>
<Relationships xmlns="http://schemas.openxmlformats.org/package/2006/relationships"><Relationship Id="rId1" Type="http://schemas.openxmlformats.org/officeDocument/2006/relationships/externalLinkPath" Target="file://sgvgisga-apps/shared/LT%20Configurator_Offshore/PCSB/LT%20Configurator_Offshore_R1_PCSB_SF1294842_DWHC_REVA.xlsx" TargetMode="External"/>
</Relationships>
</file>

<file path=xl/externalLinks/_rels/externalLink60.xml.rels><?xml version="1.0" encoding="UTF-8"?>
<Relationships xmlns="http://schemas.openxmlformats.org/package/2006/relationships"><Relationship Id="rId1" Type="http://schemas.openxmlformats.org/officeDocument/2006/relationships/externalLinkPath" Target="http://localhost:3579/aHJycDovL2RwZV9saXZlbGluay9ET0NVTUVOVC8vYi1hY3Rpb24lM2FfYV9hZmluZGl0ZW1pbmZvYWN0aW9uX2FpdGVtX2NfYTI3NjI5MzUz/ZA-14AB%20ST%20Completion%20Workbook.xlsm" TargetMode="External"/>
</Relationships>
</file>

<file path=xl/externalLinks/_rels/externalLink61.xml.rels><?xml version="1.0" encoding="UTF-8"?>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Volumes.xls" TargetMode="External"/>
</Relationships>
</file>

<file path=xl/externalLinks/_rels/externalLink62.xml.rels><?xml version="1.0" encoding="UTF-8"?>
<Relationships xmlns="http://schemas.openxmlformats.org/package/2006/relationships"><Relationship Id="rId1" Type="http://schemas.openxmlformats.org/officeDocument/2006/relationships/externalLinkPath" Target="https://slb001-my.sharepoint.com/Users/samiwal/Desktop/Baker/JOBS/SAUDI%20ARABIA/2015/October/NBR-607%20MNIF-310/Emailed/WorkBook%20-%20MNIF-310.xls" TargetMode="External"/>
</Relationships>
</file>

<file path=xl/externalLinks/_rels/externalLink63.xml.rels><?xml version="1.0" encoding="UTF-8"?>
<Relationships xmlns="http://schemas.openxmlformats.org/package/2006/relationships"><Relationship Id="rId1" Type="http://schemas.openxmlformats.org/officeDocument/2006/relationships/externalLinkPath" Target="../../../../../ADCO/Documents%20and%20Settings/hbaj849/Local%20Settings/Temporary%20Internet%20Files/OLK175/Angsi%20A%20Back%20Up.xls" TargetMode="External"/>
</Relationships>
</file>

<file path=xl/externalLinks/_rels/externalLink64.xml.rels><?xml version="1.0" encoding="UTF-8"?>
<Relationships xmlns="http://schemas.openxmlformats.org/package/2006/relationships"><Relationship Id="rId1" Type="http://schemas.openxmlformats.org/officeDocument/2006/relationships/externalLinkPath" Target="file://dufs1/users/Darquain%20Field/Reports/Arpo-20/My%20Documents/My%20Documents/HSE.xls" TargetMode="External"/>
</Relationships>
</file>

<file path=xl/externalLinks/_rels/externalLink65.xml.rels><?xml version="1.0" encoding="UTF-8"?>
<Relationships xmlns="http://schemas.openxmlformats.org/package/2006/relationships"><Relationship Id="rId1" Type="http://schemas.openxmlformats.org/officeDocument/2006/relationships/externalLinkPath" Target="../../../../../teams/ONSDRNEB/Shared%20Documents/Completion%20and%20Workover/D_Others/NEB%20Completion%20Database.xlsx" TargetMode="External"/>
</Relationships>
</file>

<file path=xl/externalLinks/_rels/externalLink66.xml.rels><?xml version="1.0" encoding="UTF-8"?>
<Relationships xmlns="http://schemas.openxmlformats.org/package/2006/relationships"><Relationship Id="rId1" Type="http://schemas.openxmlformats.org/officeDocument/2006/relationships/externalLinkPath" Target="../../../../../D:/ZEPLIN/Agbami/Weight%20Report/Weight%20Report%20Development/Agbami%20Draft%20Weight%20Report%20-%20Definitions%20Codes%20Contingency.xls" TargetMode="External"/>
</Relationships>
</file>

<file path=xl/externalLinks/_rels/externalLink67.xml.rels><?xml version="1.0" encoding="UTF-8"?>
<Relationships xmlns="http://schemas.openxmlformats.org/package/2006/relationships"><Relationship Id="rId1" Type="http://schemas.openxmlformats.org/officeDocument/2006/relationships/externalLinkPath" Target="../../../../../E:/Beppe/Darquain%20projet/Programs/Programs%20WO%20Compl%20Rigless/Proposal%20scheme/Premier/My%20Documents/JOB%20BOOK/Makarem3/WTEST70.XLS" TargetMode="External"/>
</Relationships>
</file>

<file path=xl/externalLinks/_rels/externalLink68.xml.rels><?xml version="1.0" encoding="UTF-8"?>
<Relationships xmlns="http://schemas.openxmlformats.org/package/2006/relationships"><Relationship Id="rId1" Type="http://schemas.openxmlformats.org/officeDocument/2006/relationships/externalLinkPath" Target="file://100.124.195.41/d/Aramco/Mhrh-41/BHA%2302.xls" TargetMode="External"/>
</Relationships>
</file>

<file path=xl/externalLinks/_rels/externalLink69.xml.rels><?xml version="1.0" encoding="UTF-8"?>
<Relationships xmlns="http://schemas.openxmlformats.org/package/2006/relationships"><Relationship Id="rId1" Type="http://schemas.openxmlformats.org/officeDocument/2006/relationships/externalLinkPath" Target="https://adnocmpsa-my.sharepoint.com/Apps/Rig%2002/DSV%20Files/Time%20Planner/Documents%20and%20Settings/R.Chester-sterne/Local%20Settings/Temporary%20Internet%20Files/OLK2A8/Lookahead%20EA%20Tot.xls" TargetMode="External"/>
</Relationships>
</file>

<file path=xl/externalLinks/_rels/externalLink70.xml.rels><?xml version="1.0" encoding="UTF-8"?>
<Relationships xmlns="http://schemas.openxmlformats.org/package/2006/relationships"><Relationship Id="rId1"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Relationships>
</file>

<file path=xl/externalLinks/_rels/externalLink71.xml.rels><?xml version="1.0" encoding="UTF-8"?>
<Relationships xmlns="http://schemas.openxmlformats.org/package/2006/relationships"><Relationship Id="rId1" Type="http://schemas.openxmlformats.org/officeDocument/2006/relationships/externalLinkPath" Target="https://adnocmpsa-my.sharepoint.com/TEMP/Okan76ST%20Field%20Report1.xls" TargetMode="External"/>
</Relationships>
</file>

<file path=xl/externalLinks/_rels/externalLink72.xml.rels><?xml version="1.0" encoding="UTF-8"?>
<Relationships xmlns="http://schemas.openxmlformats.org/package/2006/relationships"><Relationship Id="rId1" Type="http://schemas.openxmlformats.org/officeDocument/2006/relationships/externalLinkPath" Target="https://adnocmpsa-my.sharepoint.com/teams/ONSDRNEB/Shared%20Documents/Completion%20and%20Workover/D_Others/NEB%20Completion%20Database.xlsx" TargetMode="External"/>
</Relationships>
</file>

<file path=xl/externalLinks/_rels/externalLink73.xml.rels><?xml version="1.0" encoding="UTF-8"?>
<Relationships xmlns="http://schemas.openxmlformats.org/package/2006/relationships"><Relationship Id="rId1" Type="http://schemas.openxmlformats.org/officeDocument/2006/relationships/externalLinkPath" Target="https://adnocmpsa-my.sharepoint.com/AKPO%20101/10.75%20Liner%20Tally%20(Bob).xls" TargetMode="External"/>
</Relationships>
</file>

<file path=xl/externalLinks/_rels/externalLink74.xml.rels><?xml version="1.0" encoding="UTF-8"?>
<Relationships xmlns="http://schemas.openxmlformats.org/package/2006/relationships"><Relationship Id="rId1" Type="http://schemas.openxmlformats.org/officeDocument/2006/relationships/externalLinkPath" Target="../../../../../P:/Spreadsheets/661021R3.XLS" TargetMode="External"/>
</Relationships>
</file>

<file path=xl/externalLinks/_rels/externalLink75.xml.rels><?xml version="1.0" encoding="UTF-8"?>
<Relationships xmlns="http://schemas.openxmlformats.org/package/2006/relationships"><Relationship Id="rId1" Type="http://schemas.openxmlformats.org/officeDocument/2006/relationships/externalLinkPath" Target="../../../../../personal/mahmoud_ahmed2_weatherford_com/Documents/Desktop/GLM%20NINE%20ENR%20AD-115,%20SN-33%20DEC%20,24/RIH/Working%20copy/SN33_OP307_SCNB60_Completion%20Package_V0.xlsx" TargetMode="External"/>
</Relationships>
</file>

<file path=xl/externalLinks/_rels/externalLink76.xml.rels><?xml version="1.0" encoding="UTF-8"?>
<Relationships xmlns="http://schemas.openxmlformats.org/package/2006/relationships"><Relationship Id="rId1" Type="http://schemas.openxmlformats.org/officeDocument/2006/relationships/externalLinkPath" Target="https://adnocmpsa-my.sharepoint.com/personal/abdulla_malmheiri_adnoc_ae/Documents/Desktop/BB-671/COMP_BB-671_BC307.xlsx" TargetMode="External"/>
</Relationships>
</file>

<file path=xl/externalLinks/_rels/externalLink77.xml.rels><?xml version="1.0" encoding="UTF-8"?>
<Relationships xmlns="http://schemas.openxmlformats.org/package/2006/relationships"><Relationship Id="rId1" Type="http://schemas.openxmlformats.org/officeDocument/2006/relationships/externalLinkPath" Target="file://Opsmanager/ph%20operation/Kens%20Ops/Finance/Invoices/NEXEN/CPRN%20Feb%202001%20Invoice.xls" TargetMode="External"/>
</Relationships>
</file>

<file path=xl/externalLinks/_rels/externalLink78.xml.rels><?xml version="1.0" encoding="UTF-8"?>
<Relationships xmlns="http://schemas.openxmlformats.org/package/2006/relationships"><Relationship Id="rId1" Type="http://schemas.openxmlformats.org/officeDocument/2006/relationships/externalLinkPath" Target="https://adnocmpsa-my.sharepoint.com/personal/rbangun_adnoc_ae/Documents/Desktop/2022_WORK/COMP_SB328_AB307C.xlsx" TargetMode="External"/>
</Relationships>
</file>

<file path=xl/externalLinks/_rels/externalLink79.xml.rels><?xml version="1.0" encoding="UTF-8"?>
<Relationships xmlns="http://schemas.openxmlformats.org/package/2006/relationships"><Relationship Id="rId1" Type="http://schemas.openxmlformats.org/officeDocument/2006/relationships/externalLinkPath" Target="../../../../../D:/ERO%20Proposals/01%20%20Pricing/Subsea/Shell/Bonga%20Main%20SPS%20758/SPS%20758_3%20Extension.XLS" TargetMode="External"/>
</Relationships>
</file>

<file path=xl/externalLinks/_rels/externalLink80.xml.rels><?xml version="1.0" encoding="UTF-8"?>
<Relationships xmlns="http://schemas.openxmlformats.org/package/2006/relationships"><Relationship Id="rId1" Type="http://schemas.openxmlformats.org/officeDocument/2006/relationships/externalLinkPath" Target="../../../../../Users/212418264/Pressure%20Control/4Q16/QMI/1st%20QMI/1Q17_PC_QMI_W3_V2.xlsx" TargetMode="External"/>
</Relationships>
</file>

<file path=xl/externalLinks/_rels/externalLink81.xml.rels><?xml version="1.0" encoding="UTF-8"?>
<Relationships xmlns="http://schemas.openxmlformats.org/package/2006/relationships"><Relationship Id="rId1" Type="http://schemas.openxmlformats.org/officeDocument/2006/relationships/externalLinkPath" Target="file://Dxbfile001v/data$/Documents%20and%20Settings/hba5603/Desktop/TT&amp;TCP/Final%20Report.xls" TargetMode="External"/>
</Relationships>
</file>

<file path=xl/externalLinks/_rels/externalLink82.xml.rels><?xml version="1.0" encoding="UTF-8"?>
<Relationships xmlns="http://schemas.openxmlformats.org/package/2006/relationships"><Relationship Id="rId1" Type="http://schemas.openxmlformats.org/officeDocument/2006/relationships/externalLinkPath" Target="https://adnocmpsa-my.sharepoint.com/Documents%20and%20Settings/hx45207/Desktop/103/Akpo%20103%20Schematic/Other%20revisions/AKPO%20101/10.75%20Liner%20Tally%20(Bob).xls" TargetMode="External"/>
</Relationships>
</file>

<file path=xl/externalLinks/_rels/externalLink83.xml.rels><?xml version="1.0" encoding="UTF-8"?>
<Relationships xmlns="http://schemas.openxmlformats.org/package/2006/relationships"><Relationship Id="rId1" Type="http://schemas.openxmlformats.org/officeDocument/2006/relationships/externalLinkPath" Target="file://A44C7ECE/9.625%20TCP%20String.xls" TargetMode="External"/>
</Relationships>
</file>

<file path=xl/externalLinks/_rels/externalLink84.xml.rels><?xml version="1.0" encoding="UTF-8"?>
<Relationships xmlns="http://schemas.openxmlformats.org/package/2006/relationships"><Relationship Id="rId1" Type="http://schemas.openxmlformats.org/officeDocument/2006/relationships/externalLinkPath" Target="../../../../../Users/E258655/Desktop/AD-91%20SA-77/tally%20schematic%20and%20job%20order/job%20order.xlsx" TargetMode="External"/>
</Relationships>
</file>

<file path=xl/externalLinks/_rels/externalLink85.xml.rels><?xml version="1.0" encoding="UTF-8"?>
<Relationships xmlns="http://schemas.openxmlformats.org/package/2006/relationships"><Relationship Id="rId1" Type="http://schemas.openxmlformats.org/officeDocument/2006/relationships/externalLinkPath" Target="../../../../../H:/ESP_DHDF_AU307_MN08_Satrio.xlsx" TargetMode="External"/>
</Relationships>
</file>

<file path=xl/externalLinks/_rels/externalLink86.xml.rels><?xml version="1.0" encoding="UTF-8"?>
<Relationships xmlns="http://schemas.openxmlformats.org/package/2006/relationships"><Relationship Id="rId1" Type="http://schemas.openxmlformats.org/officeDocument/2006/relationships/externalLinkPath" Target="../../../../../Azher/Completion/Jobs/2017/7.%20July/1.%20AU307%20MN-35%20NDC-118/Tally/DHDF_AU307_MN-35.xlsx" TargetMode="External"/>
</Relationships>
</file>

<file path=xl/externalLinks/_rels/externalLink87.xml.rels><?xml version="1.0" encoding="UTF-8"?>
<Relationships xmlns="http://schemas.openxmlformats.org/package/2006/relationships"><Relationship Id="rId1"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Relationships>
</file>

<file path=xl/externalLinks/_rels/externalLink88.xml.rels><?xml version="1.0" encoding="UTF-8"?>
<Relationships xmlns="http://schemas.openxmlformats.org/package/2006/relationships"><Relationship Id="rId1" Type="http://schemas.openxmlformats.org/officeDocument/2006/relationships/externalLinkPath" Target="../../../../../ADCO/Documents%20and%20Settings/hba7869/My%20Documents/My%20Documents/FC/QUALITY/HMS/TNA%20A-6/Tuna%20A-6temp.xls" TargetMode="External"/>
</Relationships>
</file>

<file path=xl/externalLinks/_rels/externalLink89.xml.rels><?xml version="1.0" encoding="UTF-8"?>
<Relationships xmlns="http://schemas.openxmlformats.org/package/2006/relationships"><Relationship Id="rId1" Type="http://schemas.openxmlformats.org/officeDocument/2006/relationships/externalLinkPath" Target="../../../../../Users/ad1008180/AppData/Local/Microsoft/Windows/Temporary%20Internet%20Files/Content.Outlook/WJTR9H3R/DHDF_GA237_BU877_REV01.xlsx" TargetMode="External"/>
</Relationships>
</file>

<file path=xl/externalLinks/_rels/externalLink90.xml.rels><?xml version="1.0" encoding="UTF-8"?>
<Relationships xmlns="http://schemas.openxmlformats.org/package/2006/relationships"><Relationship Id="rId1" Type="http://schemas.openxmlformats.org/officeDocument/2006/relationships/externalLinkPath" Target="https://adnocmpsa.sharepoint.com/teams/ONSDRBAB/Shared%20Documents/Completion%20and%20Workover/02-Well%20Program/2022%20Wells/BB-1705/COMP_BB1705_BM307Sv2.xlsx" TargetMode="External"/>
</Relationships>
</file>

<file path=xl/externalLinks/_rels/externalLink91.xml.rels><?xml version="1.0" encoding="UTF-8"?>
<Relationships xmlns="http://schemas.openxmlformats.org/package/2006/relationships"><Relationship Id="rId1" Type="http://schemas.openxmlformats.org/officeDocument/2006/relationships/externalLinkPath" Target="../../../../../P:/Users/de_antoroimac/Downloads/archive/DRAFT%20DHWS_AE307_BB304.xlsx" TargetMode="External"/>
</Relationships>
</file>

<file path=xl/externalLinks/_rels/externalLink92.xml.rels><?xml version="1.0" encoding="UTF-8"?>
<Relationships xmlns="http://schemas.openxmlformats.org/package/2006/relationships"><Relationship Id="rId1" Type="http://schemas.openxmlformats.org/officeDocument/2006/relationships/externalLinkPath" Target="../../../../../H:/Data/Excel/Dabbeiya/Cls-E/Objective%20Sheet/One%20Page%20Obj.xls" TargetMode="External"/>
</Relationships>
</file>

<file path=xl/externalLinks/_rels/externalLink93.xml.rels><?xml version="1.0" encoding="UTF-8"?>
<Relationships xmlns="http://schemas.openxmlformats.org/package/2006/relationships"><Relationship Id="rId1" Type="http://schemas.openxmlformats.org/officeDocument/2006/relationships/externalLinkPath" Target="file://192.168.2.6/Shared%20Files/Documents/Mail/Attach/Jobs/UK-TCP%20jobs/Job%20File%20Reference/Pre%20Job/MyJob-Correlation.xls" TargetMode="External"/>
</Relationships>
</file>

<file path=xl/externalLinks/_rels/externalLink94.xml.rels><?xml version="1.0" encoding="UTF-8"?>
<Relationships xmlns="http://schemas.openxmlformats.org/package/2006/relationships"><Relationship Id="rId1" Type="http://schemas.openxmlformats.org/officeDocument/2006/relationships/externalLinkPath" Target="../../../../../Users/umirarm/Documents/Clients/ADNOC/ADNOC%20Onshore/Wells/003.%20QW-164_AD-126/Upper/Job%20Files/QW-164%20Workbook_.xlsm" TargetMode="External"/>
</Relationships>
</file>

<file path=xl/externalLinks/_rels/externalLink95.xml.rels><?xml version="1.0" encoding="UTF-8"?>
<Relationships xmlns="http://schemas.openxmlformats.org/package/2006/relationships"><Relationship Id="rId1" Type="http://schemas.openxmlformats.org/officeDocument/2006/relationships/externalLinkPath" Target="file://Srv001saw/Testing/Jobs/OGDC/Tando%20Alam/ESP%20Optimization/So%20Piala/So%20Piala%2302/Test_2/ESD%20Optimization/Kelok/Kelok%232/Petani/Petani%2367/Input2.xls" TargetMode="External"/>
</Relationships>
</file>

<file path=xl/externalLinks/_rels/externalLink96.xml.rels><?xml version="1.0" encoding="UTF-8"?>
<Relationships xmlns="http://schemas.openxmlformats.org/package/2006/relationships"><Relationship Id="rId1" Type="http://schemas.openxmlformats.org/officeDocument/2006/relationships/externalLinkPath" Target="../../../../../U:/PC/International%20SS/Quotes/Quotes/Al%20Hugayet/Active/IH-16834%20-%20Al%20Hugayet%20-%20SAMSS%20Agreement/Tender/Coll%20No7200000467Vendor0010012852RFQ%20No4200386224.xls" TargetMode="External"/>
</Relationships>
</file>

<file path=xl/externalLinks/_rels/externalLink97.xml.rels><?xml version="1.0" encoding="UTF-8"?>
<Relationships xmlns="http://schemas.openxmlformats.org/package/2006/relationships"><Relationship Id="rId1" Type="http://schemas.openxmlformats.org/officeDocument/2006/relationships/externalLinkPath" Target="../../../../../Users/105029850/AppData/Local/Microsoft/Windows/Temporary%20Internet%20Files/Content.Outlook/VM0AADZZ/HBS%20BOM_REV_0%20(ESTIMATE%20COST)-TYPE%203%20(CHINA).xlsm" TargetMode="External"/>
</Relationships>
</file>

<file path=xl/externalLinks/_rels/externalLink98.xml.rels><?xml version="1.0" encoding="UTF-8"?>
<Relationships xmlns="http://schemas.openxmlformats.org/package/2006/relationships"><Relationship Id="rId1" Type="http://schemas.openxmlformats.org/officeDocument/2006/relationships/externalLinkPath" Target="../../../../../Users/105029850/AB_O&amp;G/Egypt/NON-FLOW/2020/PetroGulf%20MLC_DM-%202136593/3.%20FCM%20and%20R2%20Process/HP190192%20AE%20BOM%20Rev%20NC.xlsm" TargetMode="External"/>
</Relationships>
</file>

<file path=xl/externalLinks/_rels/externalLink99.xml.rels><?xml version="1.0" encoding="UTF-8"?>
<Relationships xmlns="http://schemas.openxmlformats.org/package/2006/relationships"><Relationship Id="rId1" Type="http://schemas.openxmlformats.org/officeDocument/2006/relationships/externalLinkPath" Target="../../../../../A:/2611/Pierre%20Gu&#233;rin%20Q/Aec00/COM00.xls" TargetMode="External"/>
</Relationships>
</file>

<file path=xl/externalLinks/_rels/externalLink100.xml.rels><?xml version="1.0" encoding="UTF-8"?>
<Relationships xmlns="http://schemas.openxmlformats.org/package/2006/relationships"><Relationship Id="rId1" Type="http://schemas.openxmlformats.org/officeDocument/2006/relationships/externalLinkPath" Target="../../../../../WINDOWS/TEMP/Angsi%20A.xls" TargetMode="External"/>
</Relationships>
</file>

<file path=xl/externalLinks/_rels/externalLink101.xml.rels><?xml version="1.0" encoding="UTF-8"?>
<Relationships xmlns="http://schemas.openxmlformats.org/package/2006/relationships"><Relationship Id="rId1" Type="http://schemas.openxmlformats.org/officeDocument/2006/relationships/externalLinkPath" Target="https://adnocmpsa-my.sharepoint.com/Documents%20and%20Settings/aadeyeb.BJ-NIGERIA-0002/Desktop/REPORTS/BOOK5.XLS!DRILLPI%20(3)" TargetMode="External"/>
</Relationships>
</file>

<file path=xl/externalLinks/_rels/externalLink102.xml.rels><?xml version="1.0" encoding="UTF-8"?>
<Relationships xmlns="http://schemas.openxmlformats.org/package/2006/relationships"><Relationship Id="rId1" Type="http://schemas.openxmlformats.org/officeDocument/2006/relationships/externalLinkPath" Target="../../../../../Z:/abel/(Row%2011)%20BP%20-%20Pwf%20calculations.xls" TargetMode="External"/>
</Relationships>
</file>

<file path=xl/externalLinks/_rels/externalLink103.xml.rels><?xml version="1.0" encoding="UTF-8"?>
<Relationships xmlns="http://schemas.openxmlformats.org/package/2006/relationships"><Relationship Id="rId1" Type="http://schemas.openxmlformats.org/officeDocument/2006/relationships/externalLinkPath" Target="file://publicstg1/DRIL_Public$/Avinash/Larut/Larut%20A-09/Single%20Blank.xls" TargetMode="External"/>
</Relationships>
</file>

<file path=xl/externalLinks/_rels/externalLink104.xml.rels><?xml version="1.0" encoding="UTF-8"?>
<Relationships xmlns="http://schemas.openxmlformats.org/package/2006/relationships"><Relationship Id="rId1" Type="http://schemas.openxmlformats.org/officeDocument/2006/relationships/externalLinkPath" Target="../../../../../I:/Tuban%20Reservoir/Bill%20Fulton%20Jan2001/Joe%20Stein/Base%20Case%20May%2001.xls" TargetMode="External"/>
</Relationships>
</file>

<file path=xl/externalLinks/_rels/externalLink105.xml.rels><?xml version="1.0" encoding="UTF-8"?>
<Relationships xmlns="http://schemas.openxmlformats.org/package/2006/relationships"><Relationship Id="rId1" Type="http://schemas.openxmlformats.org/officeDocument/2006/relationships/externalLinkPath" Target="https://slb001-my.sharepoint.com/Documents/PCSB-SKO/BARAM-D/BA-47S1/BA%2047S1%20running%20tally.xls" TargetMode="External"/>
</Relationships>
</file>

<file path=xl/externalLinks/_rels/externalLink106.xml.rels><?xml version="1.0" encoding="UTF-8"?>
<Relationships xmlns="http://schemas.openxmlformats.org/package/2006/relationships"><Relationship Id="rId1" Type="http://schemas.openxmlformats.org/officeDocument/2006/relationships/externalLinkPath" Target="../../../../../Apps/My%20C%20Docs/Gbaran-16/Afam%209%20EOWR.doc/BAKER/7MRL84~1/Post%20Job%20Report/WT.xls" TargetMode="External"/>
</Relationships>
</file>

<file path=xl/externalLinks/_rels/externalLink107.xml.rels><?xml version="1.0" encoding="UTF-8"?>
<Relationships xmlns="http://schemas.openxmlformats.org/package/2006/relationships"><Relationship Id="rId1" Type="http://schemas.openxmlformats.org/officeDocument/2006/relationships/externalLinkPath" Target="../../../../../Documents%20and%20Settings/ianmx/My%20Documents/Tech%20Info/Technical%20Files/Tubmove/Tubing%20movement.xls" TargetMode="External"/>
</Relationships>
</file>

<file path=xl/externalLinks/_rels/externalLink108.xml.rels><?xml version="1.0" encoding="UTF-8"?>
<Relationships xmlns="http://schemas.openxmlformats.org/package/2006/relationships"><Relationship Id="rId1" Type="http://schemas.openxmlformats.org/officeDocument/2006/relationships/externalLinkPath" Target="../../../../../Documents%20and%20Settings/e109708/Local%20Settings/Temporary%20Internet%20Files/Content.Outlook/FM9EGCPG/Permanent%20completion%20workbook.xls" TargetMode="External"/>
</Relationships>
</file>

<file path=xl/externalLinks/_rels/externalLink109.xml.rels><?xml version="1.0" encoding="UTF-8"?>
<Relationships xmlns="http://schemas.openxmlformats.org/package/2006/relationships"><Relationship Id="rId1" Type="http://schemas.openxmlformats.org/officeDocument/2006/relationships/externalLinkPath" Target="../../../../../C:/Users/enwoony/Desktop/Nsiko%20North/9.625%20LINER%20HANGER/Nsiko%20North%20Liner%20Hanger%20Work%20Book.xls" TargetMode="External"/>
</Relationships>
</file>

<file path=xl/externalLinks/_rels/externalLink110.xml.rels><?xml version="1.0" encoding="UTF-8"?>
<Relationships xmlns="http://schemas.openxmlformats.org/package/2006/relationships"><Relationship Id="rId1" Type="http://schemas.openxmlformats.org/officeDocument/2006/relationships/externalLinkPath" Target="../../../../../I:/Saudi%20Oilwells/Saudi%20Land%20Jobs/Directional%20Jobs/ANDR-490/12%20BHA.xls" TargetMode="External"/>
</Relationships>
</file>

<file path=xl/externalLinks/_rels/externalLink111.xml.rels><?xml version="1.0" encoding="UTF-8"?>
<Relationships xmlns="http://schemas.openxmlformats.org/package/2006/relationships"><Relationship Id="rId1" Type="http://schemas.openxmlformats.org/officeDocument/2006/relationships/externalLinkPath" Target="../../../../../teams/ONSDRBAB/Shared%20Documents/Completion%20and%20Workover/02-Well%20Program/2024%20Wells/BB-1963/COMP_BB1963_WI307L80BB22.xlsx" TargetMode="External"/>
</Relationships>
</file>

<file path=xl/externalLinks/_rels/externalLink112.xml.rels><?xml version="1.0" encoding="UTF-8"?>
<Relationships xmlns="http://schemas.openxmlformats.org/package/2006/relationships"><Relationship Id="rId1" Type="http://schemas.openxmlformats.org/officeDocument/2006/relationships/externalLinkPath" Target="../../../../../Users/e267760/Desktop/Work/Jobs/2024/03-March/AD-32%20BB-1963/field%20package/EOWR%20AD-32%20(BB-1963).xlsx" TargetMode="External"/>
</Relationships>
</file>

<file path=xl/externalLinks/_rels/externalLink113.xml.rels><?xml version="1.0" encoding="UTF-8"?>
<Relationships xmlns="http://schemas.openxmlformats.org/package/2006/relationships"><Relationship Id="rId1" Type="http://schemas.openxmlformats.org/officeDocument/2006/relationships/externalLinkPath" Target="../../../../../A:/WINDOWS/Desktop/GARYJOB/FORMS.XLS" TargetMode="External"/>
</Relationships>
</file>

<file path=xl/externalLinks/_rels/externalLink114.xml.rels><?xml version="1.0" encoding="UTF-8"?>
<Relationships xmlns="http://schemas.openxmlformats.org/package/2006/relationships"><Relationship Id="rId1" Type="http://schemas.openxmlformats.org/officeDocument/2006/relationships/externalLinkPath" Target="https://slb001-my.sharepoint.com/Data/Customers/CNOOC/Cinta/Cinta%20H-4/Cinta%20H-4%20Prepack,%2011-Jun-02,%20Rev1.xls" TargetMode="External"/>
</Relationships>
</file>

<file path=xl/externalLinks/_rels/externalLink115.xml.rels><?xml version="1.0" encoding="UTF-8"?>
<Relationships xmlns="http://schemas.openxmlformats.org/package/2006/relationships"><Relationship Id="rId1" Type="http://schemas.openxmlformats.org/officeDocument/2006/relationships/externalLinkPath" Target="../../../../../Apps/Rig%2002/DSV%20Files/Time%20Planner/Documents%20and%20Settings/R.Chester-sterne/Local%20Settings/Temporary%20Internet%20Files/OLK2A8/Hydraulics.xls" TargetMode="External"/>
</Relationships>
</file>

<file path=xl/externalLinks/_rels/externalLink116.xml.rels><?xml version="1.0" encoding="UTF-8"?>
<Relationships xmlns="http://schemas.openxmlformats.org/package/2006/relationships"><Relationship Id="rId1" Type="http://schemas.openxmlformats.org/officeDocument/2006/relationships/externalLinkPath" Target="../../../../../FORMULAS/Kill%20Sheet%20Laff.xls" TargetMode="External"/>
</Relationships>
</file>

<file path=xl/externalLinks/_rels/externalLink117.xml.rels><?xml version="1.0" encoding="UTF-8"?>
<Relationships xmlns="http://schemas.openxmlformats.org/package/2006/relationships"><Relationship Id="rId1" Type="http://schemas.openxmlformats.org/officeDocument/2006/relationships/externalLinkPath" Target="../../../../../Users/e208947/Desktop/UZ489/UZ-489%20JOB%20WORK%20BOOK.xls" TargetMode="External"/>
</Relationships>
</file>

<file path=xl/externalLinks/_rels/externalLink118.xml.rels><?xml version="1.0" encoding="UTF-8"?>
<Relationships xmlns="http://schemas.openxmlformats.org/package/2006/relationships"><Relationship Id="rId1" Type="http://schemas.openxmlformats.org/officeDocument/2006/relationships/externalLinkPath" Target="../../../../../Copy%20of%20Central%20Island%20-%20Halliburton%20HSE%20Observations.xlsx" TargetMode="External"/>
</Relationships>
</file>

<file path=xl/externalLinks/_rels/externalLink119.xml.rels><?xml version="1.0" encoding="UTF-8"?>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EXCEL5/QK179/J12&#20108;.XLS" TargetMode="External"/>
</Relationships>
</file>

<file path=xl/externalLinks/_rels/externalLink120.xml.rels><?xml version="1.0" encoding="UTF-8"?>
<Relationships xmlns="http://schemas.openxmlformats.org/package/2006/relationships"><Relationship Id="rId1" Type="http://schemas.openxmlformats.org/officeDocument/2006/relationships/externalLinkPath" Target="../../../../../Apps/Rig%202/Soku%20Campaign/SOKU%20036/CASING%20&amp;%20CEMENTING/Personal.xls" TargetMode="External"/>
</Relationships>
</file>

<file path=xl/externalLinks/_rels/externalLink121.xml.rels><?xml version="1.0" encoding="UTF-8"?>
<Relationships xmlns="http://schemas.openxmlformats.org/package/2006/relationships"><Relationship Id="rId1" Type="http://schemas.openxmlformats.org/officeDocument/2006/relationships/externalLinkPath" Target="file://2D140315/SA325_ABF307S%23_Completion%20Package_V2.xlsx" TargetMode="External"/>
</Relationships>
</file>

<file path=xl/externalLinks/_rels/externalLink122.xml.rels><?xml version="1.0" encoding="UTF-8"?>
<Relationships xmlns="http://schemas.openxmlformats.org/package/2006/relationships"><Relationship Id="rId1" Type="http://schemas.openxmlformats.org/officeDocument/2006/relationships/externalLinkPath" Target="file://publicstg1/DRIL_Public$/ADCO/Documents%20and%20Settings/hba7869/My%20Documents/My%20Documents/FC/QUALITY/HMS/Reviews/Well%20Report%20Templates/Well%20Completion%20Data%20Book%20(HES)1.xls" TargetMode="External"/>
</Relationships>
</file>

<file path=xl/externalLinks/_rels/externalLink123.xml.rels><?xml version="1.0" encoding="UTF-8"?>
<Relationships xmlns="http://schemas.openxmlformats.org/package/2006/relationships"><Relationship Id="rId1" Type="http://schemas.openxmlformats.org/officeDocument/2006/relationships/externalLinkPath" Target="../../../../../Documents%20and%20Settings/langdezn/My%20Documents/B.O.T/Liner%20HR/SDGM-118/MEAP%20OHC%20Report%20Rev%205%20431.xls" TargetMode="External"/>
</Relationships>
</file>

<file path=xl/externalLinks/_rels/externalLink124.xml.rels><?xml version="1.0" encoding="UTF-8"?>
<Relationships xmlns="http://schemas.openxmlformats.org/package/2006/relationships"><Relationship Id="rId1" Type="http://schemas.openxmlformats.org/officeDocument/2006/relationships/externalLinkPath" Target="file://DHAALL1001/Public$/WINNT/Profiles/psw/Desktop/FRAC/00%20work%20to%20do/ticket/TICKET%20AND%20CONTINUATION.xls" TargetMode="External"/>
</Relationships>
</file>

<file path=xl/externalLinks/_rels/externalLink125.xml.rels><?xml version="1.0" encoding="UTF-8"?>
<Relationships xmlns="http://schemas.openxmlformats.org/package/2006/relationships"><Relationship Id="rId1" Type="http://schemas.openxmlformats.org/officeDocument/2006/relationships/externalLinkPath" Target="../../../../../Documents%20and%20Settings/e139622/Local%20Settings/Temporary%20Internet%20Files/Content.Outlook/0IMVV9RG/Form-3-4-US-GL-GL-00002_JRAA%20Form_Rev2_030211%20(2).xlsx" TargetMode="External"/>
</Relationships>
</file>

<file path=xl/externalLinks/_rels/externalLink126.xml.rels><?xml version="1.0" encoding="UTF-8"?>
<Relationships xmlns="http://schemas.openxmlformats.org/package/2006/relationships"><Relationship Id="rId1" Type="http://schemas.openxmlformats.org/officeDocument/2006/relationships/externalLinkPath" Target="../../../../../C:/Users/h155384/Desktop/CWT/Paper%20Work/CWT%20schematic/JOB%20PACK%20%20CWT%20-ZB%20262.xls" TargetMode="External"/>
</Relationships>
</file>

<file path=xl/externalLinks/_rels/externalLink127.xml.rels><?xml version="1.0" encoding="UTF-8"?>
<Relationships xmlns="http://schemas.openxmlformats.org/package/2006/relationships"><Relationship Id="rId1" Type="http://schemas.openxmlformats.org/officeDocument/2006/relationships/externalLinkPath" Target="https://slb001.sharepoint.com/SAPS/Finance%20team/data%20preparation/VENDOR%20&amp;%20BANK%20FILES/MIGRATION%20FILES/BANK%2020-10.xls" TargetMode="External"/>
</Relationships>
</file>

<file path=xl/externalLinks/_rels/externalLink128.xml.rels><?xml version="1.0" encoding="UTF-8"?>
<Relationships xmlns="http://schemas.openxmlformats.org/package/2006/relationships"><Relationship Id="rId1" Type="http://schemas.openxmlformats.org/officeDocument/2006/relationships/externalLinkPath" Target="file://10.221.16.211/d$/Documents/mail/attach/TCOs/07EQG041_Hess_Sedco700_C37_17.5in_12.25in_TCO_Rev2.xls" TargetMode="External"/>
</Relationships>
</file>

<file path=xl/externalLinks/_rels/externalLink129.xml.rels><?xml version="1.0" encoding="UTF-8"?>
<Relationships xmlns="http://schemas.openxmlformats.org/package/2006/relationships"><Relationship Id="rId1" Type="http://schemas.openxmlformats.org/officeDocument/2006/relationships/externalLinkPath" Target="file://10.221.16.211/d$/Documents%20and%20Settings/MKharbotly/Local%20Settings/Temporary%20Internet%20Files/Content.IE5/E4HC4P8I/Back_up.xls" TargetMode="External"/>
</Relationships>
</file>

<file path=xl/externalLinks/_rels/externalLink130.xml.rels><?xml version="1.0" encoding="UTF-8"?>
<Relationships xmlns="http://schemas.openxmlformats.org/package/2006/relationships"><Relationship Id="rId1" Type="http://schemas.openxmlformats.org/officeDocument/2006/relationships/externalLinkPath" Target="../../../../../Users/binahm03/Desktop/Liner%20Hanger%20Field%20Workbook.xlsx" TargetMode="External"/>
</Relationships>
</file>

<file path=xl/externalLinks/_rels/externalLink131.xml.rels><?xml version="1.0" encoding="UTF-8"?>
<Relationships xmlns="http://schemas.openxmlformats.org/package/2006/relationships"><Relationship Id="rId1" Type="http://schemas.openxmlformats.org/officeDocument/2006/relationships/externalLinkPath" Target="../../../../../C:/Documents%20and%20Settings/guokath/Local%20Settings/Temporary%20Internet%20Files/OLK587/LH_ImportTemp.xls" TargetMode="External"/>
</Relationships>
</file>

<file path=xl/externalLinks/_rels/externalLink132.xml.rels><?xml version="1.0" encoding="UTF-8"?>
<Relationships xmlns="http://schemas.openxmlformats.org/package/2006/relationships"><Relationship Id="rId1" Type="http://schemas.openxmlformats.org/officeDocument/2006/relationships/externalLinkPath" Target="file://FA51F76F/SO%237913827%20PA-656%20BRRI-219%205in%20TWR,%20PBR,%20XPO%237.xls" TargetMode="External"/>
</Relationships>
</file>

<file path=xl/externalLinks/_rels/externalLink133.xml.rels><?xml version="1.0" encoding="UTF-8"?>
<Relationships xmlns="http://schemas.openxmlformats.org/package/2006/relationships"><Relationship Id="rId1" Type="http://schemas.openxmlformats.org/officeDocument/2006/relationships/externalLinkPath" Target="file://KEMAMAN-SLB1/CompServ/MSOFFICE/EXCEL/DATA/COMMAND/FORMS/MREP1295.XLS" TargetMode="External"/>
</Relationships>
</file>

<file path=xl/externalLinks/_rels/externalLink134.xml.rels><?xml version="1.0" encoding="UTF-8"?>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works/BZ313D/&#31532;&#20116;&#33410;.XLS" TargetMode="External"/>
</Relationships>
</file>

<file path=xl/externalLinks/_rels/externalLink135.xml.rels><?xml version="1.0" encoding="UTF-8"?>
<Relationships xmlns="http://schemas.openxmlformats.org/package/2006/relationships"><Relationship Id="rId1" Type="http://schemas.openxmlformats.org/officeDocument/2006/relationships/externalLinkPath" Target="../../../../../Users/Usama%20Javaid/Desktop/ADCO%20LINER%20HANGER_AD_55_BU_844/WORKBOOK_AD_55_BU_884.xlsm" TargetMode="External"/>
</Relationships>
</file>

<file path=xl/externalLinks/_rels/externalLink136.xml.rels><?xml version="1.0" encoding="UTF-8"?>
<Relationships xmlns="http://schemas.openxmlformats.org/package/2006/relationships"><Relationship Id="rId1" Type="http://schemas.openxmlformats.org/officeDocument/2006/relationships/externalLinkPath" Target="../../../../../Apps/Rig%202/Soku%20Campaign/SOKU%20036/CASING%20&amp;%20CEMENTING/Well.xls" TargetMode="External"/>
</Relationships>
</file>

<file path=xl/externalLinks/_rels/externalLink137.xml.rels><?xml version="1.0" encoding="UTF-8"?>
<Relationships xmlns="http://schemas.openxmlformats.org/package/2006/relationships"><Relationship Id="rId1" Type="http://schemas.openxmlformats.org/officeDocument/2006/relationships/externalLinkPath" Target="../../../../../Users/012716/Desktop/Tinu%20Joseph%20(NDC%20ND131)/Desktop/Pipe%20Tally(12.25%20Inch%20Hole).xls" TargetMode="External"/>
</Relationships>
</file>

<file path=xl/externalLinks/_rels/externalLink138.xml.rels><?xml version="1.0" encoding="UTF-8"?>
<Relationships xmlns="http://schemas.openxmlformats.org/package/2006/relationships"><Relationship Id="rId1" Type="http://schemas.openxmlformats.org/officeDocument/2006/relationships/externalLinkPath" Target="../../../../../Data/Exl/DEV-Baker.xls" TargetMode="External"/>
</Relationships>
</file>

<file path=xl/externalLinks/_rels/externalLink139.xml.rels><?xml version="1.0" encoding="UTF-8"?>
<Relationships xmlns="http://schemas.openxmlformats.org/package/2006/relationships"><Relationship Id="rId1" Type="http://schemas.openxmlformats.org/officeDocument/2006/relationships/externalLinkPath" Target="file://Srv002klm/WCP-KL/My%20Documents/FSM/budget%2000/Budget%202K%20Dec%20Rev/adriano.xls" TargetMode="External"/>
</Relationships>
</file>

<file path=xl/externalLinks/_rels/externalLink140.xml.rels><?xml version="1.0" encoding="UTF-8"?>
<Relationships xmlns="http://schemas.openxmlformats.org/package/2006/relationships"><Relationship Id="rId1" Type="http://schemas.openxmlformats.org/officeDocument/2006/relationships/externalLinkPath" Target="../../../../../A:/windows/TEMP/ANGSI%20B%20%23%2014.xls" TargetMode="External"/>
</Relationships>
</file>

<file path=xl/externalLinks/_rels/externalLink141.xml.rels><?xml version="1.0" encoding="UTF-8"?>
<Relationships xmlns="http://schemas.openxmlformats.org/package/2006/relationships"><Relationship Id="rId1" Type="http://schemas.openxmlformats.org/officeDocument/2006/relationships/externalLinkPath" Target="file://KEMAMAN-SLB1/CompServ/MSOFFICE/EXCEL/DATA/COMMAND/FORMS/MREP0396.XLS" TargetMode="External"/>
</Relationships>
</file>

<file path=xl/externalLinks/_rels/externalLink142.xml.rels><?xml version="1.0" encoding="UTF-8"?>
<Relationships xmlns="http://schemas.openxmlformats.org/package/2006/relationships"><Relationship Id="rId1" Type="http://schemas.openxmlformats.org/officeDocument/2006/relationships/externalLinkPath" Target="../../../../../A:/WINDOWS/TEMP/windows/TEMP/BENWORKB.DOC/MORNRPT.XLS" TargetMode="External"/>
</Relationships>
</file>

<file path=xl/externalLinks/_rels/externalLink143.xml.rels><?xml version="1.0" encoding="UTF-8"?>
<Relationships xmlns="http://schemas.openxmlformats.org/package/2006/relationships"><Relationship Id="rId1" Type="http://schemas.openxmlformats.org/officeDocument/2006/relationships/externalLinkPath" Target="https://slb001-my.sharepoint.com/KUAN/Book1.xls" TargetMode="External"/>
</Relationships>
</file>

<file path=xl/externalLinks/_rels/externalLink144.xml.rels><?xml version="1.0" encoding="UTF-8"?>
<Relationships xmlns="http://schemas.openxmlformats.org/package/2006/relationships"><Relationship Id="rId1" Type="http://schemas.openxmlformats.org/officeDocument/2006/relationships/externalLinkPath" Target="../../../../../A:/Well%20File/Angsi%20B/Work%20File/Angsi%20B%20%23%2016/ANGSI%20B%20%23%2016.xls" TargetMode="External"/>
</Relationships>
</file>

<file path=xl/externalLinks/_rels/externalLink145.xml.rels><?xml version="1.0" encoding="UTF-8"?>
<Relationships xmlns="http://schemas.openxmlformats.org/package/2006/relationships"><Relationship Id="rId1" Type="http://schemas.openxmlformats.org/officeDocument/2006/relationships/externalLinkPath" Target="file://my0129srv01.dir.slb.com/Completions/Slb%20Labuan/Murphy%20Kikeh/Subsea-SDP-WX-04.xls" TargetMode="External"/>
</Relationships>
</file>

<file path=xl/externalLinks/_rels/externalLink146.xml.rels><?xml version="1.0" encoding="UTF-8"?>
<Relationships xmlns="http://schemas.openxmlformats.org/package/2006/relationships"><Relationship Id="rId1" Type="http://schemas.openxmlformats.org/officeDocument/2006/relationships/externalLinkPath" Target="https://slb001-my.sharepoint.com/Documents%20and%20Settings/aismail5/Desktop/Bumi%20Deep-2_DD%20slideSheet_8.5in%20HS/SlideSheett_Rev1.0.xls" TargetMode="External"/>
</Relationships>
</file>

<file path=xl/externalLinks/_rels/externalLink147.xml.rels><?xml version="1.0" encoding="UTF-8"?>
<Relationships xmlns="http://schemas.openxmlformats.org/package/2006/relationships"><Relationship Id="rId1" Type="http://schemas.openxmlformats.org/officeDocument/2006/relationships/externalLinkPath" Target="file://KEMAMAN-SLB1/CompServ/MSOFFICE/EXCEL/DATA/COMMAND/FORMS/MREP0196.XLS" TargetMode="External"/>
</Relationships>
</file>

<file path=xl/externalLinks/_rels/externalLink148.xml.rels><?xml version="1.0" encoding="UTF-8"?>
<Relationships xmlns="http://schemas.openxmlformats.org/package/2006/relationships"><Relationship Id="rId1"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Relationships>
</file>

<file path=xl/externalLinks/_rels/externalLink149.xml.rels><?xml version="1.0" encoding="UTF-8"?>
<Relationships xmlns="http://schemas.openxmlformats.org/package/2006/relationships"><Relationship Id="rId1" Type="http://schemas.openxmlformats.org/officeDocument/2006/relationships/externalLinkPath" Target="../../../../../A:/BHA.XLS" TargetMode="External"/>
</Relationships>
</file>

<file path=xl/externalLinks/_rels/externalLink150.xml.rels><?xml version="1.0" encoding="UTF-8"?>
<Relationships xmlns="http://schemas.openxmlformats.org/package/2006/relationships"><Relationship Id="rId1" Type="http://schemas.openxmlformats.org/officeDocument/2006/relationships/externalLinkPath" Target="../../../../../Apps/Rig%2002/DSV%20Files/Time%20Planner/Documents%20and%20Settings/R.Chester-sterne/Local%20Settings/Temporary%20Internet%20Files/OLK2A8/Volumes.xls" TargetMode="External"/>
</Relationships>
</file>

<file path=xl/externalLinks/_rels/externalLink151.xml.rels><?xml version="1.0" encoding="UTF-8"?>
<Relationships xmlns="http://schemas.openxmlformats.org/package/2006/relationships"><Relationship Id="rId1" Type="http://schemas.openxmlformats.org/officeDocument/2006/relationships/externalLinkPath" Target="file://publicstg1/DRIL_Public$/Documents%20and%20Settings/hbaj849/Local%20Settings/Temporary%20Internet%20Files/OLK175/Angsi%20A%20Back%20Up.xls" TargetMode="External"/>
</Relationships>
</file>

<file path=xl/externalLinks/_rels/externalLink152.xml.rels><?xml version="1.0" encoding="UTF-8"?>
<Relationships xmlns="http://schemas.openxmlformats.org/package/2006/relationships"><Relationship Id="rId1" Type="http://schemas.openxmlformats.org/officeDocument/2006/relationships/externalLinkPath" Target="file://KEMAMAN-SLB1/CompServ/MSOFFICE/EXCEL/DATA/COMMAND/FORMS/MREP0395.XLS" TargetMode="External"/>
</Relationships>
</file>

<file path=xl/externalLinks/_rels/externalLink153.xml.rels><?xml version="1.0" encoding="UTF-8"?>
<Relationships xmlns="http://schemas.openxmlformats.org/package/2006/relationships"><Relationship Id="rId1" Type="http://schemas.openxmlformats.org/officeDocument/2006/relationships/externalLinkPath" Target="../../../../../Apps/Rig%2002/DSV%20Files/Time%20Planner/Documents%20and%20Settings/R.Chester-sterne/Local%20Settings/Temporary%20Internet%20Files/OLK2A8/Lookahead%20EA%20Tot.xls" TargetMode="External"/>
</Relationships>
</file>

<file path=xl/externalLinks/_rels/externalLink154.xml.rels><?xml version="1.0" encoding="UTF-8"?>
<Relationships xmlns="http://schemas.openxmlformats.org/package/2006/relationships"><Relationship Id="rId1" Type="http://schemas.openxmlformats.org/officeDocument/2006/relationships/externalLinkPath" Target="http://bothoudoc01/1Rish/QA/BOT-QA/FORMS/1212-B.XLS" TargetMode="External"/>
</Relationships>
</file>

<file path=xl/externalLinks/_rels/externalLink155.xml.rels><?xml version="1.0" encoding="UTF-8"?>
<Relationships xmlns="http://schemas.openxmlformats.org/package/2006/relationships"><Relationship Id="rId1" Type="http://schemas.openxmlformats.org/officeDocument/2006/relationships/externalLinkPath" Target="../../../../../A:/Documents%20and%20Settings/hba7869/My%20Documents/My%20Documents/FC/QUALITY/HMS/TNA%20A-6/Tuna%20A-6temp.xls" TargetMode="External"/>
</Relationships>
</file>

<file path=xl/externalLinks/_rels/externalLink156.xml.rels><?xml version="1.0" encoding="UTF-8"?>
<Relationships xmlns="http://schemas.openxmlformats.org/package/2006/relationships"><Relationship Id="rId1" Type="http://schemas.openxmlformats.org/officeDocument/2006/relationships/externalLinkPath" Target="../../../../../TEMP/Okan76ST%20Field%20Report1.xls" TargetMode="External"/>
</Relationships>
</file>

<file path=xl/externalLinks/_rels/externalLink157.xml.rels><?xml version="1.0" encoding="UTF-8"?>
<Relationships xmlns="http://schemas.openxmlformats.org/package/2006/relationships"><Relationship Id="rId1" Type="http://schemas.openxmlformats.org/officeDocument/2006/relationships/externalLinkPath" Target="../../../../../AKPO%20101/10.75%20Liner%20Tally%20(Bob).xls" TargetMode="External"/>
</Relationships>
</file>

<file path=xl/externalLinks/_rels/externalLink158.xml.rels><?xml version="1.0" encoding="UTF-8"?>
<Relationships xmlns="http://schemas.openxmlformats.org/package/2006/relationships"><Relationship Id="rId1" Type="http://schemas.openxmlformats.org/officeDocument/2006/relationships/externalLinkPath" Target="../../../../../personal/nfuzi_adnoc_ae/Documents/Desktop/Desktop/GLM%20NINE%20ENR%20AD-115,%20SN-33%20DEC%20,24/RIH/Working%20copy/SN33_OP307_SCNB60_Completion%20Package_V0.xlsx" TargetMode="External"/>
</Relationships>
</file>

<file path=xl/externalLinks/_rels/externalLink159.xml.rels><?xml version="1.0" encoding="UTF-8"?>
<Relationships xmlns="http://schemas.openxmlformats.org/package/2006/relationships"><Relationship Id="rId1" Type="http://schemas.openxmlformats.org/officeDocument/2006/relationships/externalLinkPath" Target="../../../../../Documents%20and%20Settings/hx45207/Desktop/103/Akpo%20103%20Schematic/Other%20revisions/AKPO%20101/10.75%20Liner%20Tally%20(Bob).xls" TargetMode="External"/>
</Relationships>
</file>

<file path=xl/externalLinks/_rels/externalLink160.xml.rels><?xml version="1.0" encoding="UTF-8"?>
<Relationships xmlns="http://schemas.openxmlformats.org/package/2006/relationships"><Relationship Id="rId1" Type="http://schemas.openxmlformats.org/officeDocument/2006/relationships/externalLinkPath" Target="file://Ushou-f-2001014/shareinf/SDS/Staff%20Meetings/5-24-04/SDS/Rolling%20Forecast/Current%20Forecast/FORECAST%20INPUT.xls" TargetMode="External"/>
</Relationships>
</file>

<file path=xl/externalLinks/_rels/externalLink161.xml.rels><?xml version="1.0" encoding="UTF-8"?>
<Relationships xmlns="http://schemas.openxmlformats.org/package/2006/relationships"><Relationship Id="rId1" Type="http://schemas.openxmlformats.org/officeDocument/2006/relationships/externalLinkPath" Target="../../../../../personal/rbangun_adnoc_ae/Documents/Desktop/2022_WORK/COMP_SB328_AB307C.xlsx" TargetMode="External"/>
</Relationships>
</file>

<file path=xl/externalLinks/_rels/externalLink162.xml.rels><?xml version="1.0" encoding="UTF-8"?>
<Relationships xmlns="http://schemas.openxmlformats.org/package/2006/relationships"><Relationship Id="rId1" Type="http://schemas.openxmlformats.org/officeDocument/2006/relationships/externalLinkPath" Target="../../../../../Apps/My%20C%20Docs/Gbaran-16/Afam%209%20EOWR.doc/BAKER/7-MRL-~1/ScottFee/WTR_USA1.xls" TargetMode="External"/>
</Relationships>
</file>

<file path=xl/externalLinks/_rels/externalLink163.xml.rels><?xml version="1.0" encoding="UTF-8"?>
<Relationships xmlns="http://schemas.openxmlformats.org/package/2006/relationships"><Relationship Id="rId1" Type="http://schemas.openxmlformats.org/officeDocument/2006/relationships/externalLinkPath" Target="file://publicstg1/DRIL_Public$/ADCO/Documents%20and%20Settings/hba7869/My%20Documents/My%20Documents/FC/QUALITY/HMS/TNA%20A-6/Tuna%20A-6temp.xls" TargetMode="External"/>
</Relationships>
</file>

<file path=xl/externalLinks/_rels/externalLink164.xml.rels><?xml version="1.0" encoding="UTF-8"?>
<Relationships xmlns="http://schemas.openxmlformats.org/package/2006/relationships"><Relationship Id="rId1"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Relationships>
</file>

<file path=xl/externalLinks/_rels/externalLink165.xml.rels><?xml version="1.0" encoding="UTF-8"?>
<Relationships xmlns="http://schemas.openxmlformats.org/package/2006/relationships"><Relationship Id="rId1" Type="http://schemas.openxmlformats.org/officeDocument/2006/relationships/externalLinkPath" Target="../../../../../Users/umirarm/Documents/Clients/ADNOC/ADNOC%20Onshore/Wells/006.%20HB-007RE_AD-57_111422497/Job%20Files/HB-007RE%20Workbook_Rev%20G_111422497.xlsm" TargetMode="External"/>
</Relationships>
</file>

<file path=xl/externalLinks/_rels/externalLink166.xml.rels><?xml version="1.0" encoding="UTF-8"?>
<Relationships xmlns="http://schemas.openxmlformats.org/package/2006/relationships"><Relationship Id="rId1" Type="http://schemas.openxmlformats.org/officeDocument/2006/relationships/externalLinkPath" Target="../../../../../A:/KUAN/Book1.xls" TargetMode="External"/>
</Relationships>
</file>

<file path=xl/externalLinks/_rels/externalLink167.xml.rels><?xml version="1.0" encoding="UTF-8"?>
<Relationships xmlns="http://schemas.openxmlformats.org/package/2006/relationships"><Relationship Id="rId1" Type="http://schemas.openxmlformats.org/officeDocument/2006/relationships/externalLinkPath" Target="file://Dungdq/d/CS3408/Standard/RPT.xls" TargetMode="External"/>
</Relationships>
</file>

<file path=xl/externalLinks/_rels/externalLink168.xml.rels><?xml version="1.0" encoding="UTF-8"?>
<Relationships xmlns="http://schemas.openxmlformats.org/package/2006/relationships"><Relationship Id="rId1" Type="http://schemas.openxmlformats.org/officeDocument/2006/relationships/externalLinkPath" Target="file://95E41FE6/9.625%20TCP%20String.xls" TargetMode="External"/>
</Relationships>
</file>

<file path=xl/externalLinks/_rels/externalLink169.xml.rels><?xml version="1.0" encoding="UTF-8"?>
<Relationships xmlns="http://schemas.openxmlformats.org/package/2006/relationships"><Relationship Id="rId1" Type="http://schemas.openxmlformats.org/officeDocument/2006/relationships/externalLinkPath" Target="../../../../../Users/mhilmi/AppData/Local/Microsoft/Windows/INetCache/Content.Outlook/1IJBG9NG/BB-1233_Completion_Tally_Draft.xlsx" TargetMode="External"/>
</Relationships>
</file>

<file path=xl/externalLinks/_rels/externalLink170.xml.rels><?xml version="1.0" encoding="UTF-8"?>
<Relationships xmlns="http://schemas.openxmlformats.org/package/2006/relationships"><Relationship Id="rId1" Type="http://schemas.openxmlformats.org/officeDocument/2006/relationships/externalLinkPath" Target="../../../../../C:/Users/ad1005253/AppData/Local/Microsoft/Windows/Temporary%20Internet%20Files/Content.Outlook/7ZJW2M9A/ND%20135%20QW%20208%20AU307%20DRAFT%20RIH%20TALLY.xls" TargetMode="External"/>
</Relationships>
</file>

<file path=xl/externalLinks/_rels/externalLink171.xml.rels><?xml version="1.0" encoding="UTF-8"?>
<Relationships xmlns="http://schemas.openxmlformats.org/package/2006/relationships"><Relationship Id="rId1" Type="http://schemas.openxmlformats.org/officeDocument/2006/relationships/externalLinkPath" Target="../../../../../C:/Users/ad1008180/AppData/Local/Microsoft/Windows/Temporary%20Internet%20Files/Content.Outlook/WJTR9H3R/DHDF_GA237_BU877_REV01.xlsx" TargetMode="External"/>
</Relationships>
</file>

<file path=xl/externalLinks/_rels/externalLink172.xml.rels><?xml version="1.0" encoding="UTF-8"?>
<Relationships xmlns="http://schemas.openxmlformats.org/package/2006/relationships"><Relationship Id="rId1" Type="http://schemas.openxmlformats.org/officeDocument/2006/relationships/externalLinkPath" Target="../../../../../personal/rbangun_adnoc_ae/Documents/Desktop/2022_WORK/BB-1831/COMP_BB1831_BM307Sv2.xlsx" TargetMode="External"/>
</Relationships>
</file>

<file path=xl/externalLinks/_rels/externalLink173.xml.rels><?xml version="1.0" encoding="UTF-8"?>
<Relationships xmlns="http://schemas.openxmlformats.org/package/2006/relationships"><Relationship Id="rId1" Type="http://schemas.openxmlformats.org/officeDocument/2006/relationships/externalLinkPath" Target="file://Srv002klm/WCP-KL/My%20Documents/MAT/FSM/budget%2000/TRY_FORECAST.xls" TargetMode="External"/>
</Relationships>
</file>

<file path=xl/externalLinks/_rels/externalLink174.xml.rels><?xml version="1.0" encoding="UTF-8"?>
<Relationships xmlns="http://schemas.openxmlformats.org/package/2006/relationships"><Relationship Id="rId1" Type="http://schemas.openxmlformats.org/officeDocument/2006/relationships/externalLinkPath" Target="../../../../../A:/Extras.xls" TargetMode="External"/>
</Relationships>
</file>

<file path=xl/externalLinks/_rels/externalLink175.xml.rels><?xml version="1.0" encoding="UTF-8"?>
<Relationships xmlns="http://schemas.openxmlformats.org/package/2006/relationships"><Relationship Id="rId1" Type="http://schemas.openxmlformats.org/officeDocument/2006/relationships/externalLinkPath" Target="file://9F2D01E0/CALLOUT-TRACE%20SHEETS%20MRJN-250%20NBR-656%20NE%20PXN%20PLUG%20NEW.xls" TargetMode="External"/>
</Relationships>
</file>

<file path=xl/externalLinks/_rels/externalLink176.xml.rels><?xml version="1.0" encoding="UTF-8"?>
<Relationships xmlns="http://schemas.openxmlformats.org/package/2006/relationships"><Relationship Id="rId1" Type="http://schemas.openxmlformats.org/officeDocument/2006/relationships/externalLinkPath" Target="../../../../../A:/Documents%20and%20Settings/hba7869/My%20Documents/My%20Documents/FC/QUALITY/HMS/Reviews/Well%20Report%20Templates/Well%20Completion%20Data%20Book%20(HES)1.xls" TargetMode="External"/>
</Relationships>
</file>

<file path=xl/externalLinks/_rels/externalLink177.xml.rels><?xml version="1.0" encoding="UTF-8"?>
<Relationships xmlns="http://schemas.openxmlformats.org/package/2006/relationships"><Relationship Id="rId1" Type="http://schemas.openxmlformats.org/officeDocument/2006/relationships/externalLinkPath" Target="file://pc.woodgroup.com/data/PC/International%20SS/Quotes/Quotes/Al%20Hugayet/Active/IH-16834%20-%20Al%20Hugayet%20-%20SAMSS%20Agreement/Tender/Coll%20No7200000467Vendor0010012852RFQ%20No4200386224.xls" TargetMode="External"/>
</Relationships>
</file>

<file path=xl/externalLinks/_rels/externalLink178.xml.rels><?xml version="1.0" encoding="UTF-8"?>
<Relationships xmlns="http://schemas.openxmlformats.org/package/2006/relationships"><Relationship Id="rId1" Type="http://schemas.openxmlformats.org/officeDocument/2006/relationships/externalLinkPath" Target="../../../../../P:/Temp/COMPLETIONS/E-%20TICKET%20MASTER/NEW%20CONTRACT%20TICKET/Packer%20Ticket%20new%20contract.xls" TargetMode="External"/>
</Relationships>
</file>

<file path=xl/externalLinks/_rels/externalLink179.xml.rels><?xml version="1.0" encoding="UTF-8"?>
<Relationships xmlns="http://schemas.openxmlformats.org/package/2006/relationships"><Relationship Id="rId1" Type="http://schemas.openxmlformats.org/officeDocument/2006/relationships/externalLinkPath" Target="file://publicstg1/DRIL_Public$/WINDOWS/TEMP/Angsi%20A.xls" TargetMode="External"/>
</Relationships>
</file>

<file path=xl/externalLinks/_rels/externalLink180.xml.rels><?xml version="1.0" encoding="UTF-8"?>
<Relationships xmlns="http://schemas.openxmlformats.org/package/2006/relationships"><Relationship Id="rId1" Type="http://schemas.openxmlformats.org/officeDocument/2006/relationships/externalLinkPath" Target="../../../../../Documents%20and%20Settings/aadeyeb.BJ-NIGERIA-0002/Desktop/REPORTS/BOOK5.XLS!DRILLPI%20(3)" TargetMode="External"/>
</Relationships>
</file>

<file path=xl/externalLinks/_rels/externalLink181.xml.rels><?xml version="1.0" encoding="UTF-8"?>
<Relationships xmlns="http://schemas.openxmlformats.org/package/2006/relationships"><Relationship Id="rId1" Type="http://schemas.openxmlformats.org/officeDocument/2006/relationships/externalLinkPath" Target="../../../../../A:/&#25105;&#30340;&#25991;&#26723;/D&#24179;&#21488;B~1/&#26085;&#25253;/&#26085;&#25253;&#34920;.XLS" TargetMode="External"/>
</Relationships>
</file>

<file path=xl/externalLinks/_rels/externalLink182.xml.rels><?xml version="1.0" encoding="UTF-8"?>
<Relationships xmlns="http://schemas.openxmlformats.org/package/2006/relationships"><Relationship Id="rId1" Type="http://schemas.openxmlformats.org/officeDocument/2006/relationships/externalLinkPath" Target="https://slb001.sharepoint.com/sites/ADNOCDCE-TheExecution/Shared%20Documents/2%20-%20AON/12-Sahil/EMG-MMDDYYYY_O.1034630.19_SA-185_AD-110/SA185_ATA309_Completion%20Package_LC_V2.xlsx" TargetMode="External"/>
</Relationships>
</file>

<file path=xl/externalLinks/_rels/externalLink183.xml.rels><?xml version="1.0" encoding="UTF-8"?>
<Relationships xmlns="http://schemas.openxmlformats.org/package/2006/relationships"><Relationship Id="rId1" Type="http://schemas.openxmlformats.org/officeDocument/2006/relationships/externalLinkPath" Target="https://slb001.sharepoint.com/sites/ADNOCDCE-TheExecution/Shared%20Documents/2%20-%20AON/12-Sahil/EMG-MMDDYYYY_O.1034630.19_SA-185_AD-110/SA023%20CompProg_ATA309_1.xlsx" TargetMode="External"/>
</Relationships>
</file>

<file path=xl/externalLinks/_rels/externalLink184.xml.rels><?xml version="1.0" encoding="UTF-8"?>
<Relationships xmlns="http://schemas.openxmlformats.org/package/2006/relationships"><Relationship Id="rId1" Type="http://schemas.openxmlformats.org/officeDocument/2006/relationships/externalLinkPath" Target="file://publicstg/DRIL_Public$/WINDOWS/TEMP/Angsi%20A.xls" TargetMode="External"/>
</Relationships>
</file>

<file path=xl/externalLinks/_rels/externalLink185.xml.rels><?xml version="1.0" encoding="UTF-8"?>
<Relationships xmlns="http://schemas.openxmlformats.org/package/2006/relationships"><Relationship Id="rId1" Type="http://schemas.openxmlformats.org/officeDocument/2006/relationships/externalLinkPath" Target="https://adnocmpsa-my.sharepoint.com/personal/agalin_adnoc_ae/Documents/Documents/Technical%20Docs/Programs/OP309_SCNB60/DY19_WG307_L80NB20_Completion%20Package_V0.xlsx" TargetMode="External"/>
</Relationships>
</file>

<file path=xl/externalLinks/_rels/externalLink186.xml.rels><?xml version="1.0" encoding="UTF-8"?>
<Relationships xmlns="http://schemas.openxmlformats.org/package/2006/relationships"><Relationship Id="rId1" Type="http://schemas.openxmlformats.org/officeDocument/2006/relationships/externalLinkPath" Target="file://55236EB2/SO%237913827%20PA-656%20BRRI-219%205in%20TWR,%20PBR,%20XPO%237.xls" TargetMode="External"/>
</Relationships>
</file>

<file path=xl/externalLinks/_rels/externalLink187.xml.rels><?xml version="1.0" encoding="UTF-8"?>
<Relationships xmlns="http://schemas.openxmlformats.org/package/2006/relationships"><Relationship Id="rId1" Type="http://schemas.openxmlformats.org/officeDocument/2006/relationships/externalLinkPath" Target="file://teams/ONSDRNEB/Shared%2520Documents/Completion%2520and%2520Workover/D_Others/NEB%2520Completion%2520Database.xlsx" TargetMode="External"/>
</Relationships>
</file>

<file path=xl/externalLinks/_rels/externalLink188.xml.rels><?xml version="1.0" encoding="UTF-8"?>
<Relationships xmlns="http://schemas.openxmlformats.org/package/2006/relationships"><Relationship Id="rId1" Type="http://schemas.openxmlformats.org/officeDocument/2006/relationships/externalLinkPath" Target="../../../../../A:/EXCEL5/QK179/J12&#20108;.XLS" TargetMode="External"/>
</Relationships>
</file>

<file path=xl/externalLinks/_rels/externalLink189.xml.rels><?xml version="1.0" encoding="UTF-8"?>
<Relationships xmlns="http://schemas.openxmlformats.org/package/2006/relationships"><Relationship Id="rId1" Type="http://schemas.openxmlformats.org/officeDocument/2006/relationships/externalLinkPath" Target="../../../../../A:/works/BZ313D/&#31532;&#20116;&#33410;.XLS" TargetMode="External"/>
</Relationships>
</file>

<file path=xl/externalLinks/_rels/externalLink190.xml.rels><?xml version="1.0" encoding="UTF-8"?>
<Relationships xmlns="http://schemas.openxmlformats.org/package/2006/relationships"><Relationship Id="rId1" Type="http://schemas.openxmlformats.org/officeDocument/2006/relationships/externalLinkPath" Target="file://teams/ONSDRNEB/Shared%2520Documents/Completion%2520and%2520Workover/A_Wells/DY308_2023_EA407SN/Program/DY308_EA407SN%23_Completion%20Package_V0.xlsx" TargetMode="External"/>
</Relationships>
</file>

<file path=xl/externalLinks/_rels/externalLink191.xml.rels><?xml version="1.0" encoding="UTF-8"?>
<Relationships xmlns="http://schemas.openxmlformats.org/package/2006/relationships"><Relationship Id="rId1" Type="http://schemas.openxmlformats.org/officeDocument/2006/relationships/externalLinkPath" Target="file://F5BF13D4/ZA-23%20ND%20-%20Completion%20Program%20Approved%2023%20June%202013.xlsm" TargetMode="External"/>
</Relationships>
</file>

<file path=xl/externalLinks/_rels/externalLink192.xml.rels><?xml version="1.0" encoding="UTF-8"?>
<Relationships xmlns="http://schemas.openxmlformats.org/package/2006/relationships"><Relationship Id="rId1" Type="http://schemas.openxmlformats.org/officeDocument/2006/relationships/externalLinkPath" Target="../../../../../C:/Users/mhilmi/AppData/Local/Microsoft/Windows/INetCache/Content.Outlook/1IJBG9NG/BB-1233_Completion_Tally_Draft.xlsx" TargetMode="External"/>
</Relationships>
</file>

<file path=xl/externalLinks/_rels/externalLink193.xml.rels><?xml version="1.0" encoding="UTF-8"?>
<Relationships xmlns="http://schemas.openxmlformats.org/package/2006/relationships"><Relationship Id="rId1" Type="http://schemas.openxmlformats.org/officeDocument/2006/relationships/externalLinkPath" Target="file://271F94B2/CALLOUT-TRACE%20SHEETS%20MRJN-250%20NBR-656%20NE%20PXN%20PLUG%20NEW.xls" TargetMode="External"/>
</Relationships>
</file>

<file path=xl/externalLinks/_rels/externalLink194.xml.rels><?xml version="1.0" encoding="UTF-8"?>
<Relationships xmlns="http://schemas.openxmlformats.org/package/2006/relationships"><Relationship Id="rId1" Type="http://schemas.openxmlformats.org/officeDocument/2006/relationships/externalLinkPath" Target="file://Bohai7/bz26-2&#39033;&#30446;/EXCEL5/QK179/J12&#20108;.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Data"/>
    </sheetNames>
    <sheetDataSet>
      <sheetData sheetId="0"/>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http://schemas.openxmlformats.org/spreadsheetml/2006/main">
  <externalBook xmlns:r="http://schemas.openxmlformats.org/officeDocument/2006/relationships"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http://schemas.openxmlformats.org/spreadsheetml/2006/main">
  <externalBook xmlns:r="http://schemas.openxmlformats.org/officeDocument/2006/relationships"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http://schemas.openxmlformats.org/spreadsheetml/2006/main">
  <externalBook xmlns:r="http://schemas.openxmlformats.org/officeDocument/2006/relationships"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http://schemas.openxmlformats.org/spreadsheetml/2006/main">
  <externalBook xmlns:r="http://schemas.openxmlformats.org/officeDocument/2006/relationships"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http://schemas.openxmlformats.org/spreadsheetml/2006/main">
  <externalBook xmlns:r="http://schemas.openxmlformats.org/officeDocument/2006/relationships"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http://schemas.openxmlformats.org/spreadsheetml/2006/main">
  <externalBook xmlns:r="http://schemas.openxmlformats.org/officeDocument/2006/relationships" r:id="rId1">
    <sheetNames>
      <sheetName val="UNCFLAM8"/>
    </sheetNames>
    <sheetDataSet>
      <sheetData sheetId="0"/>
    </sheetDataSet>
  </externalBook>
</externalLink>
</file>

<file path=xl/externalLinks/externalLink40.xml><?xml version="1.0" encoding="utf-8"?>
<externalLink xmlns="http://schemas.openxmlformats.org/spreadsheetml/2006/main">
  <externalBook xmlns:r="http://schemas.openxmlformats.org/officeDocument/2006/relationships"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http://schemas.openxmlformats.org/spreadsheetml/2006/main">
  <externalBook xmlns:r="http://schemas.openxmlformats.org/officeDocument/2006/relationships"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http://schemas.openxmlformats.org/spreadsheetml/2006/main">
  <externalBook xmlns:r="http://schemas.openxmlformats.org/officeDocument/2006/relationships"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http://schemas.openxmlformats.org/spreadsheetml/2006/main">
  <externalBook xmlns:r="http://schemas.openxmlformats.org/officeDocument/2006/relationships"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http://schemas.openxmlformats.org/spreadsheetml/2006/main">
  <externalBook xmlns:r="http://schemas.openxmlformats.org/officeDocument/2006/relationships"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http://schemas.openxmlformats.org/spreadsheetml/2006/main">
  <externalBook xmlns:r="http://schemas.openxmlformats.org/officeDocument/2006/relationships"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http://schemas.openxmlformats.org/spreadsheetml/2006/main">
  <externalBook xmlns:r="http://schemas.openxmlformats.org/officeDocument/2006/relationships"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http://schemas.openxmlformats.org/spreadsheetml/2006/main">
  <externalBook xmlns:r="http://schemas.openxmlformats.org/officeDocument/2006/relationships" r:id="rId1">
    <sheetNames>
      <sheetName val="Dev-Baker"/>
    </sheetNames>
    <sheetDataSet>
      <sheetData sheetId="0"/>
    </sheetDataSet>
  </externalBook>
</externalLink>
</file>

<file path=xl/externalLinks/externalLink48.xml><?xml version="1.0" encoding="utf-8"?>
<externalLink xmlns="http://schemas.openxmlformats.org/spreadsheetml/2006/main">
  <externalBook xmlns:r="http://schemas.openxmlformats.org/officeDocument/2006/relationships"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http://schemas.openxmlformats.org/spreadsheetml/2006/main">
  <externalBook xmlns:r="http://schemas.openxmlformats.org/officeDocument/2006/relationships"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http://schemas.openxmlformats.org/spreadsheetml/2006/main">
  <externalBook xmlns:r="http://schemas.openxmlformats.org/officeDocument/2006/relationships"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http://schemas.openxmlformats.org/spreadsheetml/2006/main">
  <externalBook xmlns:r="http://schemas.openxmlformats.org/officeDocument/2006/relationships"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http://schemas.openxmlformats.org/spreadsheetml/2006/main">
  <externalBook xmlns:r="http://schemas.openxmlformats.org/officeDocument/2006/relationships"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http://schemas.openxmlformats.org/spreadsheetml/2006/main">
  <externalBook xmlns:r="http://schemas.openxmlformats.org/officeDocument/2006/relationships"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http://schemas.openxmlformats.org/spreadsheetml/2006/main">
  <externalBook xmlns:r="http://schemas.openxmlformats.org/officeDocument/2006/relationships" r:id="rId1">
    <sheetNames>
      <sheetName val="Worksheet"/>
      <sheetName val="Selector"/>
    </sheetNames>
    <sheetDataSet>
      <sheetData sheetId="0"/>
      <sheetData sheetId="1"/>
    </sheetDataSet>
  </externalBook>
</externalLink>
</file>

<file path=xl/externalLinks/externalLink56.xml><?xml version="1.0" encoding="utf-8"?>
<externalLink xmlns="http://schemas.openxmlformats.org/spreadsheetml/2006/main">
  <externalBook xmlns:r="http://schemas.openxmlformats.org/officeDocument/2006/relationships"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http://schemas.openxmlformats.org/spreadsheetml/2006/main">
  <externalBook xmlns:r="http://schemas.openxmlformats.org/officeDocument/2006/relationships"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http://schemas.openxmlformats.org/spreadsheetml/2006/main">
  <externalBook xmlns:r="http://schemas.openxmlformats.org/officeDocument/2006/relationships" r:id="rId1">
    <sheetNames>
      <sheetName val="HARC_Upload"/>
      <sheetName val="TmplFormat"/>
    </sheetNames>
    <sheetDataSet>
      <sheetData sheetId="0"/>
      <sheetData sheetId="1"/>
    </sheetDataSet>
  </externalBook>
</externalLink>
</file>

<file path=xl/externalLinks/externalLink59.xml><?xml version="1.0" encoding="utf-8"?>
<externalLink xmlns="http://schemas.openxmlformats.org/spreadsheetml/2006/main">
  <externalBook xmlns:r="http://schemas.openxmlformats.org/officeDocument/2006/relationships"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http://schemas.openxmlformats.org/spreadsheetml/2006/main">
  <externalBook xmlns:r="http://schemas.openxmlformats.org/officeDocument/2006/relationships"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http://schemas.openxmlformats.org/spreadsheetml/2006/main">
  <externalBook xmlns:r="http://schemas.openxmlformats.org/officeDocument/2006/relationships"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http://schemas.openxmlformats.org/spreadsheetml/2006/main">
  <externalBook xmlns:r="http://schemas.openxmlformats.org/officeDocument/2006/relationships"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http://schemas.openxmlformats.org/spreadsheetml/2006/main">
  <externalBook xmlns:r="http://schemas.openxmlformats.org/officeDocument/2006/relationships"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http://schemas.openxmlformats.org/spreadsheetml/2006/main">
  <externalBook xmlns:r="http://schemas.openxmlformats.org/officeDocument/2006/relationships"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http://schemas.openxmlformats.org/spreadsheetml/2006/main">
  <externalBook xmlns:r="http://schemas.openxmlformats.org/officeDocument/2006/relationships"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http://schemas.openxmlformats.org/spreadsheetml/2006/main">
  <externalBook xmlns:r="http://schemas.openxmlformats.org/officeDocument/2006/relationships"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http://schemas.openxmlformats.org/spreadsheetml/2006/main">
  <externalBook xmlns:r="http://schemas.openxmlformats.org/officeDocument/2006/relationships" r:id="rId1">
    <sheetNames>
      <sheetName val="MAIN"/>
    </sheetNames>
    <sheetDataSet>
      <sheetData sheetId="0"/>
    </sheetDataSet>
  </externalBook>
</externalLink>
</file>

<file path=xl/externalLinks/externalLink68.xml><?xml version="1.0" encoding="utf-8"?>
<externalLink xmlns="http://schemas.openxmlformats.org/spreadsheetml/2006/main">
  <externalBook xmlns:r="http://schemas.openxmlformats.org/officeDocument/2006/relationships"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http://schemas.openxmlformats.org/spreadsheetml/2006/main">
  <externalBook xmlns:r="http://schemas.openxmlformats.org/officeDocument/2006/relationships" r:id="rId1">
    <sheetNames>
      <sheetName val="Lookahd EA"/>
    </sheetNames>
    <sheetDataSet>
      <sheetData sheetId="0"/>
    </sheetDataSet>
  </externalBook>
</externalLink>
</file>

<file path=xl/externalLinks/externalLink70.xml><?xml version="1.0" encoding="utf-8"?>
<externalLink xmlns="http://schemas.openxmlformats.org/spreadsheetml/2006/main">
  <externalBook xmlns:r="http://schemas.openxmlformats.org/officeDocument/2006/relationships"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http://schemas.openxmlformats.org/spreadsheetml/2006/main">
  <externalBook xmlns:r="http://schemas.openxmlformats.org/officeDocument/2006/relationships"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http://schemas.openxmlformats.org/spreadsheetml/2006/main">
  <externalBook xmlns:r="http://schemas.openxmlformats.org/officeDocument/2006/relationships"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http://schemas.openxmlformats.org/spreadsheetml/2006/main">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http://schemas.openxmlformats.org/spreadsheetml/2006/main">
  <externalBook xmlns:r="http://schemas.openxmlformats.org/officeDocument/2006/relationships"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http://schemas.openxmlformats.org/spreadsheetml/2006/main">
  <externalBook xmlns:r="http://schemas.openxmlformats.org/officeDocument/2006/relationships"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http://schemas.openxmlformats.org/spreadsheetml/2006/main">
  <externalBook xmlns:r="http://schemas.openxmlformats.org/officeDocument/2006/relationships"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http://schemas.openxmlformats.org/spreadsheetml/2006/main">
  <externalBook xmlns:r="http://schemas.openxmlformats.org/officeDocument/2006/relationships"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http://schemas.openxmlformats.org/spreadsheetml/2006/main">
  <externalBook xmlns:r="http://schemas.openxmlformats.org/officeDocument/2006/relationships"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http://schemas.openxmlformats.org/spreadsheetml/2006/main">
  <externalBook xmlns:r="http://schemas.openxmlformats.org/officeDocument/2006/relationships"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http://schemas.openxmlformats.org/spreadsheetml/2006/main">
  <externalBook xmlns:r="http://schemas.openxmlformats.org/officeDocument/2006/relationships"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http://schemas.openxmlformats.org/spreadsheetml/2006/main">
  <externalBook xmlns:r="http://schemas.openxmlformats.org/officeDocument/2006/relationships"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http://schemas.openxmlformats.org/spreadsheetml/2006/main">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http://schemas.openxmlformats.org/spreadsheetml/2006/main">
  <externalBook xmlns:r="http://schemas.openxmlformats.org/officeDocument/2006/relationships" r:id="rId1">
    <sheetNames>
      <sheetName val="9.625 TCP String"/>
      <sheetName val="7.625 Surge String"/>
    </sheetNames>
    <sheetDataSet>
      <sheetData sheetId="0"/>
      <sheetData sheetId="1"/>
    </sheetDataSet>
  </externalBook>
</externalLink>
</file>

<file path=xl/externalLinks/externalLink84.xml><?xml version="1.0" encoding="utf-8"?>
<externalLink xmlns="http://schemas.openxmlformats.org/spreadsheetml/2006/main">
  <externalBook xmlns:r="http://schemas.openxmlformats.org/officeDocument/2006/relationships"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http://schemas.openxmlformats.org/spreadsheetml/2006/main">
  <externalBook xmlns:r="http://schemas.openxmlformats.org/officeDocument/2006/relationships"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http://schemas.openxmlformats.org/spreadsheetml/2006/main">
  <externalBook xmlns:r="http://schemas.openxmlformats.org/officeDocument/2006/relationships"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http://schemas.openxmlformats.org/spreadsheetml/2006/main">
  <externalBook xmlns:r="http://schemas.openxmlformats.org/officeDocument/2006/relationships"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http://schemas.openxmlformats.org/spreadsheetml/2006/main">
  <externalBook xmlns:r="http://schemas.openxmlformats.org/officeDocument/2006/relationships"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http://schemas.openxmlformats.org/spreadsheetml/2006/main">
  <externalBook xmlns:r="http://schemas.openxmlformats.org/officeDocument/2006/relationships"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http://schemas.openxmlformats.org/spreadsheetml/2006/main">
  <externalBook xmlns:r="http://schemas.openxmlformats.org/officeDocument/2006/relationships"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http://schemas.openxmlformats.org/spreadsheetml/2006/main">
  <externalBook xmlns:r="http://schemas.openxmlformats.org/officeDocument/2006/relationships" r:id="rId1">
    <sheetNames>
      <sheetName val="CODE"/>
    </sheetNames>
    <sheetDataSet>
      <sheetData sheetId="0"/>
    </sheetDataSet>
  </externalBook>
</externalLink>
</file>

<file path=xl/externalLinks/externalLink92.xml><?xml version="1.0" encoding="utf-8"?>
<externalLink xmlns="http://schemas.openxmlformats.org/spreadsheetml/2006/main">
  <externalBook xmlns:r="http://schemas.openxmlformats.org/officeDocument/2006/relationships"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http://schemas.openxmlformats.org/spreadsheetml/2006/main">
  <externalBook xmlns:r="http://schemas.openxmlformats.org/officeDocument/2006/relationships"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http://schemas.openxmlformats.org/spreadsheetml/2006/main">
  <externalBook xmlns:r="http://schemas.openxmlformats.org/officeDocument/2006/relationships"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http://schemas.openxmlformats.org/spreadsheetml/2006/main">
  <externalBook xmlns:r="http://schemas.openxmlformats.org/officeDocument/2006/relationships"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http://schemas.openxmlformats.org/spreadsheetml/2006/main">
  <externalBook xmlns:r="http://schemas.openxmlformats.org/officeDocument/2006/relationships"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http://schemas.openxmlformats.org/spreadsheetml/2006/main">
  <externalBook xmlns:r="http://schemas.openxmlformats.org/officeDocument/2006/relationships"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http://schemas.openxmlformats.org/spreadsheetml/2006/main">
  <externalBook xmlns:r="http://schemas.openxmlformats.org/officeDocument/2006/relationships"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http://schemas.openxmlformats.org/spreadsheetml/2006/main">
  <externalBook xmlns:r="http://schemas.openxmlformats.org/officeDocument/2006/relationships"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http://schemas.openxmlformats.org/spreadsheetml/2006/main">
  <externalBook xmlns:r="http://schemas.openxmlformats.org/officeDocument/2006/relationships"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http://schemas.openxmlformats.org/spreadsheetml/2006/main">
  <externalBook xmlns:r="http://schemas.openxmlformats.org/officeDocument/2006/relationships" r:id="rId1">
    <sheetNames>
      <sheetName val="BOOK5"/>
    </sheetNames>
    <sheetDataSet>
      <sheetData sheetId="0"/>
    </sheetDataSet>
  </externalBook>
</externalLink>
</file>

<file path=xl/externalLinks/externalLink102.xml><?xml version="1.0" encoding="utf-8"?>
<externalLink xmlns="http://schemas.openxmlformats.org/spreadsheetml/2006/main">
  <externalBook xmlns:r="http://schemas.openxmlformats.org/officeDocument/2006/relationships"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http://schemas.openxmlformats.org/spreadsheetml/2006/main">
  <externalBook xmlns:r="http://schemas.openxmlformats.org/officeDocument/2006/relationships"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http://schemas.openxmlformats.org/spreadsheetml/2006/main">
  <externalBook xmlns:r="http://schemas.openxmlformats.org/officeDocument/2006/relationships"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http://schemas.openxmlformats.org/spreadsheetml/2006/main">
  <externalBook xmlns:r="http://schemas.openxmlformats.org/officeDocument/2006/relationships"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http://schemas.openxmlformats.org/spreadsheetml/2006/main">
  <externalBook xmlns:r="http://schemas.openxmlformats.org/officeDocument/2006/relationships" r:id="rId1">
    <sheetNames>
      <sheetName val="Data"/>
    </sheetNames>
    <sheetDataSet>
      <sheetData sheetId="0"/>
    </sheetDataSet>
  </externalBook>
</externalLink>
</file>

<file path=xl/externalLinks/externalLink107.xml><?xml version="1.0" encoding="utf-8"?>
<externalLink xmlns="http://schemas.openxmlformats.org/spreadsheetml/2006/main">
  <externalBook xmlns:r="http://schemas.openxmlformats.org/officeDocument/2006/relationships"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http://schemas.openxmlformats.org/spreadsheetml/2006/main">
  <externalBook xmlns:r="http://schemas.openxmlformats.org/officeDocument/2006/relationships"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http://schemas.openxmlformats.org/spreadsheetml/2006/main">
  <externalBook xmlns:r="http://schemas.openxmlformats.org/officeDocument/2006/relationships"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http://schemas.openxmlformats.org/spreadsheetml/2006/main">
  <externalBook xmlns:r="http://schemas.openxmlformats.org/officeDocument/2006/relationships"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http://schemas.openxmlformats.org/spreadsheetml/2006/main">
  <externalBook xmlns:r="http://schemas.openxmlformats.org/officeDocument/2006/relationships"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http://schemas.openxmlformats.org/spreadsheetml/2006/main">
  <externalBook xmlns:r="http://schemas.openxmlformats.org/officeDocument/2006/relationships"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http://schemas.openxmlformats.org/spreadsheetml/2006/main">
  <externalBook xmlns:r="http://schemas.openxmlformats.org/officeDocument/2006/relationships"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http://schemas.openxmlformats.org/spreadsheetml/2006/main">
  <externalBook xmlns:r="http://schemas.openxmlformats.org/officeDocument/2006/relationships"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http://schemas.openxmlformats.org/spreadsheetml/2006/main">
  <externalBook xmlns:r="http://schemas.openxmlformats.org/officeDocument/2006/relationships"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http://schemas.openxmlformats.org/spreadsheetml/2006/main">
  <externalBook xmlns:r="http://schemas.openxmlformats.org/officeDocument/2006/relationships"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http://schemas.openxmlformats.org/spreadsheetml/2006/main">
  <externalBook xmlns:r="http://schemas.openxmlformats.org/officeDocument/2006/relationships"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http://schemas.openxmlformats.org/spreadsheetml/2006/main">
  <externalBook xmlns:r="http://schemas.openxmlformats.org/officeDocument/2006/relationships"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http://schemas.openxmlformats.org/spreadsheetml/2006/main">
  <externalBook xmlns:r="http://schemas.openxmlformats.org/officeDocument/2006/relationships" r:id="rId1">
    <sheetNames>
      <sheetName val="钻井日报表"/>
    </sheetNames>
    <sheetDataSet>
      <sheetData sheetId="0"/>
    </sheetDataSet>
  </externalBook>
</externalLink>
</file>

<file path=xl/externalLinks/externalLink120.xml><?xml version="1.0" encoding="utf-8"?>
<externalLink xmlns="http://schemas.openxmlformats.org/spreadsheetml/2006/main">
  <externalBook xmlns:r="http://schemas.openxmlformats.org/officeDocument/2006/relationships"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http://schemas.openxmlformats.org/spreadsheetml/2006/main">
  <externalBook xmlns:r="http://schemas.openxmlformats.org/officeDocument/2006/relationships"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http://schemas.openxmlformats.org/spreadsheetml/2006/main">
  <externalBook xmlns:r="http://schemas.openxmlformats.org/officeDocument/2006/relationships"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http://schemas.openxmlformats.org/spreadsheetml/2006/main">
  <externalBook xmlns:r="http://schemas.openxmlformats.org/officeDocument/2006/relationships"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http://schemas.openxmlformats.org/spreadsheetml/2006/main">
  <externalBook xmlns:r="http://schemas.openxmlformats.org/officeDocument/2006/relationships"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http://schemas.openxmlformats.org/spreadsheetml/2006/main">
  <externalBook xmlns:r="http://schemas.openxmlformats.org/officeDocument/2006/relationships" r:id="rId1">
    <sheetNames>
      <sheetName val="Sheet2"/>
      <sheetName val="Sheet3"/>
    </sheetNames>
    <sheetDataSet>
      <sheetData sheetId="0"/>
      <sheetData sheetId="1"/>
    </sheetDataSet>
  </externalBook>
</externalLink>
</file>

<file path=xl/externalLinks/externalLink126.xml><?xml version="1.0" encoding="utf-8"?>
<externalLink xmlns="http://schemas.openxmlformats.org/spreadsheetml/2006/main">
  <externalBook xmlns:r="http://schemas.openxmlformats.org/officeDocument/2006/relationships"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http://schemas.openxmlformats.org/spreadsheetml/2006/main">
  <externalBook xmlns:r="http://schemas.openxmlformats.org/officeDocument/2006/relationships"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http://schemas.openxmlformats.org/spreadsheetml/2006/main">
  <externalBook xmlns:r="http://schemas.openxmlformats.org/officeDocument/2006/relationships"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http://schemas.openxmlformats.org/spreadsheetml/2006/main">
  <externalBook xmlns:r="http://schemas.openxmlformats.org/officeDocument/2006/relationships"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http://schemas.openxmlformats.org/spreadsheetml/2006/main">
  <externalBook xmlns:r="http://schemas.openxmlformats.org/officeDocument/2006/relationships"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http://schemas.openxmlformats.org/spreadsheetml/2006/main">
  <externalBook xmlns:r="http://schemas.openxmlformats.org/officeDocument/2006/relationships"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http://schemas.openxmlformats.org/spreadsheetml/2006/main">
  <externalBook xmlns:r="http://schemas.openxmlformats.org/officeDocument/2006/relationships"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http://schemas.openxmlformats.org/spreadsheetml/2006/main">
  <externalBook xmlns:r="http://schemas.openxmlformats.org/officeDocument/2006/relationships"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http://schemas.openxmlformats.org/spreadsheetml/2006/main">
  <externalBook xmlns:r="http://schemas.openxmlformats.org/officeDocument/2006/relationships"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http://schemas.openxmlformats.org/spreadsheetml/2006/main">
  <externalBook xmlns:r="http://schemas.openxmlformats.org/officeDocument/2006/relationships"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http://schemas.openxmlformats.org/spreadsheetml/2006/main">
  <externalBook xmlns:r="http://schemas.openxmlformats.org/officeDocument/2006/relationships"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http://schemas.openxmlformats.org/spreadsheetml/2006/main">
  <externalBook xmlns:r="http://schemas.openxmlformats.org/officeDocument/2006/relationships" r:id="rId1">
    <sheetNames>
      <sheetName val="DP Length"/>
      <sheetName val="CSG 9.25 TALLY"/>
    </sheetNames>
    <sheetDataSet>
      <sheetData sheetId="0"/>
      <sheetData sheetId="1"/>
    </sheetDataSet>
  </externalBook>
</externalLink>
</file>

<file path=xl/externalLinks/externalLink138.xml><?xml version="1.0" encoding="utf-8"?>
<externalLink xmlns="http://schemas.openxmlformats.org/spreadsheetml/2006/main">
  <externalBook xmlns:r="http://schemas.openxmlformats.org/officeDocument/2006/relationships" r:id="rId1">
    <sheetNames>
      <sheetName val="Dev-Baker"/>
    </sheetNames>
    <sheetDataSet>
      <sheetData sheetId="0"/>
    </sheetDataSet>
  </externalBook>
</externalLink>
</file>

<file path=xl/externalLinks/externalLink139.xml><?xml version="1.0" encoding="utf-8"?>
<externalLink xmlns="http://schemas.openxmlformats.org/spreadsheetml/2006/main">
  <externalBook xmlns:r="http://schemas.openxmlformats.org/officeDocument/2006/relationships"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http://schemas.openxmlformats.org/spreadsheetml/2006/main">
  <externalBook xmlns:r="http://schemas.openxmlformats.org/officeDocument/2006/relationships"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http://schemas.openxmlformats.org/spreadsheetml/2006/main">
  <externalBook xmlns:r="http://schemas.openxmlformats.org/officeDocument/2006/relationships"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http://schemas.openxmlformats.org/spreadsheetml/2006/main">
  <externalBook xmlns:r="http://schemas.openxmlformats.org/officeDocument/2006/relationships" r:id="rId1">
    <sheetNames>
      <sheetName val="DAILY RPT"/>
      <sheetName val="DAILY_RPT"/>
    </sheetNames>
    <sheetDataSet>
      <sheetData sheetId="0"/>
      <sheetData sheetId="1"/>
    </sheetDataSet>
  </externalBook>
</externalLink>
</file>

<file path=xl/externalLinks/externalLink143.xml><?xml version="1.0" encoding="utf-8"?>
<externalLink xmlns="http://schemas.openxmlformats.org/spreadsheetml/2006/main">
  <externalBook xmlns:r="http://schemas.openxmlformats.org/officeDocument/2006/relationships"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http://schemas.openxmlformats.org/spreadsheetml/2006/main">
  <externalBook xmlns:r="http://schemas.openxmlformats.org/officeDocument/2006/relationships"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http://schemas.openxmlformats.org/spreadsheetml/2006/main">
  <externalBook xmlns:r="http://schemas.openxmlformats.org/officeDocument/2006/relationships"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http://schemas.openxmlformats.org/spreadsheetml/2006/main">
  <externalBook xmlns:r="http://schemas.openxmlformats.org/officeDocument/2006/relationships"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http://schemas.openxmlformats.org/spreadsheetml/2006/main">
  <externalBook xmlns:r="http://schemas.openxmlformats.org/officeDocument/2006/relationships"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http://schemas.openxmlformats.org/spreadsheetml/2006/main">
  <externalBook xmlns:r="http://schemas.openxmlformats.org/officeDocument/2006/relationships"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http://schemas.openxmlformats.org/spreadsheetml/2006/main">
  <externalBook xmlns:r="http://schemas.openxmlformats.org/officeDocument/2006/relationships"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http://schemas.openxmlformats.org/spreadsheetml/2006/main">
  <externalBook xmlns:r="http://schemas.openxmlformats.org/officeDocument/2006/relationships"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http://schemas.openxmlformats.org/spreadsheetml/2006/main">
  <externalBook xmlns:r="http://schemas.openxmlformats.org/officeDocument/2006/relationships"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http://schemas.openxmlformats.org/spreadsheetml/2006/main">
  <externalBook xmlns:r="http://schemas.openxmlformats.org/officeDocument/2006/relationships"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http://schemas.openxmlformats.org/spreadsheetml/2006/main">
  <externalBook xmlns:r="http://schemas.openxmlformats.org/officeDocument/2006/relationships" r:id="rId1">
    <sheetNames>
      <sheetName val="Lookahd EA"/>
    </sheetNames>
    <sheetDataSet>
      <sheetData sheetId="0"/>
    </sheetDataSet>
  </externalBook>
</externalLink>
</file>

<file path=xl/externalLinks/externalLink154.xml><?xml version="1.0" encoding="utf-8"?>
<externalLink xmlns="http://schemas.openxmlformats.org/spreadsheetml/2006/main">
  <externalBook xmlns:r="http://schemas.openxmlformats.org/officeDocument/2006/relationships"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http://schemas.openxmlformats.org/spreadsheetml/2006/main">
  <externalBook xmlns:r="http://schemas.openxmlformats.org/officeDocument/2006/relationships"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http://schemas.openxmlformats.org/spreadsheetml/2006/main">
  <externalBook xmlns:r="http://schemas.openxmlformats.org/officeDocument/2006/relationships"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http://schemas.openxmlformats.org/spreadsheetml/2006/main">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http://schemas.openxmlformats.org/spreadsheetml/2006/main">
  <externalBook xmlns:r="http://schemas.openxmlformats.org/officeDocument/2006/relationships"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http://schemas.openxmlformats.org/spreadsheetml/2006/main">
  <externalBook xmlns:r="http://schemas.openxmlformats.org/officeDocument/2006/relationships"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http://schemas.openxmlformats.org/spreadsheetml/2006/main">
  <externalBook xmlns:r="http://schemas.openxmlformats.org/officeDocument/2006/relationships"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http://schemas.openxmlformats.org/spreadsheetml/2006/main">
  <externalBook xmlns:r="http://schemas.openxmlformats.org/officeDocument/2006/relationships"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http://schemas.openxmlformats.org/spreadsheetml/2006/main">
  <externalBook xmlns:r="http://schemas.openxmlformats.org/officeDocument/2006/relationships" r:id="rId1">
    <sheetNames>
      <sheetName val="WTR"/>
    </sheetNames>
    <sheetDataSet>
      <sheetData sheetId="0"/>
    </sheetDataSet>
  </externalBook>
</externalLink>
</file>

<file path=xl/externalLinks/externalLink163.xml><?xml version="1.0" encoding="utf-8"?>
<externalLink xmlns="http://schemas.openxmlformats.org/spreadsheetml/2006/main">
  <externalBook xmlns:r="http://schemas.openxmlformats.org/officeDocument/2006/relationships"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http://schemas.openxmlformats.org/spreadsheetml/2006/main">
  <externalBook xmlns:r="http://schemas.openxmlformats.org/officeDocument/2006/relationships"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http://schemas.openxmlformats.org/spreadsheetml/2006/main">
  <externalBook xmlns:r="http://schemas.openxmlformats.org/officeDocument/2006/relationships"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http://schemas.openxmlformats.org/spreadsheetml/2006/main">
  <externalBook xmlns:r="http://schemas.openxmlformats.org/officeDocument/2006/relationships"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http://schemas.openxmlformats.org/spreadsheetml/2006/main">
  <externalBook xmlns:r="http://schemas.openxmlformats.org/officeDocument/2006/relationships"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http://schemas.openxmlformats.org/spreadsheetml/2006/main">
  <externalBook xmlns:r="http://schemas.openxmlformats.org/officeDocument/2006/relationships" r:id="rId1">
    <sheetNames>
      <sheetName val="9.625 TCP String"/>
      <sheetName val="7.625 Surge String"/>
    </sheetNames>
    <sheetDataSet>
      <sheetData sheetId="0"/>
      <sheetData sheetId="1"/>
    </sheetDataSet>
  </externalBook>
</externalLink>
</file>

<file path=xl/externalLinks/externalLink169.xml><?xml version="1.0" encoding="utf-8"?>
<externalLink xmlns="http://schemas.openxmlformats.org/spreadsheetml/2006/main">
  <externalBook xmlns:r="http://schemas.openxmlformats.org/officeDocument/2006/relationships"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http://schemas.openxmlformats.org/spreadsheetml/2006/main">
  <externalBook xmlns:r="http://schemas.openxmlformats.org/officeDocument/2006/relationships"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http://schemas.openxmlformats.org/spreadsheetml/2006/main">
  <externalBook xmlns:r="http://schemas.openxmlformats.org/officeDocument/2006/relationships"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http://schemas.openxmlformats.org/spreadsheetml/2006/main">
  <externalBook xmlns:r="http://schemas.openxmlformats.org/officeDocument/2006/relationships"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http://schemas.openxmlformats.org/spreadsheetml/2006/main">
  <externalBook xmlns:r="http://schemas.openxmlformats.org/officeDocument/2006/relationships"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http://schemas.openxmlformats.org/spreadsheetml/2006/main">
  <externalBook xmlns:r="http://schemas.openxmlformats.org/officeDocument/2006/relationships"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http://schemas.openxmlformats.org/spreadsheetml/2006/main">
  <externalBook xmlns:r="http://schemas.openxmlformats.org/officeDocument/2006/relationships"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http://schemas.openxmlformats.org/spreadsheetml/2006/main">
  <externalBook xmlns:r="http://schemas.openxmlformats.org/officeDocument/2006/relationships"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http://schemas.openxmlformats.org/spreadsheetml/2006/main">
  <externalBook xmlns:r="http://schemas.openxmlformats.org/officeDocument/2006/relationships"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http://schemas.openxmlformats.org/spreadsheetml/2006/main">
  <externalBook xmlns:r="http://schemas.openxmlformats.org/officeDocument/2006/relationships"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http://schemas.openxmlformats.org/spreadsheetml/2006/main">
  <externalBook xmlns:r="http://schemas.openxmlformats.org/officeDocument/2006/relationships"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http://schemas.openxmlformats.org/spreadsheetml/2006/main">
  <externalBook xmlns:r="http://schemas.openxmlformats.org/officeDocument/2006/relationships" r:id="rId1">
    <sheetNames>
      <sheetName val="BOOK5"/>
    </sheetNames>
    <sheetDataSet>
      <sheetData sheetId="0"/>
    </sheetDataSet>
  </externalBook>
</externalLink>
</file>

<file path=xl/externalLinks/externalLink181.xml><?xml version="1.0" encoding="utf-8"?>
<externalLink xmlns="http://schemas.openxmlformats.org/spreadsheetml/2006/main">
  <externalBook xmlns:r="http://schemas.openxmlformats.org/officeDocument/2006/relationships" r:id="rId1">
    <sheetNames>
      <sheetName val="钻井日报表"/>
    </sheetNames>
    <sheetDataSet>
      <sheetData sheetId="0"/>
    </sheetDataSet>
  </externalBook>
</externalLink>
</file>

<file path=xl/externalLinks/externalLink182.xml><?xml version="1.0" encoding="utf-8"?>
<externalLink xmlns="http://schemas.openxmlformats.org/spreadsheetml/2006/main">
  <externalBook xmlns:r="http://schemas.openxmlformats.org/officeDocument/2006/relationships"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http://schemas.openxmlformats.org/spreadsheetml/2006/main">
  <externalBook xmlns:r="http://schemas.openxmlformats.org/officeDocument/2006/relationships"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http://schemas.openxmlformats.org/spreadsheetml/2006/main">
  <externalBook xmlns:r="http://schemas.openxmlformats.org/officeDocument/2006/relationships" r:id="rId1">
    <sheetNames>
      <sheetName val="Angsi A"/>
      <sheetName val="Run"/>
    </sheetNames>
    <sheetDataSet>
      <sheetData sheetId="0"/>
      <sheetData sheetId="1"/>
    </sheetDataSet>
  </externalBook>
</externalLink>
</file>

<file path=xl/externalLinks/externalLink185.xml><?xml version="1.0" encoding="utf-8"?>
<externalLink xmlns="http://schemas.openxmlformats.org/spreadsheetml/2006/main">
  <externalBook xmlns:r="http://schemas.openxmlformats.org/officeDocument/2006/relationships"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http://schemas.openxmlformats.org/spreadsheetml/2006/main">
  <externalBook xmlns:r="http://schemas.openxmlformats.org/officeDocument/2006/relationships"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http://schemas.openxmlformats.org/spreadsheetml/2006/main">
  <externalBook xmlns:r="http://schemas.openxmlformats.org/officeDocument/2006/relationships"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http://schemas.openxmlformats.org/spreadsheetml/2006/main">
  <externalBook xmlns:r="http://schemas.openxmlformats.org/officeDocument/2006/relationships" r:id="rId1">
    <sheetNames>
      <sheetName val="钻井日报表"/>
    </sheetNames>
    <sheetDataSet>
      <sheetData sheetId="0"/>
    </sheetDataSet>
  </externalBook>
</externalLink>
</file>

<file path=xl/externalLinks/externalLink189.xml><?xml version="1.0" encoding="utf-8"?>
<externalLink xmlns="http://schemas.openxmlformats.org/spreadsheetml/2006/main">
  <externalBook xmlns:r="http://schemas.openxmlformats.org/officeDocument/2006/relationships"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http://schemas.openxmlformats.org/spreadsheetml/2006/main">
  <externalBook xmlns:r="http://schemas.openxmlformats.org/officeDocument/2006/relationships"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http://schemas.openxmlformats.org/spreadsheetml/2006/main">
  <externalBook xmlns:r="http://schemas.openxmlformats.org/officeDocument/2006/relationships"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http://schemas.openxmlformats.org/spreadsheetml/2006/main">
  <externalBook xmlns:r="http://schemas.openxmlformats.org/officeDocument/2006/relationships"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http://schemas.openxmlformats.org/spreadsheetml/2006/main">
  <externalBook xmlns:r="http://schemas.openxmlformats.org/officeDocument/2006/relationships"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http://schemas.openxmlformats.org/spreadsheetml/2006/main">
  <externalBook xmlns:r="http://schemas.openxmlformats.org/officeDocument/2006/relationships"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s3.xml"/><Relationship Id="rId4" Type="http://schemas.openxmlformats.org/officeDocument/2006/relationships/ctrlProp" Target="../ctrlProps/ctrlProps4.xml"/>
</Relationships>
</file>

<file path=xl/worksheets/_rels/sheet3.xml.rels><?xml version="1.0" encoding="UTF-8"?>
<Relationships xmlns="http://schemas.openxmlformats.org/package/2006/relationships"><Relationship Id="rId1" Type="http://schemas.openxmlformats.org/officeDocument/2006/relationships/drawing" Target="../drawings/drawing5.xml"/>
</Relationships>
</file>

<file path=xl/worksheets/_rels/sheet4.xml.rels><?xml version="1.0" encoding="UTF-8"?>
<Relationships xmlns="http://schemas.openxmlformats.org/package/2006/relationships"><Relationship Id="rId1" Type="http://schemas.openxmlformats.org/officeDocument/2006/relationships/drawing" Target="../drawings/drawing6.xml"/>
</Relationships>
</file>

<file path=xl/worksheets/_rels/sheet5.xml.rels><?xml version="1.0" encoding="UTF-8"?>
<Relationships xmlns="http://schemas.openxmlformats.org/package/2006/relationships"><Relationship Id="rId1" Type="http://schemas.openxmlformats.org/officeDocument/2006/relationships/drawing" Target="../drawings/drawing7.xml"/>
</Relationships>
</file>

<file path=xl/worksheets/_rels/sheet6.xml.rels><?xml version="1.0" encoding="UTF-8"?>
<Relationships xmlns="http://schemas.openxmlformats.org/package/2006/relationships"><Relationship Id="rId1" Type="http://schemas.openxmlformats.org/officeDocument/2006/relationships/drawing" Target="../drawings/drawing8.xml"/>
</Relationships>
</file>

<file path=xl/worksheets/_rels/sheet7.xml.rels><?xml version="1.0" encoding="UTF-8"?>
<Relationships xmlns="http://schemas.openxmlformats.org/package/2006/relationships"><Relationship Id="rId1" Type="http://schemas.openxmlformats.org/officeDocument/2006/relationships/drawing" Target="../drawings/drawing9.xml"/><Relationship Id="rId2" Type="http://schemas.openxmlformats.org/officeDocument/2006/relationships/vmlDrawing" Target="../drawings/vmlDrawing2.vml"/><Relationship Id="rId3" Type="http://schemas.openxmlformats.org/officeDocument/2006/relationships/ctrlProp" Target="../ctrlProps/ctrlProps10.xml"/>
</Relationships>
</file>

<file path=xl/worksheets/_rels/sheet8.xml.rels><?xml version="1.0" encoding="UTF-8"?>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3.vml"/><Relationship Id="rId3" Type="http://schemas.openxmlformats.org/officeDocument/2006/relationships/ctrlProp" Target="../ctrlProps/ctrlProps12.xml"/>
</Relationships>
</file>

<file path=xl/worksheets/_rels/sheet9.xml.rels><?xml version="1.0" encoding="UTF-8"?>
<Relationships xmlns="http://schemas.openxmlformats.org/package/2006/relationships"><Relationship Id="rId1" Type="http://schemas.openxmlformats.org/officeDocument/2006/relationships/drawing" Target="../drawings/drawing13.xml"/>
</Relationships>
</file>

<file path=xl/worksheets/_rels/sheet11.xml.rels><?xml version="1.0" encoding="UTF-8"?>
<Relationships xmlns="http://schemas.openxmlformats.org/package/2006/relationships"><Relationship Id="rId1" Type="http://schemas.openxmlformats.org/officeDocument/2006/relationships/drawing" Target="../drawings/drawing1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I17"/>
  <sheetViews>
    <sheetView showFormulas="false" showGridLines="true" showRowColHeaders="true" showZeros="true" rightToLeft="false" tabSelected="false" showOutlineSymbols="true" defaultGridColor="true" view="pageBreakPreview" topLeftCell="A1" colorId="64" zoomScale="140" zoomScaleNormal="85" zoomScalePageLayoutView="140" workbookViewId="0">
      <selection pane="topLeft" activeCell="G13" activeCellId="0" sqref="G13"/>
    </sheetView>
  </sheetViews>
  <sheetFormatPr defaultColWidth="9.22265625" defaultRowHeight="14.25" customHeight="false" zeroHeight="false" outlineLevelRow="0" outlineLevelCol="0"/>
  <cols>
    <col collapsed="false" customWidth="true" hidden="false" outlineLevel="0" max="1" min="1" style="1" width="21.22"/>
    <col collapsed="false" customWidth="true" hidden="false" outlineLevel="0" max="2" min="2" style="1" width="14.22"/>
    <col collapsed="false" customWidth="true" hidden="false" outlineLevel="0" max="3" min="3" style="1" width="15.22"/>
    <col collapsed="false" customWidth="true" hidden="false" outlineLevel="0" max="4" min="4" style="1" width="33.78"/>
    <col collapsed="false" customWidth="true" hidden="false" outlineLevel="0" max="6" min="5" style="1" width="21.22"/>
    <col collapsed="false" customWidth="true" hidden="false" outlineLevel="0" max="7" min="7" style="1" width="34.11"/>
    <col collapsed="false" customWidth="true" hidden="false" outlineLevel="0" max="8" min="8" style="1" width="16.22"/>
    <col collapsed="false" customWidth="true" hidden="false" outlineLevel="0" max="9" min="9" style="1" width="22.78"/>
    <col collapsed="false" customWidth="false" hidden="false" outlineLevel="0" max="16384" min="10" style="1" width="9.22"/>
  </cols>
  <sheetData>
    <row r="1" customFormat="false" ht="18" hidden="false" customHeight="true" outlineLevel="0" collapsed="false">
      <c r="A1" s="2"/>
      <c r="B1" s="3"/>
      <c r="C1" s="4" t="s">
        <v>0</v>
      </c>
      <c r="D1" s="4"/>
      <c r="E1" s="4"/>
      <c r="F1" s="4"/>
      <c r="G1" s="4"/>
      <c r="H1" s="5" t="s">
        <v>1</v>
      </c>
      <c r="I1" s="5"/>
    </row>
    <row r="2" customFormat="false" ht="15" hidden="false" customHeight="true" outlineLevel="0" collapsed="false">
      <c r="A2" s="6" t="s">
        <v>2</v>
      </c>
      <c r="B2" s="6"/>
      <c r="C2" s="7" t="s">
        <v>3</v>
      </c>
      <c r="D2" s="7"/>
      <c r="E2" s="8" t="s">
        <v>4</v>
      </c>
      <c r="F2" s="9" t="s">
        <v>5</v>
      </c>
      <c r="G2" s="9"/>
      <c r="H2" s="9"/>
      <c r="I2" s="9"/>
    </row>
    <row r="3" customFormat="false" ht="14.25" hidden="false" customHeight="true" outlineLevel="0" collapsed="false">
      <c r="A3" s="10" t="s">
        <v>6</v>
      </c>
      <c r="B3" s="10"/>
      <c r="C3" s="7" t="s">
        <v>7</v>
      </c>
      <c r="D3" s="7"/>
      <c r="E3" s="11" t="s">
        <v>8</v>
      </c>
      <c r="F3" s="12" t="s">
        <v>9</v>
      </c>
      <c r="G3" s="12"/>
      <c r="H3" s="12"/>
      <c r="I3" s="12"/>
    </row>
    <row r="4" customFormat="false" ht="14.25" hidden="false" customHeight="true" outlineLevel="0" collapsed="false">
      <c r="A4" s="13" t="s">
        <v>10</v>
      </c>
      <c r="B4" s="13"/>
      <c r="C4" s="14" t="s">
        <v>11</v>
      </c>
      <c r="D4" s="14"/>
      <c r="E4" s="15" t="s">
        <v>12</v>
      </c>
      <c r="F4" s="16" t="s">
        <v>13</v>
      </c>
      <c r="G4" s="16"/>
      <c r="H4" s="16"/>
      <c r="I4" s="16"/>
    </row>
    <row r="5" customFormat="false" ht="25.5" hidden="false" customHeight="true" outlineLevel="0" collapsed="false">
      <c r="A5" s="13" t="s">
        <v>14</v>
      </c>
      <c r="B5" s="13"/>
      <c r="C5" s="14" t="s">
        <v>15</v>
      </c>
      <c r="D5" s="14"/>
      <c r="E5" s="15" t="s">
        <v>16</v>
      </c>
      <c r="F5" s="17" t="s">
        <v>17</v>
      </c>
      <c r="G5" s="17"/>
      <c r="H5" s="17"/>
      <c r="I5" s="17"/>
    </row>
    <row r="6" customFormat="false" ht="25.5" hidden="false" customHeight="true" outlineLevel="0" collapsed="false">
      <c r="A6" s="13" t="s">
        <v>18</v>
      </c>
      <c r="B6" s="13"/>
      <c r="C6" s="18"/>
      <c r="D6" s="18"/>
      <c r="E6" s="15" t="s">
        <v>19</v>
      </c>
      <c r="F6" s="19" t="s">
        <v>20</v>
      </c>
      <c r="G6" s="19"/>
      <c r="H6" s="19"/>
      <c r="I6" s="19"/>
    </row>
    <row r="7" customFormat="false" ht="52.5" hidden="false" customHeight="true" outlineLevel="0" collapsed="false">
      <c r="A7" s="20" t="s">
        <v>21</v>
      </c>
      <c r="B7" s="20"/>
      <c r="C7" s="21"/>
      <c r="D7" s="21"/>
      <c r="E7" s="22" t="s">
        <v>22</v>
      </c>
      <c r="F7" s="23" t="n">
        <v>0</v>
      </c>
      <c r="G7" s="23"/>
      <c r="H7" s="23"/>
      <c r="I7" s="23"/>
    </row>
    <row r="8" customFormat="false" ht="15" hidden="false" customHeight="true" outlineLevel="0" collapsed="false">
      <c r="A8" s="24"/>
      <c r="B8" s="25"/>
      <c r="C8" s="25"/>
      <c r="D8" s="25"/>
      <c r="E8" s="26" t="s">
        <v>23</v>
      </c>
      <c r="F8" s="26"/>
      <c r="G8" s="26"/>
      <c r="H8" s="26"/>
      <c r="I8" s="27" t="s">
        <v>5</v>
      </c>
    </row>
    <row r="9" customFormat="false" ht="15" hidden="false" customHeight="true" outlineLevel="0" collapsed="false">
      <c r="A9" s="24"/>
      <c r="B9" s="28"/>
      <c r="C9" s="28"/>
      <c r="D9" s="28"/>
      <c r="E9" s="29" t="s">
        <v>24</v>
      </c>
      <c r="F9" s="29"/>
      <c r="G9" s="29"/>
      <c r="H9" s="29"/>
      <c r="I9" s="27" t="s">
        <v>25</v>
      </c>
    </row>
    <row r="10" customFormat="false" ht="25.5" hidden="false" customHeight="true" outlineLevel="0" collapsed="false">
      <c r="A10" s="30" t="s">
        <v>26</v>
      </c>
      <c r="B10" s="30" t="s">
        <v>27</v>
      </c>
      <c r="C10" s="30" t="s">
        <v>28</v>
      </c>
      <c r="D10" s="31" t="s">
        <v>29</v>
      </c>
      <c r="E10" s="31" t="s">
        <v>30</v>
      </c>
      <c r="F10" s="31" t="s">
        <v>31</v>
      </c>
      <c r="G10" s="31" t="s">
        <v>32</v>
      </c>
      <c r="H10" s="31" t="s">
        <v>33</v>
      </c>
      <c r="I10" s="32" t="s">
        <v>34</v>
      </c>
    </row>
    <row r="11" s="36" customFormat="true" ht="44.25" hidden="false" customHeight="true" outlineLevel="0" collapsed="false">
      <c r="A11" s="33" t="s">
        <v>35</v>
      </c>
      <c r="B11" s="33" t="s">
        <v>35</v>
      </c>
      <c r="C11" s="34" t="s">
        <v>35</v>
      </c>
      <c r="D11" s="33" t="s">
        <v>36</v>
      </c>
      <c r="E11" s="35" t="s">
        <v>37</v>
      </c>
      <c r="F11" s="35" t="s">
        <v>38</v>
      </c>
      <c r="G11" s="33" t="s">
        <v>36</v>
      </c>
      <c r="H11" s="35" t="n">
        <v>1</v>
      </c>
      <c r="I11" s="35" t="s">
        <v>39</v>
      </c>
    </row>
    <row r="12" s="36" customFormat="true" ht="44.25" hidden="false" customHeight="true" outlineLevel="0" collapsed="false">
      <c r="A12" s="33" t="s">
        <v>35</v>
      </c>
      <c r="B12" s="33" t="s">
        <v>35</v>
      </c>
      <c r="C12" s="34" t="s">
        <v>35</v>
      </c>
      <c r="D12" s="33" t="s">
        <v>40</v>
      </c>
      <c r="E12" s="35" t="s">
        <v>41</v>
      </c>
      <c r="F12" s="35" t="s">
        <v>42</v>
      </c>
      <c r="G12" s="33" t="s">
        <v>40</v>
      </c>
      <c r="H12" s="35" t="n">
        <v>1</v>
      </c>
      <c r="I12" s="35" t="s">
        <v>39</v>
      </c>
    </row>
    <row r="13" s="36" customFormat="true" ht="44.25" hidden="false" customHeight="true" outlineLevel="0" collapsed="false">
      <c r="A13" s="33" t="s">
        <v>35</v>
      </c>
      <c r="B13" s="33" t="s">
        <v>35</v>
      </c>
      <c r="C13" s="34" t="s">
        <v>35</v>
      </c>
      <c r="D13" s="33" t="s">
        <v>43</v>
      </c>
      <c r="E13" s="35" t="s">
        <v>44</v>
      </c>
      <c r="F13" s="35" t="s">
        <v>45</v>
      </c>
      <c r="G13" s="33" t="s">
        <v>43</v>
      </c>
      <c r="H13" s="35" t="n">
        <v>1</v>
      </c>
      <c r="I13" s="35" t="s">
        <v>39</v>
      </c>
    </row>
    <row r="14" s="36" customFormat="true" ht="44.25" hidden="false" customHeight="true" outlineLevel="0" collapsed="false"/>
    <row r="15" customFormat="false" ht="44.25" hidden="false" customHeight="true" outlineLevel="0" collapsed="false"/>
    <row r="16" customFormat="false" ht="44.25" hidden="false" customHeight="true" outlineLevel="0" collapsed="false"/>
    <row r="17" customFormat="false" ht="44.25" hidden="false" customHeight="true" outlineLevel="0" collapsed="false"/>
  </sheetData>
  <mergeCells count="23">
    <mergeCell ref="C1:G1"/>
    <mergeCell ref="H1:I1"/>
    <mergeCell ref="A2:B2"/>
    <mergeCell ref="C2:D2"/>
    <mergeCell ref="F2:I2"/>
    <mergeCell ref="A3:B3"/>
    <mergeCell ref="C3:D3"/>
    <mergeCell ref="F3:I3"/>
    <mergeCell ref="A4:B4"/>
    <mergeCell ref="C4:D4"/>
    <mergeCell ref="F4:I4"/>
    <mergeCell ref="A5:B5"/>
    <mergeCell ref="C5:D5"/>
    <mergeCell ref="F5:I5"/>
    <mergeCell ref="A6:B6"/>
    <mergeCell ref="C6:D6"/>
    <mergeCell ref="F6:I6"/>
    <mergeCell ref="A7:B7"/>
    <mergeCell ref="C7:D7"/>
    <mergeCell ref="F7:I7"/>
    <mergeCell ref="A8:A9"/>
    <mergeCell ref="E8:H8"/>
    <mergeCell ref="E9:H9"/>
  </mergeCells>
  <printOptions headings="false" gridLines="false" gridLinesSet="true" horizontalCentered="false" verticalCentered="false"/>
  <pageMargins left="0.7" right="0.7" top="0.75" bottom="0.75"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EEBF7"/>
    <pageSetUpPr fitToPage="false"/>
  </sheetPr>
  <dimension ref="A1:I24"/>
  <sheetViews>
    <sheetView showFormulas="false" showGridLines="true" showRowColHeaders="true" showZeros="true" rightToLeft="false" tabSelected="false" showOutlineSymbols="true" defaultGridColor="true" view="pageBreakPreview" topLeftCell="A1" colorId="64" zoomScale="140" zoomScaleNormal="110" zoomScalePageLayoutView="140" workbookViewId="0">
      <selection pane="topLeft" activeCell="E16" activeCellId="0" sqref="E16"/>
    </sheetView>
  </sheetViews>
  <sheetFormatPr defaultColWidth="8.59765625" defaultRowHeight="14.25" customHeight="false" zeroHeight="false" outlineLevelRow="0" outlineLevelCol="0"/>
  <cols>
    <col collapsed="false" customWidth="true" hidden="false" outlineLevel="0" max="1" min="1" style="37" width="22.11"/>
    <col collapsed="false" customWidth="true" hidden="false" outlineLevel="0" max="2" min="2" style="37" width="30.11"/>
    <col collapsed="false" customWidth="true" hidden="false" outlineLevel="0" max="3" min="3" style="37" width="4.22"/>
    <col collapsed="false" customWidth="true" hidden="false" outlineLevel="0" max="4" min="4" style="37" width="24"/>
    <col collapsed="false" customWidth="true" hidden="false" outlineLevel="0" max="5" min="5" style="37" width="29.44"/>
    <col collapsed="false" customWidth="true" hidden="false" outlineLevel="0" max="6" min="6" style="38" width="4.22"/>
    <col collapsed="false" customWidth="true" hidden="false" outlineLevel="0" max="7" min="7" style="37" width="12.89"/>
    <col collapsed="false" customWidth="true" hidden="false" outlineLevel="0" max="8" min="8" style="37" width="22.44"/>
    <col collapsed="false" customWidth="true" hidden="false" outlineLevel="0" max="9" min="9" style="37" width="14.11"/>
  </cols>
  <sheetData>
    <row r="1" customFormat="false" ht="17.35" hidden="false" customHeight="false" outlineLevel="0" collapsed="false">
      <c r="A1" s="39" t="s">
        <v>46</v>
      </c>
    </row>
    <row r="3" s="42" customFormat="true" ht="39" hidden="false" customHeight="true" outlineLevel="0" collapsed="false">
      <c r="A3" s="40" t="s">
        <v>47</v>
      </c>
      <c r="B3" s="41" t="str">
        <f aca="false">'MS2'!$C$2</f>
        <v>ADNOC ONSHORE</v>
      </c>
      <c r="D3" s="40" t="s">
        <v>48</v>
      </c>
      <c r="E3" s="43" t="s">
        <v>49</v>
      </c>
      <c r="F3" s="44"/>
      <c r="G3" s="45" t="s">
        <v>50</v>
      </c>
      <c r="H3" s="46" t="str">
        <f aca="false">'MS2'!$F$6</f>
        <v>Mahmoud Ali</v>
      </c>
      <c r="I3" s="47" t="s">
        <v>51</v>
      </c>
    </row>
    <row r="4" customFormat="false" ht="24" hidden="false" customHeight="true" outlineLevel="0" collapsed="false">
      <c r="A4" s="48" t="s">
        <v>52</v>
      </c>
      <c r="B4" s="49"/>
      <c r="D4" s="48" t="s">
        <v>53</v>
      </c>
      <c r="E4" s="43" t="s">
        <v>54</v>
      </c>
      <c r="G4" s="50" t="s">
        <v>55</v>
      </c>
      <c r="H4" s="51" t="s">
        <v>56</v>
      </c>
      <c r="I4" s="52" t="s">
        <v>57</v>
      </c>
    </row>
    <row r="5" customFormat="false" ht="14.25" hidden="false" customHeight="false" outlineLevel="0" collapsed="false">
      <c r="A5" s="50" t="s">
        <v>58</v>
      </c>
      <c r="B5" s="53" t="n">
        <v>971508126221</v>
      </c>
      <c r="D5" s="50" t="s">
        <v>59</v>
      </c>
      <c r="E5" s="54"/>
      <c r="G5" s="48" t="s">
        <v>60</v>
      </c>
      <c r="H5" s="46" t="str">
        <f aca="false">'MS2'!$F$6</f>
        <v>Mahmoud Ali</v>
      </c>
      <c r="I5" s="52" t="s">
        <v>57</v>
      </c>
    </row>
    <row r="6" customFormat="false" ht="14.25" hidden="false" customHeight="false" outlineLevel="0" collapsed="false">
      <c r="A6" s="50"/>
      <c r="B6" s="53"/>
      <c r="D6" s="50"/>
      <c r="E6" s="54"/>
      <c r="G6" s="48" t="s">
        <v>61</v>
      </c>
      <c r="H6" s="51" t="s">
        <v>56</v>
      </c>
      <c r="I6" s="52" t="s">
        <v>57</v>
      </c>
    </row>
    <row r="7" customFormat="false" ht="14.25" hidden="false" customHeight="true" outlineLevel="0" collapsed="false">
      <c r="A7" s="48"/>
      <c r="B7" s="55"/>
      <c r="D7" s="50"/>
      <c r="E7" s="54"/>
      <c r="G7" s="48" t="s">
        <v>62</v>
      </c>
      <c r="H7" s="46" t="str">
        <f aca="false">'MS2'!$F$6</f>
        <v>Mahmoud Ali</v>
      </c>
      <c r="I7" s="52" t="s">
        <v>57</v>
      </c>
    </row>
    <row r="8" customFormat="false" ht="14.25" hidden="false" customHeight="false" outlineLevel="0" collapsed="false">
      <c r="A8" s="50" t="s">
        <v>58</v>
      </c>
      <c r="B8" s="53" t="n">
        <v>971508126221</v>
      </c>
      <c r="D8" s="50" t="s">
        <v>59</v>
      </c>
      <c r="E8" s="54" t="s">
        <v>63</v>
      </c>
      <c r="G8" s="48" t="s">
        <v>64</v>
      </c>
      <c r="H8" s="51" t="s">
        <v>56</v>
      </c>
      <c r="I8" s="52" t="s">
        <v>57</v>
      </c>
    </row>
    <row r="9" customFormat="false" ht="14.25" hidden="false" customHeight="false" outlineLevel="0" collapsed="false">
      <c r="A9" s="50" t="s">
        <v>58</v>
      </c>
      <c r="B9" s="53" t="n">
        <v>971508126221</v>
      </c>
      <c r="D9" s="50" t="s">
        <v>59</v>
      </c>
      <c r="E9" s="54" t="s">
        <v>63</v>
      </c>
      <c r="G9" s="48" t="s">
        <v>65</v>
      </c>
      <c r="H9" s="46" t="str">
        <f aca="false">'MS2'!$F$6</f>
        <v>Mahmoud Ali</v>
      </c>
      <c r="I9" s="52" t="s">
        <v>57</v>
      </c>
    </row>
    <row r="10" customFormat="false" ht="14.25" hidden="false" customHeight="false" outlineLevel="0" collapsed="false">
      <c r="A10" s="48" t="s">
        <v>66</v>
      </c>
      <c r="B10" s="55" t="str">
        <f aca="false">'MS2'!$C$3</f>
        <v>4700014396</v>
      </c>
      <c r="D10" s="48" t="s">
        <v>67</v>
      </c>
      <c r="E10" s="56" t="str">
        <f aca="false">'MS2'!I9</f>
        <v>BB-1309</v>
      </c>
      <c r="G10" s="50"/>
      <c r="H10" s="51" t="s">
        <v>56</v>
      </c>
      <c r="I10" s="52" t="s">
        <v>57</v>
      </c>
    </row>
    <row r="11" customFormat="false" ht="14.25" hidden="false" customHeight="false" outlineLevel="0" collapsed="false">
      <c r="A11" s="57" t="s">
        <v>68</v>
      </c>
      <c r="B11" s="58" t="str">
        <f aca="false">'MS2'!$F$5</f>
        <v>4200761193</v>
      </c>
      <c r="D11" s="50" t="s">
        <v>69</v>
      </c>
      <c r="E11" s="59" t="str">
        <f aca="false">'MS2'!I8</f>
        <v>AD-237</v>
      </c>
      <c r="G11" s="48"/>
      <c r="H11" s="49"/>
      <c r="I11" s="52" t="s">
        <v>57</v>
      </c>
    </row>
    <row r="12" customFormat="false" ht="14.25" hidden="false" customHeight="false" outlineLevel="0" collapsed="false">
      <c r="A12" s="50" t="s">
        <v>70</v>
      </c>
      <c r="B12" s="60" t="n">
        <v>11</v>
      </c>
      <c r="D12" s="48" t="s">
        <v>71</v>
      </c>
      <c r="E12" s="61" t="str">
        <f aca="false" t="array" ref="E12:F12">'MS2'!C4:D4</f>
        <v>02-Jul-26</v>
      </c>
      <c r="F12" s="38" t="n">
        <v>0</v>
      </c>
      <c r="G12" s="50"/>
      <c r="H12" s="51"/>
      <c r="I12" s="52"/>
    </row>
    <row r="13" customFormat="false" ht="14.25" hidden="false" customHeight="false" outlineLevel="0" collapsed="false">
      <c r="D13" s="50" t="s">
        <v>72</v>
      </c>
      <c r="E13" s="61" t="str">
        <f aca="false">E12</f>
        <v>02-Jul-26</v>
      </c>
      <c r="G13" s="48"/>
      <c r="H13" s="49"/>
      <c r="I13" s="47"/>
    </row>
    <row r="14" customFormat="false" ht="14.25" hidden="false" customHeight="false" outlineLevel="0" collapsed="false">
      <c r="A14" s="50" t="s">
        <v>73</v>
      </c>
      <c r="B14" s="60"/>
      <c r="D14" s="48" t="s">
        <v>74</v>
      </c>
      <c r="E14" s="61" t="str">
        <f aca="false" t="array" ref="E14:F14">'MS2'!C5:D5</f>
        <v>24-Jul-26</v>
      </c>
      <c r="F14" s="38" t="n">
        <v>0</v>
      </c>
      <c r="G14" s="50"/>
      <c r="H14" s="51"/>
      <c r="I14" s="52"/>
    </row>
    <row r="15" customFormat="false" ht="14.25" hidden="false" customHeight="false" outlineLevel="0" collapsed="false">
      <c r="A15" s="50" t="s">
        <v>75</v>
      </c>
      <c r="B15" s="60" t="str">
        <f aca="false" t="array" ref="B15:C15">'MS2'!H1:I1</f>
        <v>DT 15949454</v>
      </c>
      <c r="C15" s="37" t="n">
        <v>0</v>
      </c>
      <c r="D15" s="50" t="s">
        <v>76</v>
      </c>
      <c r="E15" s="61" t="str">
        <f aca="false">E14</f>
        <v>24-Jul-26</v>
      </c>
      <c r="G15" s="48"/>
      <c r="H15" s="49"/>
      <c r="I15" s="47"/>
    </row>
    <row r="16" customFormat="false" ht="14.25" hidden="false" customHeight="false" outlineLevel="0" collapsed="false">
      <c r="A16" s="50" t="s">
        <v>77</v>
      </c>
      <c r="B16" s="60"/>
      <c r="D16" s="48" t="s">
        <v>78</v>
      </c>
      <c r="E16" s="56" t="n">
        <v>90</v>
      </c>
      <c r="G16" s="50"/>
      <c r="H16" s="51"/>
      <c r="I16" s="52"/>
    </row>
    <row r="17" customFormat="false" ht="14.25" hidden="false" customHeight="false" outlineLevel="0" collapsed="false">
      <c r="D17" s="50" t="s">
        <v>79</v>
      </c>
      <c r="E17" s="59" t="n">
        <v>87</v>
      </c>
      <c r="G17" s="48"/>
      <c r="H17" s="62"/>
      <c r="I17" s="63"/>
    </row>
    <row r="18" customFormat="false" ht="14.25" hidden="false" customHeight="false" outlineLevel="0" collapsed="false">
      <c r="A18" s="50" t="s">
        <v>80</v>
      </c>
      <c r="B18" s="60" t="s">
        <v>81</v>
      </c>
      <c r="D18" s="48" t="s">
        <v>82</v>
      </c>
      <c r="E18" s="56" t="n">
        <v>0</v>
      </c>
      <c r="G18" s="50"/>
      <c r="H18" s="51"/>
      <c r="I18" s="52"/>
    </row>
    <row r="19" customFormat="false" ht="14.25" hidden="false" customHeight="false" outlineLevel="0" collapsed="false">
      <c r="A19" s="48" t="s">
        <v>83</v>
      </c>
      <c r="B19" s="56" t="s">
        <v>84</v>
      </c>
      <c r="D19" s="50" t="s">
        <v>85</v>
      </c>
      <c r="E19" s="59" t="n">
        <v>1</v>
      </c>
      <c r="G19" s="48"/>
      <c r="H19" s="62"/>
      <c r="I19" s="63"/>
    </row>
    <row r="20" customFormat="false" ht="14.25" hidden="false" customHeight="false" outlineLevel="0" collapsed="false">
      <c r="A20" s="50" t="s">
        <v>86</v>
      </c>
      <c r="B20" s="64" t="n">
        <v>971547926323</v>
      </c>
      <c r="D20" s="48" t="s">
        <v>87</v>
      </c>
      <c r="E20" s="56" t="n">
        <v>0</v>
      </c>
    </row>
    <row r="21" customFormat="false" ht="14.25" hidden="false" customHeight="false" outlineLevel="0" collapsed="false">
      <c r="A21" s="48" t="s">
        <v>88</v>
      </c>
      <c r="B21" s="46" t="s">
        <v>89</v>
      </c>
    </row>
    <row r="22" customFormat="false" ht="14.25" hidden="false" customHeight="false" outlineLevel="0" collapsed="false">
      <c r="A22" s="50" t="s">
        <v>90</v>
      </c>
      <c r="B22" s="65" t="n">
        <v>971567203838</v>
      </c>
    </row>
    <row r="23" customFormat="false" ht="14.25" hidden="false" customHeight="false" outlineLevel="0" collapsed="false">
      <c r="D23" s="50" t="s">
        <v>91</v>
      </c>
      <c r="E23" s="66" t="str">
        <f aca="false">E15</f>
        <v>24-Jul-26</v>
      </c>
    </row>
    <row r="24" customFormat="false" ht="14.25" hidden="false" customHeight="false" outlineLevel="0" collapsed="false">
      <c r="A24" s="48" t="s">
        <v>92</v>
      </c>
      <c r="B24" s="55" t="s">
        <v>93</v>
      </c>
      <c r="D24" s="48" t="s">
        <v>94</v>
      </c>
      <c r="E24" s="66" t="str">
        <f aca="false">E23</f>
        <v>24-Jul-26</v>
      </c>
    </row>
  </sheetData>
  <dataValidations count="1">
    <dataValidation allowBlank="true" errorStyle="stop" operator="between" showDropDown="false" showErrorMessage="true" showInputMessage="true" sqref="B3:D3" type="list">
      <formula1>"ADNOC ONSHORE,ADNOC OFFSHORE"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53"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macro="Module2.AdminLogin">
                <anchor moveWithCells="true" sizeWithCells="false">
                  <from>
                    <xdr:col>25</xdr:col>
                    <xdr:colOff>0</xdr:colOff>
                    <xdr:row>1</xdr:row>
                    <xdr:rowOff>0</xdr:rowOff>
                  </from>
                  <to>
                    <xdr:col>26</xdr:col>
                    <xdr:colOff>0</xdr:colOff>
                    <xdr:row>2</xdr:row>
                    <xdr:rowOff>28440</xdr:rowOff>
                  </to>
                </anchor>
              </controlPr>
            </control>
          </mc:Choice>
        </mc:AlternateContent>
        <mc:AlternateContent xmlns:mc="http://schemas.openxmlformats.org/markup-compatibility/2006">
          <mc:Choice Requires="x14">
            <control shapeId="1002" r:id="rId4" name="Button 2">
              <controlPr defaultSize="0" print="true" autoFill="0" autoPict="0" macro="Module2.AdminLogout">
                <anchor moveWithCells="true" sizeWithCells="false">
                  <from>
                    <xdr:col>25</xdr:col>
                    <xdr:colOff>28440</xdr:colOff>
                    <xdr:row>2</xdr:row>
                    <xdr:rowOff>57240</xdr:rowOff>
                  </from>
                  <to>
                    <xdr:col>26</xdr:col>
                    <xdr:colOff>0</xdr:colOff>
                    <xdr:row>3</xdr:row>
                    <xdr:rowOff>95400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BE5D6"/>
    <pageSetUpPr fitToPage="true"/>
  </sheetPr>
  <dimension ref="A1:AL107"/>
  <sheetViews>
    <sheetView showFormulas="false" showGridLines="true" showRowColHeaders="true" showZeros="true" rightToLeft="false" tabSelected="true" showOutlineSymbols="true" defaultGridColor="true" view="pageBreakPreview" topLeftCell="A1" colorId="64" zoomScale="140" zoomScaleNormal="100" zoomScalePageLayoutView="140" workbookViewId="0">
      <selection pane="topLeft" activeCell="R5" activeCellId="0" sqref="R5"/>
    </sheetView>
  </sheetViews>
  <sheetFormatPr defaultColWidth="9.11328125" defaultRowHeight="12" customHeight="false" zeroHeight="false" outlineLevelRow="0" outlineLevelCol="0"/>
  <cols>
    <col collapsed="false" customWidth="true" hidden="false" outlineLevel="0" max="1" min="1" style="67" width="4.55"/>
    <col collapsed="false" customWidth="true" hidden="false" outlineLevel="0" max="2" min="2" style="67" width="5"/>
    <col collapsed="false" customWidth="true" hidden="false" outlineLevel="0" max="3" min="3" style="67" width="3.45"/>
    <col collapsed="false" customWidth="true" hidden="false" outlineLevel="0" max="4" min="4" style="67" width="9.66"/>
    <col collapsed="false" customWidth="true" hidden="false" outlineLevel="0" max="5" min="5" style="67" width="5.44"/>
    <col collapsed="false" customWidth="true" hidden="false" outlineLevel="0" max="12" min="6" style="67" width="8.89"/>
    <col collapsed="false" customWidth="true" hidden="false" outlineLevel="0" max="13" min="13" style="67" width="7.33"/>
    <col collapsed="false" customWidth="true" hidden="false" outlineLevel="0" max="14" min="14" style="67" width="2.67"/>
    <col collapsed="false" customWidth="true" hidden="false" outlineLevel="0" max="15" min="15" style="67" width="3.45"/>
    <col collapsed="false" customWidth="true" hidden="false" outlineLevel="0" max="16" min="16" style="67" width="6"/>
    <col collapsed="false" customWidth="true" hidden="false" outlineLevel="0" max="17" min="17" style="67" width="6.34"/>
    <col collapsed="false" customWidth="true" hidden="false" outlineLevel="0" max="18" min="18" style="67" width="6.56"/>
    <col collapsed="false" customWidth="true" hidden="false" outlineLevel="0" max="19" min="19" style="67" width="31.33"/>
    <col collapsed="false" customWidth="false" hidden="false" outlineLevel="0" max="131" min="20" style="67" width="9.11"/>
    <col collapsed="false" customWidth="true" hidden="false" outlineLevel="0" max="132" min="132" style="67" width="7.33"/>
    <col collapsed="false" customWidth="true" hidden="false" outlineLevel="0" max="133" min="133" style="67" width="5"/>
    <col collapsed="false" customWidth="true" hidden="false" outlineLevel="0" max="134" min="134" style="67" width="5.44"/>
    <col collapsed="false" customWidth="true" hidden="false" outlineLevel="0" max="135" min="135" style="67" width="9.66"/>
    <col collapsed="false" customWidth="true" hidden="false" outlineLevel="0" max="136" min="136" style="67" width="5.44"/>
    <col collapsed="false" customWidth="true" hidden="false" outlineLevel="0" max="137" min="137" style="67" width="2"/>
    <col collapsed="false" customWidth="true" hidden="false" outlineLevel="0" max="138" min="138" style="67" width="7.55"/>
    <col collapsed="false" customWidth="true" hidden="false" outlineLevel="0" max="139" min="139" style="67" width="8.67"/>
    <col collapsed="false" customWidth="true" hidden="false" outlineLevel="0" max="140" min="140" style="67" width="4.67"/>
    <col collapsed="false" customWidth="true" hidden="false" outlineLevel="0" max="141" min="141" style="67" width="8.67"/>
    <col collapsed="false" customWidth="true" hidden="false" outlineLevel="0" max="142" min="142" style="67" width="6"/>
    <col collapsed="false" customWidth="true" hidden="false" outlineLevel="0" max="143" min="143" style="67" width="6.34"/>
    <col collapsed="false" customWidth="true" hidden="false" outlineLevel="0" max="144" min="144" style="67" width="8.67"/>
    <col collapsed="false" customWidth="true" hidden="false" outlineLevel="0" max="145" min="145" style="67" width="3.45"/>
    <col collapsed="false" customWidth="true" hidden="false" outlineLevel="0" max="146" min="146" style="67" width="3"/>
    <col collapsed="false" customWidth="true" hidden="false" outlineLevel="0" max="147" min="147" style="67" width="4.33"/>
    <col collapsed="false" customWidth="true" hidden="false" outlineLevel="0" max="148" min="148" style="67" width="5.56"/>
    <col collapsed="false" customWidth="true" hidden="false" outlineLevel="0" max="149" min="149" style="67" width="4.67"/>
    <col collapsed="false" customWidth="true" hidden="false" outlineLevel="0" max="150" min="150" style="67" width="15.45"/>
    <col collapsed="false" customWidth="false" hidden="false" outlineLevel="0" max="154" min="151" style="67" width="9.11"/>
    <col collapsed="false" customWidth="true" hidden="false" outlineLevel="0" max="155" min="155" style="67" width="10.44"/>
    <col collapsed="false" customWidth="true" hidden="false" outlineLevel="0" max="156" min="156" style="67" width="18"/>
    <col collapsed="false" customWidth="false" hidden="false" outlineLevel="0" max="387" min="157" style="67" width="9.11"/>
    <col collapsed="false" customWidth="true" hidden="false" outlineLevel="0" max="388" min="388" style="67" width="7.33"/>
    <col collapsed="false" customWidth="true" hidden="false" outlineLevel="0" max="389" min="389" style="67" width="5"/>
    <col collapsed="false" customWidth="true" hidden="false" outlineLevel="0" max="390" min="390" style="67" width="5.44"/>
    <col collapsed="false" customWidth="true" hidden="false" outlineLevel="0" max="391" min="391" style="67" width="9.66"/>
    <col collapsed="false" customWidth="true" hidden="false" outlineLevel="0" max="392" min="392" style="67" width="5.44"/>
    <col collapsed="false" customWidth="true" hidden="false" outlineLevel="0" max="393" min="393" style="67" width="2"/>
    <col collapsed="false" customWidth="true" hidden="false" outlineLevel="0" max="394" min="394" style="67" width="7.55"/>
    <col collapsed="false" customWidth="true" hidden="false" outlineLevel="0" max="395" min="395" style="67" width="8.67"/>
    <col collapsed="false" customWidth="true" hidden="false" outlineLevel="0" max="396" min="396" style="67" width="4.67"/>
    <col collapsed="false" customWidth="true" hidden="false" outlineLevel="0" max="397" min="397" style="67" width="8.67"/>
    <col collapsed="false" customWidth="true" hidden="false" outlineLevel="0" max="398" min="398" style="67" width="6"/>
    <col collapsed="false" customWidth="true" hidden="false" outlineLevel="0" max="399" min="399" style="67" width="6.34"/>
    <col collapsed="false" customWidth="true" hidden="false" outlineLevel="0" max="400" min="400" style="67" width="8.67"/>
    <col collapsed="false" customWidth="true" hidden="false" outlineLevel="0" max="401" min="401" style="67" width="3.45"/>
    <col collapsed="false" customWidth="true" hidden="false" outlineLevel="0" max="402" min="402" style="67" width="3"/>
    <col collapsed="false" customWidth="true" hidden="false" outlineLevel="0" max="403" min="403" style="67" width="4.33"/>
    <col collapsed="false" customWidth="true" hidden="false" outlineLevel="0" max="404" min="404" style="67" width="5.56"/>
    <col collapsed="false" customWidth="true" hidden="false" outlineLevel="0" max="405" min="405" style="67" width="4.67"/>
    <col collapsed="false" customWidth="true" hidden="false" outlineLevel="0" max="406" min="406" style="67" width="15.45"/>
    <col collapsed="false" customWidth="false" hidden="false" outlineLevel="0" max="410" min="407" style="67" width="9.11"/>
    <col collapsed="false" customWidth="true" hidden="false" outlineLevel="0" max="411" min="411" style="67" width="10.44"/>
    <col collapsed="false" customWidth="true" hidden="false" outlineLevel="0" max="412" min="412" style="67" width="18"/>
    <col collapsed="false" customWidth="false" hidden="false" outlineLevel="0" max="643" min="413" style="67" width="9.11"/>
    <col collapsed="false" customWidth="true" hidden="false" outlineLevel="0" max="644" min="644" style="67" width="7.33"/>
    <col collapsed="false" customWidth="true" hidden="false" outlineLevel="0" max="645" min="645" style="67" width="5"/>
    <col collapsed="false" customWidth="true" hidden="false" outlineLevel="0" max="646" min="646" style="67" width="5.44"/>
    <col collapsed="false" customWidth="true" hidden="false" outlineLevel="0" max="647" min="647" style="67" width="9.66"/>
    <col collapsed="false" customWidth="true" hidden="false" outlineLevel="0" max="648" min="648" style="67" width="5.44"/>
    <col collapsed="false" customWidth="true" hidden="false" outlineLevel="0" max="649" min="649" style="67" width="2"/>
    <col collapsed="false" customWidth="true" hidden="false" outlineLevel="0" max="650" min="650" style="67" width="7.55"/>
    <col collapsed="false" customWidth="true" hidden="false" outlineLevel="0" max="651" min="651" style="67" width="8.67"/>
    <col collapsed="false" customWidth="true" hidden="false" outlineLevel="0" max="652" min="652" style="67" width="4.67"/>
    <col collapsed="false" customWidth="true" hidden="false" outlineLevel="0" max="653" min="653" style="67" width="8.67"/>
    <col collapsed="false" customWidth="true" hidden="false" outlineLevel="0" max="654" min="654" style="67" width="6"/>
    <col collapsed="false" customWidth="true" hidden="false" outlineLevel="0" max="655" min="655" style="67" width="6.34"/>
    <col collapsed="false" customWidth="true" hidden="false" outlineLevel="0" max="656" min="656" style="67" width="8.67"/>
    <col collapsed="false" customWidth="true" hidden="false" outlineLevel="0" max="657" min="657" style="67" width="3.45"/>
    <col collapsed="false" customWidth="true" hidden="false" outlineLevel="0" max="658" min="658" style="67" width="3"/>
    <col collapsed="false" customWidth="true" hidden="false" outlineLevel="0" max="659" min="659" style="67" width="4.33"/>
    <col collapsed="false" customWidth="true" hidden="false" outlineLevel="0" max="660" min="660" style="67" width="5.56"/>
    <col collapsed="false" customWidth="true" hidden="false" outlineLevel="0" max="661" min="661" style="67" width="4.67"/>
    <col collapsed="false" customWidth="true" hidden="false" outlineLevel="0" max="662" min="662" style="67" width="15.45"/>
    <col collapsed="false" customWidth="false" hidden="false" outlineLevel="0" max="666" min="663" style="67" width="9.11"/>
    <col collapsed="false" customWidth="true" hidden="false" outlineLevel="0" max="667" min="667" style="67" width="10.44"/>
    <col collapsed="false" customWidth="true" hidden="false" outlineLevel="0" max="668" min="668" style="67" width="18"/>
    <col collapsed="false" customWidth="false" hidden="false" outlineLevel="0" max="899" min="669" style="67" width="9.11"/>
    <col collapsed="false" customWidth="true" hidden="false" outlineLevel="0" max="900" min="900" style="67" width="7.33"/>
    <col collapsed="false" customWidth="true" hidden="false" outlineLevel="0" max="901" min="901" style="67" width="5"/>
    <col collapsed="false" customWidth="true" hidden="false" outlineLevel="0" max="902" min="902" style="67" width="5.44"/>
    <col collapsed="false" customWidth="true" hidden="false" outlineLevel="0" max="903" min="903" style="67" width="9.66"/>
    <col collapsed="false" customWidth="true" hidden="false" outlineLevel="0" max="904" min="904" style="67" width="5.44"/>
    <col collapsed="false" customWidth="true" hidden="false" outlineLevel="0" max="905" min="905" style="67" width="2"/>
    <col collapsed="false" customWidth="true" hidden="false" outlineLevel="0" max="906" min="906" style="67" width="7.55"/>
    <col collapsed="false" customWidth="true" hidden="false" outlineLevel="0" max="907" min="907" style="67" width="8.67"/>
    <col collapsed="false" customWidth="true" hidden="false" outlineLevel="0" max="908" min="908" style="67" width="4.67"/>
    <col collapsed="false" customWidth="true" hidden="false" outlineLevel="0" max="909" min="909" style="67" width="8.67"/>
    <col collapsed="false" customWidth="true" hidden="false" outlineLevel="0" max="910" min="910" style="67" width="6"/>
    <col collapsed="false" customWidth="true" hidden="false" outlineLevel="0" max="911" min="911" style="67" width="6.34"/>
    <col collapsed="false" customWidth="true" hidden="false" outlineLevel="0" max="912" min="912" style="67" width="8.67"/>
    <col collapsed="false" customWidth="true" hidden="false" outlineLevel="0" max="913" min="913" style="67" width="3.45"/>
    <col collapsed="false" customWidth="true" hidden="false" outlineLevel="0" max="914" min="914" style="67" width="3"/>
    <col collapsed="false" customWidth="true" hidden="false" outlineLevel="0" max="915" min="915" style="67" width="4.33"/>
    <col collapsed="false" customWidth="true" hidden="false" outlineLevel="0" max="916" min="916" style="67" width="5.56"/>
    <col collapsed="false" customWidth="true" hidden="false" outlineLevel="0" max="917" min="917" style="67" width="4.67"/>
    <col collapsed="false" customWidth="true" hidden="false" outlineLevel="0" max="918" min="918" style="67" width="15.45"/>
    <col collapsed="false" customWidth="false" hidden="false" outlineLevel="0" max="922" min="919" style="67" width="9.11"/>
    <col collapsed="false" customWidth="true" hidden="false" outlineLevel="0" max="923" min="923" style="67" width="10.44"/>
    <col collapsed="false" customWidth="true" hidden="false" outlineLevel="0" max="924" min="924" style="67" width="18"/>
    <col collapsed="false" customWidth="false" hidden="false" outlineLevel="0" max="1155" min="925" style="67" width="9.11"/>
    <col collapsed="false" customWidth="true" hidden="false" outlineLevel="0" max="1156" min="1156" style="67" width="7.33"/>
    <col collapsed="false" customWidth="true" hidden="false" outlineLevel="0" max="1157" min="1157" style="67" width="5"/>
    <col collapsed="false" customWidth="true" hidden="false" outlineLevel="0" max="1158" min="1158" style="67" width="5.44"/>
    <col collapsed="false" customWidth="true" hidden="false" outlineLevel="0" max="1159" min="1159" style="67" width="9.66"/>
    <col collapsed="false" customWidth="true" hidden="false" outlineLevel="0" max="1160" min="1160" style="67" width="5.44"/>
    <col collapsed="false" customWidth="true" hidden="false" outlineLevel="0" max="1161" min="1161" style="67" width="2"/>
    <col collapsed="false" customWidth="true" hidden="false" outlineLevel="0" max="1162" min="1162" style="67" width="7.55"/>
    <col collapsed="false" customWidth="true" hidden="false" outlineLevel="0" max="1163" min="1163" style="67" width="8.67"/>
    <col collapsed="false" customWidth="true" hidden="false" outlineLevel="0" max="1164" min="1164" style="67" width="4.67"/>
    <col collapsed="false" customWidth="true" hidden="false" outlineLevel="0" max="1165" min="1165" style="67" width="8.67"/>
    <col collapsed="false" customWidth="true" hidden="false" outlineLevel="0" max="1166" min="1166" style="67" width="6"/>
    <col collapsed="false" customWidth="true" hidden="false" outlineLevel="0" max="1167" min="1167" style="67" width="6.34"/>
    <col collapsed="false" customWidth="true" hidden="false" outlineLevel="0" max="1168" min="1168" style="67" width="8.67"/>
    <col collapsed="false" customWidth="true" hidden="false" outlineLevel="0" max="1169" min="1169" style="67" width="3.45"/>
    <col collapsed="false" customWidth="true" hidden="false" outlineLevel="0" max="1170" min="1170" style="67" width="3"/>
    <col collapsed="false" customWidth="true" hidden="false" outlineLevel="0" max="1171" min="1171" style="67" width="4.33"/>
    <col collapsed="false" customWidth="true" hidden="false" outlineLevel="0" max="1172" min="1172" style="67" width="5.56"/>
    <col collapsed="false" customWidth="true" hidden="false" outlineLevel="0" max="1173" min="1173" style="67" width="4.67"/>
    <col collapsed="false" customWidth="true" hidden="false" outlineLevel="0" max="1174" min="1174" style="67" width="15.45"/>
    <col collapsed="false" customWidth="false" hidden="false" outlineLevel="0" max="1178" min="1175" style="67" width="9.11"/>
    <col collapsed="false" customWidth="true" hidden="false" outlineLevel="0" max="1179" min="1179" style="67" width="10.44"/>
    <col collapsed="false" customWidth="true" hidden="false" outlineLevel="0" max="1180" min="1180" style="67" width="18"/>
    <col collapsed="false" customWidth="false" hidden="false" outlineLevel="0" max="1411" min="1181" style="67" width="9.11"/>
    <col collapsed="false" customWidth="true" hidden="false" outlineLevel="0" max="1412" min="1412" style="67" width="7.33"/>
    <col collapsed="false" customWidth="true" hidden="false" outlineLevel="0" max="1413" min="1413" style="67" width="5"/>
    <col collapsed="false" customWidth="true" hidden="false" outlineLevel="0" max="1414" min="1414" style="67" width="5.44"/>
    <col collapsed="false" customWidth="true" hidden="false" outlineLevel="0" max="1415" min="1415" style="67" width="9.66"/>
    <col collapsed="false" customWidth="true" hidden="false" outlineLevel="0" max="1416" min="1416" style="67" width="5.44"/>
    <col collapsed="false" customWidth="true" hidden="false" outlineLevel="0" max="1417" min="1417" style="67" width="2"/>
    <col collapsed="false" customWidth="true" hidden="false" outlineLevel="0" max="1418" min="1418" style="67" width="7.55"/>
    <col collapsed="false" customWidth="true" hidden="false" outlineLevel="0" max="1419" min="1419" style="67" width="8.67"/>
    <col collapsed="false" customWidth="true" hidden="false" outlineLevel="0" max="1420" min="1420" style="67" width="4.67"/>
    <col collapsed="false" customWidth="true" hidden="false" outlineLevel="0" max="1421" min="1421" style="67" width="8.67"/>
    <col collapsed="false" customWidth="true" hidden="false" outlineLevel="0" max="1422" min="1422" style="67" width="6"/>
    <col collapsed="false" customWidth="true" hidden="false" outlineLevel="0" max="1423" min="1423" style="67" width="6.34"/>
    <col collapsed="false" customWidth="true" hidden="false" outlineLevel="0" max="1424" min="1424" style="67" width="8.67"/>
    <col collapsed="false" customWidth="true" hidden="false" outlineLevel="0" max="1425" min="1425" style="67" width="3.45"/>
    <col collapsed="false" customWidth="true" hidden="false" outlineLevel="0" max="1426" min="1426" style="67" width="3"/>
    <col collapsed="false" customWidth="true" hidden="false" outlineLevel="0" max="1427" min="1427" style="67" width="4.33"/>
    <col collapsed="false" customWidth="true" hidden="false" outlineLevel="0" max="1428" min="1428" style="67" width="5.56"/>
    <col collapsed="false" customWidth="true" hidden="false" outlineLevel="0" max="1429" min="1429" style="67" width="4.67"/>
    <col collapsed="false" customWidth="true" hidden="false" outlineLevel="0" max="1430" min="1430" style="67" width="15.45"/>
    <col collapsed="false" customWidth="false" hidden="false" outlineLevel="0" max="1434" min="1431" style="67" width="9.11"/>
    <col collapsed="false" customWidth="true" hidden="false" outlineLevel="0" max="1435" min="1435" style="67" width="10.44"/>
    <col collapsed="false" customWidth="true" hidden="false" outlineLevel="0" max="1436" min="1436" style="67" width="18"/>
    <col collapsed="false" customWidth="false" hidden="false" outlineLevel="0" max="1667" min="1437" style="67" width="9.11"/>
    <col collapsed="false" customWidth="true" hidden="false" outlineLevel="0" max="1668" min="1668" style="67" width="7.33"/>
    <col collapsed="false" customWidth="true" hidden="false" outlineLevel="0" max="1669" min="1669" style="67" width="5"/>
    <col collapsed="false" customWidth="true" hidden="false" outlineLevel="0" max="1670" min="1670" style="67" width="5.44"/>
    <col collapsed="false" customWidth="true" hidden="false" outlineLevel="0" max="1671" min="1671" style="67" width="9.66"/>
    <col collapsed="false" customWidth="true" hidden="false" outlineLevel="0" max="1672" min="1672" style="67" width="5.44"/>
    <col collapsed="false" customWidth="true" hidden="false" outlineLevel="0" max="1673" min="1673" style="67" width="2"/>
    <col collapsed="false" customWidth="true" hidden="false" outlineLevel="0" max="1674" min="1674" style="67" width="7.55"/>
    <col collapsed="false" customWidth="true" hidden="false" outlineLevel="0" max="1675" min="1675" style="67" width="8.67"/>
    <col collapsed="false" customWidth="true" hidden="false" outlineLevel="0" max="1676" min="1676" style="67" width="4.67"/>
    <col collapsed="false" customWidth="true" hidden="false" outlineLevel="0" max="1677" min="1677" style="67" width="8.67"/>
    <col collapsed="false" customWidth="true" hidden="false" outlineLevel="0" max="1678" min="1678" style="67" width="6"/>
    <col collapsed="false" customWidth="true" hidden="false" outlineLevel="0" max="1679" min="1679" style="67" width="6.34"/>
    <col collapsed="false" customWidth="true" hidden="false" outlineLevel="0" max="1680" min="1680" style="67" width="8.67"/>
    <col collapsed="false" customWidth="true" hidden="false" outlineLevel="0" max="1681" min="1681" style="67" width="3.45"/>
    <col collapsed="false" customWidth="true" hidden="false" outlineLevel="0" max="1682" min="1682" style="67" width="3"/>
    <col collapsed="false" customWidth="true" hidden="false" outlineLevel="0" max="1683" min="1683" style="67" width="4.33"/>
    <col collapsed="false" customWidth="true" hidden="false" outlineLevel="0" max="1684" min="1684" style="67" width="5.56"/>
    <col collapsed="false" customWidth="true" hidden="false" outlineLevel="0" max="1685" min="1685" style="67" width="4.67"/>
    <col collapsed="false" customWidth="true" hidden="false" outlineLevel="0" max="1686" min="1686" style="67" width="15.45"/>
    <col collapsed="false" customWidth="false" hidden="false" outlineLevel="0" max="1690" min="1687" style="67" width="9.11"/>
    <col collapsed="false" customWidth="true" hidden="false" outlineLevel="0" max="1691" min="1691" style="67" width="10.44"/>
    <col collapsed="false" customWidth="true" hidden="false" outlineLevel="0" max="1692" min="1692" style="67" width="18"/>
    <col collapsed="false" customWidth="false" hidden="false" outlineLevel="0" max="1923" min="1693" style="67" width="9.11"/>
    <col collapsed="false" customWidth="true" hidden="false" outlineLevel="0" max="1924" min="1924" style="67" width="7.33"/>
    <col collapsed="false" customWidth="true" hidden="false" outlineLevel="0" max="1925" min="1925" style="67" width="5"/>
    <col collapsed="false" customWidth="true" hidden="false" outlineLevel="0" max="1926" min="1926" style="67" width="5.44"/>
    <col collapsed="false" customWidth="true" hidden="false" outlineLevel="0" max="1927" min="1927" style="67" width="9.66"/>
    <col collapsed="false" customWidth="true" hidden="false" outlineLevel="0" max="1928" min="1928" style="67" width="5.44"/>
    <col collapsed="false" customWidth="true" hidden="false" outlineLevel="0" max="1929" min="1929" style="67" width="2"/>
    <col collapsed="false" customWidth="true" hidden="false" outlineLevel="0" max="1930" min="1930" style="67" width="7.55"/>
    <col collapsed="false" customWidth="true" hidden="false" outlineLevel="0" max="1931" min="1931" style="67" width="8.67"/>
    <col collapsed="false" customWidth="true" hidden="false" outlineLevel="0" max="1932" min="1932" style="67" width="4.67"/>
    <col collapsed="false" customWidth="true" hidden="false" outlineLevel="0" max="1933" min="1933" style="67" width="8.67"/>
    <col collapsed="false" customWidth="true" hidden="false" outlineLevel="0" max="1934" min="1934" style="67" width="6"/>
    <col collapsed="false" customWidth="true" hidden="false" outlineLevel="0" max="1935" min="1935" style="67" width="6.34"/>
    <col collapsed="false" customWidth="true" hidden="false" outlineLevel="0" max="1936" min="1936" style="67" width="8.67"/>
    <col collapsed="false" customWidth="true" hidden="false" outlineLevel="0" max="1937" min="1937" style="67" width="3.45"/>
    <col collapsed="false" customWidth="true" hidden="false" outlineLevel="0" max="1938" min="1938" style="67" width="3"/>
    <col collapsed="false" customWidth="true" hidden="false" outlineLevel="0" max="1939" min="1939" style="67" width="4.33"/>
    <col collapsed="false" customWidth="true" hidden="false" outlineLevel="0" max="1940" min="1940" style="67" width="5.56"/>
    <col collapsed="false" customWidth="true" hidden="false" outlineLevel="0" max="1941" min="1941" style="67" width="4.67"/>
    <col collapsed="false" customWidth="true" hidden="false" outlineLevel="0" max="1942" min="1942" style="67" width="15.45"/>
    <col collapsed="false" customWidth="false" hidden="false" outlineLevel="0" max="1946" min="1943" style="67" width="9.11"/>
    <col collapsed="false" customWidth="true" hidden="false" outlineLevel="0" max="1947" min="1947" style="67" width="10.44"/>
    <col collapsed="false" customWidth="true" hidden="false" outlineLevel="0" max="1948" min="1948" style="67" width="18"/>
    <col collapsed="false" customWidth="false" hidden="false" outlineLevel="0" max="2179" min="1949" style="67" width="9.11"/>
    <col collapsed="false" customWidth="true" hidden="false" outlineLevel="0" max="2180" min="2180" style="67" width="7.33"/>
    <col collapsed="false" customWidth="true" hidden="false" outlineLevel="0" max="2181" min="2181" style="67" width="5"/>
    <col collapsed="false" customWidth="true" hidden="false" outlineLevel="0" max="2182" min="2182" style="67" width="5.44"/>
    <col collapsed="false" customWidth="true" hidden="false" outlineLevel="0" max="2183" min="2183" style="67" width="9.66"/>
    <col collapsed="false" customWidth="true" hidden="false" outlineLevel="0" max="2184" min="2184" style="67" width="5.44"/>
    <col collapsed="false" customWidth="true" hidden="false" outlineLevel="0" max="2185" min="2185" style="67" width="2"/>
    <col collapsed="false" customWidth="true" hidden="false" outlineLevel="0" max="2186" min="2186" style="67" width="7.55"/>
    <col collapsed="false" customWidth="true" hidden="false" outlineLevel="0" max="2187" min="2187" style="67" width="8.67"/>
    <col collapsed="false" customWidth="true" hidden="false" outlineLevel="0" max="2188" min="2188" style="67" width="4.67"/>
    <col collapsed="false" customWidth="true" hidden="false" outlineLevel="0" max="2189" min="2189" style="67" width="8.67"/>
    <col collapsed="false" customWidth="true" hidden="false" outlineLevel="0" max="2190" min="2190" style="67" width="6"/>
    <col collapsed="false" customWidth="true" hidden="false" outlineLevel="0" max="2191" min="2191" style="67" width="6.34"/>
    <col collapsed="false" customWidth="true" hidden="false" outlineLevel="0" max="2192" min="2192" style="67" width="8.67"/>
    <col collapsed="false" customWidth="true" hidden="false" outlineLevel="0" max="2193" min="2193" style="67" width="3.45"/>
    <col collapsed="false" customWidth="true" hidden="false" outlineLevel="0" max="2194" min="2194" style="67" width="3"/>
    <col collapsed="false" customWidth="true" hidden="false" outlineLevel="0" max="2195" min="2195" style="67" width="4.33"/>
    <col collapsed="false" customWidth="true" hidden="false" outlineLevel="0" max="2196" min="2196" style="67" width="5.56"/>
    <col collapsed="false" customWidth="true" hidden="false" outlineLevel="0" max="2197" min="2197" style="67" width="4.67"/>
    <col collapsed="false" customWidth="true" hidden="false" outlineLevel="0" max="2198" min="2198" style="67" width="15.45"/>
    <col collapsed="false" customWidth="false" hidden="false" outlineLevel="0" max="2202" min="2199" style="67" width="9.11"/>
    <col collapsed="false" customWidth="true" hidden="false" outlineLevel="0" max="2203" min="2203" style="67" width="10.44"/>
    <col collapsed="false" customWidth="true" hidden="false" outlineLevel="0" max="2204" min="2204" style="67" width="18"/>
    <col collapsed="false" customWidth="false" hidden="false" outlineLevel="0" max="2435" min="2205" style="67" width="9.11"/>
    <col collapsed="false" customWidth="true" hidden="false" outlineLevel="0" max="2436" min="2436" style="67" width="7.33"/>
    <col collapsed="false" customWidth="true" hidden="false" outlineLevel="0" max="2437" min="2437" style="67" width="5"/>
    <col collapsed="false" customWidth="true" hidden="false" outlineLevel="0" max="2438" min="2438" style="67" width="5.44"/>
    <col collapsed="false" customWidth="true" hidden="false" outlineLevel="0" max="2439" min="2439" style="67" width="9.66"/>
    <col collapsed="false" customWidth="true" hidden="false" outlineLevel="0" max="2440" min="2440" style="67" width="5.44"/>
    <col collapsed="false" customWidth="true" hidden="false" outlineLevel="0" max="2441" min="2441" style="67" width="2"/>
    <col collapsed="false" customWidth="true" hidden="false" outlineLevel="0" max="2442" min="2442" style="67" width="7.55"/>
    <col collapsed="false" customWidth="true" hidden="false" outlineLevel="0" max="2443" min="2443" style="67" width="8.67"/>
    <col collapsed="false" customWidth="true" hidden="false" outlineLevel="0" max="2444" min="2444" style="67" width="4.67"/>
    <col collapsed="false" customWidth="true" hidden="false" outlineLevel="0" max="2445" min="2445" style="67" width="8.67"/>
    <col collapsed="false" customWidth="true" hidden="false" outlineLevel="0" max="2446" min="2446" style="67" width="6"/>
    <col collapsed="false" customWidth="true" hidden="false" outlineLevel="0" max="2447" min="2447" style="67" width="6.34"/>
    <col collapsed="false" customWidth="true" hidden="false" outlineLevel="0" max="2448" min="2448" style="67" width="8.67"/>
    <col collapsed="false" customWidth="true" hidden="false" outlineLevel="0" max="2449" min="2449" style="67" width="3.45"/>
    <col collapsed="false" customWidth="true" hidden="false" outlineLevel="0" max="2450" min="2450" style="67" width="3"/>
    <col collapsed="false" customWidth="true" hidden="false" outlineLevel="0" max="2451" min="2451" style="67" width="4.33"/>
    <col collapsed="false" customWidth="true" hidden="false" outlineLevel="0" max="2452" min="2452" style="67" width="5.56"/>
    <col collapsed="false" customWidth="true" hidden="false" outlineLevel="0" max="2453" min="2453" style="67" width="4.67"/>
    <col collapsed="false" customWidth="true" hidden="false" outlineLevel="0" max="2454" min="2454" style="67" width="15.45"/>
    <col collapsed="false" customWidth="false" hidden="false" outlineLevel="0" max="2458" min="2455" style="67" width="9.11"/>
    <col collapsed="false" customWidth="true" hidden="false" outlineLevel="0" max="2459" min="2459" style="67" width="10.44"/>
    <col collapsed="false" customWidth="true" hidden="false" outlineLevel="0" max="2460" min="2460" style="67" width="18"/>
    <col collapsed="false" customWidth="false" hidden="false" outlineLevel="0" max="2691" min="2461" style="67" width="9.11"/>
    <col collapsed="false" customWidth="true" hidden="false" outlineLevel="0" max="2692" min="2692" style="67" width="7.33"/>
    <col collapsed="false" customWidth="true" hidden="false" outlineLevel="0" max="2693" min="2693" style="67" width="5"/>
    <col collapsed="false" customWidth="true" hidden="false" outlineLevel="0" max="2694" min="2694" style="67" width="5.44"/>
    <col collapsed="false" customWidth="true" hidden="false" outlineLevel="0" max="2695" min="2695" style="67" width="9.66"/>
    <col collapsed="false" customWidth="true" hidden="false" outlineLevel="0" max="2696" min="2696" style="67" width="5.44"/>
    <col collapsed="false" customWidth="true" hidden="false" outlineLevel="0" max="2697" min="2697" style="67" width="2"/>
    <col collapsed="false" customWidth="true" hidden="false" outlineLevel="0" max="2698" min="2698" style="67" width="7.55"/>
    <col collapsed="false" customWidth="true" hidden="false" outlineLevel="0" max="2699" min="2699" style="67" width="8.67"/>
    <col collapsed="false" customWidth="true" hidden="false" outlineLevel="0" max="2700" min="2700" style="67" width="4.67"/>
    <col collapsed="false" customWidth="true" hidden="false" outlineLevel="0" max="2701" min="2701" style="67" width="8.67"/>
    <col collapsed="false" customWidth="true" hidden="false" outlineLevel="0" max="2702" min="2702" style="67" width="6"/>
    <col collapsed="false" customWidth="true" hidden="false" outlineLevel="0" max="2703" min="2703" style="67" width="6.34"/>
    <col collapsed="false" customWidth="true" hidden="false" outlineLevel="0" max="2704" min="2704" style="67" width="8.67"/>
    <col collapsed="false" customWidth="true" hidden="false" outlineLevel="0" max="2705" min="2705" style="67" width="3.45"/>
    <col collapsed="false" customWidth="true" hidden="false" outlineLevel="0" max="2706" min="2706" style="67" width="3"/>
    <col collapsed="false" customWidth="true" hidden="false" outlineLevel="0" max="2707" min="2707" style="67" width="4.33"/>
    <col collapsed="false" customWidth="true" hidden="false" outlineLevel="0" max="2708" min="2708" style="67" width="5.56"/>
    <col collapsed="false" customWidth="true" hidden="false" outlineLevel="0" max="2709" min="2709" style="67" width="4.67"/>
    <col collapsed="false" customWidth="true" hidden="false" outlineLevel="0" max="2710" min="2710" style="67" width="15.45"/>
    <col collapsed="false" customWidth="false" hidden="false" outlineLevel="0" max="2714" min="2711" style="67" width="9.11"/>
    <col collapsed="false" customWidth="true" hidden="false" outlineLevel="0" max="2715" min="2715" style="67" width="10.44"/>
    <col collapsed="false" customWidth="true" hidden="false" outlineLevel="0" max="2716" min="2716" style="67" width="18"/>
    <col collapsed="false" customWidth="false" hidden="false" outlineLevel="0" max="2947" min="2717" style="67" width="9.11"/>
    <col collapsed="false" customWidth="true" hidden="false" outlineLevel="0" max="2948" min="2948" style="67" width="7.33"/>
    <col collapsed="false" customWidth="true" hidden="false" outlineLevel="0" max="2949" min="2949" style="67" width="5"/>
    <col collapsed="false" customWidth="true" hidden="false" outlineLevel="0" max="2950" min="2950" style="67" width="5.44"/>
    <col collapsed="false" customWidth="true" hidden="false" outlineLevel="0" max="2951" min="2951" style="67" width="9.66"/>
    <col collapsed="false" customWidth="true" hidden="false" outlineLevel="0" max="2952" min="2952" style="67" width="5.44"/>
    <col collapsed="false" customWidth="true" hidden="false" outlineLevel="0" max="2953" min="2953" style="67" width="2"/>
    <col collapsed="false" customWidth="true" hidden="false" outlineLevel="0" max="2954" min="2954" style="67" width="7.55"/>
    <col collapsed="false" customWidth="true" hidden="false" outlineLevel="0" max="2955" min="2955" style="67" width="8.67"/>
    <col collapsed="false" customWidth="true" hidden="false" outlineLevel="0" max="2956" min="2956" style="67" width="4.67"/>
    <col collapsed="false" customWidth="true" hidden="false" outlineLevel="0" max="2957" min="2957" style="67" width="8.67"/>
    <col collapsed="false" customWidth="true" hidden="false" outlineLevel="0" max="2958" min="2958" style="67" width="6"/>
    <col collapsed="false" customWidth="true" hidden="false" outlineLevel="0" max="2959" min="2959" style="67" width="6.34"/>
    <col collapsed="false" customWidth="true" hidden="false" outlineLevel="0" max="2960" min="2960" style="67" width="8.67"/>
    <col collapsed="false" customWidth="true" hidden="false" outlineLevel="0" max="2961" min="2961" style="67" width="3.45"/>
    <col collapsed="false" customWidth="true" hidden="false" outlineLevel="0" max="2962" min="2962" style="67" width="3"/>
    <col collapsed="false" customWidth="true" hidden="false" outlineLevel="0" max="2963" min="2963" style="67" width="4.33"/>
    <col collapsed="false" customWidth="true" hidden="false" outlineLevel="0" max="2964" min="2964" style="67" width="5.56"/>
    <col collapsed="false" customWidth="true" hidden="false" outlineLevel="0" max="2965" min="2965" style="67" width="4.67"/>
    <col collapsed="false" customWidth="true" hidden="false" outlineLevel="0" max="2966" min="2966" style="67" width="15.45"/>
    <col collapsed="false" customWidth="false" hidden="false" outlineLevel="0" max="2970" min="2967" style="67" width="9.11"/>
    <col collapsed="false" customWidth="true" hidden="false" outlineLevel="0" max="2971" min="2971" style="67" width="10.44"/>
    <col collapsed="false" customWidth="true" hidden="false" outlineLevel="0" max="2972" min="2972" style="67" width="18"/>
    <col collapsed="false" customWidth="false" hidden="false" outlineLevel="0" max="3203" min="2973" style="67" width="9.11"/>
    <col collapsed="false" customWidth="true" hidden="false" outlineLevel="0" max="3204" min="3204" style="67" width="7.33"/>
    <col collapsed="false" customWidth="true" hidden="false" outlineLevel="0" max="3205" min="3205" style="67" width="5"/>
    <col collapsed="false" customWidth="true" hidden="false" outlineLevel="0" max="3206" min="3206" style="67" width="5.44"/>
    <col collapsed="false" customWidth="true" hidden="false" outlineLevel="0" max="3207" min="3207" style="67" width="9.66"/>
    <col collapsed="false" customWidth="true" hidden="false" outlineLevel="0" max="3208" min="3208" style="67" width="5.44"/>
    <col collapsed="false" customWidth="true" hidden="false" outlineLevel="0" max="3209" min="3209" style="67" width="2"/>
    <col collapsed="false" customWidth="true" hidden="false" outlineLevel="0" max="3210" min="3210" style="67" width="7.55"/>
    <col collapsed="false" customWidth="true" hidden="false" outlineLevel="0" max="3211" min="3211" style="67" width="8.67"/>
    <col collapsed="false" customWidth="true" hidden="false" outlineLevel="0" max="3212" min="3212" style="67" width="4.67"/>
    <col collapsed="false" customWidth="true" hidden="false" outlineLevel="0" max="3213" min="3213" style="67" width="8.67"/>
    <col collapsed="false" customWidth="true" hidden="false" outlineLevel="0" max="3214" min="3214" style="67" width="6"/>
    <col collapsed="false" customWidth="true" hidden="false" outlineLevel="0" max="3215" min="3215" style="67" width="6.34"/>
    <col collapsed="false" customWidth="true" hidden="false" outlineLevel="0" max="3216" min="3216" style="67" width="8.67"/>
    <col collapsed="false" customWidth="true" hidden="false" outlineLevel="0" max="3217" min="3217" style="67" width="3.45"/>
    <col collapsed="false" customWidth="true" hidden="false" outlineLevel="0" max="3218" min="3218" style="67" width="3"/>
    <col collapsed="false" customWidth="true" hidden="false" outlineLevel="0" max="3219" min="3219" style="67" width="4.33"/>
    <col collapsed="false" customWidth="true" hidden="false" outlineLevel="0" max="3220" min="3220" style="67" width="5.56"/>
    <col collapsed="false" customWidth="true" hidden="false" outlineLevel="0" max="3221" min="3221" style="67" width="4.67"/>
    <col collapsed="false" customWidth="true" hidden="false" outlineLevel="0" max="3222" min="3222" style="67" width="15.45"/>
    <col collapsed="false" customWidth="false" hidden="false" outlineLevel="0" max="3226" min="3223" style="67" width="9.11"/>
    <col collapsed="false" customWidth="true" hidden="false" outlineLevel="0" max="3227" min="3227" style="67" width="10.44"/>
    <col collapsed="false" customWidth="true" hidden="false" outlineLevel="0" max="3228" min="3228" style="67" width="18"/>
    <col collapsed="false" customWidth="false" hidden="false" outlineLevel="0" max="3459" min="3229" style="67" width="9.11"/>
    <col collapsed="false" customWidth="true" hidden="false" outlineLevel="0" max="3460" min="3460" style="67" width="7.33"/>
    <col collapsed="false" customWidth="true" hidden="false" outlineLevel="0" max="3461" min="3461" style="67" width="5"/>
    <col collapsed="false" customWidth="true" hidden="false" outlineLevel="0" max="3462" min="3462" style="67" width="5.44"/>
    <col collapsed="false" customWidth="true" hidden="false" outlineLevel="0" max="3463" min="3463" style="67" width="9.66"/>
    <col collapsed="false" customWidth="true" hidden="false" outlineLevel="0" max="3464" min="3464" style="67" width="5.44"/>
    <col collapsed="false" customWidth="true" hidden="false" outlineLevel="0" max="3465" min="3465" style="67" width="2"/>
    <col collapsed="false" customWidth="true" hidden="false" outlineLevel="0" max="3466" min="3466" style="67" width="7.55"/>
    <col collapsed="false" customWidth="true" hidden="false" outlineLevel="0" max="3467" min="3467" style="67" width="8.67"/>
    <col collapsed="false" customWidth="true" hidden="false" outlineLevel="0" max="3468" min="3468" style="67" width="4.67"/>
    <col collapsed="false" customWidth="true" hidden="false" outlineLevel="0" max="3469" min="3469" style="67" width="8.67"/>
    <col collapsed="false" customWidth="true" hidden="false" outlineLevel="0" max="3470" min="3470" style="67" width="6"/>
    <col collapsed="false" customWidth="true" hidden="false" outlineLevel="0" max="3471" min="3471" style="67" width="6.34"/>
    <col collapsed="false" customWidth="true" hidden="false" outlineLevel="0" max="3472" min="3472" style="67" width="8.67"/>
    <col collapsed="false" customWidth="true" hidden="false" outlineLevel="0" max="3473" min="3473" style="67" width="3.45"/>
    <col collapsed="false" customWidth="true" hidden="false" outlineLevel="0" max="3474" min="3474" style="67" width="3"/>
    <col collapsed="false" customWidth="true" hidden="false" outlineLevel="0" max="3475" min="3475" style="67" width="4.33"/>
    <col collapsed="false" customWidth="true" hidden="false" outlineLevel="0" max="3476" min="3476" style="67" width="5.56"/>
    <col collapsed="false" customWidth="true" hidden="false" outlineLevel="0" max="3477" min="3477" style="67" width="4.67"/>
    <col collapsed="false" customWidth="true" hidden="false" outlineLevel="0" max="3478" min="3478" style="67" width="15.45"/>
    <col collapsed="false" customWidth="false" hidden="false" outlineLevel="0" max="3482" min="3479" style="67" width="9.11"/>
    <col collapsed="false" customWidth="true" hidden="false" outlineLevel="0" max="3483" min="3483" style="67" width="10.44"/>
    <col collapsed="false" customWidth="true" hidden="false" outlineLevel="0" max="3484" min="3484" style="67" width="18"/>
    <col collapsed="false" customWidth="false" hidden="false" outlineLevel="0" max="3715" min="3485" style="67" width="9.11"/>
    <col collapsed="false" customWidth="true" hidden="false" outlineLevel="0" max="3716" min="3716" style="67" width="7.33"/>
    <col collapsed="false" customWidth="true" hidden="false" outlineLevel="0" max="3717" min="3717" style="67" width="5"/>
    <col collapsed="false" customWidth="true" hidden="false" outlineLevel="0" max="3718" min="3718" style="67" width="5.44"/>
    <col collapsed="false" customWidth="true" hidden="false" outlineLevel="0" max="3719" min="3719" style="67" width="9.66"/>
    <col collapsed="false" customWidth="true" hidden="false" outlineLevel="0" max="3720" min="3720" style="67" width="5.44"/>
    <col collapsed="false" customWidth="true" hidden="false" outlineLevel="0" max="3721" min="3721" style="67" width="2"/>
    <col collapsed="false" customWidth="true" hidden="false" outlineLevel="0" max="3722" min="3722" style="67" width="7.55"/>
    <col collapsed="false" customWidth="true" hidden="false" outlineLevel="0" max="3723" min="3723" style="67" width="8.67"/>
    <col collapsed="false" customWidth="true" hidden="false" outlineLevel="0" max="3724" min="3724" style="67" width="4.67"/>
    <col collapsed="false" customWidth="true" hidden="false" outlineLevel="0" max="3725" min="3725" style="67" width="8.67"/>
    <col collapsed="false" customWidth="true" hidden="false" outlineLevel="0" max="3726" min="3726" style="67" width="6"/>
    <col collapsed="false" customWidth="true" hidden="false" outlineLevel="0" max="3727" min="3727" style="67" width="6.34"/>
    <col collapsed="false" customWidth="true" hidden="false" outlineLevel="0" max="3728" min="3728" style="67" width="8.67"/>
    <col collapsed="false" customWidth="true" hidden="false" outlineLevel="0" max="3729" min="3729" style="67" width="3.45"/>
    <col collapsed="false" customWidth="true" hidden="false" outlineLevel="0" max="3730" min="3730" style="67" width="3"/>
    <col collapsed="false" customWidth="true" hidden="false" outlineLevel="0" max="3731" min="3731" style="67" width="4.33"/>
    <col collapsed="false" customWidth="true" hidden="false" outlineLevel="0" max="3732" min="3732" style="67" width="5.56"/>
    <col collapsed="false" customWidth="true" hidden="false" outlineLevel="0" max="3733" min="3733" style="67" width="4.67"/>
    <col collapsed="false" customWidth="true" hidden="false" outlineLevel="0" max="3734" min="3734" style="67" width="15.45"/>
    <col collapsed="false" customWidth="false" hidden="false" outlineLevel="0" max="3738" min="3735" style="67" width="9.11"/>
    <col collapsed="false" customWidth="true" hidden="false" outlineLevel="0" max="3739" min="3739" style="67" width="10.44"/>
    <col collapsed="false" customWidth="true" hidden="false" outlineLevel="0" max="3740" min="3740" style="67" width="18"/>
    <col collapsed="false" customWidth="false" hidden="false" outlineLevel="0" max="3971" min="3741" style="67" width="9.11"/>
    <col collapsed="false" customWidth="true" hidden="false" outlineLevel="0" max="3972" min="3972" style="67" width="7.33"/>
    <col collapsed="false" customWidth="true" hidden="false" outlineLevel="0" max="3973" min="3973" style="67" width="5"/>
    <col collapsed="false" customWidth="true" hidden="false" outlineLevel="0" max="3974" min="3974" style="67" width="5.44"/>
    <col collapsed="false" customWidth="true" hidden="false" outlineLevel="0" max="3975" min="3975" style="67" width="9.66"/>
    <col collapsed="false" customWidth="true" hidden="false" outlineLevel="0" max="3976" min="3976" style="67" width="5.44"/>
    <col collapsed="false" customWidth="true" hidden="false" outlineLevel="0" max="3977" min="3977" style="67" width="2"/>
    <col collapsed="false" customWidth="true" hidden="false" outlineLevel="0" max="3978" min="3978" style="67" width="7.55"/>
    <col collapsed="false" customWidth="true" hidden="false" outlineLevel="0" max="3979" min="3979" style="67" width="8.67"/>
    <col collapsed="false" customWidth="true" hidden="false" outlineLevel="0" max="3980" min="3980" style="67" width="4.67"/>
    <col collapsed="false" customWidth="true" hidden="false" outlineLevel="0" max="3981" min="3981" style="67" width="8.67"/>
    <col collapsed="false" customWidth="true" hidden="false" outlineLevel="0" max="3982" min="3982" style="67" width="6"/>
    <col collapsed="false" customWidth="true" hidden="false" outlineLevel="0" max="3983" min="3983" style="67" width="6.34"/>
    <col collapsed="false" customWidth="true" hidden="false" outlineLevel="0" max="3984" min="3984" style="67" width="8.67"/>
    <col collapsed="false" customWidth="true" hidden="false" outlineLevel="0" max="3985" min="3985" style="67" width="3.45"/>
    <col collapsed="false" customWidth="true" hidden="false" outlineLevel="0" max="3986" min="3986" style="67" width="3"/>
    <col collapsed="false" customWidth="true" hidden="false" outlineLevel="0" max="3987" min="3987" style="67" width="4.33"/>
    <col collapsed="false" customWidth="true" hidden="false" outlineLevel="0" max="3988" min="3988" style="67" width="5.56"/>
    <col collapsed="false" customWidth="true" hidden="false" outlineLevel="0" max="3989" min="3989" style="67" width="4.67"/>
    <col collapsed="false" customWidth="true" hidden="false" outlineLevel="0" max="3990" min="3990" style="67" width="15.45"/>
    <col collapsed="false" customWidth="false" hidden="false" outlineLevel="0" max="3994" min="3991" style="67" width="9.11"/>
    <col collapsed="false" customWidth="true" hidden="false" outlineLevel="0" max="3995" min="3995" style="67" width="10.44"/>
    <col collapsed="false" customWidth="true" hidden="false" outlineLevel="0" max="3996" min="3996" style="67" width="18"/>
    <col collapsed="false" customWidth="false" hidden="false" outlineLevel="0" max="4227" min="3997" style="67" width="9.11"/>
    <col collapsed="false" customWidth="true" hidden="false" outlineLevel="0" max="4228" min="4228" style="67" width="7.33"/>
    <col collapsed="false" customWidth="true" hidden="false" outlineLevel="0" max="4229" min="4229" style="67" width="5"/>
    <col collapsed="false" customWidth="true" hidden="false" outlineLevel="0" max="4230" min="4230" style="67" width="5.44"/>
    <col collapsed="false" customWidth="true" hidden="false" outlineLevel="0" max="4231" min="4231" style="67" width="9.66"/>
    <col collapsed="false" customWidth="true" hidden="false" outlineLevel="0" max="4232" min="4232" style="67" width="5.44"/>
    <col collapsed="false" customWidth="true" hidden="false" outlineLevel="0" max="4233" min="4233" style="67" width="2"/>
    <col collapsed="false" customWidth="true" hidden="false" outlineLevel="0" max="4234" min="4234" style="67" width="7.55"/>
    <col collapsed="false" customWidth="true" hidden="false" outlineLevel="0" max="4235" min="4235" style="67" width="8.67"/>
    <col collapsed="false" customWidth="true" hidden="false" outlineLevel="0" max="4236" min="4236" style="67" width="4.67"/>
    <col collapsed="false" customWidth="true" hidden="false" outlineLevel="0" max="4237" min="4237" style="67" width="8.67"/>
    <col collapsed="false" customWidth="true" hidden="false" outlineLevel="0" max="4238" min="4238" style="67" width="6"/>
    <col collapsed="false" customWidth="true" hidden="false" outlineLevel="0" max="4239" min="4239" style="67" width="6.34"/>
    <col collapsed="false" customWidth="true" hidden="false" outlineLevel="0" max="4240" min="4240" style="67" width="8.67"/>
    <col collapsed="false" customWidth="true" hidden="false" outlineLevel="0" max="4241" min="4241" style="67" width="3.45"/>
    <col collapsed="false" customWidth="true" hidden="false" outlineLevel="0" max="4242" min="4242" style="67" width="3"/>
    <col collapsed="false" customWidth="true" hidden="false" outlineLevel="0" max="4243" min="4243" style="67" width="4.33"/>
    <col collapsed="false" customWidth="true" hidden="false" outlineLevel="0" max="4244" min="4244" style="67" width="5.56"/>
    <col collapsed="false" customWidth="true" hidden="false" outlineLevel="0" max="4245" min="4245" style="67" width="4.67"/>
    <col collapsed="false" customWidth="true" hidden="false" outlineLevel="0" max="4246" min="4246" style="67" width="15.45"/>
    <col collapsed="false" customWidth="false" hidden="false" outlineLevel="0" max="4250" min="4247" style="67" width="9.11"/>
    <col collapsed="false" customWidth="true" hidden="false" outlineLevel="0" max="4251" min="4251" style="67" width="10.44"/>
    <col collapsed="false" customWidth="true" hidden="false" outlineLevel="0" max="4252" min="4252" style="67" width="18"/>
    <col collapsed="false" customWidth="false" hidden="false" outlineLevel="0" max="4483" min="4253" style="67" width="9.11"/>
    <col collapsed="false" customWidth="true" hidden="false" outlineLevel="0" max="4484" min="4484" style="67" width="7.33"/>
    <col collapsed="false" customWidth="true" hidden="false" outlineLevel="0" max="4485" min="4485" style="67" width="5"/>
    <col collapsed="false" customWidth="true" hidden="false" outlineLevel="0" max="4486" min="4486" style="67" width="5.44"/>
    <col collapsed="false" customWidth="true" hidden="false" outlineLevel="0" max="4487" min="4487" style="67" width="9.66"/>
    <col collapsed="false" customWidth="true" hidden="false" outlineLevel="0" max="4488" min="4488" style="67" width="5.44"/>
    <col collapsed="false" customWidth="true" hidden="false" outlineLevel="0" max="4489" min="4489" style="67" width="2"/>
    <col collapsed="false" customWidth="true" hidden="false" outlineLevel="0" max="4490" min="4490" style="67" width="7.55"/>
    <col collapsed="false" customWidth="true" hidden="false" outlineLevel="0" max="4491" min="4491" style="67" width="8.67"/>
    <col collapsed="false" customWidth="true" hidden="false" outlineLevel="0" max="4492" min="4492" style="67" width="4.67"/>
    <col collapsed="false" customWidth="true" hidden="false" outlineLevel="0" max="4493" min="4493" style="67" width="8.67"/>
    <col collapsed="false" customWidth="true" hidden="false" outlineLevel="0" max="4494" min="4494" style="67" width="6"/>
    <col collapsed="false" customWidth="true" hidden="false" outlineLevel="0" max="4495" min="4495" style="67" width="6.34"/>
    <col collapsed="false" customWidth="true" hidden="false" outlineLevel="0" max="4496" min="4496" style="67" width="8.67"/>
    <col collapsed="false" customWidth="true" hidden="false" outlineLevel="0" max="4497" min="4497" style="67" width="3.45"/>
    <col collapsed="false" customWidth="true" hidden="false" outlineLevel="0" max="4498" min="4498" style="67" width="3"/>
    <col collapsed="false" customWidth="true" hidden="false" outlineLevel="0" max="4499" min="4499" style="67" width="4.33"/>
    <col collapsed="false" customWidth="true" hidden="false" outlineLevel="0" max="4500" min="4500" style="67" width="5.56"/>
    <col collapsed="false" customWidth="true" hidden="false" outlineLevel="0" max="4501" min="4501" style="67" width="4.67"/>
    <col collapsed="false" customWidth="true" hidden="false" outlineLevel="0" max="4502" min="4502" style="67" width="15.45"/>
    <col collapsed="false" customWidth="false" hidden="false" outlineLevel="0" max="4506" min="4503" style="67" width="9.11"/>
    <col collapsed="false" customWidth="true" hidden="false" outlineLevel="0" max="4507" min="4507" style="67" width="10.44"/>
    <col collapsed="false" customWidth="true" hidden="false" outlineLevel="0" max="4508" min="4508" style="67" width="18"/>
    <col collapsed="false" customWidth="false" hidden="false" outlineLevel="0" max="4739" min="4509" style="67" width="9.11"/>
    <col collapsed="false" customWidth="true" hidden="false" outlineLevel="0" max="4740" min="4740" style="67" width="7.33"/>
    <col collapsed="false" customWidth="true" hidden="false" outlineLevel="0" max="4741" min="4741" style="67" width="5"/>
    <col collapsed="false" customWidth="true" hidden="false" outlineLevel="0" max="4742" min="4742" style="67" width="5.44"/>
    <col collapsed="false" customWidth="true" hidden="false" outlineLevel="0" max="4743" min="4743" style="67" width="9.66"/>
    <col collapsed="false" customWidth="true" hidden="false" outlineLevel="0" max="4744" min="4744" style="67" width="5.44"/>
    <col collapsed="false" customWidth="true" hidden="false" outlineLevel="0" max="4745" min="4745" style="67" width="2"/>
    <col collapsed="false" customWidth="true" hidden="false" outlineLevel="0" max="4746" min="4746" style="67" width="7.55"/>
    <col collapsed="false" customWidth="true" hidden="false" outlineLevel="0" max="4747" min="4747" style="67" width="8.67"/>
    <col collapsed="false" customWidth="true" hidden="false" outlineLevel="0" max="4748" min="4748" style="67" width="4.67"/>
    <col collapsed="false" customWidth="true" hidden="false" outlineLevel="0" max="4749" min="4749" style="67" width="8.67"/>
    <col collapsed="false" customWidth="true" hidden="false" outlineLevel="0" max="4750" min="4750" style="67" width="6"/>
    <col collapsed="false" customWidth="true" hidden="false" outlineLevel="0" max="4751" min="4751" style="67" width="6.34"/>
    <col collapsed="false" customWidth="true" hidden="false" outlineLevel="0" max="4752" min="4752" style="67" width="8.67"/>
    <col collapsed="false" customWidth="true" hidden="false" outlineLevel="0" max="4753" min="4753" style="67" width="3.45"/>
    <col collapsed="false" customWidth="true" hidden="false" outlineLevel="0" max="4754" min="4754" style="67" width="3"/>
    <col collapsed="false" customWidth="true" hidden="false" outlineLevel="0" max="4755" min="4755" style="67" width="4.33"/>
    <col collapsed="false" customWidth="true" hidden="false" outlineLevel="0" max="4756" min="4756" style="67" width="5.56"/>
    <col collapsed="false" customWidth="true" hidden="false" outlineLevel="0" max="4757" min="4757" style="67" width="4.67"/>
    <col collapsed="false" customWidth="true" hidden="false" outlineLevel="0" max="4758" min="4758" style="67" width="15.45"/>
    <col collapsed="false" customWidth="false" hidden="false" outlineLevel="0" max="4762" min="4759" style="67" width="9.11"/>
    <col collapsed="false" customWidth="true" hidden="false" outlineLevel="0" max="4763" min="4763" style="67" width="10.44"/>
    <col collapsed="false" customWidth="true" hidden="false" outlineLevel="0" max="4764" min="4764" style="67" width="18"/>
    <col collapsed="false" customWidth="false" hidden="false" outlineLevel="0" max="4995" min="4765" style="67" width="9.11"/>
    <col collapsed="false" customWidth="true" hidden="false" outlineLevel="0" max="4996" min="4996" style="67" width="7.33"/>
    <col collapsed="false" customWidth="true" hidden="false" outlineLevel="0" max="4997" min="4997" style="67" width="5"/>
    <col collapsed="false" customWidth="true" hidden="false" outlineLevel="0" max="4998" min="4998" style="67" width="5.44"/>
    <col collapsed="false" customWidth="true" hidden="false" outlineLevel="0" max="4999" min="4999" style="67" width="9.66"/>
    <col collapsed="false" customWidth="true" hidden="false" outlineLevel="0" max="5000" min="5000" style="67" width="5.44"/>
    <col collapsed="false" customWidth="true" hidden="false" outlineLevel="0" max="5001" min="5001" style="67" width="2"/>
    <col collapsed="false" customWidth="true" hidden="false" outlineLevel="0" max="5002" min="5002" style="67" width="7.55"/>
    <col collapsed="false" customWidth="true" hidden="false" outlineLevel="0" max="5003" min="5003" style="67" width="8.67"/>
    <col collapsed="false" customWidth="true" hidden="false" outlineLevel="0" max="5004" min="5004" style="67" width="4.67"/>
    <col collapsed="false" customWidth="true" hidden="false" outlineLevel="0" max="5005" min="5005" style="67" width="8.67"/>
    <col collapsed="false" customWidth="true" hidden="false" outlineLevel="0" max="5006" min="5006" style="67" width="6"/>
    <col collapsed="false" customWidth="true" hidden="false" outlineLevel="0" max="5007" min="5007" style="67" width="6.34"/>
    <col collapsed="false" customWidth="true" hidden="false" outlineLevel="0" max="5008" min="5008" style="67" width="8.67"/>
    <col collapsed="false" customWidth="true" hidden="false" outlineLevel="0" max="5009" min="5009" style="67" width="3.45"/>
    <col collapsed="false" customWidth="true" hidden="false" outlineLevel="0" max="5010" min="5010" style="67" width="3"/>
    <col collapsed="false" customWidth="true" hidden="false" outlineLevel="0" max="5011" min="5011" style="67" width="4.33"/>
    <col collapsed="false" customWidth="true" hidden="false" outlineLevel="0" max="5012" min="5012" style="67" width="5.56"/>
    <col collapsed="false" customWidth="true" hidden="false" outlineLevel="0" max="5013" min="5013" style="67" width="4.67"/>
    <col collapsed="false" customWidth="true" hidden="false" outlineLevel="0" max="5014" min="5014" style="67" width="15.45"/>
    <col collapsed="false" customWidth="false" hidden="false" outlineLevel="0" max="5018" min="5015" style="67" width="9.11"/>
    <col collapsed="false" customWidth="true" hidden="false" outlineLevel="0" max="5019" min="5019" style="67" width="10.44"/>
    <col collapsed="false" customWidth="true" hidden="false" outlineLevel="0" max="5020" min="5020" style="67" width="18"/>
    <col collapsed="false" customWidth="false" hidden="false" outlineLevel="0" max="5251" min="5021" style="67" width="9.11"/>
    <col collapsed="false" customWidth="true" hidden="false" outlineLevel="0" max="5252" min="5252" style="67" width="7.33"/>
    <col collapsed="false" customWidth="true" hidden="false" outlineLevel="0" max="5253" min="5253" style="67" width="5"/>
    <col collapsed="false" customWidth="true" hidden="false" outlineLevel="0" max="5254" min="5254" style="67" width="5.44"/>
    <col collapsed="false" customWidth="true" hidden="false" outlineLevel="0" max="5255" min="5255" style="67" width="9.66"/>
    <col collapsed="false" customWidth="true" hidden="false" outlineLevel="0" max="5256" min="5256" style="67" width="5.44"/>
    <col collapsed="false" customWidth="true" hidden="false" outlineLevel="0" max="5257" min="5257" style="67" width="2"/>
    <col collapsed="false" customWidth="true" hidden="false" outlineLevel="0" max="5258" min="5258" style="67" width="7.55"/>
    <col collapsed="false" customWidth="true" hidden="false" outlineLevel="0" max="5259" min="5259" style="67" width="8.67"/>
    <col collapsed="false" customWidth="true" hidden="false" outlineLevel="0" max="5260" min="5260" style="67" width="4.67"/>
    <col collapsed="false" customWidth="true" hidden="false" outlineLevel="0" max="5261" min="5261" style="67" width="8.67"/>
    <col collapsed="false" customWidth="true" hidden="false" outlineLevel="0" max="5262" min="5262" style="67" width="6"/>
    <col collapsed="false" customWidth="true" hidden="false" outlineLevel="0" max="5263" min="5263" style="67" width="6.34"/>
    <col collapsed="false" customWidth="true" hidden="false" outlineLevel="0" max="5264" min="5264" style="67" width="8.67"/>
    <col collapsed="false" customWidth="true" hidden="false" outlineLevel="0" max="5265" min="5265" style="67" width="3.45"/>
    <col collapsed="false" customWidth="true" hidden="false" outlineLevel="0" max="5266" min="5266" style="67" width="3"/>
    <col collapsed="false" customWidth="true" hidden="false" outlineLevel="0" max="5267" min="5267" style="67" width="4.33"/>
    <col collapsed="false" customWidth="true" hidden="false" outlineLevel="0" max="5268" min="5268" style="67" width="5.56"/>
    <col collapsed="false" customWidth="true" hidden="false" outlineLevel="0" max="5269" min="5269" style="67" width="4.67"/>
    <col collapsed="false" customWidth="true" hidden="false" outlineLevel="0" max="5270" min="5270" style="67" width="15.45"/>
    <col collapsed="false" customWidth="false" hidden="false" outlineLevel="0" max="5274" min="5271" style="67" width="9.11"/>
    <col collapsed="false" customWidth="true" hidden="false" outlineLevel="0" max="5275" min="5275" style="67" width="10.44"/>
    <col collapsed="false" customWidth="true" hidden="false" outlineLevel="0" max="5276" min="5276" style="67" width="18"/>
    <col collapsed="false" customWidth="false" hidden="false" outlineLevel="0" max="5507" min="5277" style="67" width="9.11"/>
    <col collapsed="false" customWidth="true" hidden="false" outlineLevel="0" max="5508" min="5508" style="67" width="7.33"/>
    <col collapsed="false" customWidth="true" hidden="false" outlineLevel="0" max="5509" min="5509" style="67" width="5"/>
    <col collapsed="false" customWidth="true" hidden="false" outlineLevel="0" max="5510" min="5510" style="67" width="5.44"/>
    <col collapsed="false" customWidth="true" hidden="false" outlineLevel="0" max="5511" min="5511" style="67" width="9.66"/>
    <col collapsed="false" customWidth="true" hidden="false" outlineLevel="0" max="5512" min="5512" style="67" width="5.44"/>
    <col collapsed="false" customWidth="true" hidden="false" outlineLevel="0" max="5513" min="5513" style="67" width="2"/>
    <col collapsed="false" customWidth="true" hidden="false" outlineLevel="0" max="5514" min="5514" style="67" width="7.55"/>
    <col collapsed="false" customWidth="true" hidden="false" outlineLevel="0" max="5515" min="5515" style="67" width="8.67"/>
    <col collapsed="false" customWidth="true" hidden="false" outlineLevel="0" max="5516" min="5516" style="67" width="4.67"/>
    <col collapsed="false" customWidth="true" hidden="false" outlineLevel="0" max="5517" min="5517" style="67" width="8.67"/>
    <col collapsed="false" customWidth="true" hidden="false" outlineLevel="0" max="5518" min="5518" style="67" width="6"/>
    <col collapsed="false" customWidth="true" hidden="false" outlineLevel="0" max="5519" min="5519" style="67" width="6.34"/>
    <col collapsed="false" customWidth="true" hidden="false" outlineLevel="0" max="5520" min="5520" style="67" width="8.67"/>
    <col collapsed="false" customWidth="true" hidden="false" outlineLevel="0" max="5521" min="5521" style="67" width="3.45"/>
    <col collapsed="false" customWidth="true" hidden="false" outlineLevel="0" max="5522" min="5522" style="67" width="3"/>
    <col collapsed="false" customWidth="true" hidden="false" outlineLevel="0" max="5523" min="5523" style="67" width="4.33"/>
    <col collapsed="false" customWidth="true" hidden="false" outlineLevel="0" max="5524" min="5524" style="67" width="5.56"/>
    <col collapsed="false" customWidth="true" hidden="false" outlineLevel="0" max="5525" min="5525" style="67" width="4.67"/>
    <col collapsed="false" customWidth="true" hidden="false" outlineLevel="0" max="5526" min="5526" style="67" width="15.45"/>
    <col collapsed="false" customWidth="false" hidden="false" outlineLevel="0" max="5530" min="5527" style="67" width="9.11"/>
    <col collapsed="false" customWidth="true" hidden="false" outlineLevel="0" max="5531" min="5531" style="67" width="10.44"/>
    <col collapsed="false" customWidth="true" hidden="false" outlineLevel="0" max="5532" min="5532" style="67" width="18"/>
    <col collapsed="false" customWidth="false" hidden="false" outlineLevel="0" max="5763" min="5533" style="67" width="9.11"/>
    <col collapsed="false" customWidth="true" hidden="false" outlineLevel="0" max="5764" min="5764" style="67" width="7.33"/>
    <col collapsed="false" customWidth="true" hidden="false" outlineLevel="0" max="5765" min="5765" style="67" width="5"/>
    <col collapsed="false" customWidth="true" hidden="false" outlineLevel="0" max="5766" min="5766" style="67" width="5.44"/>
    <col collapsed="false" customWidth="true" hidden="false" outlineLevel="0" max="5767" min="5767" style="67" width="9.66"/>
    <col collapsed="false" customWidth="true" hidden="false" outlineLevel="0" max="5768" min="5768" style="67" width="5.44"/>
    <col collapsed="false" customWidth="true" hidden="false" outlineLevel="0" max="5769" min="5769" style="67" width="2"/>
    <col collapsed="false" customWidth="true" hidden="false" outlineLevel="0" max="5770" min="5770" style="67" width="7.55"/>
    <col collapsed="false" customWidth="true" hidden="false" outlineLevel="0" max="5771" min="5771" style="67" width="8.67"/>
    <col collapsed="false" customWidth="true" hidden="false" outlineLevel="0" max="5772" min="5772" style="67" width="4.67"/>
    <col collapsed="false" customWidth="true" hidden="false" outlineLevel="0" max="5773" min="5773" style="67" width="8.67"/>
    <col collapsed="false" customWidth="true" hidden="false" outlineLevel="0" max="5774" min="5774" style="67" width="6"/>
    <col collapsed="false" customWidth="true" hidden="false" outlineLevel="0" max="5775" min="5775" style="67" width="6.34"/>
    <col collapsed="false" customWidth="true" hidden="false" outlineLevel="0" max="5776" min="5776" style="67" width="8.67"/>
    <col collapsed="false" customWidth="true" hidden="false" outlineLevel="0" max="5777" min="5777" style="67" width="3.45"/>
    <col collapsed="false" customWidth="true" hidden="false" outlineLevel="0" max="5778" min="5778" style="67" width="3"/>
    <col collapsed="false" customWidth="true" hidden="false" outlineLevel="0" max="5779" min="5779" style="67" width="4.33"/>
    <col collapsed="false" customWidth="true" hidden="false" outlineLevel="0" max="5780" min="5780" style="67" width="5.56"/>
    <col collapsed="false" customWidth="true" hidden="false" outlineLevel="0" max="5781" min="5781" style="67" width="4.67"/>
    <col collapsed="false" customWidth="true" hidden="false" outlineLevel="0" max="5782" min="5782" style="67" width="15.45"/>
    <col collapsed="false" customWidth="false" hidden="false" outlineLevel="0" max="5786" min="5783" style="67" width="9.11"/>
    <col collapsed="false" customWidth="true" hidden="false" outlineLevel="0" max="5787" min="5787" style="67" width="10.44"/>
    <col collapsed="false" customWidth="true" hidden="false" outlineLevel="0" max="5788" min="5788" style="67" width="18"/>
    <col collapsed="false" customWidth="false" hidden="false" outlineLevel="0" max="6019" min="5789" style="67" width="9.11"/>
    <col collapsed="false" customWidth="true" hidden="false" outlineLevel="0" max="6020" min="6020" style="67" width="7.33"/>
    <col collapsed="false" customWidth="true" hidden="false" outlineLevel="0" max="6021" min="6021" style="67" width="5"/>
    <col collapsed="false" customWidth="true" hidden="false" outlineLevel="0" max="6022" min="6022" style="67" width="5.44"/>
    <col collapsed="false" customWidth="true" hidden="false" outlineLevel="0" max="6023" min="6023" style="67" width="9.66"/>
    <col collapsed="false" customWidth="true" hidden="false" outlineLevel="0" max="6024" min="6024" style="67" width="5.44"/>
    <col collapsed="false" customWidth="true" hidden="false" outlineLevel="0" max="6025" min="6025" style="67" width="2"/>
    <col collapsed="false" customWidth="true" hidden="false" outlineLevel="0" max="6026" min="6026" style="67" width="7.55"/>
    <col collapsed="false" customWidth="true" hidden="false" outlineLevel="0" max="6027" min="6027" style="67" width="8.67"/>
    <col collapsed="false" customWidth="true" hidden="false" outlineLevel="0" max="6028" min="6028" style="67" width="4.67"/>
    <col collapsed="false" customWidth="true" hidden="false" outlineLevel="0" max="6029" min="6029" style="67" width="8.67"/>
    <col collapsed="false" customWidth="true" hidden="false" outlineLevel="0" max="6030" min="6030" style="67" width="6"/>
    <col collapsed="false" customWidth="true" hidden="false" outlineLevel="0" max="6031" min="6031" style="67" width="6.34"/>
    <col collapsed="false" customWidth="true" hidden="false" outlineLevel="0" max="6032" min="6032" style="67" width="8.67"/>
    <col collapsed="false" customWidth="true" hidden="false" outlineLevel="0" max="6033" min="6033" style="67" width="3.45"/>
    <col collapsed="false" customWidth="true" hidden="false" outlineLevel="0" max="6034" min="6034" style="67" width="3"/>
    <col collapsed="false" customWidth="true" hidden="false" outlineLevel="0" max="6035" min="6035" style="67" width="4.33"/>
    <col collapsed="false" customWidth="true" hidden="false" outlineLevel="0" max="6036" min="6036" style="67" width="5.56"/>
    <col collapsed="false" customWidth="true" hidden="false" outlineLevel="0" max="6037" min="6037" style="67" width="4.67"/>
    <col collapsed="false" customWidth="true" hidden="false" outlineLevel="0" max="6038" min="6038" style="67" width="15.45"/>
    <col collapsed="false" customWidth="false" hidden="false" outlineLevel="0" max="6042" min="6039" style="67" width="9.11"/>
    <col collapsed="false" customWidth="true" hidden="false" outlineLevel="0" max="6043" min="6043" style="67" width="10.44"/>
    <col collapsed="false" customWidth="true" hidden="false" outlineLevel="0" max="6044" min="6044" style="67" width="18"/>
    <col collapsed="false" customWidth="false" hidden="false" outlineLevel="0" max="6275" min="6045" style="67" width="9.11"/>
    <col collapsed="false" customWidth="true" hidden="false" outlineLevel="0" max="6276" min="6276" style="67" width="7.33"/>
    <col collapsed="false" customWidth="true" hidden="false" outlineLevel="0" max="6277" min="6277" style="67" width="5"/>
    <col collapsed="false" customWidth="true" hidden="false" outlineLevel="0" max="6278" min="6278" style="67" width="5.44"/>
    <col collapsed="false" customWidth="true" hidden="false" outlineLevel="0" max="6279" min="6279" style="67" width="9.66"/>
    <col collapsed="false" customWidth="true" hidden="false" outlineLevel="0" max="6280" min="6280" style="67" width="5.44"/>
    <col collapsed="false" customWidth="true" hidden="false" outlineLevel="0" max="6281" min="6281" style="67" width="2"/>
    <col collapsed="false" customWidth="true" hidden="false" outlineLevel="0" max="6282" min="6282" style="67" width="7.55"/>
    <col collapsed="false" customWidth="true" hidden="false" outlineLevel="0" max="6283" min="6283" style="67" width="8.67"/>
    <col collapsed="false" customWidth="true" hidden="false" outlineLevel="0" max="6284" min="6284" style="67" width="4.67"/>
    <col collapsed="false" customWidth="true" hidden="false" outlineLevel="0" max="6285" min="6285" style="67" width="8.67"/>
    <col collapsed="false" customWidth="true" hidden="false" outlineLevel="0" max="6286" min="6286" style="67" width="6"/>
    <col collapsed="false" customWidth="true" hidden="false" outlineLevel="0" max="6287" min="6287" style="67" width="6.34"/>
    <col collapsed="false" customWidth="true" hidden="false" outlineLevel="0" max="6288" min="6288" style="67" width="8.67"/>
    <col collapsed="false" customWidth="true" hidden="false" outlineLevel="0" max="6289" min="6289" style="67" width="3.45"/>
    <col collapsed="false" customWidth="true" hidden="false" outlineLevel="0" max="6290" min="6290" style="67" width="3"/>
    <col collapsed="false" customWidth="true" hidden="false" outlineLevel="0" max="6291" min="6291" style="67" width="4.33"/>
    <col collapsed="false" customWidth="true" hidden="false" outlineLevel="0" max="6292" min="6292" style="67" width="5.56"/>
    <col collapsed="false" customWidth="true" hidden="false" outlineLevel="0" max="6293" min="6293" style="67" width="4.67"/>
    <col collapsed="false" customWidth="true" hidden="false" outlineLevel="0" max="6294" min="6294" style="67" width="15.45"/>
    <col collapsed="false" customWidth="false" hidden="false" outlineLevel="0" max="6298" min="6295" style="67" width="9.11"/>
    <col collapsed="false" customWidth="true" hidden="false" outlineLevel="0" max="6299" min="6299" style="67" width="10.44"/>
    <col collapsed="false" customWidth="true" hidden="false" outlineLevel="0" max="6300" min="6300" style="67" width="18"/>
    <col collapsed="false" customWidth="false" hidden="false" outlineLevel="0" max="6531" min="6301" style="67" width="9.11"/>
    <col collapsed="false" customWidth="true" hidden="false" outlineLevel="0" max="6532" min="6532" style="67" width="7.33"/>
    <col collapsed="false" customWidth="true" hidden="false" outlineLevel="0" max="6533" min="6533" style="67" width="5"/>
    <col collapsed="false" customWidth="true" hidden="false" outlineLevel="0" max="6534" min="6534" style="67" width="5.44"/>
    <col collapsed="false" customWidth="true" hidden="false" outlineLevel="0" max="6535" min="6535" style="67" width="9.66"/>
    <col collapsed="false" customWidth="true" hidden="false" outlineLevel="0" max="6536" min="6536" style="67" width="5.44"/>
    <col collapsed="false" customWidth="true" hidden="false" outlineLevel="0" max="6537" min="6537" style="67" width="2"/>
    <col collapsed="false" customWidth="true" hidden="false" outlineLevel="0" max="6538" min="6538" style="67" width="7.55"/>
    <col collapsed="false" customWidth="true" hidden="false" outlineLevel="0" max="6539" min="6539" style="67" width="8.67"/>
    <col collapsed="false" customWidth="true" hidden="false" outlineLevel="0" max="6540" min="6540" style="67" width="4.67"/>
    <col collapsed="false" customWidth="true" hidden="false" outlineLevel="0" max="6541" min="6541" style="67" width="8.67"/>
    <col collapsed="false" customWidth="true" hidden="false" outlineLevel="0" max="6542" min="6542" style="67" width="6"/>
    <col collapsed="false" customWidth="true" hidden="false" outlineLevel="0" max="6543" min="6543" style="67" width="6.34"/>
    <col collapsed="false" customWidth="true" hidden="false" outlineLevel="0" max="6544" min="6544" style="67" width="8.67"/>
    <col collapsed="false" customWidth="true" hidden="false" outlineLevel="0" max="6545" min="6545" style="67" width="3.45"/>
    <col collapsed="false" customWidth="true" hidden="false" outlineLevel="0" max="6546" min="6546" style="67" width="3"/>
    <col collapsed="false" customWidth="true" hidden="false" outlineLevel="0" max="6547" min="6547" style="67" width="4.33"/>
    <col collapsed="false" customWidth="true" hidden="false" outlineLevel="0" max="6548" min="6548" style="67" width="5.56"/>
    <col collapsed="false" customWidth="true" hidden="false" outlineLevel="0" max="6549" min="6549" style="67" width="4.67"/>
    <col collapsed="false" customWidth="true" hidden="false" outlineLevel="0" max="6550" min="6550" style="67" width="15.45"/>
    <col collapsed="false" customWidth="false" hidden="false" outlineLevel="0" max="6554" min="6551" style="67" width="9.11"/>
    <col collapsed="false" customWidth="true" hidden="false" outlineLevel="0" max="6555" min="6555" style="67" width="10.44"/>
    <col collapsed="false" customWidth="true" hidden="false" outlineLevel="0" max="6556" min="6556" style="67" width="18"/>
    <col collapsed="false" customWidth="false" hidden="false" outlineLevel="0" max="6787" min="6557" style="67" width="9.11"/>
    <col collapsed="false" customWidth="true" hidden="false" outlineLevel="0" max="6788" min="6788" style="67" width="7.33"/>
    <col collapsed="false" customWidth="true" hidden="false" outlineLevel="0" max="6789" min="6789" style="67" width="5"/>
    <col collapsed="false" customWidth="true" hidden="false" outlineLevel="0" max="6790" min="6790" style="67" width="5.44"/>
    <col collapsed="false" customWidth="true" hidden="false" outlineLevel="0" max="6791" min="6791" style="67" width="9.66"/>
    <col collapsed="false" customWidth="true" hidden="false" outlineLevel="0" max="6792" min="6792" style="67" width="5.44"/>
    <col collapsed="false" customWidth="true" hidden="false" outlineLevel="0" max="6793" min="6793" style="67" width="2"/>
    <col collapsed="false" customWidth="true" hidden="false" outlineLevel="0" max="6794" min="6794" style="67" width="7.55"/>
    <col collapsed="false" customWidth="true" hidden="false" outlineLevel="0" max="6795" min="6795" style="67" width="8.67"/>
    <col collapsed="false" customWidth="true" hidden="false" outlineLevel="0" max="6796" min="6796" style="67" width="4.67"/>
    <col collapsed="false" customWidth="true" hidden="false" outlineLevel="0" max="6797" min="6797" style="67" width="8.67"/>
    <col collapsed="false" customWidth="true" hidden="false" outlineLevel="0" max="6798" min="6798" style="67" width="6"/>
    <col collapsed="false" customWidth="true" hidden="false" outlineLevel="0" max="6799" min="6799" style="67" width="6.34"/>
    <col collapsed="false" customWidth="true" hidden="false" outlineLevel="0" max="6800" min="6800" style="67" width="8.67"/>
    <col collapsed="false" customWidth="true" hidden="false" outlineLevel="0" max="6801" min="6801" style="67" width="3.45"/>
    <col collapsed="false" customWidth="true" hidden="false" outlineLevel="0" max="6802" min="6802" style="67" width="3"/>
    <col collapsed="false" customWidth="true" hidden="false" outlineLevel="0" max="6803" min="6803" style="67" width="4.33"/>
    <col collapsed="false" customWidth="true" hidden="false" outlineLevel="0" max="6804" min="6804" style="67" width="5.56"/>
    <col collapsed="false" customWidth="true" hidden="false" outlineLevel="0" max="6805" min="6805" style="67" width="4.67"/>
    <col collapsed="false" customWidth="true" hidden="false" outlineLevel="0" max="6806" min="6806" style="67" width="15.45"/>
    <col collapsed="false" customWidth="false" hidden="false" outlineLevel="0" max="6810" min="6807" style="67" width="9.11"/>
    <col collapsed="false" customWidth="true" hidden="false" outlineLevel="0" max="6811" min="6811" style="67" width="10.44"/>
    <col collapsed="false" customWidth="true" hidden="false" outlineLevel="0" max="6812" min="6812" style="67" width="18"/>
    <col collapsed="false" customWidth="false" hidden="false" outlineLevel="0" max="7043" min="6813" style="67" width="9.11"/>
    <col collapsed="false" customWidth="true" hidden="false" outlineLevel="0" max="7044" min="7044" style="67" width="7.33"/>
    <col collapsed="false" customWidth="true" hidden="false" outlineLevel="0" max="7045" min="7045" style="67" width="5"/>
    <col collapsed="false" customWidth="true" hidden="false" outlineLevel="0" max="7046" min="7046" style="67" width="5.44"/>
    <col collapsed="false" customWidth="true" hidden="false" outlineLevel="0" max="7047" min="7047" style="67" width="9.66"/>
    <col collapsed="false" customWidth="true" hidden="false" outlineLevel="0" max="7048" min="7048" style="67" width="5.44"/>
    <col collapsed="false" customWidth="true" hidden="false" outlineLevel="0" max="7049" min="7049" style="67" width="2"/>
    <col collapsed="false" customWidth="true" hidden="false" outlineLevel="0" max="7050" min="7050" style="67" width="7.55"/>
    <col collapsed="false" customWidth="true" hidden="false" outlineLevel="0" max="7051" min="7051" style="67" width="8.67"/>
    <col collapsed="false" customWidth="true" hidden="false" outlineLevel="0" max="7052" min="7052" style="67" width="4.67"/>
    <col collapsed="false" customWidth="true" hidden="false" outlineLevel="0" max="7053" min="7053" style="67" width="8.67"/>
    <col collapsed="false" customWidth="true" hidden="false" outlineLevel="0" max="7054" min="7054" style="67" width="6"/>
    <col collapsed="false" customWidth="true" hidden="false" outlineLevel="0" max="7055" min="7055" style="67" width="6.34"/>
    <col collapsed="false" customWidth="true" hidden="false" outlineLevel="0" max="7056" min="7056" style="67" width="8.67"/>
    <col collapsed="false" customWidth="true" hidden="false" outlineLevel="0" max="7057" min="7057" style="67" width="3.45"/>
    <col collapsed="false" customWidth="true" hidden="false" outlineLevel="0" max="7058" min="7058" style="67" width="3"/>
    <col collapsed="false" customWidth="true" hidden="false" outlineLevel="0" max="7059" min="7059" style="67" width="4.33"/>
    <col collapsed="false" customWidth="true" hidden="false" outlineLevel="0" max="7060" min="7060" style="67" width="5.56"/>
    <col collapsed="false" customWidth="true" hidden="false" outlineLevel="0" max="7061" min="7061" style="67" width="4.67"/>
    <col collapsed="false" customWidth="true" hidden="false" outlineLevel="0" max="7062" min="7062" style="67" width="15.45"/>
    <col collapsed="false" customWidth="false" hidden="false" outlineLevel="0" max="7066" min="7063" style="67" width="9.11"/>
    <col collapsed="false" customWidth="true" hidden="false" outlineLevel="0" max="7067" min="7067" style="67" width="10.44"/>
    <col collapsed="false" customWidth="true" hidden="false" outlineLevel="0" max="7068" min="7068" style="67" width="18"/>
    <col collapsed="false" customWidth="false" hidden="false" outlineLevel="0" max="7299" min="7069" style="67" width="9.11"/>
    <col collapsed="false" customWidth="true" hidden="false" outlineLevel="0" max="7300" min="7300" style="67" width="7.33"/>
    <col collapsed="false" customWidth="true" hidden="false" outlineLevel="0" max="7301" min="7301" style="67" width="5"/>
    <col collapsed="false" customWidth="true" hidden="false" outlineLevel="0" max="7302" min="7302" style="67" width="5.44"/>
    <col collapsed="false" customWidth="true" hidden="false" outlineLevel="0" max="7303" min="7303" style="67" width="9.66"/>
    <col collapsed="false" customWidth="true" hidden="false" outlineLevel="0" max="7304" min="7304" style="67" width="5.44"/>
    <col collapsed="false" customWidth="true" hidden="false" outlineLevel="0" max="7305" min="7305" style="67" width="2"/>
    <col collapsed="false" customWidth="true" hidden="false" outlineLevel="0" max="7306" min="7306" style="67" width="7.55"/>
    <col collapsed="false" customWidth="true" hidden="false" outlineLevel="0" max="7307" min="7307" style="67" width="8.67"/>
    <col collapsed="false" customWidth="true" hidden="false" outlineLevel="0" max="7308" min="7308" style="67" width="4.67"/>
    <col collapsed="false" customWidth="true" hidden="false" outlineLevel="0" max="7309" min="7309" style="67" width="8.67"/>
    <col collapsed="false" customWidth="true" hidden="false" outlineLevel="0" max="7310" min="7310" style="67" width="6"/>
    <col collapsed="false" customWidth="true" hidden="false" outlineLevel="0" max="7311" min="7311" style="67" width="6.34"/>
    <col collapsed="false" customWidth="true" hidden="false" outlineLevel="0" max="7312" min="7312" style="67" width="8.67"/>
    <col collapsed="false" customWidth="true" hidden="false" outlineLevel="0" max="7313" min="7313" style="67" width="3.45"/>
    <col collapsed="false" customWidth="true" hidden="false" outlineLevel="0" max="7314" min="7314" style="67" width="3"/>
    <col collapsed="false" customWidth="true" hidden="false" outlineLevel="0" max="7315" min="7315" style="67" width="4.33"/>
    <col collapsed="false" customWidth="true" hidden="false" outlineLevel="0" max="7316" min="7316" style="67" width="5.56"/>
    <col collapsed="false" customWidth="true" hidden="false" outlineLevel="0" max="7317" min="7317" style="67" width="4.67"/>
    <col collapsed="false" customWidth="true" hidden="false" outlineLevel="0" max="7318" min="7318" style="67" width="15.45"/>
    <col collapsed="false" customWidth="false" hidden="false" outlineLevel="0" max="7322" min="7319" style="67" width="9.11"/>
    <col collapsed="false" customWidth="true" hidden="false" outlineLevel="0" max="7323" min="7323" style="67" width="10.44"/>
    <col collapsed="false" customWidth="true" hidden="false" outlineLevel="0" max="7324" min="7324" style="67" width="18"/>
    <col collapsed="false" customWidth="false" hidden="false" outlineLevel="0" max="7555" min="7325" style="67" width="9.11"/>
    <col collapsed="false" customWidth="true" hidden="false" outlineLevel="0" max="7556" min="7556" style="67" width="7.33"/>
    <col collapsed="false" customWidth="true" hidden="false" outlineLevel="0" max="7557" min="7557" style="67" width="5"/>
    <col collapsed="false" customWidth="true" hidden="false" outlineLevel="0" max="7558" min="7558" style="67" width="5.44"/>
    <col collapsed="false" customWidth="true" hidden="false" outlineLevel="0" max="7559" min="7559" style="67" width="9.66"/>
    <col collapsed="false" customWidth="true" hidden="false" outlineLevel="0" max="7560" min="7560" style="67" width="5.44"/>
    <col collapsed="false" customWidth="true" hidden="false" outlineLevel="0" max="7561" min="7561" style="67" width="2"/>
    <col collapsed="false" customWidth="true" hidden="false" outlineLevel="0" max="7562" min="7562" style="67" width="7.55"/>
    <col collapsed="false" customWidth="true" hidden="false" outlineLevel="0" max="7563" min="7563" style="67" width="8.67"/>
    <col collapsed="false" customWidth="true" hidden="false" outlineLevel="0" max="7564" min="7564" style="67" width="4.67"/>
    <col collapsed="false" customWidth="true" hidden="false" outlineLevel="0" max="7565" min="7565" style="67" width="8.67"/>
    <col collapsed="false" customWidth="true" hidden="false" outlineLevel="0" max="7566" min="7566" style="67" width="6"/>
    <col collapsed="false" customWidth="true" hidden="false" outlineLevel="0" max="7567" min="7567" style="67" width="6.34"/>
    <col collapsed="false" customWidth="true" hidden="false" outlineLevel="0" max="7568" min="7568" style="67" width="8.67"/>
    <col collapsed="false" customWidth="true" hidden="false" outlineLevel="0" max="7569" min="7569" style="67" width="3.45"/>
    <col collapsed="false" customWidth="true" hidden="false" outlineLevel="0" max="7570" min="7570" style="67" width="3"/>
    <col collapsed="false" customWidth="true" hidden="false" outlineLevel="0" max="7571" min="7571" style="67" width="4.33"/>
    <col collapsed="false" customWidth="true" hidden="false" outlineLevel="0" max="7572" min="7572" style="67" width="5.56"/>
    <col collapsed="false" customWidth="true" hidden="false" outlineLevel="0" max="7573" min="7573" style="67" width="4.67"/>
    <col collapsed="false" customWidth="true" hidden="false" outlineLevel="0" max="7574" min="7574" style="67" width="15.45"/>
    <col collapsed="false" customWidth="false" hidden="false" outlineLevel="0" max="7578" min="7575" style="67" width="9.11"/>
    <col collapsed="false" customWidth="true" hidden="false" outlineLevel="0" max="7579" min="7579" style="67" width="10.44"/>
    <col collapsed="false" customWidth="true" hidden="false" outlineLevel="0" max="7580" min="7580" style="67" width="18"/>
    <col collapsed="false" customWidth="false" hidden="false" outlineLevel="0" max="7811" min="7581" style="67" width="9.11"/>
    <col collapsed="false" customWidth="true" hidden="false" outlineLevel="0" max="7812" min="7812" style="67" width="7.33"/>
    <col collapsed="false" customWidth="true" hidden="false" outlineLevel="0" max="7813" min="7813" style="67" width="5"/>
    <col collapsed="false" customWidth="true" hidden="false" outlineLevel="0" max="7814" min="7814" style="67" width="5.44"/>
    <col collapsed="false" customWidth="true" hidden="false" outlineLevel="0" max="7815" min="7815" style="67" width="9.66"/>
    <col collapsed="false" customWidth="true" hidden="false" outlineLevel="0" max="7816" min="7816" style="67" width="5.44"/>
    <col collapsed="false" customWidth="true" hidden="false" outlineLevel="0" max="7817" min="7817" style="67" width="2"/>
    <col collapsed="false" customWidth="true" hidden="false" outlineLevel="0" max="7818" min="7818" style="67" width="7.55"/>
    <col collapsed="false" customWidth="true" hidden="false" outlineLevel="0" max="7819" min="7819" style="67" width="8.67"/>
    <col collapsed="false" customWidth="true" hidden="false" outlineLevel="0" max="7820" min="7820" style="67" width="4.67"/>
    <col collapsed="false" customWidth="true" hidden="false" outlineLevel="0" max="7821" min="7821" style="67" width="8.67"/>
    <col collapsed="false" customWidth="true" hidden="false" outlineLevel="0" max="7822" min="7822" style="67" width="6"/>
    <col collapsed="false" customWidth="true" hidden="false" outlineLevel="0" max="7823" min="7823" style="67" width="6.34"/>
    <col collapsed="false" customWidth="true" hidden="false" outlineLevel="0" max="7824" min="7824" style="67" width="8.67"/>
    <col collapsed="false" customWidth="true" hidden="false" outlineLevel="0" max="7825" min="7825" style="67" width="3.45"/>
    <col collapsed="false" customWidth="true" hidden="false" outlineLevel="0" max="7826" min="7826" style="67" width="3"/>
    <col collapsed="false" customWidth="true" hidden="false" outlineLevel="0" max="7827" min="7827" style="67" width="4.33"/>
    <col collapsed="false" customWidth="true" hidden="false" outlineLevel="0" max="7828" min="7828" style="67" width="5.56"/>
    <col collapsed="false" customWidth="true" hidden="false" outlineLevel="0" max="7829" min="7829" style="67" width="4.67"/>
    <col collapsed="false" customWidth="true" hidden="false" outlineLevel="0" max="7830" min="7830" style="67" width="15.45"/>
    <col collapsed="false" customWidth="false" hidden="false" outlineLevel="0" max="7834" min="7831" style="67" width="9.11"/>
    <col collapsed="false" customWidth="true" hidden="false" outlineLevel="0" max="7835" min="7835" style="67" width="10.44"/>
    <col collapsed="false" customWidth="true" hidden="false" outlineLevel="0" max="7836" min="7836" style="67" width="18"/>
    <col collapsed="false" customWidth="false" hidden="false" outlineLevel="0" max="8067" min="7837" style="67" width="9.11"/>
    <col collapsed="false" customWidth="true" hidden="false" outlineLevel="0" max="8068" min="8068" style="67" width="7.33"/>
    <col collapsed="false" customWidth="true" hidden="false" outlineLevel="0" max="8069" min="8069" style="67" width="5"/>
    <col collapsed="false" customWidth="true" hidden="false" outlineLevel="0" max="8070" min="8070" style="67" width="5.44"/>
    <col collapsed="false" customWidth="true" hidden="false" outlineLevel="0" max="8071" min="8071" style="67" width="9.66"/>
    <col collapsed="false" customWidth="true" hidden="false" outlineLevel="0" max="8072" min="8072" style="67" width="5.44"/>
    <col collapsed="false" customWidth="true" hidden="false" outlineLevel="0" max="8073" min="8073" style="67" width="2"/>
    <col collapsed="false" customWidth="true" hidden="false" outlineLevel="0" max="8074" min="8074" style="67" width="7.55"/>
    <col collapsed="false" customWidth="true" hidden="false" outlineLevel="0" max="8075" min="8075" style="67" width="8.67"/>
    <col collapsed="false" customWidth="true" hidden="false" outlineLevel="0" max="8076" min="8076" style="67" width="4.67"/>
    <col collapsed="false" customWidth="true" hidden="false" outlineLevel="0" max="8077" min="8077" style="67" width="8.67"/>
    <col collapsed="false" customWidth="true" hidden="false" outlineLevel="0" max="8078" min="8078" style="67" width="6"/>
    <col collapsed="false" customWidth="true" hidden="false" outlineLevel="0" max="8079" min="8079" style="67" width="6.34"/>
    <col collapsed="false" customWidth="true" hidden="false" outlineLevel="0" max="8080" min="8080" style="67" width="8.67"/>
    <col collapsed="false" customWidth="true" hidden="false" outlineLevel="0" max="8081" min="8081" style="67" width="3.45"/>
    <col collapsed="false" customWidth="true" hidden="false" outlineLevel="0" max="8082" min="8082" style="67" width="3"/>
    <col collapsed="false" customWidth="true" hidden="false" outlineLevel="0" max="8083" min="8083" style="67" width="4.33"/>
    <col collapsed="false" customWidth="true" hidden="false" outlineLevel="0" max="8084" min="8084" style="67" width="5.56"/>
    <col collapsed="false" customWidth="true" hidden="false" outlineLevel="0" max="8085" min="8085" style="67" width="4.67"/>
    <col collapsed="false" customWidth="true" hidden="false" outlineLevel="0" max="8086" min="8086" style="67" width="15.45"/>
    <col collapsed="false" customWidth="false" hidden="false" outlineLevel="0" max="8090" min="8087" style="67" width="9.11"/>
    <col collapsed="false" customWidth="true" hidden="false" outlineLevel="0" max="8091" min="8091" style="67" width="10.44"/>
    <col collapsed="false" customWidth="true" hidden="false" outlineLevel="0" max="8092" min="8092" style="67" width="18"/>
    <col collapsed="false" customWidth="false" hidden="false" outlineLevel="0" max="8323" min="8093" style="67" width="9.11"/>
    <col collapsed="false" customWidth="true" hidden="false" outlineLevel="0" max="8324" min="8324" style="67" width="7.33"/>
    <col collapsed="false" customWidth="true" hidden="false" outlineLevel="0" max="8325" min="8325" style="67" width="5"/>
    <col collapsed="false" customWidth="true" hidden="false" outlineLevel="0" max="8326" min="8326" style="67" width="5.44"/>
    <col collapsed="false" customWidth="true" hidden="false" outlineLevel="0" max="8327" min="8327" style="67" width="9.66"/>
    <col collapsed="false" customWidth="true" hidden="false" outlineLevel="0" max="8328" min="8328" style="67" width="5.44"/>
    <col collapsed="false" customWidth="true" hidden="false" outlineLevel="0" max="8329" min="8329" style="67" width="2"/>
    <col collapsed="false" customWidth="true" hidden="false" outlineLevel="0" max="8330" min="8330" style="67" width="7.55"/>
    <col collapsed="false" customWidth="true" hidden="false" outlineLevel="0" max="8331" min="8331" style="67" width="8.67"/>
    <col collapsed="false" customWidth="true" hidden="false" outlineLevel="0" max="8332" min="8332" style="67" width="4.67"/>
    <col collapsed="false" customWidth="true" hidden="false" outlineLevel="0" max="8333" min="8333" style="67" width="8.67"/>
    <col collapsed="false" customWidth="true" hidden="false" outlineLevel="0" max="8334" min="8334" style="67" width="6"/>
    <col collapsed="false" customWidth="true" hidden="false" outlineLevel="0" max="8335" min="8335" style="67" width="6.34"/>
    <col collapsed="false" customWidth="true" hidden="false" outlineLevel="0" max="8336" min="8336" style="67" width="8.67"/>
    <col collapsed="false" customWidth="true" hidden="false" outlineLevel="0" max="8337" min="8337" style="67" width="3.45"/>
    <col collapsed="false" customWidth="true" hidden="false" outlineLevel="0" max="8338" min="8338" style="67" width="3"/>
    <col collapsed="false" customWidth="true" hidden="false" outlineLevel="0" max="8339" min="8339" style="67" width="4.33"/>
    <col collapsed="false" customWidth="true" hidden="false" outlineLevel="0" max="8340" min="8340" style="67" width="5.56"/>
    <col collapsed="false" customWidth="true" hidden="false" outlineLevel="0" max="8341" min="8341" style="67" width="4.67"/>
    <col collapsed="false" customWidth="true" hidden="false" outlineLevel="0" max="8342" min="8342" style="67" width="15.45"/>
    <col collapsed="false" customWidth="false" hidden="false" outlineLevel="0" max="8346" min="8343" style="67" width="9.11"/>
    <col collapsed="false" customWidth="true" hidden="false" outlineLevel="0" max="8347" min="8347" style="67" width="10.44"/>
    <col collapsed="false" customWidth="true" hidden="false" outlineLevel="0" max="8348" min="8348" style="67" width="18"/>
    <col collapsed="false" customWidth="false" hidden="false" outlineLevel="0" max="8579" min="8349" style="67" width="9.11"/>
    <col collapsed="false" customWidth="true" hidden="false" outlineLevel="0" max="8580" min="8580" style="67" width="7.33"/>
    <col collapsed="false" customWidth="true" hidden="false" outlineLevel="0" max="8581" min="8581" style="67" width="5"/>
    <col collapsed="false" customWidth="true" hidden="false" outlineLevel="0" max="8582" min="8582" style="67" width="5.44"/>
    <col collapsed="false" customWidth="true" hidden="false" outlineLevel="0" max="8583" min="8583" style="67" width="9.66"/>
    <col collapsed="false" customWidth="true" hidden="false" outlineLevel="0" max="8584" min="8584" style="67" width="5.44"/>
    <col collapsed="false" customWidth="true" hidden="false" outlineLevel="0" max="8585" min="8585" style="67" width="2"/>
    <col collapsed="false" customWidth="true" hidden="false" outlineLevel="0" max="8586" min="8586" style="67" width="7.55"/>
    <col collapsed="false" customWidth="true" hidden="false" outlineLevel="0" max="8587" min="8587" style="67" width="8.67"/>
    <col collapsed="false" customWidth="true" hidden="false" outlineLevel="0" max="8588" min="8588" style="67" width="4.67"/>
    <col collapsed="false" customWidth="true" hidden="false" outlineLevel="0" max="8589" min="8589" style="67" width="8.67"/>
    <col collapsed="false" customWidth="true" hidden="false" outlineLevel="0" max="8590" min="8590" style="67" width="6"/>
    <col collapsed="false" customWidth="true" hidden="false" outlineLevel="0" max="8591" min="8591" style="67" width="6.34"/>
    <col collapsed="false" customWidth="true" hidden="false" outlineLevel="0" max="8592" min="8592" style="67" width="8.67"/>
    <col collapsed="false" customWidth="true" hidden="false" outlineLevel="0" max="8593" min="8593" style="67" width="3.45"/>
    <col collapsed="false" customWidth="true" hidden="false" outlineLevel="0" max="8594" min="8594" style="67" width="3"/>
    <col collapsed="false" customWidth="true" hidden="false" outlineLevel="0" max="8595" min="8595" style="67" width="4.33"/>
    <col collapsed="false" customWidth="true" hidden="false" outlineLevel="0" max="8596" min="8596" style="67" width="5.56"/>
    <col collapsed="false" customWidth="true" hidden="false" outlineLevel="0" max="8597" min="8597" style="67" width="4.67"/>
    <col collapsed="false" customWidth="true" hidden="false" outlineLevel="0" max="8598" min="8598" style="67" width="15.45"/>
    <col collapsed="false" customWidth="false" hidden="false" outlineLevel="0" max="8602" min="8599" style="67" width="9.11"/>
    <col collapsed="false" customWidth="true" hidden="false" outlineLevel="0" max="8603" min="8603" style="67" width="10.44"/>
    <col collapsed="false" customWidth="true" hidden="false" outlineLevel="0" max="8604" min="8604" style="67" width="18"/>
    <col collapsed="false" customWidth="false" hidden="false" outlineLevel="0" max="8835" min="8605" style="67" width="9.11"/>
    <col collapsed="false" customWidth="true" hidden="false" outlineLevel="0" max="8836" min="8836" style="67" width="7.33"/>
    <col collapsed="false" customWidth="true" hidden="false" outlineLevel="0" max="8837" min="8837" style="67" width="5"/>
    <col collapsed="false" customWidth="true" hidden="false" outlineLevel="0" max="8838" min="8838" style="67" width="5.44"/>
    <col collapsed="false" customWidth="true" hidden="false" outlineLevel="0" max="8839" min="8839" style="67" width="9.66"/>
    <col collapsed="false" customWidth="true" hidden="false" outlineLevel="0" max="8840" min="8840" style="67" width="5.44"/>
    <col collapsed="false" customWidth="true" hidden="false" outlineLevel="0" max="8841" min="8841" style="67" width="2"/>
    <col collapsed="false" customWidth="true" hidden="false" outlineLevel="0" max="8842" min="8842" style="67" width="7.55"/>
    <col collapsed="false" customWidth="true" hidden="false" outlineLevel="0" max="8843" min="8843" style="67" width="8.67"/>
    <col collapsed="false" customWidth="true" hidden="false" outlineLevel="0" max="8844" min="8844" style="67" width="4.67"/>
    <col collapsed="false" customWidth="true" hidden="false" outlineLevel="0" max="8845" min="8845" style="67" width="8.67"/>
    <col collapsed="false" customWidth="true" hidden="false" outlineLevel="0" max="8846" min="8846" style="67" width="6"/>
    <col collapsed="false" customWidth="true" hidden="false" outlineLevel="0" max="8847" min="8847" style="67" width="6.34"/>
    <col collapsed="false" customWidth="true" hidden="false" outlineLevel="0" max="8848" min="8848" style="67" width="8.67"/>
    <col collapsed="false" customWidth="true" hidden="false" outlineLevel="0" max="8849" min="8849" style="67" width="3.45"/>
    <col collapsed="false" customWidth="true" hidden="false" outlineLevel="0" max="8850" min="8850" style="67" width="3"/>
    <col collapsed="false" customWidth="true" hidden="false" outlineLevel="0" max="8851" min="8851" style="67" width="4.33"/>
    <col collapsed="false" customWidth="true" hidden="false" outlineLevel="0" max="8852" min="8852" style="67" width="5.56"/>
    <col collapsed="false" customWidth="true" hidden="false" outlineLevel="0" max="8853" min="8853" style="67" width="4.67"/>
    <col collapsed="false" customWidth="true" hidden="false" outlineLevel="0" max="8854" min="8854" style="67" width="15.45"/>
    <col collapsed="false" customWidth="false" hidden="false" outlineLevel="0" max="8858" min="8855" style="67" width="9.11"/>
    <col collapsed="false" customWidth="true" hidden="false" outlineLevel="0" max="8859" min="8859" style="67" width="10.44"/>
    <col collapsed="false" customWidth="true" hidden="false" outlineLevel="0" max="8860" min="8860" style="67" width="18"/>
    <col collapsed="false" customWidth="false" hidden="false" outlineLevel="0" max="9091" min="8861" style="67" width="9.11"/>
    <col collapsed="false" customWidth="true" hidden="false" outlineLevel="0" max="9092" min="9092" style="67" width="7.33"/>
    <col collapsed="false" customWidth="true" hidden="false" outlineLevel="0" max="9093" min="9093" style="67" width="5"/>
    <col collapsed="false" customWidth="true" hidden="false" outlineLevel="0" max="9094" min="9094" style="67" width="5.44"/>
    <col collapsed="false" customWidth="true" hidden="false" outlineLevel="0" max="9095" min="9095" style="67" width="9.66"/>
    <col collapsed="false" customWidth="true" hidden="false" outlineLevel="0" max="9096" min="9096" style="67" width="5.44"/>
    <col collapsed="false" customWidth="true" hidden="false" outlineLevel="0" max="9097" min="9097" style="67" width="2"/>
    <col collapsed="false" customWidth="true" hidden="false" outlineLevel="0" max="9098" min="9098" style="67" width="7.55"/>
    <col collapsed="false" customWidth="true" hidden="false" outlineLevel="0" max="9099" min="9099" style="67" width="8.67"/>
    <col collapsed="false" customWidth="true" hidden="false" outlineLevel="0" max="9100" min="9100" style="67" width="4.67"/>
    <col collapsed="false" customWidth="true" hidden="false" outlineLevel="0" max="9101" min="9101" style="67" width="8.67"/>
    <col collapsed="false" customWidth="true" hidden="false" outlineLevel="0" max="9102" min="9102" style="67" width="6"/>
    <col collapsed="false" customWidth="true" hidden="false" outlineLevel="0" max="9103" min="9103" style="67" width="6.34"/>
    <col collapsed="false" customWidth="true" hidden="false" outlineLevel="0" max="9104" min="9104" style="67" width="8.67"/>
    <col collapsed="false" customWidth="true" hidden="false" outlineLevel="0" max="9105" min="9105" style="67" width="3.45"/>
    <col collapsed="false" customWidth="true" hidden="false" outlineLevel="0" max="9106" min="9106" style="67" width="3"/>
    <col collapsed="false" customWidth="true" hidden="false" outlineLevel="0" max="9107" min="9107" style="67" width="4.33"/>
    <col collapsed="false" customWidth="true" hidden="false" outlineLevel="0" max="9108" min="9108" style="67" width="5.56"/>
    <col collapsed="false" customWidth="true" hidden="false" outlineLevel="0" max="9109" min="9109" style="67" width="4.67"/>
    <col collapsed="false" customWidth="true" hidden="false" outlineLevel="0" max="9110" min="9110" style="67" width="15.45"/>
    <col collapsed="false" customWidth="false" hidden="false" outlineLevel="0" max="9114" min="9111" style="67" width="9.11"/>
    <col collapsed="false" customWidth="true" hidden="false" outlineLevel="0" max="9115" min="9115" style="67" width="10.44"/>
    <col collapsed="false" customWidth="true" hidden="false" outlineLevel="0" max="9116" min="9116" style="67" width="18"/>
    <col collapsed="false" customWidth="false" hidden="false" outlineLevel="0" max="9347" min="9117" style="67" width="9.11"/>
    <col collapsed="false" customWidth="true" hidden="false" outlineLevel="0" max="9348" min="9348" style="67" width="7.33"/>
    <col collapsed="false" customWidth="true" hidden="false" outlineLevel="0" max="9349" min="9349" style="67" width="5"/>
    <col collapsed="false" customWidth="true" hidden="false" outlineLevel="0" max="9350" min="9350" style="67" width="5.44"/>
    <col collapsed="false" customWidth="true" hidden="false" outlineLevel="0" max="9351" min="9351" style="67" width="9.66"/>
    <col collapsed="false" customWidth="true" hidden="false" outlineLevel="0" max="9352" min="9352" style="67" width="5.44"/>
    <col collapsed="false" customWidth="true" hidden="false" outlineLevel="0" max="9353" min="9353" style="67" width="2"/>
    <col collapsed="false" customWidth="true" hidden="false" outlineLevel="0" max="9354" min="9354" style="67" width="7.55"/>
    <col collapsed="false" customWidth="true" hidden="false" outlineLevel="0" max="9355" min="9355" style="67" width="8.67"/>
    <col collapsed="false" customWidth="true" hidden="false" outlineLevel="0" max="9356" min="9356" style="67" width="4.67"/>
    <col collapsed="false" customWidth="true" hidden="false" outlineLevel="0" max="9357" min="9357" style="67" width="8.67"/>
    <col collapsed="false" customWidth="true" hidden="false" outlineLevel="0" max="9358" min="9358" style="67" width="6"/>
    <col collapsed="false" customWidth="true" hidden="false" outlineLevel="0" max="9359" min="9359" style="67" width="6.34"/>
    <col collapsed="false" customWidth="true" hidden="false" outlineLevel="0" max="9360" min="9360" style="67" width="8.67"/>
    <col collapsed="false" customWidth="true" hidden="false" outlineLevel="0" max="9361" min="9361" style="67" width="3.45"/>
    <col collapsed="false" customWidth="true" hidden="false" outlineLevel="0" max="9362" min="9362" style="67" width="3"/>
    <col collapsed="false" customWidth="true" hidden="false" outlineLevel="0" max="9363" min="9363" style="67" width="4.33"/>
    <col collapsed="false" customWidth="true" hidden="false" outlineLevel="0" max="9364" min="9364" style="67" width="5.56"/>
    <col collapsed="false" customWidth="true" hidden="false" outlineLevel="0" max="9365" min="9365" style="67" width="4.67"/>
    <col collapsed="false" customWidth="true" hidden="false" outlineLevel="0" max="9366" min="9366" style="67" width="15.45"/>
    <col collapsed="false" customWidth="false" hidden="false" outlineLevel="0" max="9370" min="9367" style="67" width="9.11"/>
    <col collapsed="false" customWidth="true" hidden="false" outlineLevel="0" max="9371" min="9371" style="67" width="10.44"/>
    <col collapsed="false" customWidth="true" hidden="false" outlineLevel="0" max="9372" min="9372" style="67" width="18"/>
    <col collapsed="false" customWidth="false" hidden="false" outlineLevel="0" max="9603" min="9373" style="67" width="9.11"/>
    <col collapsed="false" customWidth="true" hidden="false" outlineLevel="0" max="9604" min="9604" style="67" width="7.33"/>
    <col collapsed="false" customWidth="true" hidden="false" outlineLevel="0" max="9605" min="9605" style="67" width="5"/>
    <col collapsed="false" customWidth="true" hidden="false" outlineLevel="0" max="9606" min="9606" style="67" width="5.44"/>
    <col collapsed="false" customWidth="true" hidden="false" outlineLevel="0" max="9607" min="9607" style="67" width="9.66"/>
    <col collapsed="false" customWidth="true" hidden="false" outlineLevel="0" max="9608" min="9608" style="67" width="5.44"/>
    <col collapsed="false" customWidth="true" hidden="false" outlineLevel="0" max="9609" min="9609" style="67" width="2"/>
    <col collapsed="false" customWidth="true" hidden="false" outlineLevel="0" max="9610" min="9610" style="67" width="7.55"/>
    <col collapsed="false" customWidth="true" hidden="false" outlineLevel="0" max="9611" min="9611" style="67" width="8.67"/>
    <col collapsed="false" customWidth="true" hidden="false" outlineLevel="0" max="9612" min="9612" style="67" width="4.67"/>
    <col collapsed="false" customWidth="true" hidden="false" outlineLevel="0" max="9613" min="9613" style="67" width="8.67"/>
    <col collapsed="false" customWidth="true" hidden="false" outlineLevel="0" max="9614" min="9614" style="67" width="6"/>
    <col collapsed="false" customWidth="true" hidden="false" outlineLevel="0" max="9615" min="9615" style="67" width="6.34"/>
    <col collapsed="false" customWidth="true" hidden="false" outlineLevel="0" max="9616" min="9616" style="67" width="8.67"/>
    <col collapsed="false" customWidth="true" hidden="false" outlineLevel="0" max="9617" min="9617" style="67" width="3.45"/>
    <col collapsed="false" customWidth="true" hidden="false" outlineLevel="0" max="9618" min="9618" style="67" width="3"/>
    <col collapsed="false" customWidth="true" hidden="false" outlineLevel="0" max="9619" min="9619" style="67" width="4.33"/>
    <col collapsed="false" customWidth="true" hidden="false" outlineLevel="0" max="9620" min="9620" style="67" width="5.56"/>
    <col collapsed="false" customWidth="true" hidden="false" outlineLevel="0" max="9621" min="9621" style="67" width="4.67"/>
    <col collapsed="false" customWidth="true" hidden="false" outlineLevel="0" max="9622" min="9622" style="67" width="15.45"/>
    <col collapsed="false" customWidth="false" hidden="false" outlineLevel="0" max="9626" min="9623" style="67" width="9.11"/>
    <col collapsed="false" customWidth="true" hidden="false" outlineLevel="0" max="9627" min="9627" style="67" width="10.44"/>
    <col collapsed="false" customWidth="true" hidden="false" outlineLevel="0" max="9628" min="9628" style="67" width="18"/>
    <col collapsed="false" customWidth="false" hidden="false" outlineLevel="0" max="9859" min="9629" style="67" width="9.11"/>
    <col collapsed="false" customWidth="true" hidden="false" outlineLevel="0" max="9860" min="9860" style="67" width="7.33"/>
    <col collapsed="false" customWidth="true" hidden="false" outlineLevel="0" max="9861" min="9861" style="67" width="5"/>
    <col collapsed="false" customWidth="true" hidden="false" outlineLevel="0" max="9862" min="9862" style="67" width="5.44"/>
    <col collapsed="false" customWidth="true" hidden="false" outlineLevel="0" max="9863" min="9863" style="67" width="9.66"/>
    <col collapsed="false" customWidth="true" hidden="false" outlineLevel="0" max="9864" min="9864" style="67" width="5.44"/>
    <col collapsed="false" customWidth="true" hidden="false" outlineLevel="0" max="9865" min="9865" style="67" width="2"/>
    <col collapsed="false" customWidth="true" hidden="false" outlineLevel="0" max="9866" min="9866" style="67" width="7.55"/>
    <col collapsed="false" customWidth="true" hidden="false" outlineLevel="0" max="9867" min="9867" style="67" width="8.67"/>
    <col collapsed="false" customWidth="true" hidden="false" outlineLevel="0" max="9868" min="9868" style="67" width="4.67"/>
    <col collapsed="false" customWidth="true" hidden="false" outlineLevel="0" max="9869" min="9869" style="67" width="8.67"/>
    <col collapsed="false" customWidth="true" hidden="false" outlineLevel="0" max="9870" min="9870" style="67" width="6"/>
    <col collapsed="false" customWidth="true" hidden="false" outlineLevel="0" max="9871" min="9871" style="67" width="6.34"/>
    <col collapsed="false" customWidth="true" hidden="false" outlineLevel="0" max="9872" min="9872" style="67" width="8.67"/>
    <col collapsed="false" customWidth="true" hidden="false" outlineLevel="0" max="9873" min="9873" style="67" width="3.45"/>
    <col collapsed="false" customWidth="true" hidden="false" outlineLevel="0" max="9874" min="9874" style="67" width="3"/>
    <col collapsed="false" customWidth="true" hidden="false" outlineLevel="0" max="9875" min="9875" style="67" width="4.33"/>
    <col collapsed="false" customWidth="true" hidden="false" outlineLevel="0" max="9876" min="9876" style="67" width="5.56"/>
    <col collapsed="false" customWidth="true" hidden="false" outlineLevel="0" max="9877" min="9877" style="67" width="4.67"/>
    <col collapsed="false" customWidth="true" hidden="false" outlineLevel="0" max="9878" min="9878" style="67" width="15.45"/>
    <col collapsed="false" customWidth="false" hidden="false" outlineLevel="0" max="9882" min="9879" style="67" width="9.11"/>
    <col collapsed="false" customWidth="true" hidden="false" outlineLevel="0" max="9883" min="9883" style="67" width="10.44"/>
    <col collapsed="false" customWidth="true" hidden="false" outlineLevel="0" max="9884" min="9884" style="67" width="18"/>
    <col collapsed="false" customWidth="false" hidden="false" outlineLevel="0" max="10115" min="9885" style="67" width="9.11"/>
    <col collapsed="false" customWidth="true" hidden="false" outlineLevel="0" max="10116" min="10116" style="67" width="7.33"/>
    <col collapsed="false" customWidth="true" hidden="false" outlineLevel="0" max="10117" min="10117" style="67" width="5"/>
    <col collapsed="false" customWidth="true" hidden="false" outlineLevel="0" max="10118" min="10118" style="67" width="5.44"/>
    <col collapsed="false" customWidth="true" hidden="false" outlineLevel="0" max="10119" min="10119" style="67" width="9.66"/>
    <col collapsed="false" customWidth="true" hidden="false" outlineLevel="0" max="10120" min="10120" style="67" width="5.44"/>
    <col collapsed="false" customWidth="true" hidden="false" outlineLevel="0" max="10121" min="10121" style="67" width="2"/>
    <col collapsed="false" customWidth="true" hidden="false" outlineLevel="0" max="10122" min="10122" style="67" width="7.55"/>
    <col collapsed="false" customWidth="true" hidden="false" outlineLevel="0" max="10123" min="10123" style="67" width="8.67"/>
    <col collapsed="false" customWidth="true" hidden="false" outlineLevel="0" max="10124" min="10124" style="67" width="4.67"/>
    <col collapsed="false" customWidth="true" hidden="false" outlineLevel="0" max="10125" min="10125" style="67" width="8.67"/>
    <col collapsed="false" customWidth="true" hidden="false" outlineLevel="0" max="10126" min="10126" style="67" width="6"/>
    <col collapsed="false" customWidth="true" hidden="false" outlineLevel="0" max="10127" min="10127" style="67" width="6.34"/>
    <col collapsed="false" customWidth="true" hidden="false" outlineLevel="0" max="10128" min="10128" style="67" width="8.67"/>
    <col collapsed="false" customWidth="true" hidden="false" outlineLevel="0" max="10129" min="10129" style="67" width="3.45"/>
    <col collapsed="false" customWidth="true" hidden="false" outlineLevel="0" max="10130" min="10130" style="67" width="3"/>
    <col collapsed="false" customWidth="true" hidden="false" outlineLevel="0" max="10131" min="10131" style="67" width="4.33"/>
    <col collapsed="false" customWidth="true" hidden="false" outlineLevel="0" max="10132" min="10132" style="67" width="5.56"/>
    <col collapsed="false" customWidth="true" hidden="false" outlineLevel="0" max="10133" min="10133" style="67" width="4.67"/>
    <col collapsed="false" customWidth="true" hidden="false" outlineLevel="0" max="10134" min="10134" style="67" width="15.45"/>
    <col collapsed="false" customWidth="false" hidden="false" outlineLevel="0" max="10138" min="10135" style="67" width="9.11"/>
    <col collapsed="false" customWidth="true" hidden="false" outlineLevel="0" max="10139" min="10139" style="67" width="10.44"/>
    <col collapsed="false" customWidth="true" hidden="false" outlineLevel="0" max="10140" min="10140" style="67" width="18"/>
    <col collapsed="false" customWidth="false" hidden="false" outlineLevel="0" max="10371" min="10141" style="67" width="9.11"/>
    <col collapsed="false" customWidth="true" hidden="false" outlineLevel="0" max="10372" min="10372" style="67" width="7.33"/>
    <col collapsed="false" customWidth="true" hidden="false" outlineLevel="0" max="10373" min="10373" style="67" width="5"/>
    <col collapsed="false" customWidth="true" hidden="false" outlineLevel="0" max="10374" min="10374" style="67" width="5.44"/>
    <col collapsed="false" customWidth="true" hidden="false" outlineLevel="0" max="10375" min="10375" style="67" width="9.66"/>
    <col collapsed="false" customWidth="true" hidden="false" outlineLevel="0" max="10376" min="10376" style="67" width="5.44"/>
    <col collapsed="false" customWidth="true" hidden="false" outlineLevel="0" max="10377" min="10377" style="67" width="2"/>
    <col collapsed="false" customWidth="true" hidden="false" outlineLevel="0" max="10378" min="10378" style="67" width="7.55"/>
    <col collapsed="false" customWidth="true" hidden="false" outlineLevel="0" max="10379" min="10379" style="67" width="8.67"/>
    <col collapsed="false" customWidth="true" hidden="false" outlineLevel="0" max="10380" min="10380" style="67" width="4.67"/>
    <col collapsed="false" customWidth="true" hidden="false" outlineLevel="0" max="10381" min="10381" style="67" width="8.67"/>
    <col collapsed="false" customWidth="true" hidden="false" outlineLevel="0" max="10382" min="10382" style="67" width="6"/>
    <col collapsed="false" customWidth="true" hidden="false" outlineLevel="0" max="10383" min="10383" style="67" width="6.34"/>
    <col collapsed="false" customWidth="true" hidden="false" outlineLevel="0" max="10384" min="10384" style="67" width="8.67"/>
    <col collapsed="false" customWidth="true" hidden="false" outlineLevel="0" max="10385" min="10385" style="67" width="3.45"/>
    <col collapsed="false" customWidth="true" hidden="false" outlineLevel="0" max="10386" min="10386" style="67" width="3"/>
    <col collapsed="false" customWidth="true" hidden="false" outlineLevel="0" max="10387" min="10387" style="67" width="4.33"/>
    <col collapsed="false" customWidth="true" hidden="false" outlineLevel="0" max="10388" min="10388" style="67" width="5.56"/>
    <col collapsed="false" customWidth="true" hidden="false" outlineLevel="0" max="10389" min="10389" style="67" width="4.67"/>
    <col collapsed="false" customWidth="true" hidden="false" outlineLevel="0" max="10390" min="10390" style="67" width="15.45"/>
    <col collapsed="false" customWidth="false" hidden="false" outlineLevel="0" max="10394" min="10391" style="67" width="9.11"/>
    <col collapsed="false" customWidth="true" hidden="false" outlineLevel="0" max="10395" min="10395" style="67" width="10.44"/>
    <col collapsed="false" customWidth="true" hidden="false" outlineLevel="0" max="10396" min="10396" style="67" width="18"/>
    <col collapsed="false" customWidth="false" hidden="false" outlineLevel="0" max="10627" min="10397" style="67" width="9.11"/>
    <col collapsed="false" customWidth="true" hidden="false" outlineLevel="0" max="10628" min="10628" style="67" width="7.33"/>
    <col collapsed="false" customWidth="true" hidden="false" outlineLevel="0" max="10629" min="10629" style="67" width="5"/>
    <col collapsed="false" customWidth="true" hidden="false" outlineLevel="0" max="10630" min="10630" style="67" width="5.44"/>
    <col collapsed="false" customWidth="true" hidden="false" outlineLevel="0" max="10631" min="10631" style="67" width="9.66"/>
    <col collapsed="false" customWidth="true" hidden="false" outlineLevel="0" max="10632" min="10632" style="67" width="5.44"/>
    <col collapsed="false" customWidth="true" hidden="false" outlineLevel="0" max="10633" min="10633" style="67" width="2"/>
    <col collapsed="false" customWidth="true" hidden="false" outlineLevel="0" max="10634" min="10634" style="67" width="7.55"/>
    <col collapsed="false" customWidth="true" hidden="false" outlineLevel="0" max="10635" min="10635" style="67" width="8.67"/>
    <col collapsed="false" customWidth="true" hidden="false" outlineLevel="0" max="10636" min="10636" style="67" width="4.67"/>
    <col collapsed="false" customWidth="true" hidden="false" outlineLevel="0" max="10637" min="10637" style="67" width="8.67"/>
    <col collapsed="false" customWidth="true" hidden="false" outlineLevel="0" max="10638" min="10638" style="67" width="6"/>
    <col collapsed="false" customWidth="true" hidden="false" outlineLevel="0" max="10639" min="10639" style="67" width="6.34"/>
    <col collapsed="false" customWidth="true" hidden="false" outlineLevel="0" max="10640" min="10640" style="67" width="8.67"/>
    <col collapsed="false" customWidth="true" hidden="false" outlineLevel="0" max="10641" min="10641" style="67" width="3.45"/>
    <col collapsed="false" customWidth="true" hidden="false" outlineLevel="0" max="10642" min="10642" style="67" width="3"/>
    <col collapsed="false" customWidth="true" hidden="false" outlineLevel="0" max="10643" min="10643" style="67" width="4.33"/>
    <col collapsed="false" customWidth="true" hidden="false" outlineLevel="0" max="10644" min="10644" style="67" width="5.56"/>
    <col collapsed="false" customWidth="true" hidden="false" outlineLevel="0" max="10645" min="10645" style="67" width="4.67"/>
    <col collapsed="false" customWidth="true" hidden="false" outlineLevel="0" max="10646" min="10646" style="67" width="15.45"/>
    <col collapsed="false" customWidth="false" hidden="false" outlineLevel="0" max="10650" min="10647" style="67" width="9.11"/>
    <col collapsed="false" customWidth="true" hidden="false" outlineLevel="0" max="10651" min="10651" style="67" width="10.44"/>
    <col collapsed="false" customWidth="true" hidden="false" outlineLevel="0" max="10652" min="10652" style="67" width="18"/>
    <col collapsed="false" customWidth="false" hidden="false" outlineLevel="0" max="10883" min="10653" style="67" width="9.11"/>
    <col collapsed="false" customWidth="true" hidden="false" outlineLevel="0" max="10884" min="10884" style="67" width="7.33"/>
    <col collapsed="false" customWidth="true" hidden="false" outlineLevel="0" max="10885" min="10885" style="67" width="5"/>
    <col collapsed="false" customWidth="true" hidden="false" outlineLevel="0" max="10886" min="10886" style="67" width="5.44"/>
    <col collapsed="false" customWidth="true" hidden="false" outlineLevel="0" max="10887" min="10887" style="67" width="9.66"/>
    <col collapsed="false" customWidth="true" hidden="false" outlineLevel="0" max="10888" min="10888" style="67" width="5.44"/>
    <col collapsed="false" customWidth="true" hidden="false" outlineLevel="0" max="10889" min="10889" style="67" width="2"/>
    <col collapsed="false" customWidth="true" hidden="false" outlineLevel="0" max="10890" min="10890" style="67" width="7.55"/>
    <col collapsed="false" customWidth="true" hidden="false" outlineLevel="0" max="10891" min="10891" style="67" width="8.67"/>
    <col collapsed="false" customWidth="true" hidden="false" outlineLevel="0" max="10892" min="10892" style="67" width="4.67"/>
    <col collapsed="false" customWidth="true" hidden="false" outlineLevel="0" max="10893" min="10893" style="67" width="8.67"/>
    <col collapsed="false" customWidth="true" hidden="false" outlineLevel="0" max="10894" min="10894" style="67" width="6"/>
    <col collapsed="false" customWidth="true" hidden="false" outlineLevel="0" max="10895" min="10895" style="67" width="6.34"/>
    <col collapsed="false" customWidth="true" hidden="false" outlineLevel="0" max="10896" min="10896" style="67" width="8.67"/>
    <col collapsed="false" customWidth="true" hidden="false" outlineLevel="0" max="10897" min="10897" style="67" width="3.45"/>
    <col collapsed="false" customWidth="true" hidden="false" outlineLevel="0" max="10898" min="10898" style="67" width="3"/>
    <col collapsed="false" customWidth="true" hidden="false" outlineLevel="0" max="10899" min="10899" style="67" width="4.33"/>
    <col collapsed="false" customWidth="true" hidden="false" outlineLevel="0" max="10900" min="10900" style="67" width="5.56"/>
    <col collapsed="false" customWidth="true" hidden="false" outlineLevel="0" max="10901" min="10901" style="67" width="4.67"/>
    <col collapsed="false" customWidth="true" hidden="false" outlineLevel="0" max="10902" min="10902" style="67" width="15.45"/>
    <col collapsed="false" customWidth="false" hidden="false" outlineLevel="0" max="10906" min="10903" style="67" width="9.11"/>
    <col collapsed="false" customWidth="true" hidden="false" outlineLevel="0" max="10907" min="10907" style="67" width="10.44"/>
    <col collapsed="false" customWidth="true" hidden="false" outlineLevel="0" max="10908" min="10908" style="67" width="18"/>
    <col collapsed="false" customWidth="false" hidden="false" outlineLevel="0" max="11139" min="10909" style="67" width="9.11"/>
    <col collapsed="false" customWidth="true" hidden="false" outlineLevel="0" max="11140" min="11140" style="67" width="7.33"/>
    <col collapsed="false" customWidth="true" hidden="false" outlineLevel="0" max="11141" min="11141" style="67" width="5"/>
    <col collapsed="false" customWidth="true" hidden="false" outlineLevel="0" max="11142" min="11142" style="67" width="5.44"/>
    <col collapsed="false" customWidth="true" hidden="false" outlineLevel="0" max="11143" min="11143" style="67" width="9.66"/>
    <col collapsed="false" customWidth="true" hidden="false" outlineLevel="0" max="11144" min="11144" style="67" width="5.44"/>
    <col collapsed="false" customWidth="true" hidden="false" outlineLevel="0" max="11145" min="11145" style="67" width="2"/>
    <col collapsed="false" customWidth="true" hidden="false" outlineLevel="0" max="11146" min="11146" style="67" width="7.55"/>
    <col collapsed="false" customWidth="true" hidden="false" outlineLevel="0" max="11147" min="11147" style="67" width="8.67"/>
    <col collapsed="false" customWidth="true" hidden="false" outlineLevel="0" max="11148" min="11148" style="67" width="4.67"/>
    <col collapsed="false" customWidth="true" hidden="false" outlineLevel="0" max="11149" min="11149" style="67" width="8.67"/>
    <col collapsed="false" customWidth="true" hidden="false" outlineLevel="0" max="11150" min="11150" style="67" width="6"/>
    <col collapsed="false" customWidth="true" hidden="false" outlineLevel="0" max="11151" min="11151" style="67" width="6.34"/>
    <col collapsed="false" customWidth="true" hidden="false" outlineLevel="0" max="11152" min="11152" style="67" width="8.67"/>
    <col collapsed="false" customWidth="true" hidden="false" outlineLevel="0" max="11153" min="11153" style="67" width="3.45"/>
    <col collapsed="false" customWidth="true" hidden="false" outlineLevel="0" max="11154" min="11154" style="67" width="3"/>
    <col collapsed="false" customWidth="true" hidden="false" outlineLevel="0" max="11155" min="11155" style="67" width="4.33"/>
    <col collapsed="false" customWidth="true" hidden="false" outlineLevel="0" max="11156" min="11156" style="67" width="5.56"/>
    <col collapsed="false" customWidth="true" hidden="false" outlineLevel="0" max="11157" min="11157" style="67" width="4.67"/>
    <col collapsed="false" customWidth="true" hidden="false" outlineLevel="0" max="11158" min="11158" style="67" width="15.45"/>
    <col collapsed="false" customWidth="false" hidden="false" outlineLevel="0" max="11162" min="11159" style="67" width="9.11"/>
    <col collapsed="false" customWidth="true" hidden="false" outlineLevel="0" max="11163" min="11163" style="67" width="10.44"/>
    <col collapsed="false" customWidth="true" hidden="false" outlineLevel="0" max="11164" min="11164" style="67" width="18"/>
    <col collapsed="false" customWidth="false" hidden="false" outlineLevel="0" max="11395" min="11165" style="67" width="9.11"/>
    <col collapsed="false" customWidth="true" hidden="false" outlineLevel="0" max="11396" min="11396" style="67" width="7.33"/>
    <col collapsed="false" customWidth="true" hidden="false" outlineLevel="0" max="11397" min="11397" style="67" width="5"/>
    <col collapsed="false" customWidth="true" hidden="false" outlineLevel="0" max="11398" min="11398" style="67" width="5.44"/>
    <col collapsed="false" customWidth="true" hidden="false" outlineLevel="0" max="11399" min="11399" style="67" width="9.66"/>
    <col collapsed="false" customWidth="true" hidden="false" outlineLevel="0" max="11400" min="11400" style="67" width="5.44"/>
    <col collapsed="false" customWidth="true" hidden="false" outlineLevel="0" max="11401" min="11401" style="67" width="2"/>
    <col collapsed="false" customWidth="true" hidden="false" outlineLevel="0" max="11402" min="11402" style="67" width="7.55"/>
    <col collapsed="false" customWidth="true" hidden="false" outlineLevel="0" max="11403" min="11403" style="67" width="8.67"/>
    <col collapsed="false" customWidth="true" hidden="false" outlineLevel="0" max="11404" min="11404" style="67" width="4.67"/>
    <col collapsed="false" customWidth="true" hidden="false" outlineLevel="0" max="11405" min="11405" style="67" width="8.67"/>
    <col collapsed="false" customWidth="true" hidden="false" outlineLevel="0" max="11406" min="11406" style="67" width="6"/>
    <col collapsed="false" customWidth="true" hidden="false" outlineLevel="0" max="11407" min="11407" style="67" width="6.34"/>
    <col collapsed="false" customWidth="true" hidden="false" outlineLevel="0" max="11408" min="11408" style="67" width="8.67"/>
    <col collapsed="false" customWidth="true" hidden="false" outlineLevel="0" max="11409" min="11409" style="67" width="3.45"/>
    <col collapsed="false" customWidth="true" hidden="false" outlineLevel="0" max="11410" min="11410" style="67" width="3"/>
    <col collapsed="false" customWidth="true" hidden="false" outlineLevel="0" max="11411" min="11411" style="67" width="4.33"/>
    <col collapsed="false" customWidth="true" hidden="false" outlineLevel="0" max="11412" min="11412" style="67" width="5.56"/>
    <col collapsed="false" customWidth="true" hidden="false" outlineLevel="0" max="11413" min="11413" style="67" width="4.67"/>
    <col collapsed="false" customWidth="true" hidden="false" outlineLevel="0" max="11414" min="11414" style="67" width="15.45"/>
    <col collapsed="false" customWidth="false" hidden="false" outlineLevel="0" max="11418" min="11415" style="67" width="9.11"/>
    <col collapsed="false" customWidth="true" hidden="false" outlineLevel="0" max="11419" min="11419" style="67" width="10.44"/>
    <col collapsed="false" customWidth="true" hidden="false" outlineLevel="0" max="11420" min="11420" style="67" width="18"/>
    <col collapsed="false" customWidth="false" hidden="false" outlineLevel="0" max="11651" min="11421" style="67" width="9.11"/>
    <col collapsed="false" customWidth="true" hidden="false" outlineLevel="0" max="11652" min="11652" style="67" width="7.33"/>
    <col collapsed="false" customWidth="true" hidden="false" outlineLevel="0" max="11653" min="11653" style="67" width="5"/>
    <col collapsed="false" customWidth="true" hidden="false" outlineLevel="0" max="11654" min="11654" style="67" width="5.44"/>
    <col collapsed="false" customWidth="true" hidden="false" outlineLevel="0" max="11655" min="11655" style="67" width="9.66"/>
    <col collapsed="false" customWidth="true" hidden="false" outlineLevel="0" max="11656" min="11656" style="67" width="5.44"/>
    <col collapsed="false" customWidth="true" hidden="false" outlineLevel="0" max="11657" min="11657" style="67" width="2"/>
    <col collapsed="false" customWidth="true" hidden="false" outlineLevel="0" max="11658" min="11658" style="67" width="7.55"/>
    <col collapsed="false" customWidth="true" hidden="false" outlineLevel="0" max="11659" min="11659" style="67" width="8.67"/>
    <col collapsed="false" customWidth="true" hidden="false" outlineLevel="0" max="11660" min="11660" style="67" width="4.67"/>
    <col collapsed="false" customWidth="true" hidden="false" outlineLevel="0" max="11661" min="11661" style="67" width="8.67"/>
    <col collapsed="false" customWidth="true" hidden="false" outlineLevel="0" max="11662" min="11662" style="67" width="6"/>
    <col collapsed="false" customWidth="true" hidden="false" outlineLevel="0" max="11663" min="11663" style="67" width="6.34"/>
    <col collapsed="false" customWidth="true" hidden="false" outlineLevel="0" max="11664" min="11664" style="67" width="8.67"/>
    <col collapsed="false" customWidth="true" hidden="false" outlineLevel="0" max="11665" min="11665" style="67" width="3.45"/>
    <col collapsed="false" customWidth="true" hidden="false" outlineLevel="0" max="11666" min="11666" style="67" width="3"/>
    <col collapsed="false" customWidth="true" hidden="false" outlineLevel="0" max="11667" min="11667" style="67" width="4.33"/>
    <col collapsed="false" customWidth="true" hidden="false" outlineLevel="0" max="11668" min="11668" style="67" width="5.56"/>
    <col collapsed="false" customWidth="true" hidden="false" outlineLevel="0" max="11669" min="11669" style="67" width="4.67"/>
    <col collapsed="false" customWidth="true" hidden="false" outlineLevel="0" max="11670" min="11670" style="67" width="15.45"/>
    <col collapsed="false" customWidth="false" hidden="false" outlineLevel="0" max="11674" min="11671" style="67" width="9.11"/>
    <col collapsed="false" customWidth="true" hidden="false" outlineLevel="0" max="11675" min="11675" style="67" width="10.44"/>
    <col collapsed="false" customWidth="true" hidden="false" outlineLevel="0" max="11676" min="11676" style="67" width="18"/>
    <col collapsed="false" customWidth="false" hidden="false" outlineLevel="0" max="11907" min="11677" style="67" width="9.11"/>
    <col collapsed="false" customWidth="true" hidden="false" outlineLevel="0" max="11908" min="11908" style="67" width="7.33"/>
    <col collapsed="false" customWidth="true" hidden="false" outlineLevel="0" max="11909" min="11909" style="67" width="5"/>
    <col collapsed="false" customWidth="true" hidden="false" outlineLevel="0" max="11910" min="11910" style="67" width="5.44"/>
    <col collapsed="false" customWidth="true" hidden="false" outlineLevel="0" max="11911" min="11911" style="67" width="9.66"/>
    <col collapsed="false" customWidth="true" hidden="false" outlineLevel="0" max="11912" min="11912" style="67" width="5.44"/>
    <col collapsed="false" customWidth="true" hidden="false" outlineLevel="0" max="11913" min="11913" style="67" width="2"/>
    <col collapsed="false" customWidth="true" hidden="false" outlineLevel="0" max="11914" min="11914" style="67" width="7.55"/>
    <col collapsed="false" customWidth="true" hidden="false" outlineLevel="0" max="11915" min="11915" style="67" width="8.67"/>
    <col collapsed="false" customWidth="true" hidden="false" outlineLevel="0" max="11916" min="11916" style="67" width="4.67"/>
    <col collapsed="false" customWidth="true" hidden="false" outlineLevel="0" max="11917" min="11917" style="67" width="8.67"/>
    <col collapsed="false" customWidth="true" hidden="false" outlineLevel="0" max="11918" min="11918" style="67" width="6"/>
    <col collapsed="false" customWidth="true" hidden="false" outlineLevel="0" max="11919" min="11919" style="67" width="6.34"/>
    <col collapsed="false" customWidth="true" hidden="false" outlineLevel="0" max="11920" min="11920" style="67" width="8.67"/>
    <col collapsed="false" customWidth="true" hidden="false" outlineLevel="0" max="11921" min="11921" style="67" width="3.45"/>
    <col collapsed="false" customWidth="true" hidden="false" outlineLevel="0" max="11922" min="11922" style="67" width="3"/>
    <col collapsed="false" customWidth="true" hidden="false" outlineLevel="0" max="11923" min="11923" style="67" width="4.33"/>
    <col collapsed="false" customWidth="true" hidden="false" outlineLevel="0" max="11924" min="11924" style="67" width="5.56"/>
    <col collapsed="false" customWidth="true" hidden="false" outlineLevel="0" max="11925" min="11925" style="67" width="4.67"/>
    <col collapsed="false" customWidth="true" hidden="false" outlineLevel="0" max="11926" min="11926" style="67" width="15.45"/>
    <col collapsed="false" customWidth="false" hidden="false" outlineLevel="0" max="11930" min="11927" style="67" width="9.11"/>
    <col collapsed="false" customWidth="true" hidden="false" outlineLevel="0" max="11931" min="11931" style="67" width="10.44"/>
    <col collapsed="false" customWidth="true" hidden="false" outlineLevel="0" max="11932" min="11932" style="67" width="18"/>
    <col collapsed="false" customWidth="false" hidden="false" outlineLevel="0" max="12163" min="11933" style="67" width="9.11"/>
    <col collapsed="false" customWidth="true" hidden="false" outlineLevel="0" max="12164" min="12164" style="67" width="7.33"/>
    <col collapsed="false" customWidth="true" hidden="false" outlineLevel="0" max="12165" min="12165" style="67" width="5"/>
    <col collapsed="false" customWidth="true" hidden="false" outlineLevel="0" max="12166" min="12166" style="67" width="5.44"/>
    <col collapsed="false" customWidth="true" hidden="false" outlineLevel="0" max="12167" min="12167" style="67" width="9.66"/>
    <col collapsed="false" customWidth="true" hidden="false" outlineLevel="0" max="12168" min="12168" style="67" width="5.44"/>
    <col collapsed="false" customWidth="true" hidden="false" outlineLevel="0" max="12169" min="12169" style="67" width="2"/>
    <col collapsed="false" customWidth="true" hidden="false" outlineLevel="0" max="12170" min="12170" style="67" width="7.55"/>
    <col collapsed="false" customWidth="true" hidden="false" outlineLevel="0" max="12171" min="12171" style="67" width="8.67"/>
    <col collapsed="false" customWidth="true" hidden="false" outlineLevel="0" max="12172" min="12172" style="67" width="4.67"/>
    <col collapsed="false" customWidth="true" hidden="false" outlineLevel="0" max="12173" min="12173" style="67" width="8.67"/>
    <col collapsed="false" customWidth="true" hidden="false" outlineLevel="0" max="12174" min="12174" style="67" width="6"/>
    <col collapsed="false" customWidth="true" hidden="false" outlineLevel="0" max="12175" min="12175" style="67" width="6.34"/>
    <col collapsed="false" customWidth="true" hidden="false" outlineLevel="0" max="12176" min="12176" style="67" width="8.67"/>
    <col collapsed="false" customWidth="true" hidden="false" outlineLevel="0" max="12177" min="12177" style="67" width="3.45"/>
    <col collapsed="false" customWidth="true" hidden="false" outlineLevel="0" max="12178" min="12178" style="67" width="3"/>
    <col collapsed="false" customWidth="true" hidden="false" outlineLevel="0" max="12179" min="12179" style="67" width="4.33"/>
    <col collapsed="false" customWidth="true" hidden="false" outlineLevel="0" max="12180" min="12180" style="67" width="5.56"/>
    <col collapsed="false" customWidth="true" hidden="false" outlineLevel="0" max="12181" min="12181" style="67" width="4.67"/>
    <col collapsed="false" customWidth="true" hidden="false" outlineLevel="0" max="12182" min="12182" style="67" width="15.45"/>
    <col collapsed="false" customWidth="false" hidden="false" outlineLevel="0" max="12186" min="12183" style="67" width="9.11"/>
    <col collapsed="false" customWidth="true" hidden="false" outlineLevel="0" max="12187" min="12187" style="67" width="10.44"/>
    <col collapsed="false" customWidth="true" hidden="false" outlineLevel="0" max="12188" min="12188" style="67" width="18"/>
    <col collapsed="false" customWidth="false" hidden="false" outlineLevel="0" max="12419" min="12189" style="67" width="9.11"/>
    <col collapsed="false" customWidth="true" hidden="false" outlineLevel="0" max="12420" min="12420" style="67" width="7.33"/>
    <col collapsed="false" customWidth="true" hidden="false" outlineLevel="0" max="12421" min="12421" style="67" width="5"/>
    <col collapsed="false" customWidth="true" hidden="false" outlineLevel="0" max="12422" min="12422" style="67" width="5.44"/>
    <col collapsed="false" customWidth="true" hidden="false" outlineLevel="0" max="12423" min="12423" style="67" width="9.66"/>
    <col collapsed="false" customWidth="true" hidden="false" outlineLevel="0" max="12424" min="12424" style="67" width="5.44"/>
    <col collapsed="false" customWidth="true" hidden="false" outlineLevel="0" max="12425" min="12425" style="67" width="2"/>
    <col collapsed="false" customWidth="true" hidden="false" outlineLevel="0" max="12426" min="12426" style="67" width="7.55"/>
    <col collapsed="false" customWidth="true" hidden="false" outlineLevel="0" max="12427" min="12427" style="67" width="8.67"/>
    <col collapsed="false" customWidth="true" hidden="false" outlineLevel="0" max="12428" min="12428" style="67" width="4.67"/>
    <col collapsed="false" customWidth="true" hidden="false" outlineLevel="0" max="12429" min="12429" style="67" width="8.67"/>
    <col collapsed="false" customWidth="true" hidden="false" outlineLevel="0" max="12430" min="12430" style="67" width="6"/>
    <col collapsed="false" customWidth="true" hidden="false" outlineLevel="0" max="12431" min="12431" style="67" width="6.34"/>
    <col collapsed="false" customWidth="true" hidden="false" outlineLevel="0" max="12432" min="12432" style="67" width="8.67"/>
    <col collapsed="false" customWidth="true" hidden="false" outlineLevel="0" max="12433" min="12433" style="67" width="3.45"/>
    <col collapsed="false" customWidth="true" hidden="false" outlineLevel="0" max="12434" min="12434" style="67" width="3"/>
    <col collapsed="false" customWidth="true" hidden="false" outlineLevel="0" max="12435" min="12435" style="67" width="4.33"/>
    <col collapsed="false" customWidth="true" hidden="false" outlineLevel="0" max="12436" min="12436" style="67" width="5.56"/>
    <col collapsed="false" customWidth="true" hidden="false" outlineLevel="0" max="12437" min="12437" style="67" width="4.67"/>
    <col collapsed="false" customWidth="true" hidden="false" outlineLevel="0" max="12438" min="12438" style="67" width="15.45"/>
    <col collapsed="false" customWidth="false" hidden="false" outlineLevel="0" max="12442" min="12439" style="67" width="9.11"/>
    <col collapsed="false" customWidth="true" hidden="false" outlineLevel="0" max="12443" min="12443" style="67" width="10.44"/>
    <col collapsed="false" customWidth="true" hidden="false" outlineLevel="0" max="12444" min="12444" style="67" width="18"/>
    <col collapsed="false" customWidth="false" hidden="false" outlineLevel="0" max="12675" min="12445" style="67" width="9.11"/>
    <col collapsed="false" customWidth="true" hidden="false" outlineLevel="0" max="12676" min="12676" style="67" width="7.33"/>
    <col collapsed="false" customWidth="true" hidden="false" outlineLevel="0" max="12677" min="12677" style="67" width="5"/>
    <col collapsed="false" customWidth="true" hidden="false" outlineLevel="0" max="12678" min="12678" style="67" width="5.44"/>
    <col collapsed="false" customWidth="true" hidden="false" outlineLevel="0" max="12679" min="12679" style="67" width="9.66"/>
    <col collapsed="false" customWidth="true" hidden="false" outlineLevel="0" max="12680" min="12680" style="67" width="5.44"/>
    <col collapsed="false" customWidth="true" hidden="false" outlineLevel="0" max="12681" min="12681" style="67" width="2"/>
    <col collapsed="false" customWidth="true" hidden="false" outlineLevel="0" max="12682" min="12682" style="67" width="7.55"/>
    <col collapsed="false" customWidth="true" hidden="false" outlineLevel="0" max="12683" min="12683" style="67" width="8.67"/>
    <col collapsed="false" customWidth="true" hidden="false" outlineLevel="0" max="12684" min="12684" style="67" width="4.67"/>
    <col collapsed="false" customWidth="true" hidden="false" outlineLevel="0" max="12685" min="12685" style="67" width="8.67"/>
    <col collapsed="false" customWidth="true" hidden="false" outlineLevel="0" max="12686" min="12686" style="67" width="6"/>
    <col collapsed="false" customWidth="true" hidden="false" outlineLevel="0" max="12687" min="12687" style="67" width="6.34"/>
    <col collapsed="false" customWidth="true" hidden="false" outlineLevel="0" max="12688" min="12688" style="67" width="8.67"/>
    <col collapsed="false" customWidth="true" hidden="false" outlineLevel="0" max="12689" min="12689" style="67" width="3.45"/>
    <col collapsed="false" customWidth="true" hidden="false" outlineLevel="0" max="12690" min="12690" style="67" width="3"/>
    <col collapsed="false" customWidth="true" hidden="false" outlineLevel="0" max="12691" min="12691" style="67" width="4.33"/>
    <col collapsed="false" customWidth="true" hidden="false" outlineLevel="0" max="12692" min="12692" style="67" width="5.56"/>
    <col collapsed="false" customWidth="true" hidden="false" outlineLevel="0" max="12693" min="12693" style="67" width="4.67"/>
    <col collapsed="false" customWidth="true" hidden="false" outlineLevel="0" max="12694" min="12694" style="67" width="15.45"/>
    <col collapsed="false" customWidth="false" hidden="false" outlineLevel="0" max="12698" min="12695" style="67" width="9.11"/>
    <col collapsed="false" customWidth="true" hidden="false" outlineLevel="0" max="12699" min="12699" style="67" width="10.44"/>
    <col collapsed="false" customWidth="true" hidden="false" outlineLevel="0" max="12700" min="12700" style="67" width="18"/>
    <col collapsed="false" customWidth="false" hidden="false" outlineLevel="0" max="12931" min="12701" style="67" width="9.11"/>
    <col collapsed="false" customWidth="true" hidden="false" outlineLevel="0" max="12932" min="12932" style="67" width="7.33"/>
    <col collapsed="false" customWidth="true" hidden="false" outlineLevel="0" max="12933" min="12933" style="67" width="5"/>
    <col collapsed="false" customWidth="true" hidden="false" outlineLevel="0" max="12934" min="12934" style="67" width="5.44"/>
    <col collapsed="false" customWidth="true" hidden="false" outlineLevel="0" max="12935" min="12935" style="67" width="9.66"/>
    <col collapsed="false" customWidth="true" hidden="false" outlineLevel="0" max="12936" min="12936" style="67" width="5.44"/>
    <col collapsed="false" customWidth="true" hidden="false" outlineLevel="0" max="12937" min="12937" style="67" width="2"/>
    <col collapsed="false" customWidth="true" hidden="false" outlineLevel="0" max="12938" min="12938" style="67" width="7.55"/>
    <col collapsed="false" customWidth="true" hidden="false" outlineLevel="0" max="12939" min="12939" style="67" width="8.67"/>
    <col collapsed="false" customWidth="true" hidden="false" outlineLevel="0" max="12940" min="12940" style="67" width="4.67"/>
    <col collapsed="false" customWidth="true" hidden="false" outlineLevel="0" max="12941" min="12941" style="67" width="8.67"/>
    <col collapsed="false" customWidth="true" hidden="false" outlineLevel="0" max="12942" min="12942" style="67" width="6"/>
    <col collapsed="false" customWidth="true" hidden="false" outlineLevel="0" max="12943" min="12943" style="67" width="6.34"/>
    <col collapsed="false" customWidth="true" hidden="false" outlineLevel="0" max="12944" min="12944" style="67" width="8.67"/>
    <col collapsed="false" customWidth="true" hidden="false" outlineLevel="0" max="12945" min="12945" style="67" width="3.45"/>
    <col collapsed="false" customWidth="true" hidden="false" outlineLevel="0" max="12946" min="12946" style="67" width="3"/>
    <col collapsed="false" customWidth="true" hidden="false" outlineLevel="0" max="12947" min="12947" style="67" width="4.33"/>
    <col collapsed="false" customWidth="true" hidden="false" outlineLevel="0" max="12948" min="12948" style="67" width="5.56"/>
    <col collapsed="false" customWidth="true" hidden="false" outlineLevel="0" max="12949" min="12949" style="67" width="4.67"/>
    <col collapsed="false" customWidth="true" hidden="false" outlineLevel="0" max="12950" min="12950" style="67" width="15.45"/>
    <col collapsed="false" customWidth="false" hidden="false" outlineLevel="0" max="12954" min="12951" style="67" width="9.11"/>
    <col collapsed="false" customWidth="true" hidden="false" outlineLevel="0" max="12955" min="12955" style="67" width="10.44"/>
    <col collapsed="false" customWidth="true" hidden="false" outlineLevel="0" max="12956" min="12956" style="67" width="18"/>
    <col collapsed="false" customWidth="false" hidden="false" outlineLevel="0" max="13187" min="12957" style="67" width="9.11"/>
    <col collapsed="false" customWidth="true" hidden="false" outlineLevel="0" max="13188" min="13188" style="67" width="7.33"/>
    <col collapsed="false" customWidth="true" hidden="false" outlineLevel="0" max="13189" min="13189" style="67" width="5"/>
    <col collapsed="false" customWidth="true" hidden="false" outlineLevel="0" max="13190" min="13190" style="67" width="5.44"/>
    <col collapsed="false" customWidth="true" hidden="false" outlineLevel="0" max="13191" min="13191" style="67" width="9.66"/>
    <col collapsed="false" customWidth="true" hidden="false" outlineLevel="0" max="13192" min="13192" style="67" width="5.44"/>
    <col collapsed="false" customWidth="true" hidden="false" outlineLevel="0" max="13193" min="13193" style="67" width="2"/>
    <col collapsed="false" customWidth="true" hidden="false" outlineLevel="0" max="13194" min="13194" style="67" width="7.55"/>
    <col collapsed="false" customWidth="true" hidden="false" outlineLevel="0" max="13195" min="13195" style="67" width="8.67"/>
    <col collapsed="false" customWidth="true" hidden="false" outlineLevel="0" max="13196" min="13196" style="67" width="4.67"/>
    <col collapsed="false" customWidth="true" hidden="false" outlineLevel="0" max="13197" min="13197" style="67" width="8.67"/>
    <col collapsed="false" customWidth="true" hidden="false" outlineLevel="0" max="13198" min="13198" style="67" width="6"/>
    <col collapsed="false" customWidth="true" hidden="false" outlineLevel="0" max="13199" min="13199" style="67" width="6.34"/>
    <col collapsed="false" customWidth="true" hidden="false" outlineLevel="0" max="13200" min="13200" style="67" width="8.67"/>
    <col collapsed="false" customWidth="true" hidden="false" outlineLevel="0" max="13201" min="13201" style="67" width="3.45"/>
    <col collapsed="false" customWidth="true" hidden="false" outlineLevel="0" max="13202" min="13202" style="67" width="3"/>
    <col collapsed="false" customWidth="true" hidden="false" outlineLevel="0" max="13203" min="13203" style="67" width="4.33"/>
    <col collapsed="false" customWidth="true" hidden="false" outlineLevel="0" max="13204" min="13204" style="67" width="5.56"/>
    <col collapsed="false" customWidth="true" hidden="false" outlineLevel="0" max="13205" min="13205" style="67" width="4.67"/>
    <col collapsed="false" customWidth="true" hidden="false" outlineLevel="0" max="13206" min="13206" style="67" width="15.45"/>
    <col collapsed="false" customWidth="false" hidden="false" outlineLevel="0" max="13210" min="13207" style="67" width="9.11"/>
    <col collapsed="false" customWidth="true" hidden="false" outlineLevel="0" max="13211" min="13211" style="67" width="10.44"/>
    <col collapsed="false" customWidth="true" hidden="false" outlineLevel="0" max="13212" min="13212" style="67" width="18"/>
    <col collapsed="false" customWidth="false" hidden="false" outlineLevel="0" max="13443" min="13213" style="67" width="9.11"/>
    <col collapsed="false" customWidth="true" hidden="false" outlineLevel="0" max="13444" min="13444" style="67" width="7.33"/>
    <col collapsed="false" customWidth="true" hidden="false" outlineLevel="0" max="13445" min="13445" style="67" width="5"/>
    <col collapsed="false" customWidth="true" hidden="false" outlineLevel="0" max="13446" min="13446" style="67" width="5.44"/>
    <col collapsed="false" customWidth="true" hidden="false" outlineLevel="0" max="13447" min="13447" style="67" width="9.66"/>
    <col collapsed="false" customWidth="true" hidden="false" outlineLevel="0" max="13448" min="13448" style="67" width="5.44"/>
    <col collapsed="false" customWidth="true" hidden="false" outlineLevel="0" max="13449" min="13449" style="67" width="2"/>
    <col collapsed="false" customWidth="true" hidden="false" outlineLevel="0" max="13450" min="13450" style="67" width="7.55"/>
    <col collapsed="false" customWidth="true" hidden="false" outlineLevel="0" max="13451" min="13451" style="67" width="8.67"/>
    <col collapsed="false" customWidth="true" hidden="false" outlineLevel="0" max="13452" min="13452" style="67" width="4.67"/>
    <col collapsed="false" customWidth="true" hidden="false" outlineLevel="0" max="13453" min="13453" style="67" width="8.67"/>
    <col collapsed="false" customWidth="true" hidden="false" outlineLevel="0" max="13454" min="13454" style="67" width="6"/>
    <col collapsed="false" customWidth="true" hidden="false" outlineLevel="0" max="13455" min="13455" style="67" width="6.34"/>
    <col collapsed="false" customWidth="true" hidden="false" outlineLevel="0" max="13456" min="13456" style="67" width="8.67"/>
    <col collapsed="false" customWidth="true" hidden="false" outlineLevel="0" max="13457" min="13457" style="67" width="3.45"/>
    <col collapsed="false" customWidth="true" hidden="false" outlineLevel="0" max="13458" min="13458" style="67" width="3"/>
    <col collapsed="false" customWidth="true" hidden="false" outlineLevel="0" max="13459" min="13459" style="67" width="4.33"/>
    <col collapsed="false" customWidth="true" hidden="false" outlineLevel="0" max="13460" min="13460" style="67" width="5.56"/>
    <col collapsed="false" customWidth="true" hidden="false" outlineLevel="0" max="13461" min="13461" style="67" width="4.67"/>
    <col collapsed="false" customWidth="true" hidden="false" outlineLevel="0" max="13462" min="13462" style="67" width="15.45"/>
    <col collapsed="false" customWidth="false" hidden="false" outlineLevel="0" max="13466" min="13463" style="67" width="9.11"/>
    <col collapsed="false" customWidth="true" hidden="false" outlineLevel="0" max="13467" min="13467" style="67" width="10.44"/>
    <col collapsed="false" customWidth="true" hidden="false" outlineLevel="0" max="13468" min="13468" style="67" width="18"/>
    <col collapsed="false" customWidth="false" hidden="false" outlineLevel="0" max="13699" min="13469" style="67" width="9.11"/>
    <col collapsed="false" customWidth="true" hidden="false" outlineLevel="0" max="13700" min="13700" style="67" width="7.33"/>
    <col collapsed="false" customWidth="true" hidden="false" outlineLevel="0" max="13701" min="13701" style="67" width="5"/>
    <col collapsed="false" customWidth="true" hidden="false" outlineLevel="0" max="13702" min="13702" style="67" width="5.44"/>
    <col collapsed="false" customWidth="true" hidden="false" outlineLevel="0" max="13703" min="13703" style="67" width="9.66"/>
    <col collapsed="false" customWidth="true" hidden="false" outlineLevel="0" max="13704" min="13704" style="67" width="5.44"/>
    <col collapsed="false" customWidth="true" hidden="false" outlineLevel="0" max="13705" min="13705" style="67" width="2"/>
    <col collapsed="false" customWidth="true" hidden="false" outlineLevel="0" max="13706" min="13706" style="67" width="7.55"/>
    <col collapsed="false" customWidth="true" hidden="false" outlineLevel="0" max="13707" min="13707" style="67" width="8.67"/>
    <col collapsed="false" customWidth="true" hidden="false" outlineLevel="0" max="13708" min="13708" style="67" width="4.67"/>
    <col collapsed="false" customWidth="true" hidden="false" outlineLevel="0" max="13709" min="13709" style="67" width="8.67"/>
    <col collapsed="false" customWidth="true" hidden="false" outlineLevel="0" max="13710" min="13710" style="67" width="6"/>
    <col collapsed="false" customWidth="true" hidden="false" outlineLevel="0" max="13711" min="13711" style="67" width="6.34"/>
    <col collapsed="false" customWidth="true" hidden="false" outlineLevel="0" max="13712" min="13712" style="67" width="8.67"/>
    <col collapsed="false" customWidth="true" hidden="false" outlineLevel="0" max="13713" min="13713" style="67" width="3.45"/>
    <col collapsed="false" customWidth="true" hidden="false" outlineLevel="0" max="13714" min="13714" style="67" width="3"/>
    <col collapsed="false" customWidth="true" hidden="false" outlineLevel="0" max="13715" min="13715" style="67" width="4.33"/>
    <col collapsed="false" customWidth="true" hidden="false" outlineLevel="0" max="13716" min="13716" style="67" width="5.56"/>
    <col collapsed="false" customWidth="true" hidden="false" outlineLevel="0" max="13717" min="13717" style="67" width="4.67"/>
    <col collapsed="false" customWidth="true" hidden="false" outlineLevel="0" max="13718" min="13718" style="67" width="15.45"/>
    <col collapsed="false" customWidth="false" hidden="false" outlineLevel="0" max="13722" min="13719" style="67" width="9.11"/>
    <col collapsed="false" customWidth="true" hidden="false" outlineLevel="0" max="13723" min="13723" style="67" width="10.44"/>
    <col collapsed="false" customWidth="true" hidden="false" outlineLevel="0" max="13724" min="13724" style="67" width="18"/>
    <col collapsed="false" customWidth="false" hidden="false" outlineLevel="0" max="13955" min="13725" style="67" width="9.11"/>
    <col collapsed="false" customWidth="true" hidden="false" outlineLevel="0" max="13956" min="13956" style="67" width="7.33"/>
    <col collapsed="false" customWidth="true" hidden="false" outlineLevel="0" max="13957" min="13957" style="67" width="5"/>
    <col collapsed="false" customWidth="true" hidden="false" outlineLevel="0" max="13958" min="13958" style="67" width="5.44"/>
    <col collapsed="false" customWidth="true" hidden="false" outlineLevel="0" max="13959" min="13959" style="67" width="9.66"/>
    <col collapsed="false" customWidth="true" hidden="false" outlineLevel="0" max="13960" min="13960" style="67" width="5.44"/>
    <col collapsed="false" customWidth="true" hidden="false" outlineLevel="0" max="13961" min="13961" style="67" width="2"/>
    <col collapsed="false" customWidth="true" hidden="false" outlineLevel="0" max="13962" min="13962" style="67" width="7.55"/>
    <col collapsed="false" customWidth="true" hidden="false" outlineLevel="0" max="13963" min="13963" style="67" width="8.67"/>
    <col collapsed="false" customWidth="true" hidden="false" outlineLevel="0" max="13964" min="13964" style="67" width="4.67"/>
    <col collapsed="false" customWidth="true" hidden="false" outlineLevel="0" max="13965" min="13965" style="67" width="8.67"/>
    <col collapsed="false" customWidth="true" hidden="false" outlineLevel="0" max="13966" min="13966" style="67" width="6"/>
    <col collapsed="false" customWidth="true" hidden="false" outlineLevel="0" max="13967" min="13967" style="67" width="6.34"/>
    <col collapsed="false" customWidth="true" hidden="false" outlineLevel="0" max="13968" min="13968" style="67" width="8.67"/>
    <col collapsed="false" customWidth="true" hidden="false" outlineLevel="0" max="13969" min="13969" style="67" width="3.45"/>
    <col collapsed="false" customWidth="true" hidden="false" outlineLevel="0" max="13970" min="13970" style="67" width="3"/>
    <col collapsed="false" customWidth="true" hidden="false" outlineLevel="0" max="13971" min="13971" style="67" width="4.33"/>
    <col collapsed="false" customWidth="true" hidden="false" outlineLevel="0" max="13972" min="13972" style="67" width="5.56"/>
    <col collapsed="false" customWidth="true" hidden="false" outlineLevel="0" max="13973" min="13973" style="67" width="4.67"/>
    <col collapsed="false" customWidth="true" hidden="false" outlineLevel="0" max="13974" min="13974" style="67" width="15.45"/>
    <col collapsed="false" customWidth="false" hidden="false" outlineLevel="0" max="13978" min="13975" style="67" width="9.11"/>
    <col collapsed="false" customWidth="true" hidden="false" outlineLevel="0" max="13979" min="13979" style="67" width="10.44"/>
    <col collapsed="false" customWidth="true" hidden="false" outlineLevel="0" max="13980" min="13980" style="67" width="18"/>
    <col collapsed="false" customWidth="false" hidden="false" outlineLevel="0" max="14211" min="13981" style="67" width="9.11"/>
    <col collapsed="false" customWidth="true" hidden="false" outlineLevel="0" max="14212" min="14212" style="67" width="7.33"/>
    <col collapsed="false" customWidth="true" hidden="false" outlineLevel="0" max="14213" min="14213" style="67" width="5"/>
    <col collapsed="false" customWidth="true" hidden="false" outlineLevel="0" max="14214" min="14214" style="67" width="5.44"/>
    <col collapsed="false" customWidth="true" hidden="false" outlineLevel="0" max="14215" min="14215" style="67" width="9.66"/>
    <col collapsed="false" customWidth="true" hidden="false" outlineLevel="0" max="14216" min="14216" style="67" width="5.44"/>
    <col collapsed="false" customWidth="true" hidden="false" outlineLevel="0" max="14217" min="14217" style="67" width="2"/>
    <col collapsed="false" customWidth="true" hidden="false" outlineLevel="0" max="14218" min="14218" style="67" width="7.55"/>
    <col collapsed="false" customWidth="true" hidden="false" outlineLevel="0" max="14219" min="14219" style="67" width="8.67"/>
    <col collapsed="false" customWidth="true" hidden="false" outlineLevel="0" max="14220" min="14220" style="67" width="4.67"/>
    <col collapsed="false" customWidth="true" hidden="false" outlineLevel="0" max="14221" min="14221" style="67" width="8.67"/>
    <col collapsed="false" customWidth="true" hidden="false" outlineLevel="0" max="14222" min="14222" style="67" width="6"/>
    <col collapsed="false" customWidth="true" hidden="false" outlineLevel="0" max="14223" min="14223" style="67" width="6.34"/>
    <col collapsed="false" customWidth="true" hidden="false" outlineLevel="0" max="14224" min="14224" style="67" width="8.67"/>
    <col collapsed="false" customWidth="true" hidden="false" outlineLevel="0" max="14225" min="14225" style="67" width="3.45"/>
    <col collapsed="false" customWidth="true" hidden="false" outlineLevel="0" max="14226" min="14226" style="67" width="3"/>
    <col collapsed="false" customWidth="true" hidden="false" outlineLevel="0" max="14227" min="14227" style="67" width="4.33"/>
    <col collapsed="false" customWidth="true" hidden="false" outlineLevel="0" max="14228" min="14228" style="67" width="5.56"/>
    <col collapsed="false" customWidth="true" hidden="false" outlineLevel="0" max="14229" min="14229" style="67" width="4.67"/>
    <col collapsed="false" customWidth="true" hidden="false" outlineLevel="0" max="14230" min="14230" style="67" width="15.45"/>
    <col collapsed="false" customWidth="false" hidden="false" outlineLevel="0" max="14234" min="14231" style="67" width="9.11"/>
    <col collapsed="false" customWidth="true" hidden="false" outlineLevel="0" max="14235" min="14235" style="67" width="10.44"/>
    <col collapsed="false" customWidth="true" hidden="false" outlineLevel="0" max="14236" min="14236" style="67" width="18"/>
    <col collapsed="false" customWidth="false" hidden="false" outlineLevel="0" max="14467" min="14237" style="67" width="9.11"/>
    <col collapsed="false" customWidth="true" hidden="false" outlineLevel="0" max="14468" min="14468" style="67" width="7.33"/>
    <col collapsed="false" customWidth="true" hidden="false" outlineLevel="0" max="14469" min="14469" style="67" width="5"/>
    <col collapsed="false" customWidth="true" hidden="false" outlineLevel="0" max="14470" min="14470" style="67" width="5.44"/>
    <col collapsed="false" customWidth="true" hidden="false" outlineLevel="0" max="14471" min="14471" style="67" width="9.66"/>
    <col collapsed="false" customWidth="true" hidden="false" outlineLevel="0" max="14472" min="14472" style="67" width="5.44"/>
    <col collapsed="false" customWidth="true" hidden="false" outlineLevel="0" max="14473" min="14473" style="67" width="2"/>
    <col collapsed="false" customWidth="true" hidden="false" outlineLevel="0" max="14474" min="14474" style="67" width="7.55"/>
    <col collapsed="false" customWidth="true" hidden="false" outlineLevel="0" max="14475" min="14475" style="67" width="8.67"/>
    <col collapsed="false" customWidth="true" hidden="false" outlineLevel="0" max="14476" min="14476" style="67" width="4.67"/>
    <col collapsed="false" customWidth="true" hidden="false" outlineLevel="0" max="14477" min="14477" style="67" width="8.67"/>
    <col collapsed="false" customWidth="true" hidden="false" outlineLevel="0" max="14478" min="14478" style="67" width="6"/>
    <col collapsed="false" customWidth="true" hidden="false" outlineLevel="0" max="14479" min="14479" style="67" width="6.34"/>
    <col collapsed="false" customWidth="true" hidden="false" outlineLevel="0" max="14480" min="14480" style="67" width="8.67"/>
    <col collapsed="false" customWidth="true" hidden="false" outlineLevel="0" max="14481" min="14481" style="67" width="3.45"/>
    <col collapsed="false" customWidth="true" hidden="false" outlineLevel="0" max="14482" min="14482" style="67" width="3"/>
    <col collapsed="false" customWidth="true" hidden="false" outlineLevel="0" max="14483" min="14483" style="67" width="4.33"/>
    <col collapsed="false" customWidth="true" hidden="false" outlineLevel="0" max="14484" min="14484" style="67" width="5.56"/>
    <col collapsed="false" customWidth="true" hidden="false" outlineLevel="0" max="14485" min="14485" style="67" width="4.67"/>
    <col collapsed="false" customWidth="true" hidden="false" outlineLevel="0" max="14486" min="14486" style="67" width="15.45"/>
    <col collapsed="false" customWidth="false" hidden="false" outlineLevel="0" max="14490" min="14487" style="67" width="9.11"/>
    <col collapsed="false" customWidth="true" hidden="false" outlineLevel="0" max="14491" min="14491" style="67" width="10.44"/>
    <col collapsed="false" customWidth="true" hidden="false" outlineLevel="0" max="14492" min="14492" style="67" width="18"/>
    <col collapsed="false" customWidth="false" hidden="false" outlineLevel="0" max="14723" min="14493" style="67" width="9.11"/>
    <col collapsed="false" customWidth="true" hidden="false" outlineLevel="0" max="14724" min="14724" style="67" width="7.33"/>
    <col collapsed="false" customWidth="true" hidden="false" outlineLevel="0" max="14725" min="14725" style="67" width="5"/>
    <col collapsed="false" customWidth="true" hidden="false" outlineLevel="0" max="14726" min="14726" style="67" width="5.44"/>
    <col collapsed="false" customWidth="true" hidden="false" outlineLevel="0" max="14727" min="14727" style="67" width="9.66"/>
    <col collapsed="false" customWidth="true" hidden="false" outlineLevel="0" max="14728" min="14728" style="67" width="5.44"/>
    <col collapsed="false" customWidth="true" hidden="false" outlineLevel="0" max="14729" min="14729" style="67" width="2"/>
    <col collapsed="false" customWidth="true" hidden="false" outlineLevel="0" max="14730" min="14730" style="67" width="7.55"/>
    <col collapsed="false" customWidth="true" hidden="false" outlineLevel="0" max="14731" min="14731" style="67" width="8.67"/>
    <col collapsed="false" customWidth="true" hidden="false" outlineLevel="0" max="14732" min="14732" style="67" width="4.67"/>
    <col collapsed="false" customWidth="true" hidden="false" outlineLevel="0" max="14733" min="14733" style="67" width="8.67"/>
    <col collapsed="false" customWidth="true" hidden="false" outlineLevel="0" max="14734" min="14734" style="67" width="6"/>
    <col collapsed="false" customWidth="true" hidden="false" outlineLevel="0" max="14735" min="14735" style="67" width="6.34"/>
    <col collapsed="false" customWidth="true" hidden="false" outlineLevel="0" max="14736" min="14736" style="67" width="8.67"/>
    <col collapsed="false" customWidth="true" hidden="false" outlineLevel="0" max="14737" min="14737" style="67" width="3.45"/>
    <col collapsed="false" customWidth="true" hidden="false" outlineLevel="0" max="14738" min="14738" style="67" width="3"/>
    <col collapsed="false" customWidth="true" hidden="false" outlineLevel="0" max="14739" min="14739" style="67" width="4.33"/>
    <col collapsed="false" customWidth="true" hidden="false" outlineLevel="0" max="14740" min="14740" style="67" width="5.56"/>
    <col collapsed="false" customWidth="true" hidden="false" outlineLevel="0" max="14741" min="14741" style="67" width="4.67"/>
    <col collapsed="false" customWidth="true" hidden="false" outlineLevel="0" max="14742" min="14742" style="67" width="15.45"/>
    <col collapsed="false" customWidth="false" hidden="false" outlineLevel="0" max="14746" min="14743" style="67" width="9.11"/>
    <col collapsed="false" customWidth="true" hidden="false" outlineLevel="0" max="14747" min="14747" style="67" width="10.44"/>
    <col collapsed="false" customWidth="true" hidden="false" outlineLevel="0" max="14748" min="14748" style="67" width="18"/>
    <col collapsed="false" customWidth="false" hidden="false" outlineLevel="0" max="14979" min="14749" style="67" width="9.11"/>
    <col collapsed="false" customWidth="true" hidden="false" outlineLevel="0" max="14980" min="14980" style="67" width="7.33"/>
    <col collapsed="false" customWidth="true" hidden="false" outlineLevel="0" max="14981" min="14981" style="67" width="5"/>
    <col collapsed="false" customWidth="true" hidden="false" outlineLevel="0" max="14982" min="14982" style="67" width="5.44"/>
    <col collapsed="false" customWidth="true" hidden="false" outlineLevel="0" max="14983" min="14983" style="67" width="9.66"/>
    <col collapsed="false" customWidth="true" hidden="false" outlineLevel="0" max="14984" min="14984" style="67" width="5.44"/>
    <col collapsed="false" customWidth="true" hidden="false" outlineLevel="0" max="14985" min="14985" style="67" width="2"/>
    <col collapsed="false" customWidth="true" hidden="false" outlineLevel="0" max="14986" min="14986" style="67" width="7.55"/>
    <col collapsed="false" customWidth="true" hidden="false" outlineLevel="0" max="14987" min="14987" style="67" width="8.67"/>
    <col collapsed="false" customWidth="true" hidden="false" outlineLevel="0" max="14988" min="14988" style="67" width="4.67"/>
    <col collapsed="false" customWidth="true" hidden="false" outlineLevel="0" max="14989" min="14989" style="67" width="8.67"/>
    <col collapsed="false" customWidth="true" hidden="false" outlineLevel="0" max="14990" min="14990" style="67" width="6"/>
    <col collapsed="false" customWidth="true" hidden="false" outlineLevel="0" max="14991" min="14991" style="67" width="6.34"/>
    <col collapsed="false" customWidth="true" hidden="false" outlineLevel="0" max="14992" min="14992" style="67" width="8.67"/>
    <col collapsed="false" customWidth="true" hidden="false" outlineLevel="0" max="14993" min="14993" style="67" width="3.45"/>
    <col collapsed="false" customWidth="true" hidden="false" outlineLevel="0" max="14994" min="14994" style="67" width="3"/>
    <col collapsed="false" customWidth="true" hidden="false" outlineLevel="0" max="14995" min="14995" style="67" width="4.33"/>
    <col collapsed="false" customWidth="true" hidden="false" outlineLevel="0" max="14996" min="14996" style="67" width="5.56"/>
    <col collapsed="false" customWidth="true" hidden="false" outlineLevel="0" max="14997" min="14997" style="67" width="4.67"/>
    <col collapsed="false" customWidth="true" hidden="false" outlineLevel="0" max="14998" min="14998" style="67" width="15.45"/>
    <col collapsed="false" customWidth="false" hidden="false" outlineLevel="0" max="15002" min="14999" style="67" width="9.11"/>
    <col collapsed="false" customWidth="true" hidden="false" outlineLevel="0" max="15003" min="15003" style="67" width="10.44"/>
    <col collapsed="false" customWidth="true" hidden="false" outlineLevel="0" max="15004" min="15004" style="67" width="18"/>
    <col collapsed="false" customWidth="false" hidden="false" outlineLevel="0" max="15235" min="15005" style="67" width="9.11"/>
    <col collapsed="false" customWidth="true" hidden="false" outlineLevel="0" max="15236" min="15236" style="67" width="7.33"/>
    <col collapsed="false" customWidth="true" hidden="false" outlineLevel="0" max="15237" min="15237" style="67" width="5"/>
    <col collapsed="false" customWidth="true" hidden="false" outlineLevel="0" max="15238" min="15238" style="67" width="5.44"/>
    <col collapsed="false" customWidth="true" hidden="false" outlineLevel="0" max="15239" min="15239" style="67" width="9.66"/>
    <col collapsed="false" customWidth="true" hidden="false" outlineLevel="0" max="15240" min="15240" style="67" width="5.44"/>
    <col collapsed="false" customWidth="true" hidden="false" outlineLevel="0" max="15241" min="15241" style="67" width="2"/>
    <col collapsed="false" customWidth="true" hidden="false" outlineLevel="0" max="15242" min="15242" style="67" width="7.55"/>
    <col collapsed="false" customWidth="true" hidden="false" outlineLevel="0" max="15243" min="15243" style="67" width="8.67"/>
    <col collapsed="false" customWidth="true" hidden="false" outlineLevel="0" max="15244" min="15244" style="67" width="4.67"/>
    <col collapsed="false" customWidth="true" hidden="false" outlineLevel="0" max="15245" min="15245" style="67" width="8.67"/>
    <col collapsed="false" customWidth="true" hidden="false" outlineLevel="0" max="15246" min="15246" style="67" width="6"/>
    <col collapsed="false" customWidth="true" hidden="false" outlineLevel="0" max="15247" min="15247" style="67" width="6.34"/>
    <col collapsed="false" customWidth="true" hidden="false" outlineLevel="0" max="15248" min="15248" style="67" width="8.67"/>
    <col collapsed="false" customWidth="true" hidden="false" outlineLevel="0" max="15249" min="15249" style="67" width="3.45"/>
    <col collapsed="false" customWidth="true" hidden="false" outlineLevel="0" max="15250" min="15250" style="67" width="3"/>
    <col collapsed="false" customWidth="true" hidden="false" outlineLevel="0" max="15251" min="15251" style="67" width="4.33"/>
    <col collapsed="false" customWidth="true" hidden="false" outlineLevel="0" max="15252" min="15252" style="67" width="5.56"/>
    <col collapsed="false" customWidth="true" hidden="false" outlineLevel="0" max="15253" min="15253" style="67" width="4.67"/>
    <col collapsed="false" customWidth="true" hidden="false" outlineLevel="0" max="15254" min="15254" style="67" width="15.45"/>
    <col collapsed="false" customWidth="false" hidden="false" outlineLevel="0" max="15258" min="15255" style="67" width="9.11"/>
    <col collapsed="false" customWidth="true" hidden="false" outlineLevel="0" max="15259" min="15259" style="67" width="10.44"/>
    <col collapsed="false" customWidth="true" hidden="false" outlineLevel="0" max="15260" min="15260" style="67" width="18"/>
    <col collapsed="false" customWidth="false" hidden="false" outlineLevel="0" max="15491" min="15261" style="67" width="9.11"/>
    <col collapsed="false" customWidth="true" hidden="false" outlineLevel="0" max="15492" min="15492" style="67" width="7.33"/>
    <col collapsed="false" customWidth="true" hidden="false" outlineLevel="0" max="15493" min="15493" style="67" width="5"/>
    <col collapsed="false" customWidth="true" hidden="false" outlineLevel="0" max="15494" min="15494" style="67" width="5.44"/>
    <col collapsed="false" customWidth="true" hidden="false" outlineLevel="0" max="15495" min="15495" style="67" width="9.66"/>
    <col collapsed="false" customWidth="true" hidden="false" outlineLevel="0" max="15496" min="15496" style="67" width="5.44"/>
    <col collapsed="false" customWidth="true" hidden="false" outlineLevel="0" max="15497" min="15497" style="67" width="2"/>
    <col collapsed="false" customWidth="true" hidden="false" outlineLevel="0" max="15498" min="15498" style="67" width="7.55"/>
    <col collapsed="false" customWidth="true" hidden="false" outlineLevel="0" max="15499" min="15499" style="67" width="8.67"/>
    <col collapsed="false" customWidth="true" hidden="false" outlineLevel="0" max="15500" min="15500" style="67" width="4.67"/>
    <col collapsed="false" customWidth="true" hidden="false" outlineLevel="0" max="15501" min="15501" style="67" width="8.67"/>
    <col collapsed="false" customWidth="true" hidden="false" outlineLevel="0" max="15502" min="15502" style="67" width="6"/>
    <col collapsed="false" customWidth="true" hidden="false" outlineLevel="0" max="15503" min="15503" style="67" width="6.34"/>
    <col collapsed="false" customWidth="true" hidden="false" outlineLevel="0" max="15504" min="15504" style="67" width="8.67"/>
    <col collapsed="false" customWidth="true" hidden="false" outlineLevel="0" max="15505" min="15505" style="67" width="3.45"/>
    <col collapsed="false" customWidth="true" hidden="false" outlineLevel="0" max="15506" min="15506" style="67" width="3"/>
    <col collapsed="false" customWidth="true" hidden="false" outlineLevel="0" max="15507" min="15507" style="67" width="4.33"/>
    <col collapsed="false" customWidth="true" hidden="false" outlineLevel="0" max="15508" min="15508" style="67" width="5.56"/>
    <col collapsed="false" customWidth="true" hidden="false" outlineLevel="0" max="15509" min="15509" style="67" width="4.67"/>
    <col collapsed="false" customWidth="true" hidden="false" outlineLevel="0" max="15510" min="15510" style="67" width="15.45"/>
    <col collapsed="false" customWidth="false" hidden="false" outlineLevel="0" max="15514" min="15511" style="67" width="9.11"/>
    <col collapsed="false" customWidth="true" hidden="false" outlineLevel="0" max="15515" min="15515" style="67" width="10.44"/>
    <col collapsed="false" customWidth="true" hidden="false" outlineLevel="0" max="15516" min="15516" style="67" width="18"/>
    <col collapsed="false" customWidth="false" hidden="false" outlineLevel="0" max="15747" min="15517" style="67" width="9.11"/>
    <col collapsed="false" customWidth="true" hidden="false" outlineLevel="0" max="15748" min="15748" style="67" width="7.33"/>
    <col collapsed="false" customWidth="true" hidden="false" outlineLevel="0" max="15749" min="15749" style="67" width="5"/>
    <col collapsed="false" customWidth="true" hidden="false" outlineLevel="0" max="15750" min="15750" style="67" width="5.44"/>
    <col collapsed="false" customWidth="true" hidden="false" outlineLevel="0" max="15751" min="15751" style="67" width="9.66"/>
    <col collapsed="false" customWidth="true" hidden="false" outlineLevel="0" max="15752" min="15752" style="67" width="5.44"/>
    <col collapsed="false" customWidth="true" hidden="false" outlineLevel="0" max="15753" min="15753" style="67" width="2"/>
    <col collapsed="false" customWidth="true" hidden="false" outlineLevel="0" max="15754" min="15754" style="67" width="7.55"/>
    <col collapsed="false" customWidth="true" hidden="false" outlineLevel="0" max="15755" min="15755" style="67" width="8.67"/>
    <col collapsed="false" customWidth="true" hidden="false" outlineLevel="0" max="15756" min="15756" style="67" width="4.67"/>
    <col collapsed="false" customWidth="true" hidden="false" outlineLevel="0" max="15757" min="15757" style="67" width="8.67"/>
    <col collapsed="false" customWidth="true" hidden="false" outlineLevel="0" max="15758" min="15758" style="67" width="6"/>
    <col collapsed="false" customWidth="true" hidden="false" outlineLevel="0" max="15759" min="15759" style="67" width="6.34"/>
    <col collapsed="false" customWidth="true" hidden="false" outlineLevel="0" max="15760" min="15760" style="67" width="8.67"/>
    <col collapsed="false" customWidth="true" hidden="false" outlineLevel="0" max="15761" min="15761" style="67" width="3.45"/>
    <col collapsed="false" customWidth="true" hidden="false" outlineLevel="0" max="15762" min="15762" style="67" width="3"/>
    <col collapsed="false" customWidth="true" hidden="false" outlineLevel="0" max="15763" min="15763" style="67" width="4.33"/>
    <col collapsed="false" customWidth="true" hidden="false" outlineLevel="0" max="15764" min="15764" style="67" width="5.56"/>
    <col collapsed="false" customWidth="true" hidden="false" outlineLevel="0" max="15765" min="15765" style="67" width="4.67"/>
    <col collapsed="false" customWidth="true" hidden="false" outlineLevel="0" max="15766" min="15766" style="67" width="15.45"/>
    <col collapsed="false" customWidth="false" hidden="false" outlineLevel="0" max="15770" min="15767" style="67" width="9.11"/>
    <col collapsed="false" customWidth="true" hidden="false" outlineLevel="0" max="15771" min="15771" style="67" width="10.44"/>
    <col collapsed="false" customWidth="true" hidden="false" outlineLevel="0" max="15772" min="15772" style="67" width="18"/>
    <col collapsed="false" customWidth="false" hidden="false" outlineLevel="0" max="16384" min="15773" style="67" width="9.11"/>
  </cols>
  <sheetData>
    <row r="1" s="71" customFormat="true" ht="55.5" hidden="false" customHeight="true" outlineLevel="0" collapsed="false">
      <c r="A1" s="68"/>
      <c r="B1" s="68"/>
      <c r="C1" s="68"/>
      <c r="D1" s="69" t="s">
        <v>95</v>
      </c>
      <c r="E1" s="69"/>
      <c r="F1" s="69"/>
      <c r="G1" s="69"/>
      <c r="H1" s="69"/>
      <c r="I1" s="69"/>
      <c r="J1" s="69"/>
      <c r="K1" s="69"/>
      <c r="L1" s="69"/>
      <c r="M1" s="69"/>
      <c r="N1" s="69"/>
      <c r="O1" s="69"/>
      <c r="P1" s="69"/>
      <c r="Q1" s="69"/>
      <c r="R1" s="69"/>
      <c r="S1" s="70"/>
    </row>
    <row r="2" s="71" customFormat="true" ht="22.35" hidden="false" customHeight="true" outlineLevel="0" collapsed="false">
      <c r="A2" s="72" t="s">
        <v>96</v>
      </c>
      <c r="B2" s="72"/>
      <c r="C2" s="72"/>
      <c r="D2" s="73" t="s">
        <v>97</v>
      </c>
      <c r="E2" s="73"/>
      <c r="F2" s="73" t="s">
        <v>98</v>
      </c>
      <c r="G2" s="73"/>
      <c r="H2" s="73"/>
      <c r="I2" s="73" t="s">
        <v>99</v>
      </c>
      <c r="J2" s="73"/>
      <c r="K2" s="73"/>
      <c r="L2" s="73" t="s">
        <v>100</v>
      </c>
      <c r="M2" s="73"/>
      <c r="N2" s="73"/>
      <c r="O2" s="73" t="s">
        <v>101</v>
      </c>
      <c r="P2" s="73"/>
      <c r="Q2" s="73"/>
      <c r="R2" s="73"/>
      <c r="S2" s="74" t="s">
        <v>102</v>
      </c>
    </row>
    <row r="3" s="71" customFormat="true" ht="23.25" hidden="false" customHeight="true" outlineLevel="0" collapsed="false">
      <c r="A3" s="75" t="s">
        <v>103</v>
      </c>
      <c r="B3" s="75"/>
      <c r="C3" s="75"/>
      <c r="D3" s="76" t="s">
        <v>104</v>
      </c>
      <c r="E3" s="76"/>
      <c r="F3" s="76" t="s">
        <v>105</v>
      </c>
      <c r="G3" s="76"/>
      <c r="H3" s="76"/>
      <c r="I3" s="76" t="n">
        <v>1</v>
      </c>
      <c r="J3" s="76"/>
      <c r="K3" s="76"/>
      <c r="L3" s="77" t="n">
        <v>43116</v>
      </c>
      <c r="M3" s="77"/>
      <c r="N3" s="77"/>
      <c r="O3" s="76" t="s">
        <v>106</v>
      </c>
      <c r="P3" s="76"/>
      <c r="Q3" s="76"/>
      <c r="R3" s="76"/>
      <c r="S3" s="78" t="s">
        <v>107</v>
      </c>
    </row>
    <row r="4" s="71" customFormat="true" ht="12" hidden="false" customHeight="false" outlineLevel="0" collapsed="false">
      <c r="A4" s="79"/>
      <c r="B4" s="79"/>
      <c r="C4" s="79"/>
      <c r="D4" s="79"/>
      <c r="E4" s="79"/>
      <c r="F4" s="79"/>
      <c r="G4" s="79"/>
      <c r="H4" s="79"/>
      <c r="I4" s="79"/>
      <c r="J4" s="79"/>
      <c r="K4" s="79"/>
      <c r="L4" s="79"/>
      <c r="M4" s="79"/>
      <c r="N4" s="79"/>
      <c r="O4" s="79"/>
      <c r="P4" s="79"/>
      <c r="Q4" s="79"/>
      <c r="R4" s="79"/>
      <c r="S4" s="79"/>
    </row>
    <row r="5" s="84" customFormat="true" ht="21" hidden="false" customHeight="true" outlineLevel="0" collapsed="false">
      <c r="A5" s="80" t="s">
        <v>108</v>
      </c>
      <c r="B5" s="80"/>
      <c r="C5" s="80"/>
      <c r="D5" s="81" t="str">
        <f aca="false">'Master Data'!B11</f>
        <v>4200761193</v>
      </c>
      <c r="E5" s="81"/>
      <c r="F5" s="81"/>
      <c r="G5" s="81"/>
      <c r="H5" s="82" t="s">
        <v>109</v>
      </c>
      <c r="I5" s="82"/>
      <c r="J5" s="82"/>
      <c r="K5" s="81" t="str">
        <f aca="false">'Master Data'!$E$10</f>
        <v>BB-1309</v>
      </c>
      <c r="L5" s="81"/>
      <c r="M5" s="81"/>
      <c r="N5" s="82" t="s">
        <v>110</v>
      </c>
      <c r="O5" s="82"/>
      <c r="P5" s="82"/>
      <c r="Q5" s="82"/>
      <c r="R5" s="83" t="s">
        <v>111</v>
      </c>
      <c r="S5" s="83"/>
    </row>
    <row r="6" s="71" customFormat="true" ht="33.75" hidden="false" customHeight="true" outlineLevel="0" collapsed="false">
      <c r="A6" s="85" t="s">
        <v>112</v>
      </c>
      <c r="B6" s="85"/>
      <c r="C6" s="85"/>
      <c r="D6" s="86"/>
      <c r="E6" s="86"/>
      <c r="F6" s="86"/>
      <c r="G6" s="86"/>
      <c r="H6" s="87" t="s">
        <v>113</v>
      </c>
      <c r="I6" s="87"/>
      <c r="J6" s="87"/>
      <c r="K6" s="88" t="str">
        <f aca="false">'Master Data'!E12</f>
        <v>02-Jul-26</v>
      </c>
      <c r="L6" s="88"/>
      <c r="M6" s="88"/>
      <c r="N6" s="87" t="s">
        <v>114</v>
      </c>
      <c r="O6" s="87"/>
      <c r="P6" s="87"/>
      <c r="Q6" s="87"/>
      <c r="R6" s="89" t="str">
        <f aca="false">'Master Data'!E3</f>
        <v>3-1/2" Single Oil Producer, Alloy-28 Tubing,</v>
      </c>
      <c r="S6" s="89"/>
    </row>
    <row r="7" s="71" customFormat="true" ht="21" hidden="false" customHeight="true" outlineLevel="0" collapsed="false">
      <c r="A7" s="85" t="s">
        <v>115</v>
      </c>
      <c r="B7" s="85"/>
      <c r="C7" s="85"/>
      <c r="D7" s="73" t="str">
        <f aca="false">'Master Data'!B3</f>
        <v>ADNOC ONSHORE</v>
      </c>
      <c r="E7" s="73"/>
      <c r="F7" s="73"/>
      <c r="G7" s="73"/>
      <c r="H7" s="87" t="s">
        <v>116</v>
      </c>
      <c r="I7" s="87"/>
      <c r="J7" s="87"/>
      <c r="K7" s="90" t="str">
        <f aca="false">'Master Data'!E15</f>
        <v>24-Jul-26</v>
      </c>
      <c r="L7" s="90"/>
      <c r="M7" s="90"/>
      <c r="N7" s="87" t="s">
        <v>117</v>
      </c>
      <c r="O7" s="87"/>
      <c r="P7" s="87"/>
      <c r="Q7" s="87"/>
      <c r="R7" s="89" t="str">
        <f aca="false">'Master Data'!B21</f>
        <v>Mahmoud Ali </v>
      </c>
      <c r="S7" s="89"/>
    </row>
    <row r="8" s="71" customFormat="true" ht="26.25" hidden="false" customHeight="true" outlineLevel="0" collapsed="false">
      <c r="A8" s="91" t="s">
        <v>118</v>
      </c>
      <c r="B8" s="91"/>
      <c r="C8" s="91"/>
      <c r="D8" s="92" t="n">
        <f aca="false">'Master Data'!E16</f>
        <v>90</v>
      </c>
      <c r="E8" s="93" t="s">
        <v>119</v>
      </c>
      <c r="F8" s="93"/>
      <c r="G8" s="93"/>
      <c r="H8" s="94" t="n">
        <f aca="false">'Master Data'!E17</f>
        <v>87</v>
      </c>
      <c r="I8" s="93" t="s">
        <v>120</v>
      </c>
      <c r="J8" s="93"/>
      <c r="K8" s="94" t="n">
        <f aca="false">'Master Data'!E18</f>
        <v>0</v>
      </c>
      <c r="L8" s="94"/>
      <c r="M8" s="93" t="s">
        <v>121</v>
      </c>
      <c r="N8" s="93"/>
      <c r="O8" s="94" t="n">
        <f aca="false">'Master Data'!E19</f>
        <v>1</v>
      </c>
      <c r="P8" s="94"/>
      <c r="Q8" s="93" t="s">
        <v>122</v>
      </c>
      <c r="R8" s="93"/>
      <c r="S8" s="95" t="n">
        <f aca="false">'Master Data'!E20</f>
        <v>0</v>
      </c>
    </row>
    <row r="9" s="71" customFormat="true" ht="12" hidden="false" customHeight="false" outlineLevel="0" collapsed="false">
      <c r="A9" s="96"/>
      <c r="B9" s="96"/>
      <c r="C9" s="96"/>
      <c r="D9" s="96"/>
      <c r="E9" s="96"/>
      <c r="F9" s="96"/>
      <c r="G9" s="96"/>
      <c r="H9" s="96"/>
      <c r="I9" s="96"/>
      <c r="J9" s="96"/>
      <c r="K9" s="96"/>
      <c r="L9" s="96"/>
      <c r="M9" s="96"/>
      <c r="N9" s="96"/>
      <c r="O9" s="96"/>
      <c r="P9" s="96"/>
      <c r="Q9" s="96"/>
      <c r="R9" s="96"/>
      <c r="S9" s="96"/>
    </row>
    <row r="10" s="71" customFormat="true" ht="12" hidden="false" customHeight="true" outlineLevel="0" collapsed="false">
      <c r="A10" s="97" t="s">
        <v>123</v>
      </c>
      <c r="B10" s="97"/>
      <c r="C10" s="97"/>
      <c r="D10" s="98" t="s">
        <v>124</v>
      </c>
      <c r="E10" s="99" t="s">
        <v>125</v>
      </c>
      <c r="F10" s="99"/>
      <c r="G10" s="99"/>
      <c r="H10" s="99"/>
      <c r="I10" s="99"/>
      <c r="J10" s="99"/>
      <c r="K10" s="99"/>
      <c r="L10" s="99"/>
      <c r="M10" s="99"/>
      <c r="N10" s="99"/>
      <c r="O10" s="99"/>
      <c r="P10" s="99"/>
      <c r="Q10" s="99"/>
      <c r="R10" s="99"/>
      <c r="S10" s="99"/>
    </row>
    <row r="11" customFormat="false" ht="23.25" hidden="false" customHeight="true" outlineLevel="0" collapsed="false">
      <c r="A11" s="100"/>
      <c r="B11" s="100"/>
      <c r="C11" s="100"/>
      <c r="D11" s="101"/>
      <c r="E11" s="102"/>
      <c r="F11" s="102"/>
      <c r="G11" s="102"/>
      <c r="H11" s="102"/>
      <c r="I11" s="102"/>
      <c r="J11" s="102"/>
      <c r="K11" s="102"/>
      <c r="L11" s="102"/>
      <c r="M11" s="102"/>
      <c r="N11" s="102"/>
      <c r="O11" s="102"/>
      <c r="P11" s="102"/>
      <c r="Q11" s="102"/>
      <c r="R11" s="102"/>
      <c r="S11" s="102"/>
    </row>
    <row r="12" customFormat="false" ht="50.25" hidden="false" customHeight="true" outlineLevel="0" collapsed="false">
      <c r="A12" s="103"/>
      <c r="B12" s="103"/>
      <c r="C12" s="103"/>
      <c r="D12" s="104"/>
      <c r="E12" s="105"/>
      <c r="F12" s="105"/>
      <c r="G12" s="105"/>
      <c r="H12" s="105"/>
      <c r="I12" s="105"/>
      <c r="J12" s="105"/>
      <c r="K12" s="105"/>
      <c r="L12" s="105"/>
      <c r="M12" s="105"/>
      <c r="N12" s="105"/>
      <c r="O12" s="105"/>
      <c r="P12" s="105"/>
      <c r="Q12" s="105"/>
      <c r="R12" s="105"/>
      <c r="S12" s="105"/>
    </row>
    <row r="13" customFormat="false" ht="36" hidden="false" customHeight="true" outlineLevel="0" collapsed="false">
      <c r="A13" s="103"/>
      <c r="B13" s="103"/>
      <c r="C13" s="103"/>
      <c r="D13" s="104"/>
      <c r="E13" s="105"/>
      <c r="F13" s="105"/>
      <c r="G13" s="105"/>
      <c r="H13" s="105"/>
      <c r="I13" s="105"/>
      <c r="J13" s="105"/>
      <c r="K13" s="105"/>
      <c r="L13" s="105"/>
      <c r="M13" s="105"/>
      <c r="N13" s="105"/>
      <c r="O13" s="105"/>
      <c r="P13" s="105"/>
      <c r="Q13" s="105"/>
      <c r="R13" s="105"/>
      <c r="S13" s="105"/>
    </row>
    <row r="14" customFormat="false" ht="36" hidden="false" customHeight="true" outlineLevel="0" collapsed="false">
      <c r="A14" s="103"/>
      <c r="B14" s="103"/>
      <c r="C14" s="103"/>
      <c r="D14" s="104"/>
      <c r="E14" s="105"/>
      <c r="F14" s="105"/>
      <c r="G14" s="105"/>
      <c r="H14" s="105"/>
      <c r="I14" s="105"/>
      <c r="J14" s="105"/>
      <c r="K14" s="105"/>
      <c r="L14" s="105"/>
      <c r="M14" s="105"/>
      <c r="N14" s="105"/>
      <c r="O14" s="105"/>
      <c r="P14" s="105"/>
      <c r="Q14" s="105"/>
      <c r="R14" s="105"/>
      <c r="S14" s="105"/>
    </row>
    <row r="15" customFormat="false" ht="36" hidden="false" customHeight="true" outlineLevel="0" collapsed="false">
      <c r="A15" s="103"/>
      <c r="B15" s="103"/>
      <c r="C15" s="103"/>
      <c r="D15" s="104"/>
      <c r="E15" s="105"/>
      <c r="F15" s="105"/>
      <c r="G15" s="105"/>
      <c r="H15" s="105"/>
      <c r="I15" s="105"/>
      <c r="J15" s="105"/>
      <c r="K15" s="105"/>
      <c r="L15" s="105"/>
      <c r="M15" s="105"/>
      <c r="N15" s="105"/>
      <c r="O15" s="105"/>
      <c r="P15" s="105"/>
      <c r="Q15" s="105"/>
      <c r="R15" s="105"/>
      <c r="S15" s="105"/>
    </row>
    <row r="16" customFormat="false" ht="36" hidden="false" customHeight="true" outlineLevel="0" collapsed="false">
      <c r="A16" s="103"/>
      <c r="B16" s="103"/>
      <c r="C16" s="103"/>
      <c r="D16" s="104"/>
      <c r="E16" s="105"/>
      <c r="F16" s="105"/>
      <c r="G16" s="105"/>
      <c r="H16" s="105"/>
      <c r="I16" s="105"/>
      <c r="J16" s="105"/>
      <c r="K16" s="105"/>
      <c r="L16" s="105"/>
      <c r="M16" s="105"/>
      <c r="N16" s="105"/>
      <c r="O16" s="105"/>
      <c r="P16" s="105"/>
      <c r="Q16" s="105"/>
      <c r="R16" s="105"/>
      <c r="S16" s="105"/>
    </row>
    <row r="17" customFormat="false" ht="36" hidden="false" customHeight="true" outlineLevel="0" collapsed="false">
      <c r="A17" s="103"/>
      <c r="B17" s="103"/>
      <c r="C17" s="103"/>
      <c r="D17" s="104"/>
      <c r="E17" s="105"/>
      <c r="F17" s="105"/>
      <c r="G17" s="105"/>
      <c r="H17" s="105"/>
      <c r="I17" s="105"/>
      <c r="J17" s="105"/>
      <c r="K17" s="105"/>
      <c r="L17" s="105"/>
      <c r="M17" s="105"/>
      <c r="N17" s="105"/>
      <c r="O17" s="105"/>
      <c r="P17" s="105"/>
      <c r="Q17" s="105"/>
      <c r="R17" s="105"/>
      <c r="S17" s="105"/>
    </row>
    <row r="18" customFormat="false" ht="36" hidden="false" customHeight="true" outlineLevel="0" collapsed="false">
      <c r="A18" s="103"/>
      <c r="B18" s="103"/>
      <c r="C18" s="103"/>
      <c r="D18" s="104"/>
      <c r="E18" s="105"/>
      <c r="F18" s="105"/>
      <c r="G18" s="105"/>
      <c r="H18" s="105"/>
      <c r="I18" s="105"/>
      <c r="J18" s="105"/>
      <c r="K18" s="105"/>
      <c r="L18" s="105"/>
      <c r="M18" s="105"/>
      <c r="N18" s="105"/>
      <c r="O18" s="105"/>
      <c r="P18" s="105"/>
      <c r="Q18" s="105"/>
      <c r="R18" s="105"/>
      <c r="S18" s="105"/>
    </row>
    <row r="19" customFormat="false" ht="51" hidden="false" customHeight="true" outlineLevel="0" collapsed="false">
      <c r="A19" s="103"/>
      <c r="B19" s="103"/>
      <c r="C19" s="103"/>
      <c r="D19" s="104"/>
      <c r="E19" s="105"/>
      <c r="F19" s="105"/>
      <c r="G19" s="105"/>
      <c r="H19" s="105"/>
      <c r="I19" s="105"/>
      <c r="J19" s="105"/>
      <c r="K19" s="105"/>
      <c r="L19" s="105"/>
      <c r="M19" s="105"/>
      <c r="N19" s="105"/>
      <c r="O19" s="105"/>
      <c r="P19" s="105"/>
      <c r="Q19" s="105"/>
      <c r="R19" s="105"/>
      <c r="S19" s="105"/>
    </row>
    <row r="20" customFormat="false" ht="36" hidden="false" customHeight="true" outlineLevel="0" collapsed="false">
      <c r="A20" s="103"/>
      <c r="B20" s="103"/>
      <c r="C20" s="103"/>
      <c r="D20" s="104"/>
      <c r="E20" s="105"/>
      <c r="F20" s="105"/>
      <c r="G20" s="105"/>
      <c r="H20" s="105"/>
      <c r="I20" s="105"/>
      <c r="J20" s="105"/>
      <c r="K20" s="105"/>
      <c r="L20" s="105"/>
      <c r="M20" s="105"/>
      <c r="N20" s="105"/>
      <c r="O20" s="105"/>
      <c r="P20" s="105"/>
      <c r="Q20" s="105"/>
      <c r="R20" s="105"/>
      <c r="S20" s="105"/>
    </row>
    <row r="21" customFormat="false" ht="39.75" hidden="false" customHeight="true" outlineLevel="0" collapsed="false">
      <c r="A21" s="103"/>
      <c r="B21" s="103"/>
      <c r="C21" s="103"/>
      <c r="D21" s="104"/>
      <c r="E21" s="105"/>
      <c r="F21" s="105"/>
      <c r="G21" s="105"/>
      <c r="H21" s="105"/>
      <c r="I21" s="105"/>
      <c r="J21" s="105"/>
      <c r="K21" s="105"/>
      <c r="L21" s="105"/>
      <c r="M21" s="105"/>
      <c r="N21" s="105"/>
      <c r="O21" s="105"/>
      <c r="P21" s="105"/>
      <c r="Q21" s="105"/>
      <c r="R21" s="105"/>
      <c r="S21" s="105"/>
    </row>
    <row r="22" s="106" customFormat="true" ht="36" hidden="false" customHeight="true" outlineLevel="0" collapsed="false">
      <c r="A22" s="103"/>
      <c r="B22" s="103"/>
      <c r="C22" s="103"/>
      <c r="D22" s="104"/>
      <c r="E22" s="105"/>
      <c r="F22" s="105"/>
      <c r="G22" s="105"/>
      <c r="H22" s="105"/>
      <c r="I22" s="105"/>
      <c r="J22" s="105"/>
      <c r="K22" s="105"/>
      <c r="L22" s="105"/>
      <c r="M22" s="105"/>
      <c r="N22" s="105"/>
      <c r="O22" s="105"/>
      <c r="P22" s="105"/>
      <c r="Q22" s="105"/>
      <c r="R22" s="105"/>
      <c r="S22" s="105"/>
    </row>
    <row r="23" customFormat="false" ht="87.75" hidden="false" customHeight="true" outlineLevel="0" collapsed="false">
      <c r="A23" s="103"/>
      <c r="B23" s="103"/>
      <c r="C23" s="103"/>
      <c r="D23" s="104"/>
      <c r="E23" s="105"/>
      <c r="F23" s="105"/>
      <c r="G23" s="105"/>
      <c r="H23" s="105"/>
      <c r="I23" s="105"/>
      <c r="J23" s="105"/>
      <c r="K23" s="105"/>
      <c r="L23" s="105"/>
      <c r="M23" s="105"/>
      <c r="N23" s="105"/>
      <c r="O23" s="105"/>
      <c r="P23" s="105"/>
      <c r="Q23" s="105"/>
      <c r="R23" s="105"/>
      <c r="S23" s="105"/>
    </row>
    <row r="24" customFormat="false" ht="36" hidden="false" customHeight="true" outlineLevel="0" collapsed="false">
      <c r="A24" s="103"/>
      <c r="B24" s="103"/>
      <c r="C24" s="103"/>
      <c r="D24" s="104"/>
      <c r="E24" s="105"/>
      <c r="F24" s="105"/>
      <c r="G24" s="105"/>
      <c r="H24" s="105"/>
      <c r="I24" s="105"/>
      <c r="J24" s="105"/>
      <c r="K24" s="105"/>
      <c r="L24" s="105"/>
      <c r="M24" s="105"/>
      <c r="N24" s="105"/>
      <c r="O24" s="105"/>
      <c r="P24" s="105"/>
      <c r="Q24" s="105"/>
      <c r="R24" s="105"/>
      <c r="S24" s="105"/>
    </row>
    <row r="25" customFormat="false" ht="86.25" hidden="false" customHeight="true" outlineLevel="0" collapsed="false">
      <c r="A25" s="103"/>
      <c r="B25" s="103"/>
      <c r="C25" s="103"/>
      <c r="D25" s="104"/>
      <c r="E25" s="105"/>
      <c r="F25" s="105"/>
      <c r="G25" s="105"/>
      <c r="H25" s="105"/>
      <c r="I25" s="105"/>
      <c r="J25" s="105"/>
      <c r="K25" s="105"/>
      <c r="L25" s="105"/>
      <c r="M25" s="105"/>
      <c r="N25" s="105"/>
      <c r="O25" s="105"/>
      <c r="P25" s="105"/>
      <c r="Q25" s="105"/>
      <c r="R25" s="105"/>
      <c r="S25" s="105"/>
    </row>
    <row r="26" customFormat="false" ht="36" hidden="false" customHeight="true" outlineLevel="0" collapsed="false">
      <c r="A26" s="103"/>
      <c r="B26" s="103"/>
      <c r="C26" s="103"/>
      <c r="D26" s="104"/>
      <c r="E26" s="105"/>
      <c r="F26" s="105"/>
      <c r="G26" s="105"/>
      <c r="H26" s="105"/>
      <c r="I26" s="105"/>
      <c r="J26" s="105"/>
      <c r="K26" s="105"/>
      <c r="L26" s="105"/>
      <c r="M26" s="105"/>
      <c r="N26" s="105"/>
      <c r="O26" s="105"/>
      <c r="P26" s="105"/>
      <c r="Q26" s="105"/>
      <c r="R26" s="105"/>
      <c r="S26" s="105"/>
    </row>
    <row r="27" customFormat="false" ht="30" hidden="false" customHeight="true" outlineLevel="0" collapsed="false">
      <c r="A27" s="103"/>
      <c r="B27" s="103"/>
      <c r="C27" s="103"/>
      <c r="D27" s="104"/>
      <c r="E27" s="105"/>
      <c r="F27" s="105"/>
      <c r="G27" s="105"/>
      <c r="H27" s="105"/>
      <c r="I27" s="105"/>
      <c r="J27" s="105"/>
      <c r="K27" s="105"/>
      <c r="L27" s="105"/>
      <c r="M27" s="105"/>
      <c r="N27" s="105"/>
      <c r="O27" s="105"/>
      <c r="P27" s="105"/>
      <c r="Q27" s="105"/>
      <c r="R27" s="105"/>
      <c r="S27" s="105"/>
    </row>
    <row r="28" customFormat="false" ht="102.75" hidden="false" customHeight="true" outlineLevel="0" collapsed="false">
      <c r="A28" s="103"/>
      <c r="B28" s="103"/>
      <c r="C28" s="103"/>
      <c r="D28" s="104"/>
      <c r="E28" s="105"/>
      <c r="F28" s="105"/>
      <c r="G28" s="105"/>
      <c r="H28" s="105"/>
      <c r="I28" s="105"/>
      <c r="J28" s="105"/>
      <c r="K28" s="105"/>
      <c r="L28" s="105"/>
      <c r="M28" s="105"/>
      <c r="N28" s="105"/>
      <c r="O28" s="105"/>
      <c r="P28" s="105"/>
      <c r="Q28" s="105"/>
      <c r="R28" s="105"/>
      <c r="S28" s="105"/>
    </row>
    <row r="29" customFormat="false" ht="36" hidden="false" customHeight="true" outlineLevel="0" collapsed="false">
      <c r="A29" s="103"/>
      <c r="B29" s="103"/>
      <c r="C29" s="103"/>
      <c r="D29" s="104"/>
      <c r="E29" s="105"/>
      <c r="F29" s="105"/>
      <c r="G29" s="105"/>
      <c r="H29" s="105"/>
      <c r="I29" s="105"/>
      <c r="J29" s="105"/>
      <c r="K29" s="105"/>
      <c r="L29" s="105"/>
      <c r="M29" s="105"/>
      <c r="N29" s="105"/>
      <c r="O29" s="105"/>
      <c r="P29" s="105"/>
      <c r="Q29" s="105"/>
      <c r="R29" s="105"/>
      <c r="S29" s="105"/>
    </row>
    <row r="30" customFormat="false" ht="72" hidden="false" customHeight="true" outlineLevel="0" collapsed="false">
      <c r="A30" s="103"/>
      <c r="B30" s="103"/>
      <c r="C30" s="103"/>
      <c r="D30" s="104"/>
      <c r="E30" s="105"/>
      <c r="F30" s="105"/>
      <c r="G30" s="105"/>
      <c r="H30" s="105"/>
      <c r="I30" s="105"/>
      <c r="J30" s="105"/>
      <c r="K30" s="105"/>
      <c r="L30" s="105"/>
      <c r="M30" s="105"/>
      <c r="N30" s="105"/>
      <c r="O30" s="105"/>
      <c r="P30" s="105"/>
      <c r="Q30" s="105"/>
      <c r="R30" s="105"/>
      <c r="S30" s="105"/>
    </row>
    <row r="31" customFormat="false" ht="36" hidden="false" customHeight="true" outlineLevel="0" collapsed="false">
      <c r="A31" s="103"/>
      <c r="B31" s="103"/>
      <c r="C31" s="103"/>
      <c r="D31" s="104"/>
      <c r="E31" s="105"/>
      <c r="F31" s="105"/>
      <c r="G31" s="105"/>
      <c r="H31" s="105"/>
      <c r="I31" s="105"/>
      <c r="J31" s="105"/>
      <c r="K31" s="105"/>
      <c r="L31" s="105"/>
      <c r="M31" s="105"/>
      <c r="N31" s="105"/>
      <c r="O31" s="105"/>
      <c r="P31" s="105"/>
      <c r="Q31" s="105"/>
      <c r="R31" s="105"/>
      <c r="S31" s="105"/>
    </row>
    <row r="32" customFormat="false" ht="93" hidden="false" customHeight="true" outlineLevel="0" collapsed="false">
      <c r="A32" s="103"/>
      <c r="B32" s="103"/>
      <c r="C32" s="103"/>
      <c r="D32" s="104"/>
      <c r="E32" s="105"/>
      <c r="F32" s="105"/>
      <c r="G32" s="105"/>
      <c r="H32" s="105"/>
      <c r="I32" s="105"/>
      <c r="J32" s="105"/>
      <c r="K32" s="105"/>
      <c r="L32" s="105"/>
      <c r="M32" s="105"/>
      <c r="N32" s="105"/>
      <c r="O32" s="105"/>
      <c r="P32" s="105"/>
      <c r="Q32" s="105"/>
      <c r="R32" s="105"/>
      <c r="S32" s="105"/>
    </row>
    <row r="33" customFormat="false" ht="36" hidden="false" customHeight="true" outlineLevel="0" collapsed="false">
      <c r="A33" s="103"/>
      <c r="B33" s="103"/>
      <c r="C33" s="103"/>
      <c r="D33" s="104"/>
      <c r="E33" s="105"/>
      <c r="F33" s="105"/>
      <c r="G33" s="105"/>
      <c r="H33" s="105"/>
      <c r="I33" s="105"/>
      <c r="J33" s="105"/>
      <c r="K33" s="105"/>
      <c r="L33" s="105"/>
      <c r="M33" s="105"/>
      <c r="N33" s="105"/>
      <c r="O33" s="105"/>
      <c r="P33" s="105"/>
      <c r="Q33" s="105"/>
      <c r="R33" s="105"/>
      <c r="S33" s="105"/>
    </row>
    <row r="34" customFormat="false" ht="72" hidden="false" customHeight="true" outlineLevel="0" collapsed="false">
      <c r="A34" s="103"/>
      <c r="B34" s="103"/>
      <c r="C34" s="103"/>
      <c r="D34" s="104"/>
      <c r="E34" s="105"/>
      <c r="F34" s="105"/>
      <c r="G34" s="105"/>
      <c r="H34" s="105"/>
      <c r="I34" s="105"/>
      <c r="J34" s="105"/>
      <c r="K34" s="105"/>
      <c r="L34" s="105"/>
      <c r="M34" s="105"/>
      <c r="N34" s="105"/>
      <c r="O34" s="105"/>
      <c r="P34" s="105"/>
      <c r="Q34" s="105"/>
      <c r="R34" s="105"/>
      <c r="S34" s="105"/>
    </row>
    <row r="35" customFormat="false" ht="31.5" hidden="false" customHeight="true" outlineLevel="0" collapsed="false">
      <c r="A35" s="103"/>
      <c r="B35" s="103"/>
      <c r="C35" s="103"/>
      <c r="D35" s="104"/>
      <c r="E35" s="105"/>
      <c r="F35" s="105"/>
      <c r="G35" s="105"/>
      <c r="H35" s="105"/>
      <c r="I35" s="105"/>
      <c r="J35" s="105"/>
      <c r="K35" s="105"/>
      <c r="L35" s="105"/>
      <c r="M35" s="105"/>
      <c r="N35" s="105"/>
      <c r="O35" s="105"/>
      <c r="P35" s="105"/>
      <c r="Q35" s="105"/>
      <c r="R35" s="105"/>
      <c r="S35" s="105"/>
    </row>
    <row r="36" customFormat="false" ht="59.25" hidden="false" customHeight="true" outlineLevel="0" collapsed="false">
      <c r="A36" s="103"/>
      <c r="B36" s="103"/>
      <c r="C36" s="103"/>
      <c r="D36" s="104"/>
      <c r="E36" s="105"/>
      <c r="F36" s="105"/>
      <c r="G36" s="105"/>
      <c r="H36" s="105"/>
      <c r="I36" s="105"/>
      <c r="J36" s="105"/>
      <c r="K36" s="105"/>
      <c r="L36" s="105"/>
      <c r="M36" s="105"/>
      <c r="N36" s="105"/>
      <c r="O36" s="105"/>
      <c r="P36" s="105"/>
      <c r="Q36" s="105"/>
      <c r="R36" s="105"/>
      <c r="S36" s="105"/>
    </row>
    <row r="37" customFormat="false" ht="59.25" hidden="false" customHeight="true" outlineLevel="0" collapsed="false">
      <c r="A37" s="103"/>
      <c r="B37" s="103"/>
      <c r="C37" s="103"/>
      <c r="D37" s="104"/>
      <c r="E37" s="105"/>
      <c r="F37" s="105"/>
      <c r="G37" s="105"/>
      <c r="H37" s="105"/>
      <c r="I37" s="105"/>
      <c r="J37" s="105"/>
      <c r="K37" s="105"/>
      <c r="L37" s="105"/>
      <c r="M37" s="105"/>
      <c r="N37" s="105"/>
      <c r="O37" s="105"/>
      <c r="P37" s="105"/>
      <c r="Q37" s="105"/>
      <c r="R37" s="105"/>
      <c r="S37" s="105"/>
    </row>
    <row r="38" customFormat="false" ht="30" hidden="false" customHeight="true" outlineLevel="0" collapsed="false">
      <c r="A38" s="103"/>
      <c r="B38" s="103"/>
      <c r="C38" s="103"/>
      <c r="D38" s="104"/>
      <c r="E38" s="105"/>
      <c r="F38" s="105"/>
      <c r="G38" s="105"/>
      <c r="H38" s="105"/>
      <c r="I38" s="105"/>
      <c r="J38" s="105"/>
      <c r="K38" s="105"/>
      <c r="L38" s="105"/>
      <c r="M38" s="105"/>
      <c r="N38" s="105"/>
      <c r="O38" s="105"/>
      <c r="P38" s="105"/>
      <c r="Q38" s="105"/>
      <c r="R38" s="105"/>
      <c r="S38" s="105"/>
    </row>
    <row r="39" customFormat="false" ht="21.75" hidden="false" customHeight="true" outlineLevel="0" collapsed="false">
      <c r="A39" s="103"/>
      <c r="B39" s="103"/>
      <c r="C39" s="103"/>
      <c r="D39" s="104"/>
      <c r="E39" s="105"/>
      <c r="F39" s="105"/>
      <c r="G39" s="105"/>
      <c r="H39" s="105"/>
      <c r="I39" s="105"/>
      <c r="J39" s="105"/>
      <c r="K39" s="105"/>
      <c r="L39" s="105"/>
      <c r="M39" s="105"/>
      <c r="N39" s="105"/>
      <c r="O39" s="105"/>
      <c r="P39" s="105"/>
      <c r="Q39" s="105"/>
      <c r="R39" s="105"/>
      <c r="S39" s="105"/>
    </row>
    <row r="40" customFormat="false" ht="53.25" hidden="false" customHeight="true" outlineLevel="0" collapsed="false">
      <c r="A40" s="103"/>
      <c r="B40" s="103"/>
      <c r="C40" s="103"/>
      <c r="D40" s="107"/>
      <c r="E40" s="105"/>
      <c r="F40" s="105"/>
      <c r="G40" s="105"/>
      <c r="H40" s="105"/>
      <c r="I40" s="105"/>
      <c r="J40" s="105"/>
      <c r="K40" s="105"/>
      <c r="L40" s="105"/>
      <c r="M40" s="105"/>
      <c r="N40" s="105"/>
      <c r="O40" s="105"/>
      <c r="P40" s="105"/>
      <c r="Q40" s="105"/>
      <c r="R40" s="105"/>
      <c r="S40" s="105"/>
    </row>
    <row r="41" customFormat="false" ht="18" hidden="false" customHeight="true" outlineLevel="0" collapsed="false">
      <c r="A41" s="103"/>
      <c r="B41" s="103"/>
      <c r="C41" s="103"/>
      <c r="D41" s="108"/>
      <c r="E41" s="105"/>
      <c r="F41" s="105"/>
      <c r="G41" s="105"/>
      <c r="H41" s="105"/>
      <c r="I41" s="105"/>
      <c r="J41" s="105"/>
      <c r="K41" s="105"/>
      <c r="L41" s="105"/>
      <c r="M41" s="105"/>
      <c r="N41" s="105"/>
      <c r="O41" s="105"/>
      <c r="P41" s="105"/>
      <c r="Q41" s="105"/>
      <c r="R41" s="105"/>
      <c r="S41" s="105"/>
    </row>
    <row r="42" customFormat="false" ht="44.25" hidden="false" customHeight="true" outlineLevel="0" collapsed="false">
      <c r="A42" s="103"/>
      <c r="B42" s="103"/>
      <c r="C42" s="103"/>
      <c r="D42" s="104"/>
      <c r="E42" s="105"/>
      <c r="F42" s="105"/>
      <c r="G42" s="105"/>
      <c r="H42" s="105"/>
      <c r="I42" s="105"/>
      <c r="J42" s="105"/>
      <c r="K42" s="105"/>
      <c r="L42" s="105"/>
      <c r="M42" s="105"/>
      <c r="N42" s="105"/>
      <c r="O42" s="105"/>
      <c r="P42" s="105"/>
      <c r="Q42" s="105"/>
      <c r="R42" s="105"/>
      <c r="S42" s="105"/>
    </row>
    <row r="43" customFormat="false" ht="42" hidden="false" customHeight="true" outlineLevel="0" collapsed="false">
      <c r="A43" s="103"/>
      <c r="B43" s="103"/>
      <c r="C43" s="103"/>
      <c r="D43" s="104"/>
      <c r="E43" s="105"/>
      <c r="F43" s="105"/>
      <c r="G43" s="105"/>
      <c r="H43" s="105"/>
      <c r="I43" s="105"/>
      <c r="J43" s="105"/>
      <c r="K43" s="105"/>
      <c r="L43" s="105"/>
      <c r="M43" s="105"/>
      <c r="N43" s="105"/>
      <c r="O43" s="105"/>
      <c r="P43" s="105"/>
      <c r="Q43" s="105"/>
      <c r="R43" s="105"/>
      <c r="S43" s="105"/>
    </row>
    <row r="44" customFormat="false" ht="33.75" hidden="false" customHeight="true" outlineLevel="0" collapsed="false">
      <c r="A44" s="103"/>
      <c r="B44" s="103"/>
      <c r="C44" s="103"/>
      <c r="D44" s="104"/>
      <c r="E44" s="105"/>
      <c r="F44" s="105"/>
      <c r="G44" s="105"/>
      <c r="H44" s="105"/>
      <c r="I44" s="105"/>
      <c r="J44" s="105"/>
      <c r="K44" s="105"/>
      <c r="L44" s="105"/>
      <c r="M44" s="105"/>
      <c r="N44" s="105"/>
      <c r="O44" s="105"/>
      <c r="P44" s="105"/>
      <c r="Q44" s="105"/>
      <c r="R44" s="105"/>
      <c r="S44" s="105"/>
    </row>
    <row r="45" customFormat="false" ht="31.5" hidden="false" customHeight="true" outlineLevel="0" collapsed="false">
      <c r="A45" s="103"/>
      <c r="B45" s="103"/>
      <c r="C45" s="103"/>
      <c r="D45" s="104"/>
      <c r="E45" s="105"/>
      <c r="F45" s="105"/>
      <c r="G45" s="105"/>
      <c r="H45" s="105"/>
      <c r="I45" s="105"/>
      <c r="J45" s="105"/>
      <c r="K45" s="105"/>
      <c r="L45" s="105"/>
      <c r="M45" s="105"/>
      <c r="N45" s="105"/>
      <c r="O45" s="105"/>
      <c r="P45" s="105"/>
      <c r="Q45" s="105"/>
      <c r="R45" s="105"/>
      <c r="S45" s="105"/>
    </row>
    <row r="46" customFormat="false" ht="53.25" hidden="false" customHeight="true" outlineLevel="0" collapsed="false">
      <c r="A46" s="103"/>
      <c r="B46" s="103"/>
      <c r="C46" s="103"/>
      <c r="D46" s="104"/>
      <c r="E46" s="105"/>
      <c r="F46" s="105"/>
      <c r="G46" s="105"/>
      <c r="H46" s="105"/>
      <c r="I46" s="105"/>
      <c r="J46" s="105"/>
      <c r="K46" s="105"/>
      <c r="L46" s="105"/>
      <c r="M46" s="105"/>
      <c r="N46" s="105"/>
      <c r="O46" s="105"/>
      <c r="P46" s="105"/>
      <c r="Q46" s="105"/>
      <c r="R46" s="105"/>
      <c r="S46" s="105"/>
    </row>
    <row r="47" customFormat="false" ht="48" hidden="false" customHeight="true" outlineLevel="0" collapsed="false">
      <c r="A47" s="103"/>
      <c r="B47" s="103"/>
      <c r="C47" s="103"/>
      <c r="D47" s="104"/>
      <c r="E47" s="105"/>
      <c r="F47" s="105"/>
      <c r="G47" s="105"/>
      <c r="H47" s="105"/>
      <c r="I47" s="105"/>
      <c r="J47" s="105"/>
      <c r="K47" s="105"/>
      <c r="L47" s="105"/>
      <c r="M47" s="105"/>
      <c r="N47" s="105"/>
      <c r="O47" s="105"/>
      <c r="P47" s="105"/>
      <c r="Q47" s="105"/>
      <c r="R47" s="105"/>
      <c r="S47" s="105"/>
    </row>
    <row r="48" customFormat="false" ht="53.25" hidden="false" customHeight="true" outlineLevel="0" collapsed="false">
      <c r="A48" s="103"/>
      <c r="B48" s="103"/>
      <c r="C48" s="103"/>
      <c r="D48" s="104"/>
      <c r="E48" s="105"/>
      <c r="F48" s="105"/>
      <c r="G48" s="105"/>
      <c r="H48" s="105"/>
      <c r="I48" s="105"/>
      <c r="J48" s="105"/>
      <c r="K48" s="105"/>
      <c r="L48" s="105"/>
      <c r="M48" s="105"/>
      <c r="N48" s="105"/>
      <c r="O48" s="105"/>
      <c r="P48" s="105"/>
      <c r="Q48" s="105"/>
      <c r="R48" s="105"/>
      <c r="S48" s="105"/>
    </row>
    <row r="49" customFormat="false" ht="42" hidden="false" customHeight="true" outlineLevel="0" collapsed="false">
      <c r="A49" s="103"/>
      <c r="B49" s="103"/>
      <c r="C49" s="103"/>
      <c r="D49" s="104"/>
      <c r="E49" s="105"/>
      <c r="F49" s="105"/>
      <c r="G49" s="105"/>
      <c r="H49" s="105"/>
      <c r="I49" s="105"/>
      <c r="J49" s="105"/>
      <c r="K49" s="105"/>
      <c r="L49" s="105"/>
      <c r="M49" s="105"/>
      <c r="N49" s="105"/>
      <c r="O49" s="105"/>
      <c r="P49" s="105"/>
      <c r="Q49" s="105"/>
      <c r="R49" s="105"/>
      <c r="S49" s="105"/>
    </row>
    <row r="50" customFormat="false" ht="40.5" hidden="false" customHeight="true" outlineLevel="0" collapsed="false">
      <c r="A50" s="103"/>
      <c r="B50" s="103"/>
      <c r="C50" s="103"/>
      <c r="D50" s="104"/>
      <c r="E50" s="105"/>
      <c r="F50" s="105"/>
      <c r="G50" s="105"/>
      <c r="H50" s="105"/>
      <c r="I50" s="105"/>
      <c r="J50" s="105"/>
      <c r="K50" s="105"/>
      <c r="L50" s="105"/>
      <c r="M50" s="105"/>
      <c r="N50" s="105"/>
      <c r="O50" s="105"/>
      <c r="P50" s="105"/>
      <c r="Q50" s="105"/>
      <c r="R50" s="105"/>
      <c r="S50" s="105"/>
    </row>
    <row r="51" customFormat="false" ht="54" hidden="false" customHeight="true" outlineLevel="0" collapsed="false">
      <c r="A51" s="103"/>
      <c r="B51" s="103"/>
      <c r="C51" s="103"/>
      <c r="D51" s="104"/>
      <c r="E51" s="105"/>
      <c r="F51" s="105"/>
      <c r="G51" s="105"/>
      <c r="H51" s="105"/>
      <c r="I51" s="105"/>
      <c r="J51" s="105"/>
      <c r="K51" s="105"/>
      <c r="L51" s="105"/>
      <c r="M51" s="105"/>
      <c r="N51" s="105"/>
      <c r="O51" s="105"/>
      <c r="P51" s="105"/>
      <c r="Q51" s="105"/>
      <c r="R51" s="105"/>
      <c r="S51" s="105"/>
    </row>
    <row r="52" customFormat="false" ht="27" hidden="false" customHeight="true" outlineLevel="0" collapsed="false">
      <c r="A52" s="103"/>
      <c r="B52" s="103"/>
      <c r="C52" s="103"/>
      <c r="D52" s="104"/>
      <c r="E52" s="105"/>
      <c r="F52" s="105"/>
      <c r="G52" s="105"/>
      <c r="H52" s="105"/>
      <c r="I52" s="105"/>
      <c r="J52" s="105"/>
      <c r="K52" s="105"/>
      <c r="L52" s="105"/>
      <c r="M52" s="105"/>
      <c r="N52" s="105"/>
      <c r="O52" s="105"/>
      <c r="P52" s="105"/>
      <c r="Q52" s="105"/>
      <c r="R52" s="105"/>
      <c r="S52" s="105"/>
    </row>
    <row r="53" customFormat="false" ht="39" hidden="false" customHeight="true" outlineLevel="0" collapsed="false">
      <c r="A53" s="103"/>
      <c r="B53" s="103"/>
      <c r="C53" s="103"/>
      <c r="D53" s="104"/>
      <c r="E53" s="105"/>
      <c r="F53" s="105"/>
      <c r="G53" s="105"/>
      <c r="H53" s="105"/>
      <c r="I53" s="105"/>
      <c r="J53" s="105"/>
      <c r="K53" s="105"/>
      <c r="L53" s="105"/>
      <c r="M53" s="105"/>
      <c r="N53" s="105"/>
      <c r="O53" s="105"/>
      <c r="P53" s="105"/>
      <c r="Q53" s="105"/>
      <c r="R53" s="105"/>
      <c r="S53" s="105"/>
    </row>
    <row r="54" customFormat="false" ht="36" hidden="false" customHeight="true" outlineLevel="0" collapsed="false">
      <c r="A54" s="103"/>
      <c r="B54" s="103"/>
      <c r="C54" s="103"/>
      <c r="D54" s="104"/>
      <c r="E54" s="105"/>
      <c r="F54" s="105"/>
      <c r="G54" s="105"/>
      <c r="H54" s="105"/>
      <c r="I54" s="105"/>
      <c r="J54" s="105"/>
      <c r="K54" s="105"/>
      <c r="L54" s="105"/>
      <c r="M54" s="105"/>
      <c r="N54" s="105"/>
      <c r="O54" s="105"/>
      <c r="P54" s="105"/>
      <c r="Q54" s="105"/>
      <c r="R54" s="105"/>
      <c r="S54" s="105"/>
    </row>
    <row r="55" customFormat="false" ht="28.5" hidden="false" customHeight="true" outlineLevel="0" collapsed="false">
      <c r="A55" s="103"/>
      <c r="B55" s="103"/>
      <c r="C55" s="103"/>
      <c r="D55" s="104"/>
      <c r="E55" s="105"/>
      <c r="F55" s="105"/>
      <c r="G55" s="105"/>
      <c r="H55" s="105"/>
      <c r="I55" s="105"/>
      <c r="J55" s="105"/>
      <c r="K55" s="105"/>
      <c r="L55" s="105"/>
      <c r="M55" s="105"/>
      <c r="N55" s="105"/>
      <c r="O55" s="105"/>
      <c r="P55" s="105"/>
      <c r="Q55" s="105"/>
      <c r="R55" s="105"/>
      <c r="S55" s="105"/>
    </row>
    <row r="56" customFormat="false" ht="30" hidden="false" customHeight="true" outlineLevel="0" collapsed="false">
      <c r="A56" s="103"/>
      <c r="B56" s="103"/>
      <c r="C56" s="103"/>
      <c r="D56" s="104"/>
      <c r="E56" s="105"/>
      <c r="F56" s="105"/>
      <c r="G56" s="105"/>
      <c r="H56" s="105"/>
      <c r="I56" s="105"/>
      <c r="J56" s="105"/>
      <c r="K56" s="105"/>
      <c r="L56" s="105"/>
      <c r="M56" s="105"/>
      <c r="N56" s="105"/>
      <c r="O56" s="105"/>
      <c r="P56" s="105"/>
      <c r="Q56" s="105"/>
      <c r="R56" s="105"/>
      <c r="S56" s="105"/>
    </row>
    <row r="57" customFormat="false" ht="31.5" hidden="false" customHeight="true" outlineLevel="0" collapsed="false">
      <c r="A57" s="103"/>
      <c r="B57" s="103"/>
      <c r="C57" s="103"/>
      <c r="D57" s="104"/>
      <c r="E57" s="105"/>
      <c r="F57" s="105"/>
      <c r="G57" s="105"/>
      <c r="H57" s="105"/>
      <c r="I57" s="105"/>
      <c r="J57" s="105"/>
      <c r="K57" s="105"/>
      <c r="L57" s="105"/>
      <c r="M57" s="105"/>
      <c r="N57" s="105"/>
      <c r="O57" s="105"/>
      <c r="P57" s="105"/>
      <c r="Q57" s="105"/>
      <c r="R57" s="105"/>
      <c r="S57" s="105"/>
    </row>
    <row r="58" customFormat="false" ht="24" hidden="false" customHeight="true" outlineLevel="0" collapsed="false">
      <c r="A58" s="103"/>
      <c r="B58" s="103"/>
      <c r="C58" s="103"/>
      <c r="D58" s="104"/>
      <c r="E58" s="105"/>
      <c r="F58" s="105"/>
      <c r="G58" s="105"/>
      <c r="H58" s="105"/>
      <c r="I58" s="105"/>
      <c r="J58" s="105"/>
      <c r="K58" s="105"/>
      <c r="L58" s="105"/>
      <c r="M58" s="105"/>
      <c r="N58" s="105"/>
      <c r="O58" s="105"/>
      <c r="P58" s="105"/>
      <c r="Q58" s="105"/>
      <c r="R58" s="105"/>
      <c r="S58" s="105"/>
    </row>
    <row r="59" customFormat="false" ht="14.25" hidden="false" customHeight="true" outlineLevel="0" collapsed="false">
      <c r="A59" s="109"/>
      <c r="B59" s="109"/>
      <c r="C59" s="109"/>
      <c r="D59" s="109"/>
      <c r="E59" s="109"/>
      <c r="F59" s="109"/>
      <c r="G59" s="109"/>
      <c r="H59" s="109"/>
      <c r="I59" s="109"/>
      <c r="J59" s="109"/>
      <c r="K59" s="109"/>
      <c r="L59" s="109"/>
      <c r="M59" s="109"/>
      <c r="N59" s="109"/>
      <c r="O59" s="109"/>
      <c r="P59" s="109"/>
      <c r="Q59" s="109"/>
      <c r="R59" s="109"/>
      <c r="S59" s="109"/>
      <c r="T59" s="110"/>
      <c r="U59" s="110"/>
      <c r="V59" s="110"/>
      <c r="W59" s="110"/>
      <c r="X59" s="110"/>
      <c r="Y59" s="110"/>
      <c r="Z59" s="110"/>
      <c r="AA59" s="110"/>
      <c r="AB59" s="110"/>
      <c r="AC59" s="110"/>
      <c r="AD59" s="110"/>
      <c r="AE59" s="110"/>
      <c r="AF59" s="110"/>
      <c r="AG59" s="110"/>
      <c r="AH59" s="110"/>
      <c r="AI59" s="110"/>
      <c r="AJ59" s="110"/>
      <c r="AK59" s="110"/>
      <c r="AL59" s="111"/>
    </row>
    <row r="60" customFormat="false" ht="27" hidden="false" customHeight="true" outlineLevel="0" collapsed="false">
      <c r="A60" s="112" t="s">
        <v>126</v>
      </c>
      <c r="B60" s="112"/>
      <c r="C60" s="112"/>
      <c r="D60" s="112"/>
      <c r="E60" s="113" t="n">
        <f aca="false">'Master Data'!B4</f>
        <v>0</v>
      </c>
      <c r="F60" s="113"/>
      <c r="G60" s="113"/>
      <c r="H60" s="113"/>
      <c r="I60" s="113"/>
      <c r="J60" s="113"/>
      <c r="K60" s="113"/>
      <c r="L60" s="113"/>
      <c r="M60" s="112" t="s">
        <v>127</v>
      </c>
      <c r="N60" s="112"/>
      <c r="O60" s="112"/>
      <c r="P60" s="112"/>
      <c r="Q60" s="112"/>
      <c r="R60" s="112"/>
      <c r="S60" s="114" t="str">
        <f aca="false">'Master Data'!B21</f>
        <v>Mahmoud Ali </v>
      </c>
      <c r="U60" s="115" t="n">
        <f aca="false">E60</f>
        <v>0</v>
      </c>
      <c r="V60" s="115"/>
      <c r="W60" s="115"/>
      <c r="X60" s="115"/>
      <c r="Y60" s="115"/>
      <c r="Z60" s="115"/>
      <c r="AA60" s="115"/>
      <c r="AE60" s="116" t="str">
        <f aca="false">'Master Data'!B21</f>
        <v>Mahmoud Ali </v>
      </c>
      <c r="AF60" s="116"/>
      <c r="AG60" s="116"/>
      <c r="AH60" s="116"/>
      <c r="AI60" s="116"/>
      <c r="AJ60" s="116"/>
      <c r="AK60" s="116"/>
      <c r="AL60" s="117"/>
    </row>
    <row r="61" customFormat="false" ht="27" hidden="false" customHeight="true" outlineLevel="0" collapsed="false">
      <c r="A61" s="113" t="s">
        <v>128</v>
      </c>
      <c r="B61" s="113"/>
      <c r="C61" s="113"/>
      <c r="D61" s="113"/>
      <c r="E61" s="113"/>
      <c r="F61" s="113"/>
      <c r="G61" s="113"/>
      <c r="H61" s="113"/>
      <c r="I61" s="113"/>
      <c r="J61" s="113"/>
      <c r="K61" s="113"/>
      <c r="L61" s="113"/>
      <c r="M61" s="118" t="s">
        <v>128</v>
      </c>
      <c r="N61" s="118"/>
      <c r="O61" s="118"/>
      <c r="P61" s="118"/>
      <c r="Q61" s="118"/>
      <c r="R61" s="118"/>
      <c r="S61" s="118"/>
      <c r="U61" s="115"/>
      <c r="V61" s="115"/>
      <c r="W61" s="115"/>
      <c r="X61" s="115"/>
      <c r="Y61" s="115"/>
      <c r="Z61" s="115"/>
      <c r="AA61" s="115"/>
      <c r="AE61" s="116"/>
      <c r="AF61" s="116"/>
      <c r="AG61" s="116"/>
      <c r="AH61" s="116"/>
      <c r="AI61" s="116"/>
      <c r="AJ61" s="116"/>
      <c r="AK61" s="116"/>
      <c r="AL61" s="117"/>
    </row>
    <row r="62" customFormat="false" ht="15" hidden="false" customHeight="true" outlineLevel="0" collapsed="false">
      <c r="A62" s="119" t="s">
        <v>129</v>
      </c>
      <c r="B62" s="119"/>
      <c r="C62" s="119"/>
      <c r="D62" s="119"/>
      <c r="E62" s="120" t="str">
        <f aca="false">P62</f>
        <v>24-Jul-26</v>
      </c>
      <c r="F62" s="120"/>
      <c r="G62" s="120"/>
      <c r="H62" s="120"/>
      <c r="I62" s="120"/>
      <c r="J62" s="121"/>
      <c r="K62" s="119" t="s">
        <v>129</v>
      </c>
      <c r="L62" s="119"/>
      <c r="M62" s="119"/>
      <c r="N62" s="119"/>
      <c r="O62" s="119"/>
      <c r="P62" s="122" t="str">
        <f aca="false">K7</f>
        <v>24-Jul-26</v>
      </c>
      <c r="Q62" s="122"/>
      <c r="R62" s="122"/>
      <c r="S62" s="122"/>
    </row>
    <row r="63" customFormat="false" ht="13.5" hidden="false" customHeight="true" outlineLevel="0" collapsed="false">
      <c r="A63" s="119"/>
      <c r="B63" s="119"/>
      <c r="C63" s="119"/>
      <c r="D63" s="119"/>
      <c r="E63" s="120"/>
      <c r="F63" s="120"/>
      <c r="G63" s="120"/>
      <c r="H63" s="120"/>
      <c r="I63" s="120"/>
      <c r="J63" s="121"/>
      <c r="K63" s="119"/>
      <c r="L63" s="119"/>
      <c r="M63" s="119"/>
      <c r="N63" s="119"/>
      <c r="O63" s="119"/>
      <c r="P63" s="122"/>
      <c r="Q63" s="122"/>
      <c r="R63" s="122"/>
      <c r="S63" s="122"/>
    </row>
    <row r="64" customFormat="false" ht="12" hidden="false" customHeight="true" outlineLevel="0" collapsed="false">
      <c r="A64" s="123" t="s">
        <v>130</v>
      </c>
      <c r="B64" s="123"/>
      <c r="C64" s="123"/>
      <c r="D64" s="123"/>
      <c r="E64" s="123"/>
      <c r="F64" s="123"/>
      <c r="G64" s="123"/>
      <c r="H64" s="123"/>
      <c r="I64" s="123"/>
      <c r="J64" s="123"/>
      <c r="K64" s="123"/>
      <c r="L64" s="123"/>
      <c r="M64" s="123"/>
      <c r="N64" s="123"/>
      <c r="O64" s="123"/>
      <c r="P64" s="123"/>
      <c r="Q64" s="123"/>
      <c r="R64" s="123"/>
      <c r="S64" s="123"/>
    </row>
    <row r="65" customFormat="false" ht="12" hidden="false" customHeight="false" outlineLevel="0" collapsed="false">
      <c r="A65" s="123"/>
      <c r="B65" s="123"/>
      <c r="C65" s="123"/>
      <c r="D65" s="123"/>
      <c r="E65" s="123"/>
      <c r="F65" s="123"/>
      <c r="G65" s="123"/>
      <c r="H65" s="123"/>
      <c r="I65" s="123"/>
      <c r="J65" s="123"/>
      <c r="K65" s="123"/>
      <c r="L65" s="123"/>
      <c r="M65" s="123"/>
      <c r="N65" s="123"/>
      <c r="O65" s="123"/>
      <c r="P65" s="123"/>
      <c r="Q65" s="123"/>
      <c r="R65" s="123"/>
      <c r="S65" s="123"/>
    </row>
    <row r="66" customFormat="false" ht="12" hidden="false" customHeight="false" outlineLevel="0" collapsed="false">
      <c r="A66" s="123"/>
      <c r="B66" s="123"/>
      <c r="C66" s="123"/>
      <c r="D66" s="123"/>
      <c r="E66" s="123"/>
      <c r="F66" s="123"/>
      <c r="G66" s="123"/>
      <c r="H66" s="123"/>
      <c r="I66" s="123"/>
      <c r="J66" s="123"/>
      <c r="K66" s="123"/>
      <c r="L66" s="123"/>
      <c r="M66" s="123"/>
      <c r="N66" s="123"/>
      <c r="O66" s="123"/>
      <c r="P66" s="123"/>
      <c r="Q66" s="123"/>
      <c r="R66" s="123"/>
      <c r="S66" s="123"/>
    </row>
    <row r="67" customFormat="false" ht="12" hidden="false" customHeight="false" outlineLevel="0" collapsed="false">
      <c r="A67" s="123"/>
      <c r="B67" s="123"/>
      <c r="C67" s="123"/>
      <c r="D67" s="123"/>
      <c r="E67" s="123"/>
      <c r="F67" s="123"/>
      <c r="G67" s="123"/>
      <c r="H67" s="123"/>
      <c r="I67" s="123"/>
      <c r="J67" s="123"/>
      <c r="K67" s="123"/>
      <c r="L67" s="123"/>
      <c r="M67" s="123"/>
      <c r="N67" s="123"/>
      <c r="O67" s="123"/>
      <c r="P67" s="123"/>
      <c r="Q67" s="123"/>
      <c r="R67" s="123"/>
      <c r="S67" s="123"/>
    </row>
    <row r="68" customFormat="false" ht="12" hidden="false" customHeight="false" outlineLevel="0" collapsed="false">
      <c r="A68" s="123"/>
      <c r="B68" s="123"/>
      <c r="C68" s="123"/>
      <c r="D68" s="123"/>
      <c r="E68" s="123"/>
      <c r="F68" s="123"/>
      <c r="G68" s="123"/>
      <c r="H68" s="123"/>
      <c r="I68" s="123"/>
      <c r="J68" s="123"/>
      <c r="K68" s="123"/>
      <c r="L68" s="123"/>
      <c r="M68" s="123"/>
      <c r="N68" s="123"/>
      <c r="O68" s="123"/>
      <c r="P68" s="123"/>
      <c r="Q68" s="123"/>
      <c r="R68" s="123"/>
      <c r="S68" s="123"/>
    </row>
    <row r="69" customFormat="false" ht="12" hidden="false" customHeight="false" outlineLevel="0" collapsed="false">
      <c r="A69" s="124"/>
      <c r="B69" s="124"/>
      <c r="C69" s="124"/>
      <c r="D69" s="124"/>
      <c r="E69" s="124"/>
      <c r="F69" s="124"/>
      <c r="G69" s="124"/>
      <c r="H69" s="124"/>
      <c r="I69" s="124"/>
      <c r="J69" s="124"/>
      <c r="K69" s="124"/>
      <c r="L69" s="124"/>
      <c r="M69" s="124"/>
      <c r="N69" s="124"/>
      <c r="O69" s="124"/>
      <c r="P69" s="124"/>
      <c r="Q69" s="124"/>
      <c r="R69" s="124"/>
      <c r="S69" s="124"/>
    </row>
    <row r="70" customFormat="false" ht="12" hidden="false" customHeight="false" outlineLevel="0" collapsed="false">
      <c r="A70" s="124"/>
      <c r="B70" s="124"/>
      <c r="C70" s="124"/>
      <c r="D70" s="124"/>
      <c r="E70" s="124"/>
      <c r="F70" s="124"/>
      <c r="G70" s="124"/>
      <c r="H70" s="124"/>
      <c r="I70" s="124"/>
      <c r="J70" s="124"/>
      <c r="K70" s="124"/>
      <c r="L70" s="124"/>
      <c r="M70" s="124"/>
      <c r="N70" s="124"/>
      <c r="O70" s="124"/>
      <c r="P70" s="124"/>
      <c r="Q70" s="124"/>
      <c r="R70" s="124"/>
      <c r="S70" s="124"/>
    </row>
    <row r="71" customFormat="false" ht="12" hidden="false" customHeight="false" outlineLevel="0" collapsed="false">
      <c r="A71" s="124"/>
      <c r="B71" s="124"/>
      <c r="C71" s="124"/>
      <c r="D71" s="124"/>
      <c r="E71" s="124"/>
      <c r="F71" s="124"/>
      <c r="G71" s="124"/>
      <c r="H71" s="124"/>
      <c r="I71" s="124"/>
      <c r="J71" s="124"/>
      <c r="K71" s="124"/>
      <c r="L71" s="124"/>
      <c r="M71" s="124"/>
      <c r="N71" s="124"/>
      <c r="O71" s="124"/>
      <c r="P71" s="124"/>
      <c r="Q71" s="124"/>
      <c r="R71" s="124"/>
      <c r="S71" s="124"/>
    </row>
    <row r="72" customFormat="false" ht="12" hidden="false" customHeight="false" outlineLevel="0" collapsed="false">
      <c r="A72" s="124"/>
      <c r="B72" s="124"/>
      <c r="C72" s="124"/>
      <c r="D72" s="124"/>
      <c r="E72" s="124"/>
      <c r="F72" s="124"/>
      <c r="G72" s="124"/>
      <c r="H72" s="124"/>
      <c r="I72" s="124"/>
      <c r="J72" s="124"/>
      <c r="K72" s="124"/>
      <c r="L72" s="124"/>
      <c r="M72" s="124"/>
      <c r="N72" s="124"/>
      <c r="O72" s="124"/>
      <c r="P72" s="124"/>
      <c r="Q72" s="124"/>
      <c r="R72" s="124"/>
      <c r="S72" s="124"/>
    </row>
    <row r="73" customFormat="false" ht="12" hidden="false" customHeight="false" outlineLevel="0" collapsed="false">
      <c r="A73" s="124"/>
      <c r="B73" s="124"/>
      <c r="C73" s="124"/>
      <c r="D73" s="124"/>
      <c r="E73" s="124"/>
      <c r="F73" s="124"/>
      <c r="G73" s="124"/>
      <c r="H73" s="124"/>
      <c r="I73" s="124"/>
      <c r="J73" s="124"/>
      <c r="K73" s="124"/>
      <c r="L73" s="124"/>
      <c r="M73" s="124"/>
      <c r="N73" s="124"/>
      <c r="O73" s="124"/>
      <c r="P73" s="124"/>
      <c r="Q73" s="124"/>
      <c r="R73" s="124"/>
      <c r="S73" s="124"/>
    </row>
    <row r="74" customFormat="false" ht="12" hidden="false" customHeight="false" outlineLevel="0" collapsed="false">
      <c r="A74" s="124"/>
      <c r="B74" s="124"/>
      <c r="C74" s="124"/>
      <c r="D74" s="124"/>
      <c r="E74" s="124"/>
      <c r="F74" s="124"/>
      <c r="G74" s="124"/>
      <c r="H74" s="124"/>
      <c r="I74" s="124"/>
      <c r="J74" s="124"/>
      <c r="K74" s="124"/>
      <c r="L74" s="124"/>
      <c r="M74" s="124"/>
      <c r="N74" s="124"/>
      <c r="O74" s="124"/>
      <c r="P74" s="124"/>
      <c r="Q74" s="124"/>
      <c r="R74" s="124"/>
      <c r="S74" s="124"/>
    </row>
    <row r="75" customFormat="false" ht="12" hidden="false" customHeight="false" outlineLevel="0" collapsed="false">
      <c r="A75" s="124"/>
      <c r="B75" s="124"/>
      <c r="C75" s="124"/>
      <c r="D75" s="124"/>
      <c r="E75" s="124"/>
      <c r="F75" s="124"/>
      <c r="G75" s="124"/>
      <c r="H75" s="124"/>
      <c r="I75" s="124"/>
      <c r="J75" s="124"/>
      <c r="K75" s="124"/>
      <c r="L75" s="124"/>
      <c r="M75" s="124"/>
      <c r="N75" s="124"/>
      <c r="O75" s="124"/>
      <c r="P75" s="124"/>
      <c r="Q75" s="124"/>
      <c r="R75" s="124"/>
      <c r="S75" s="124"/>
    </row>
    <row r="76" customFormat="false" ht="12" hidden="false" customHeight="false" outlineLevel="0" collapsed="false">
      <c r="A76" s="124"/>
      <c r="B76" s="124"/>
      <c r="C76" s="124"/>
      <c r="D76" s="124"/>
      <c r="E76" s="124"/>
      <c r="F76" s="124"/>
      <c r="G76" s="124"/>
      <c r="H76" s="124"/>
      <c r="I76" s="124"/>
      <c r="J76" s="124"/>
      <c r="K76" s="124"/>
      <c r="L76" s="124"/>
      <c r="M76" s="124"/>
      <c r="N76" s="124"/>
      <c r="O76" s="124"/>
      <c r="P76" s="124"/>
      <c r="Q76" s="124"/>
      <c r="R76" s="124"/>
      <c r="S76" s="124"/>
    </row>
    <row r="77" customFormat="false" ht="12" hidden="false" customHeight="false" outlineLevel="0" collapsed="false">
      <c r="A77" s="124"/>
      <c r="B77" s="124"/>
      <c r="C77" s="124"/>
      <c r="D77" s="124"/>
      <c r="E77" s="124"/>
      <c r="F77" s="124"/>
      <c r="G77" s="124"/>
      <c r="H77" s="124"/>
      <c r="I77" s="124"/>
      <c r="J77" s="124"/>
      <c r="K77" s="124"/>
      <c r="L77" s="124"/>
      <c r="M77" s="124"/>
      <c r="N77" s="124"/>
      <c r="O77" s="124"/>
      <c r="P77" s="124"/>
      <c r="Q77" s="124"/>
      <c r="R77" s="124"/>
      <c r="S77" s="124"/>
    </row>
    <row r="78" customFormat="false" ht="12" hidden="false" customHeight="false" outlineLevel="0" collapsed="false">
      <c r="A78" s="124"/>
      <c r="B78" s="124"/>
      <c r="C78" s="124"/>
      <c r="D78" s="124"/>
      <c r="E78" s="124"/>
      <c r="F78" s="124"/>
      <c r="G78" s="124"/>
      <c r="H78" s="124"/>
      <c r="I78" s="124"/>
      <c r="J78" s="124"/>
      <c r="K78" s="124"/>
      <c r="L78" s="124"/>
      <c r="M78" s="124"/>
      <c r="N78" s="124"/>
      <c r="O78" s="124"/>
      <c r="P78" s="124"/>
      <c r="Q78" s="124"/>
      <c r="R78" s="124"/>
      <c r="S78" s="124"/>
    </row>
    <row r="79" customFormat="false" ht="12" hidden="false" customHeight="false" outlineLevel="0" collapsed="false">
      <c r="A79" s="124"/>
      <c r="B79" s="124"/>
      <c r="C79" s="124"/>
      <c r="D79" s="124"/>
      <c r="E79" s="124"/>
      <c r="F79" s="124"/>
      <c r="G79" s="124"/>
      <c r="H79" s="124"/>
      <c r="I79" s="124"/>
      <c r="J79" s="124"/>
      <c r="K79" s="124"/>
      <c r="L79" s="124"/>
      <c r="M79" s="124"/>
      <c r="N79" s="124"/>
      <c r="O79" s="124"/>
      <c r="P79" s="124"/>
      <c r="Q79" s="124"/>
      <c r="R79" s="124"/>
      <c r="S79" s="124"/>
    </row>
    <row r="80" customFormat="false" ht="12" hidden="false" customHeight="false" outlineLevel="0" collapsed="false">
      <c r="A80" s="124"/>
      <c r="B80" s="124"/>
      <c r="C80" s="124"/>
      <c r="D80" s="124"/>
      <c r="E80" s="124"/>
      <c r="F80" s="124"/>
      <c r="G80" s="124"/>
      <c r="H80" s="124"/>
      <c r="I80" s="124"/>
      <c r="J80" s="124"/>
      <c r="K80" s="124"/>
      <c r="L80" s="124"/>
      <c r="M80" s="124"/>
      <c r="N80" s="124"/>
      <c r="O80" s="124"/>
      <c r="P80" s="124"/>
      <c r="Q80" s="124"/>
      <c r="R80" s="124"/>
      <c r="S80" s="124"/>
    </row>
    <row r="81" customFormat="false" ht="12" hidden="false" customHeight="false" outlineLevel="0" collapsed="false">
      <c r="A81" s="124"/>
      <c r="B81" s="124"/>
      <c r="C81" s="124"/>
      <c r="D81" s="124"/>
      <c r="E81" s="124"/>
      <c r="F81" s="124"/>
      <c r="G81" s="124"/>
      <c r="H81" s="124"/>
      <c r="I81" s="124"/>
      <c r="J81" s="124"/>
      <c r="K81" s="124"/>
      <c r="L81" s="124"/>
      <c r="M81" s="124"/>
      <c r="N81" s="124"/>
      <c r="O81" s="124"/>
      <c r="P81" s="124"/>
      <c r="Q81" s="124"/>
      <c r="R81" s="124"/>
      <c r="S81" s="124"/>
    </row>
    <row r="82" customFormat="false" ht="12" hidden="false" customHeight="false" outlineLevel="0" collapsed="false">
      <c r="A82" s="124"/>
      <c r="B82" s="124"/>
      <c r="C82" s="124"/>
      <c r="D82" s="124"/>
      <c r="E82" s="124"/>
      <c r="F82" s="124"/>
      <c r="G82" s="124"/>
      <c r="H82" s="124"/>
      <c r="I82" s="124"/>
      <c r="J82" s="124"/>
      <c r="K82" s="124"/>
      <c r="L82" s="124"/>
      <c r="M82" s="124"/>
      <c r="N82" s="124"/>
      <c r="O82" s="124"/>
      <c r="P82" s="124"/>
      <c r="Q82" s="124"/>
      <c r="R82" s="124"/>
      <c r="S82" s="124"/>
    </row>
    <row r="83" customFormat="false" ht="12" hidden="false" customHeight="false" outlineLevel="0" collapsed="false">
      <c r="A83" s="124"/>
      <c r="B83" s="124"/>
      <c r="C83" s="124"/>
      <c r="D83" s="124"/>
      <c r="E83" s="124"/>
      <c r="F83" s="124"/>
      <c r="G83" s="124"/>
      <c r="H83" s="124"/>
      <c r="I83" s="124"/>
      <c r="J83" s="124"/>
      <c r="K83" s="124"/>
      <c r="L83" s="124"/>
      <c r="M83" s="124"/>
      <c r="N83" s="124"/>
      <c r="O83" s="124"/>
      <c r="P83" s="124"/>
      <c r="Q83" s="124"/>
      <c r="R83" s="124"/>
      <c r="S83" s="124"/>
    </row>
    <row r="84" customFormat="false" ht="12" hidden="false" customHeight="false" outlineLevel="0" collapsed="false">
      <c r="A84" s="124"/>
      <c r="B84" s="124"/>
      <c r="C84" s="124"/>
      <c r="D84" s="124"/>
      <c r="E84" s="124"/>
      <c r="F84" s="124"/>
      <c r="G84" s="124"/>
      <c r="H84" s="124"/>
      <c r="I84" s="124"/>
      <c r="J84" s="124"/>
      <c r="K84" s="124"/>
      <c r="L84" s="124"/>
      <c r="M84" s="124"/>
      <c r="N84" s="124"/>
      <c r="O84" s="124"/>
      <c r="P84" s="124"/>
      <c r="Q84" s="124"/>
      <c r="R84" s="124"/>
      <c r="S84" s="124"/>
    </row>
    <row r="85" customFormat="false" ht="12" hidden="false" customHeight="false" outlineLevel="0" collapsed="false">
      <c r="A85" s="124"/>
      <c r="B85" s="124"/>
      <c r="C85" s="124"/>
      <c r="D85" s="124"/>
      <c r="E85" s="124"/>
      <c r="F85" s="124"/>
      <c r="G85" s="124"/>
      <c r="H85" s="124"/>
      <c r="I85" s="124"/>
      <c r="J85" s="124"/>
      <c r="K85" s="124"/>
      <c r="L85" s="124"/>
      <c r="M85" s="124"/>
      <c r="N85" s="124"/>
      <c r="O85" s="124"/>
      <c r="P85" s="124"/>
      <c r="Q85" s="124"/>
      <c r="R85" s="124"/>
      <c r="S85" s="124"/>
    </row>
    <row r="86" customFormat="false" ht="12" hidden="false" customHeight="false" outlineLevel="0" collapsed="false">
      <c r="A86" s="124"/>
      <c r="B86" s="124"/>
      <c r="C86" s="124"/>
      <c r="D86" s="124"/>
      <c r="E86" s="124"/>
      <c r="F86" s="124"/>
      <c r="G86" s="124"/>
      <c r="H86" s="124"/>
      <c r="I86" s="124"/>
      <c r="J86" s="124"/>
      <c r="K86" s="124"/>
      <c r="L86" s="124"/>
      <c r="M86" s="124"/>
      <c r="N86" s="124"/>
      <c r="O86" s="124"/>
      <c r="P86" s="124"/>
      <c r="Q86" s="124"/>
      <c r="R86" s="124"/>
      <c r="S86" s="124"/>
    </row>
    <row r="87" customFormat="false" ht="12" hidden="false" customHeight="false" outlineLevel="0" collapsed="false">
      <c r="A87" s="124"/>
      <c r="B87" s="124"/>
      <c r="C87" s="124"/>
      <c r="D87" s="124"/>
      <c r="E87" s="124"/>
      <c r="F87" s="124"/>
      <c r="G87" s="124"/>
      <c r="H87" s="124"/>
      <c r="I87" s="124"/>
      <c r="J87" s="124"/>
      <c r="K87" s="124"/>
      <c r="L87" s="124"/>
      <c r="M87" s="124"/>
      <c r="N87" s="124"/>
      <c r="O87" s="124"/>
      <c r="P87" s="124"/>
      <c r="Q87" s="124"/>
      <c r="R87" s="124"/>
      <c r="S87" s="124"/>
    </row>
    <row r="88" customFormat="false" ht="12" hidden="false" customHeight="false" outlineLevel="0" collapsed="false">
      <c r="A88" s="124"/>
      <c r="B88" s="124"/>
      <c r="C88" s="124"/>
      <c r="D88" s="124"/>
      <c r="E88" s="124"/>
      <c r="F88" s="124"/>
      <c r="G88" s="124"/>
      <c r="H88" s="124"/>
      <c r="I88" s="124"/>
      <c r="J88" s="124"/>
      <c r="K88" s="124"/>
      <c r="L88" s="124"/>
      <c r="M88" s="124"/>
      <c r="N88" s="124"/>
      <c r="O88" s="124"/>
      <c r="P88" s="124"/>
      <c r="Q88" s="124"/>
      <c r="R88" s="124"/>
      <c r="S88" s="124"/>
    </row>
    <row r="89" customFormat="false" ht="12" hidden="false" customHeight="false" outlineLevel="0" collapsed="false">
      <c r="A89" s="124"/>
      <c r="B89" s="124"/>
      <c r="C89" s="124"/>
      <c r="D89" s="124"/>
      <c r="E89" s="124"/>
      <c r="F89" s="124"/>
      <c r="G89" s="124"/>
      <c r="H89" s="124"/>
      <c r="I89" s="124"/>
      <c r="J89" s="124"/>
      <c r="K89" s="124"/>
      <c r="L89" s="124"/>
      <c r="M89" s="124"/>
      <c r="N89" s="124"/>
      <c r="O89" s="124"/>
      <c r="P89" s="124"/>
      <c r="Q89" s="124"/>
      <c r="R89" s="124"/>
      <c r="S89" s="124"/>
    </row>
    <row r="90" customFormat="false" ht="12" hidden="false" customHeight="false" outlineLevel="0" collapsed="false">
      <c r="A90" s="124"/>
      <c r="B90" s="124"/>
      <c r="C90" s="124"/>
      <c r="D90" s="124"/>
      <c r="E90" s="124"/>
      <c r="F90" s="124"/>
      <c r="G90" s="124"/>
      <c r="H90" s="124"/>
      <c r="I90" s="124"/>
      <c r="J90" s="124"/>
      <c r="K90" s="124"/>
      <c r="L90" s="124"/>
      <c r="M90" s="124"/>
      <c r="N90" s="124"/>
      <c r="O90" s="124"/>
      <c r="P90" s="124"/>
      <c r="Q90" s="124"/>
      <c r="R90" s="124"/>
      <c r="S90" s="124"/>
    </row>
    <row r="91" customFormat="false" ht="12" hidden="false" customHeight="false" outlineLevel="0" collapsed="false">
      <c r="A91" s="124"/>
      <c r="B91" s="124"/>
      <c r="C91" s="124"/>
      <c r="D91" s="124"/>
      <c r="E91" s="124"/>
      <c r="F91" s="124"/>
      <c r="G91" s="124"/>
      <c r="H91" s="124"/>
      <c r="I91" s="124"/>
      <c r="J91" s="124"/>
      <c r="K91" s="124"/>
      <c r="L91" s="124"/>
      <c r="M91" s="124"/>
      <c r="N91" s="124"/>
      <c r="O91" s="124"/>
      <c r="P91" s="124"/>
      <c r="Q91" s="124"/>
      <c r="R91" s="124"/>
      <c r="S91" s="124"/>
    </row>
    <row r="92" customFormat="false" ht="12" hidden="false" customHeight="false" outlineLevel="0" collapsed="false">
      <c r="A92" s="124"/>
      <c r="B92" s="124"/>
      <c r="C92" s="124"/>
      <c r="D92" s="124"/>
      <c r="E92" s="124"/>
      <c r="F92" s="124"/>
      <c r="G92" s="124"/>
      <c r="H92" s="124"/>
      <c r="I92" s="124"/>
      <c r="J92" s="124"/>
      <c r="K92" s="124"/>
      <c r="L92" s="124"/>
      <c r="M92" s="124"/>
      <c r="N92" s="124"/>
      <c r="O92" s="124"/>
      <c r="P92" s="124"/>
      <c r="Q92" s="124"/>
      <c r="R92" s="124"/>
      <c r="S92" s="124"/>
    </row>
    <row r="93" customFormat="false" ht="12" hidden="false" customHeight="false" outlineLevel="0" collapsed="false">
      <c r="A93" s="124"/>
      <c r="B93" s="124"/>
      <c r="C93" s="124"/>
      <c r="D93" s="124"/>
      <c r="E93" s="124"/>
      <c r="F93" s="124"/>
      <c r="G93" s="124"/>
      <c r="H93" s="124"/>
      <c r="I93" s="124"/>
      <c r="J93" s="124"/>
      <c r="K93" s="124"/>
      <c r="L93" s="124"/>
      <c r="M93" s="124"/>
      <c r="N93" s="124"/>
      <c r="O93" s="124"/>
      <c r="P93" s="124"/>
      <c r="Q93" s="124"/>
      <c r="R93" s="124"/>
      <c r="S93" s="124"/>
    </row>
    <row r="94" customFormat="false" ht="12" hidden="false" customHeight="false" outlineLevel="0" collapsed="false">
      <c r="A94" s="124"/>
      <c r="B94" s="124"/>
      <c r="C94" s="124"/>
      <c r="D94" s="124"/>
      <c r="E94" s="124"/>
      <c r="F94" s="124"/>
      <c r="G94" s="124"/>
      <c r="H94" s="124"/>
      <c r="I94" s="124"/>
      <c r="J94" s="124"/>
      <c r="K94" s="124"/>
      <c r="L94" s="124"/>
      <c r="M94" s="124"/>
      <c r="N94" s="124"/>
      <c r="O94" s="124"/>
      <c r="P94" s="124"/>
      <c r="Q94" s="124"/>
      <c r="R94" s="124"/>
      <c r="S94" s="124"/>
    </row>
    <row r="95" customFormat="false" ht="12" hidden="false" customHeight="false" outlineLevel="0" collapsed="false">
      <c r="A95" s="124"/>
      <c r="B95" s="124"/>
      <c r="C95" s="124"/>
      <c r="D95" s="124"/>
      <c r="E95" s="124"/>
      <c r="F95" s="124"/>
      <c r="G95" s="124"/>
      <c r="H95" s="124"/>
      <c r="I95" s="124"/>
      <c r="J95" s="124"/>
      <c r="K95" s="124"/>
      <c r="L95" s="124"/>
      <c r="M95" s="124"/>
      <c r="N95" s="124"/>
      <c r="O95" s="124"/>
      <c r="P95" s="124"/>
      <c r="Q95" s="124"/>
      <c r="R95" s="124"/>
      <c r="S95" s="124"/>
    </row>
    <row r="96" customFormat="false" ht="12" hidden="false" customHeight="false" outlineLevel="0" collapsed="false">
      <c r="A96" s="124"/>
      <c r="B96" s="124"/>
      <c r="C96" s="124"/>
      <c r="D96" s="124"/>
      <c r="E96" s="124"/>
      <c r="F96" s="124"/>
      <c r="G96" s="124"/>
      <c r="H96" s="124"/>
      <c r="I96" s="124"/>
      <c r="J96" s="124"/>
      <c r="K96" s="124"/>
      <c r="L96" s="124"/>
      <c r="M96" s="124"/>
      <c r="N96" s="124"/>
      <c r="O96" s="124"/>
      <c r="P96" s="124"/>
      <c r="Q96" s="124"/>
      <c r="R96" s="124"/>
      <c r="S96" s="124"/>
    </row>
    <row r="97" customFormat="false" ht="12" hidden="false" customHeight="false" outlineLevel="0" collapsed="false">
      <c r="A97" s="124"/>
      <c r="B97" s="124"/>
      <c r="C97" s="124"/>
      <c r="D97" s="124"/>
      <c r="E97" s="124"/>
      <c r="F97" s="124"/>
      <c r="G97" s="124"/>
      <c r="H97" s="124"/>
      <c r="I97" s="124"/>
      <c r="J97" s="124"/>
      <c r="K97" s="124"/>
      <c r="L97" s="124"/>
      <c r="M97" s="124"/>
      <c r="N97" s="124"/>
      <c r="O97" s="124"/>
      <c r="P97" s="124"/>
      <c r="Q97" s="124"/>
      <c r="R97" s="124"/>
      <c r="S97" s="124"/>
    </row>
    <row r="98" customFormat="false" ht="12" hidden="false" customHeight="false" outlineLevel="0" collapsed="false">
      <c r="A98" s="124"/>
      <c r="B98" s="124"/>
      <c r="C98" s="124"/>
      <c r="D98" s="124"/>
      <c r="E98" s="124"/>
      <c r="F98" s="124"/>
      <c r="G98" s="124"/>
      <c r="H98" s="124"/>
      <c r="I98" s="124"/>
      <c r="J98" s="124"/>
      <c r="K98" s="124"/>
      <c r="L98" s="124"/>
      <c r="M98" s="124"/>
      <c r="N98" s="124"/>
      <c r="O98" s="124"/>
      <c r="P98" s="124"/>
      <c r="Q98" s="124"/>
      <c r="R98" s="124"/>
      <c r="S98" s="124"/>
    </row>
    <row r="99" customFormat="false" ht="12" hidden="false" customHeight="false" outlineLevel="0" collapsed="false">
      <c r="A99" s="124"/>
      <c r="B99" s="124"/>
      <c r="C99" s="124"/>
      <c r="D99" s="124"/>
      <c r="E99" s="124"/>
      <c r="F99" s="124"/>
      <c r="G99" s="124"/>
      <c r="H99" s="124"/>
      <c r="I99" s="124"/>
      <c r="J99" s="124"/>
      <c r="K99" s="124"/>
      <c r="L99" s="124"/>
      <c r="M99" s="124"/>
      <c r="N99" s="124"/>
      <c r="O99" s="124"/>
      <c r="P99" s="124"/>
      <c r="Q99" s="124"/>
      <c r="R99" s="124"/>
      <c r="S99" s="124"/>
    </row>
    <row r="100" customFormat="false" ht="12" hidden="false" customHeight="false" outlineLevel="0" collapsed="false">
      <c r="A100" s="124"/>
      <c r="B100" s="124"/>
      <c r="C100" s="124"/>
      <c r="D100" s="124"/>
      <c r="E100" s="124"/>
      <c r="F100" s="124"/>
      <c r="G100" s="124"/>
      <c r="H100" s="124"/>
      <c r="I100" s="124"/>
      <c r="J100" s="124"/>
      <c r="K100" s="124"/>
      <c r="L100" s="124"/>
      <c r="M100" s="124"/>
      <c r="N100" s="124"/>
      <c r="O100" s="124"/>
      <c r="P100" s="124"/>
      <c r="Q100" s="124"/>
      <c r="R100" s="124"/>
      <c r="S100" s="124"/>
    </row>
    <row r="101" customFormat="false" ht="12" hidden="false" customHeight="false" outlineLevel="0" collapsed="false">
      <c r="A101" s="124"/>
      <c r="B101" s="124"/>
      <c r="C101" s="124"/>
      <c r="D101" s="124"/>
      <c r="E101" s="124"/>
      <c r="F101" s="124"/>
      <c r="G101" s="124"/>
      <c r="H101" s="124"/>
      <c r="I101" s="124"/>
      <c r="J101" s="124"/>
      <c r="K101" s="124"/>
      <c r="L101" s="124"/>
      <c r="M101" s="124"/>
      <c r="N101" s="124"/>
      <c r="O101" s="124"/>
      <c r="P101" s="124"/>
      <c r="Q101" s="124"/>
      <c r="R101" s="124"/>
      <c r="S101" s="124"/>
    </row>
    <row r="102" customFormat="false" ht="12" hidden="false" customHeight="false" outlineLevel="0" collapsed="false">
      <c r="A102" s="124"/>
      <c r="B102" s="124"/>
      <c r="C102" s="124"/>
      <c r="D102" s="124"/>
      <c r="E102" s="124"/>
      <c r="F102" s="124"/>
      <c r="G102" s="124"/>
      <c r="H102" s="124"/>
      <c r="I102" s="124"/>
      <c r="J102" s="124"/>
      <c r="K102" s="124"/>
      <c r="L102" s="124"/>
      <c r="M102" s="124"/>
      <c r="N102" s="124"/>
      <c r="O102" s="124"/>
      <c r="P102" s="124"/>
      <c r="Q102" s="124"/>
      <c r="R102" s="124"/>
      <c r="S102" s="124"/>
    </row>
    <row r="103" customFormat="false" ht="12" hidden="false" customHeight="false" outlineLevel="0" collapsed="false">
      <c r="A103" s="124"/>
      <c r="B103" s="124"/>
      <c r="C103" s="124"/>
      <c r="D103" s="124"/>
      <c r="E103" s="124"/>
      <c r="F103" s="124"/>
      <c r="G103" s="124"/>
      <c r="H103" s="124"/>
      <c r="I103" s="124"/>
      <c r="J103" s="124"/>
      <c r="K103" s="124"/>
      <c r="L103" s="124"/>
      <c r="M103" s="124"/>
      <c r="N103" s="124"/>
      <c r="O103" s="124"/>
      <c r="P103" s="124"/>
      <c r="Q103" s="124"/>
      <c r="R103" s="124"/>
      <c r="S103" s="124"/>
    </row>
    <row r="104" customFormat="false" ht="12" hidden="false" customHeight="false" outlineLevel="0" collapsed="false">
      <c r="A104" s="124"/>
      <c r="B104" s="124"/>
      <c r="C104" s="124"/>
      <c r="D104" s="124"/>
      <c r="E104" s="124"/>
      <c r="F104" s="124"/>
      <c r="G104" s="124"/>
      <c r="H104" s="124"/>
      <c r="I104" s="124"/>
      <c r="J104" s="124"/>
      <c r="K104" s="124"/>
      <c r="L104" s="124"/>
      <c r="M104" s="124"/>
      <c r="N104" s="124"/>
      <c r="O104" s="124"/>
      <c r="P104" s="124"/>
      <c r="Q104" s="124"/>
      <c r="R104" s="124"/>
      <c r="S104" s="124"/>
    </row>
    <row r="105" customFormat="false" ht="12" hidden="false" customHeight="false" outlineLevel="0" collapsed="false">
      <c r="A105" s="124"/>
      <c r="B105" s="124"/>
      <c r="C105" s="124"/>
      <c r="D105" s="124"/>
      <c r="E105" s="124"/>
      <c r="F105" s="124"/>
      <c r="G105" s="124"/>
      <c r="H105" s="124"/>
      <c r="I105" s="124"/>
      <c r="J105" s="124"/>
      <c r="K105" s="124"/>
      <c r="L105" s="124"/>
      <c r="M105" s="124"/>
      <c r="N105" s="124"/>
      <c r="O105" s="124"/>
      <c r="P105" s="124"/>
      <c r="Q105" s="124"/>
      <c r="R105" s="124"/>
      <c r="S105" s="124"/>
    </row>
    <row r="106" customFormat="false" ht="12" hidden="false" customHeight="false" outlineLevel="0" collapsed="false">
      <c r="A106" s="124"/>
      <c r="B106" s="124"/>
      <c r="C106" s="124"/>
      <c r="D106" s="124"/>
      <c r="E106" s="124"/>
      <c r="F106" s="124"/>
      <c r="G106" s="124"/>
      <c r="H106" s="124"/>
      <c r="I106" s="124"/>
      <c r="J106" s="124"/>
      <c r="K106" s="124"/>
      <c r="L106" s="124"/>
      <c r="M106" s="124"/>
      <c r="N106" s="124"/>
      <c r="O106" s="124"/>
      <c r="P106" s="124"/>
      <c r="Q106" s="124"/>
      <c r="R106" s="124"/>
      <c r="S106" s="124"/>
    </row>
    <row r="107" customFormat="false" ht="12" hidden="false" customHeight="false" outlineLevel="0" collapsed="false">
      <c r="A107" s="124"/>
      <c r="B107" s="124"/>
      <c r="C107" s="124"/>
      <c r="D107" s="124"/>
      <c r="E107" s="124"/>
      <c r="F107" s="124"/>
      <c r="G107" s="124"/>
      <c r="H107" s="124"/>
      <c r="I107" s="124"/>
      <c r="J107" s="124"/>
      <c r="K107" s="124"/>
      <c r="L107" s="124"/>
      <c r="M107" s="124"/>
      <c r="N107" s="124"/>
      <c r="O107" s="124"/>
      <c r="P107" s="124"/>
      <c r="Q107" s="124"/>
      <c r="R107" s="124"/>
      <c r="S107" s="124"/>
    </row>
  </sheetData>
  <mergeCells count="152">
    <mergeCell ref="A1:C1"/>
    <mergeCell ref="D1:R1"/>
    <mergeCell ref="A2:C2"/>
    <mergeCell ref="D2:E2"/>
    <mergeCell ref="F2:H2"/>
    <mergeCell ref="I2:K2"/>
    <mergeCell ref="L2:N2"/>
    <mergeCell ref="O2:R2"/>
    <mergeCell ref="A3:C3"/>
    <mergeCell ref="D3:E3"/>
    <mergeCell ref="F3:H3"/>
    <mergeCell ref="I3:K3"/>
    <mergeCell ref="L3:N3"/>
    <mergeCell ref="O3:R3"/>
    <mergeCell ref="A4:S4"/>
    <mergeCell ref="A5:C5"/>
    <mergeCell ref="D5:G5"/>
    <mergeCell ref="H5:J5"/>
    <mergeCell ref="K5:M5"/>
    <mergeCell ref="N5:Q5"/>
    <mergeCell ref="R5:S5"/>
    <mergeCell ref="A6:C6"/>
    <mergeCell ref="D6:G6"/>
    <mergeCell ref="H6:J6"/>
    <mergeCell ref="K6:M6"/>
    <mergeCell ref="N6:Q6"/>
    <mergeCell ref="R6:S6"/>
    <mergeCell ref="A7:C7"/>
    <mergeCell ref="D7:G7"/>
    <mergeCell ref="H7:J7"/>
    <mergeCell ref="K7:M7"/>
    <mergeCell ref="N7:Q7"/>
    <mergeCell ref="R7:S7"/>
    <mergeCell ref="A8:C8"/>
    <mergeCell ref="E8:G8"/>
    <mergeCell ref="I8:J8"/>
    <mergeCell ref="K8:L8"/>
    <mergeCell ref="M8:N8"/>
    <mergeCell ref="O8:P8"/>
    <mergeCell ref="Q8:R8"/>
    <mergeCell ref="A9:S9"/>
    <mergeCell ref="A10:C10"/>
    <mergeCell ref="E10:S10"/>
    <mergeCell ref="A11:C11"/>
    <mergeCell ref="E11:S11"/>
    <mergeCell ref="A12:C12"/>
    <mergeCell ref="E12:S12"/>
    <mergeCell ref="A13:C13"/>
    <mergeCell ref="E13:S13"/>
    <mergeCell ref="A14:C14"/>
    <mergeCell ref="E14:S14"/>
    <mergeCell ref="A15:C15"/>
    <mergeCell ref="E15:S15"/>
    <mergeCell ref="A16:C16"/>
    <mergeCell ref="E16:S16"/>
    <mergeCell ref="A17:C17"/>
    <mergeCell ref="E17:S17"/>
    <mergeCell ref="A18:C18"/>
    <mergeCell ref="E18:S18"/>
    <mergeCell ref="A19:C19"/>
    <mergeCell ref="E19:S19"/>
    <mergeCell ref="A20:C20"/>
    <mergeCell ref="E20:S20"/>
    <mergeCell ref="A21:C21"/>
    <mergeCell ref="E21:S21"/>
    <mergeCell ref="A22:C22"/>
    <mergeCell ref="E22:S22"/>
    <mergeCell ref="A23:C23"/>
    <mergeCell ref="E23:S23"/>
    <mergeCell ref="A24:C24"/>
    <mergeCell ref="E24:S24"/>
    <mergeCell ref="A25:C25"/>
    <mergeCell ref="E25:S25"/>
    <mergeCell ref="A26:C26"/>
    <mergeCell ref="E26:S26"/>
    <mergeCell ref="A27:C27"/>
    <mergeCell ref="E27:S27"/>
    <mergeCell ref="A28:C28"/>
    <mergeCell ref="E28:S28"/>
    <mergeCell ref="A29:C29"/>
    <mergeCell ref="E29:S29"/>
    <mergeCell ref="A30:C30"/>
    <mergeCell ref="E30:S30"/>
    <mergeCell ref="A31:C31"/>
    <mergeCell ref="E31:S31"/>
    <mergeCell ref="A32:C32"/>
    <mergeCell ref="E32:S32"/>
    <mergeCell ref="A33:C33"/>
    <mergeCell ref="E33:S33"/>
    <mergeCell ref="A34:C34"/>
    <mergeCell ref="E34:S34"/>
    <mergeCell ref="A35:C35"/>
    <mergeCell ref="E35:S35"/>
    <mergeCell ref="A36:C36"/>
    <mergeCell ref="E36:S36"/>
    <mergeCell ref="A37:C37"/>
    <mergeCell ref="E37:S37"/>
    <mergeCell ref="A38:C38"/>
    <mergeCell ref="E38:S38"/>
    <mergeCell ref="A39:C39"/>
    <mergeCell ref="E39:S39"/>
    <mergeCell ref="A40:C40"/>
    <mergeCell ref="E40:S40"/>
    <mergeCell ref="A41:C41"/>
    <mergeCell ref="E41:S41"/>
    <mergeCell ref="A42:C42"/>
    <mergeCell ref="E42:S42"/>
    <mergeCell ref="A43:C43"/>
    <mergeCell ref="E43:S43"/>
    <mergeCell ref="A44:C44"/>
    <mergeCell ref="E44:S44"/>
    <mergeCell ref="A45:C45"/>
    <mergeCell ref="E45:S45"/>
    <mergeCell ref="A46:C46"/>
    <mergeCell ref="E46:S46"/>
    <mergeCell ref="A47:C47"/>
    <mergeCell ref="E47:S47"/>
    <mergeCell ref="A48:C48"/>
    <mergeCell ref="E48:S48"/>
    <mergeCell ref="A49:C49"/>
    <mergeCell ref="E49:S49"/>
    <mergeCell ref="A50:C50"/>
    <mergeCell ref="E50:S50"/>
    <mergeCell ref="A51:C51"/>
    <mergeCell ref="E51:S51"/>
    <mergeCell ref="A52:C52"/>
    <mergeCell ref="E52:S52"/>
    <mergeCell ref="A53:C53"/>
    <mergeCell ref="E53:S53"/>
    <mergeCell ref="A54:C54"/>
    <mergeCell ref="E54:S54"/>
    <mergeCell ref="A55:C55"/>
    <mergeCell ref="E55:S55"/>
    <mergeCell ref="A56:C56"/>
    <mergeCell ref="E56:S56"/>
    <mergeCell ref="A57:C57"/>
    <mergeCell ref="E57:S57"/>
    <mergeCell ref="A58:C58"/>
    <mergeCell ref="E58:S58"/>
    <mergeCell ref="A59:S59"/>
    <mergeCell ref="A60:D60"/>
    <mergeCell ref="E60:L60"/>
    <mergeCell ref="M60:R60"/>
    <mergeCell ref="AE60:AK61"/>
    <mergeCell ref="A61:L61"/>
    <mergeCell ref="M61:S61"/>
    <mergeCell ref="A62:D63"/>
    <mergeCell ref="E62:I63"/>
    <mergeCell ref="J62:J63"/>
    <mergeCell ref="K62:O63"/>
    <mergeCell ref="P62:S63"/>
    <mergeCell ref="A64:S68"/>
  </mergeCells>
  <printOptions headings="false" gridLines="false" gridLinesSet="true" horizontalCentered="true" verticalCentered="true"/>
  <pageMargins left="0" right="0" top="0.5" bottom="0.25" header="0.511811023622047" footer="0"/>
  <pageSetup paperSize="9" scale="100" fitToWidth="1" fitToHeight="2" pageOrder="downThenOver" orientation="portrait" blackAndWhite="false" draft="false" cellComments="none" horizontalDpi="300" verticalDpi="300" copies="1"/>
  <headerFooter differentFirst="false" differentOddEven="false">
    <oddHeader/>
    <oddFooter>&amp;CPage &amp;P of &amp;N</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E2F0D9"/>
    <pageSetUpPr fitToPage="false"/>
  </sheetPr>
  <dimension ref="A1:H20"/>
  <sheetViews>
    <sheetView showFormulas="false" showGridLines="true" showRowColHeaders="true" showZeros="true" rightToLeft="false" tabSelected="false" showOutlineSymbols="true" defaultGridColor="true" view="pageBreakPreview" topLeftCell="A4" colorId="64" zoomScale="140" zoomScaleNormal="115" zoomScalePageLayoutView="140" workbookViewId="0">
      <selection pane="topLeft" activeCell="A8" activeCellId="0" sqref="A8"/>
    </sheetView>
  </sheetViews>
  <sheetFormatPr defaultColWidth="9.3359375" defaultRowHeight="13.5" customHeight="false" zeroHeight="false" outlineLevelRow="0" outlineLevelCol="0"/>
  <cols>
    <col collapsed="false" customWidth="true" hidden="false" outlineLevel="0" max="1" min="1" style="125" width="7.33"/>
    <col collapsed="false" customWidth="true" hidden="false" outlineLevel="0" max="2" min="2" style="125" width="6.78"/>
    <col collapsed="false" customWidth="true" hidden="false" outlineLevel="0" max="3" min="3" style="125" width="50.11"/>
    <col collapsed="false" customWidth="true" hidden="false" outlineLevel="0" max="4" min="4" style="125" width="14.89"/>
    <col collapsed="false" customWidth="false" hidden="false" outlineLevel="0" max="5" min="5" style="125" width="9.33"/>
    <col collapsed="false" customWidth="true" hidden="false" outlineLevel="0" max="6" min="6" style="125" width="15.11"/>
    <col collapsed="false" customWidth="false" hidden="false" outlineLevel="0" max="16384" min="7" style="125" width="9.33"/>
  </cols>
  <sheetData>
    <row r="1" customFormat="false" ht="63" hidden="false" customHeight="true" outlineLevel="0" collapsed="false">
      <c r="A1" s="126"/>
      <c r="B1" s="127"/>
      <c r="C1" s="127"/>
      <c r="D1" s="127"/>
      <c r="E1" s="127"/>
      <c r="F1" s="128"/>
    </row>
    <row r="2" customFormat="false" ht="13.5" hidden="false" customHeight="false" outlineLevel="0" collapsed="false">
      <c r="A2" s="129" t="s">
        <v>131</v>
      </c>
      <c r="B2" s="129"/>
      <c r="C2" s="129"/>
      <c r="D2" s="129"/>
      <c r="E2" s="129"/>
      <c r="F2" s="129"/>
    </row>
    <row r="3" customFormat="false" ht="14.9" hidden="false" customHeight="true" outlineLevel="0" collapsed="false">
      <c r="A3" s="130" t="s">
        <v>132</v>
      </c>
      <c r="B3" s="130"/>
      <c r="C3" s="131" t="str">
        <f aca="false">'Master Data'!E11</f>
        <v>AD-237</v>
      </c>
      <c r="D3" s="132" t="s">
        <v>133</v>
      </c>
      <c r="E3" s="133" t="str">
        <f aca="false">'Master Data'!B15</f>
        <v>DT 15949454</v>
      </c>
      <c r="F3" s="133"/>
    </row>
    <row r="4" customFormat="false" ht="14.9" hidden="false" customHeight="true" outlineLevel="0" collapsed="false">
      <c r="A4" s="134" t="s">
        <v>67</v>
      </c>
      <c r="B4" s="134"/>
      <c r="C4" s="135" t="str">
        <f aca="false">'Master Data'!E10</f>
        <v>BB-1309</v>
      </c>
      <c r="D4" s="136" t="s">
        <v>134</v>
      </c>
      <c r="E4" s="137" t="str">
        <f aca="false">'Master Data'!B11</f>
        <v>4200761193</v>
      </c>
      <c r="F4" s="137"/>
    </row>
    <row r="5" customFormat="false" ht="14.9" hidden="false" customHeight="true" outlineLevel="0" collapsed="false">
      <c r="A5" s="134" t="s">
        <v>135</v>
      </c>
      <c r="B5" s="134"/>
      <c r="C5" s="138" t="str">
        <f aca="false">'Master Data'!E3</f>
        <v>3-1/2" Single Oil Producer, Alloy-28 Tubing,</v>
      </c>
      <c r="D5" s="136" t="s">
        <v>136</v>
      </c>
      <c r="E5" s="137" t="str">
        <f aca="false">'Master Data'!B10</f>
        <v>4700014396</v>
      </c>
      <c r="F5" s="137"/>
    </row>
    <row r="6" customFormat="false" ht="14.9" hidden="false" customHeight="false" outlineLevel="0" collapsed="false">
      <c r="A6" s="139"/>
      <c r="B6" s="139"/>
      <c r="C6" s="138"/>
      <c r="D6" s="138" t="s">
        <v>137</v>
      </c>
      <c r="E6" s="140" t="str">
        <f aca="false">'Master Data'!B3</f>
        <v>ADNOC ONSHORE</v>
      </c>
      <c r="F6" s="140"/>
    </row>
    <row r="7" s="145" customFormat="true" ht="14.9" hidden="false" customHeight="true" outlineLevel="0" collapsed="false">
      <c r="A7" s="141" t="s">
        <v>138</v>
      </c>
      <c r="B7" s="142" t="s">
        <v>139</v>
      </c>
      <c r="C7" s="142"/>
      <c r="D7" s="143" t="s">
        <v>140</v>
      </c>
      <c r="E7" s="143" t="s">
        <v>141</v>
      </c>
      <c r="F7" s="144" t="s">
        <v>142</v>
      </c>
      <c r="H7" s="145" t="s">
        <v>143</v>
      </c>
    </row>
    <row r="8" customFormat="false" ht="33" hidden="false" customHeight="true" outlineLevel="0" collapsed="false">
      <c r="A8" s="146"/>
      <c r="B8" s="147"/>
      <c r="C8" s="147"/>
      <c r="D8" s="148"/>
      <c r="E8" s="149"/>
      <c r="F8" s="150"/>
    </row>
    <row r="9" customFormat="false" ht="33" hidden="false" customHeight="true" outlineLevel="0" collapsed="false">
      <c r="A9" s="151"/>
      <c r="B9" s="152"/>
      <c r="C9" s="152"/>
      <c r="D9" s="148"/>
      <c r="E9" s="153"/>
      <c r="F9" s="150"/>
    </row>
    <row r="10" customFormat="false" ht="33" hidden="false" customHeight="true" outlineLevel="0" collapsed="false">
      <c r="A10" s="151"/>
      <c r="B10" s="152"/>
      <c r="C10" s="152"/>
      <c r="D10" s="148"/>
      <c r="E10" s="153"/>
      <c r="F10" s="150"/>
    </row>
    <row r="11" customFormat="false" ht="33" hidden="false" customHeight="true" outlineLevel="0" collapsed="false">
      <c r="A11" s="151"/>
      <c r="B11" s="152"/>
      <c r="C11" s="152"/>
      <c r="D11" s="148"/>
      <c r="E11" s="153"/>
      <c r="F11" s="150"/>
    </row>
    <row r="12" customFormat="false" ht="33" hidden="false" customHeight="true" outlineLevel="0" collapsed="false">
      <c r="A12" s="151"/>
      <c r="B12" s="152"/>
      <c r="C12" s="152"/>
      <c r="D12" s="148"/>
      <c r="E12" s="153"/>
      <c r="F12" s="150"/>
    </row>
    <row r="13" customFormat="false" ht="33" hidden="false" customHeight="true" outlineLevel="0" collapsed="false">
      <c r="A13" s="151"/>
      <c r="B13" s="152"/>
      <c r="C13" s="152"/>
      <c r="D13" s="154"/>
      <c r="E13" s="155"/>
      <c r="F13" s="156"/>
    </row>
    <row r="14" customFormat="false" ht="33" hidden="false" customHeight="true" outlineLevel="0" collapsed="false">
      <c r="A14" s="151"/>
      <c r="B14" s="152"/>
      <c r="C14" s="152"/>
      <c r="D14" s="154"/>
      <c r="E14" s="157"/>
      <c r="F14" s="156"/>
    </row>
    <row r="15" customFormat="false" ht="19.5" hidden="false" customHeight="true" outlineLevel="0" collapsed="false">
      <c r="A15" s="158" t="s">
        <v>144</v>
      </c>
      <c r="B15" s="158"/>
      <c r="C15" s="158"/>
      <c r="D15" s="159" t="s">
        <v>145</v>
      </c>
      <c r="E15" s="159"/>
      <c r="F15" s="160" t="n">
        <f aca="false">SUM(F8:F14)</f>
        <v>0</v>
      </c>
    </row>
    <row r="16" customFormat="false" ht="19.5" hidden="false" customHeight="true" outlineLevel="0" collapsed="false">
      <c r="A16" s="158"/>
      <c r="B16" s="158"/>
      <c r="C16" s="158"/>
      <c r="D16" s="159"/>
      <c r="E16" s="159"/>
      <c r="F16" s="160"/>
    </row>
    <row r="17" customFormat="false" ht="19.5" hidden="false" customHeight="true" outlineLevel="0" collapsed="false">
      <c r="A17" s="158"/>
      <c r="B17" s="158"/>
      <c r="C17" s="158"/>
      <c r="D17" s="161" t="s">
        <v>146</v>
      </c>
      <c r="E17" s="161"/>
      <c r="F17" s="162" t="n">
        <f aca="false">F16+F15</f>
        <v>0</v>
      </c>
    </row>
    <row r="18" customFormat="false" ht="13.5" hidden="false" customHeight="false" outlineLevel="0" collapsed="false">
      <c r="C18" s="163"/>
      <c r="F18" s="164"/>
    </row>
    <row r="19" customFormat="false" ht="13.5" hidden="false" customHeight="false" outlineLevel="0" collapsed="false">
      <c r="F19" s="164"/>
    </row>
    <row r="20" customFormat="false" ht="13.5" hidden="false" customHeight="false" outlineLevel="0" collapsed="false">
      <c r="F20" s="164"/>
    </row>
  </sheetData>
  <mergeCells count="22">
    <mergeCell ref="A2:F2"/>
    <mergeCell ref="A3:B3"/>
    <mergeCell ref="E3:F3"/>
    <mergeCell ref="A4:B4"/>
    <mergeCell ref="E4:F4"/>
    <mergeCell ref="A5:B5"/>
    <mergeCell ref="C5:C6"/>
    <mergeCell ref="E5:F5"/>
    <mergeCell ref="A6:B6"/>
    <mergeCell ref="E6:F6"/>
    <mergeCell ref="B7:C7"/>
    <mergeCell ref="B8:C8"/>
    <mergeCell ref="B9:C9"/>
    <mergeCell ref="B10:C10"/>
    <mergeCell ref="B11:C11"/>
    <mergeCell ref="B12:C12"/>
    <mergeCell ref="B13:C13"/>
    <mergeCell ref="B14:C14"/>
    <mergeCell ref="A15:C17"/>
    <mergeCell ref="D15:E15"/>
    <mergeCell ref="D16:E16"/>
    <mergeCell ref="D17:E17"/>
  </mergeCells>
  <printOptions headings="false" gridLines="false" gridLinesSet="true" horizontalCentered="false" verticalCentered="false"/>
  <pageMargins left="0.7" right="0.45" top="0.75" bottom="0.7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K257"/>
  <sheetViews>
    <sheetView showFormulas="false" showGridLines="true" showRowColHeaders="true" showZeros="true" rightToLeft="false" tabSelected="false" showOutlineSymbols="true" defaultGridColor="true" view="pageBreakPreview" topLeftCell="A1" colorId="64" zoomScale="140" zoomScaleNormal="70" zoomScalePageLayoutView="140" workbookViewId="0">
      <selection pane="topLeft" activeCell="G17" activeCellId="0" sqref="G17"/>
    </sheetView>
  </sheetViews>
  <sheetFormatPr defaultColWidth="9.11328125" defaultRowHeight="14.25" customHeight="false" zeroHeight="false" outlineLevelRow="0" outlineLevelCol="0"/>
  <cols>
    <col collapsed="false" customWidth="true" hidden="false" outlineLevel="0" max="1" min="1" style="37" width="2.11"/>
    <col collapsed="false" customWidth="true" hidden="false" outlineLevel="0" max="2" min="2" style="37" width="14"/>
    <col collapsed="false" customWidth="true" hidden="false" outlineLevel="0" max="3" min="3" style="37" width="22.44"/>
    <col collapsed="false" customWidth="true" hidden="false" outlineLevel="0" max="4" min="4" style="37" width="39.11"/>
    <col collapsed="false" customWidth="true" hidden="false" outlineLevel="0" max="5" min="5" style="37" width="8.67"/>
    <col collapsed="false" customWidth="true" hidden="false" outlineLevel="0" max="6" min="6" style="37" width="9.56"/>
    <col collapsed="false" customWidth="true" hidden="false" outlineLevel="0" max="7" min="7" style="37" width="32.45"/>
    <col collapsed="false" customWidth="true" hidden="false" outlineLevel="0" max="8" min="8" style="37" width="35.33"/>
    <col collapsed="false" customWidth="true" hidden="false" outlineLevel="0" max="9" min="9" style="37" width="17"/>
    <col collapsed="false" customWidth="true" hidden="false" outlineLevel="0" max="11" min="11" style="37" width="0.33"/>
  </cols>
  <sheetData>
    <row r="1" customFormat="false" ht="4.5" hidden="false" customHeight="true" outlineLevel="0" collapsed="false"/>
    <row r="2" customFormat="false" ht="15" hidden="false" customHeight="false" outlineLevel="0" collapsed="false">
      <c r="B2" s="165" t="s">
        <v>147</v>
      </c>
      <c r="C2" s="165"/>
      <c r="D2" s="165"/>
      <c r="E2" s="166"/>
      <c r="F2" s="167" t="s">
        <v>148</v>
      </c>
      <c r="G2" s="166"/>
      <c r="H2" s="167" t="s">
        <v>149</v>
      </c>
      <c r="I2" s="168"/>
    </row>
    <row r="3" customFormat="false" ht="15" hidden="false" customHeight="false" outlineLevel="0" collapsed="false">
      <c r="B3" s="169" t="s">
        <v>150</v>
      </c>
      <c r="C3" s="169"/>
      <c r="D3" s="169"/>
      <c r="E3" s="169"/>
      <c r="F3" s="37" t="s">
        <v>151</v>
      </c>
      <c r="G3" s="170"/>
      <c r="H3" s="171"/>
      <c r="I3" s="172"/>
    </row>
    <row r="4" customFormat="false" ht="15" hidden="false" customHeight="true" outlineLevel="0" collapsed="false">
      <c r="B4" s="173" t="s">
        <v>152</v>
      </c>
      <c r="C4" s="173"/>
      <c r="D4" s="174" t="str">
        <f aca="false">'Master Data'!E4</f>
        <v>RIH COMPLETION</v>
      </c>
      <c r="E4" s="175" t="s">
        <v>153</v>
      </c>
      <c r="F4" s="175"/>
      <c r="G4" s="176" t="s">
        <v>154</v>
      </c>
      <c r="H4" s="177" t="str">
        <f aca="false">'Master Data'!B18</f>
        <v>Weatherford Bin Hamoodah L.L.C</v>
      </c>
      <c r="I4" s="172"/>
    </row>
    <row r="5" customFormat="false" ht="14.25" hidden="false" customHeight="false" outlineLevel="0" collapsed="false">
      <c r="B5" s="173" t="s">
        <v>155</v>
      </c>
      <c r="C5" s="173"/>
      <c r="D5" s="174" t="str">
        <f aca="false">'Master Data'!E11</f>
        <v>AD-237</v>
      </c>
      <c r="E5" s="175"/>
      <c r="F5" s="175"/>
      <c r="G5" s="178" t="s">
        <v>156</v>
      </c>
      <c r="H5" s="177" t="str">
        <f aca="false">'Master Data'!B21</f>
        <v>Mahmoud Ali </v>
      </c>
      <c r="I5" s="172"/>
    </row>
    <row r="6" customFormat="false" ht="15" hidden="false" customHeight="true" outlineLevel="0" collapsed="false">
      <c r="B6" s="173" t="s">
        <v>157</v>
      </c>
      <c r="C6" s="173"/>
      <c r="D6" s="174" t="str">
        <f aca="false">'Master Data'!E10</f>
        <v>BB-1309</v>
      </c>
      <c r="E6" s="175"/>
      <c r="F6" s="175"/>
      <c r="G6" s="176" t="s">
        <v>55</v>
      </c>
      <c r="H6" s="177" t="str">
        <f aca="false">'Master Data'!H4</f>
        <v>Ibrahim Gad</v>
      </c>
      <c r="I6" s="172"/>
    </row>
    <row r="7" customFormat="false" ht="14.25" hidden="false" customHeight="false" outlineLevel="0" collapsed="false">
      <c r="B7" s="173" t="s">
        <v>158</v>
      </c>
      <c r="C7" s="173"/>
      <c r="D7" s="174" t="n">
        <f aca="false">'Master Data'!B4</f>
        <v>0</v>
      </c>
      <c r="E7" s="175"/>
      <c r="F7" s="175"/>
      <c r="G7" s="176" t="s">
        <v>60</v>
      </c>
      <c r="H7" s="179" t="str">
        <f aca="false">'Master Data'!H8</f>
        <v>Ibrahim Gad</v>
      </c>
      <c r="I7" s="172"/>
    </row>
    <row r="8" customFormat="false" ht="15" hidden="false" customHeight="true" outlineLevel="0" collapsed="false">
      <c r="B8" s="173" t="s">
        <v>159</v>
      </c>
      <c r="C8" s="173"/>
      <c r="D8" s="180" t="str">
        <f aca="false">ROUNDUP(INT('Master Data'!E15)-INT('Master Data'!E12),0)+1&amp;" days"</f>
        <v>23 days</v>
      </c>
      <c r="E8" s="175"/>
      <c r="F8" s="175"/>
      <c r="G8" s="176" t="s">
        <v>61</v>
      </c>
      <c r="H8" s="179" t="str">
        <f aca="false">'Master Data'!H10</f>
        <v>Ibrahim Gad</v>
      </c>
      <c r="I8" s="181" t="s">
        <v>160</v>
      </c>
    </row>
    <row r="9" customFormat="false" ht="14.25" hidden="false" customHeight="false" outlineLevel="0" collapsed="false">
      <c r="B9" s="182" t="s">
        <v>161</v>
      </c>
      <c r="C9" s="182"/>
      <c r="D9" s="183" t="str">
        <f aca="false">"from "&amp;TEXT('Master Data'!E12,"dd/mmm/yy")&amp;"  to "&amp;TEXT('Master Data'!E15,"dd/mmm/yy")</f>
        <v>from 02/Jul/26  to 24/Jul/26</v>
      </c>
      <c r="E9" s="175"/>
      <c r="F9" s="175"/>
      <c r="G9" s="184" t="s">
        <v>62</v>
      </c>
      <c r="H9" s="179" t="n">
        <f aca="false">'Master Data'!H11</f>
        <v>0</v>
      </c>
      <c r="I9" s="185" t="str">
        <f aca="false">I44</f>
        <v>24-Jul-26</v>
      </c>
    </row>
    <row r="10" customFormat="false" ht="17.35" hidden="false" customHeight="false" outlineLevel="0" collapsed="false">
      <c r="B10" s="186" t="s">
        <v>162</v>
      </c>
      <c r="C10" s="186"/>
      <c r="D10" s="186"/>
      <c r="E10" s="187" t="s">
        <v>163</v>
      </c>
      <c r="F10" s="188" t="s">
        <v>164</v>
      </c>
      <c r="G10" s="189"/>
      <c r="H10" s="189"/>
      <c r="I10" s="190"/>
    </row>
    <row r="11" customFormat="false" ht="6" hidden="false" customHeight="true" outlineLevel="0" collapsed="false">
      <c r="B11" s="191"/>
      <c r="C11" s="192"/>
      <c r="D11" s="192"/>
      <c r="E11" s="187"/>
      <c r="F11" s="188"/>
      <c r="G11" s="192"/>
      <c r="H11" s="192"/>
      <c r="I11" s="193"/>
    </row>
    <row r="12" customFormat="false" ht="15" hidden="false" customHeight="true" outlineLevel="0" collapsed="false">
      <c r="B12" s="194" t="s">
        <v>165</v>
      </c>
      <c r="C12" s="194"/>
      <c r="D12" s="194"/>
      <c r="E12" s="187"/>
      <c r="F12" s="188"/>
      <c r="G12" s="195" t="s">
        <v>166</v>
      </c>
      <c r="H12" s="195"/>
      <c r="I12" s="196" t="s">
        <v>167</v>
      </c>
    </row>
    <row r="13" customFormat="false" ht="60" hidden="false" customHeight="true" outlineLevel="0" collapsed="false">
      <c r="B13" s="197" t="s">
        <v>168</v>
      </c>
      <c r="C13" s="197"/>
      <c r="D13" s="197"/>
      <c r="E13" s="198"/>
      <c r="F13" s="198"/>
      <c r="G13" s="199"/>
      <c r="H13" s="199"/>
      <c r="I13" s="200" t="n">
        <v>0.2</v>
      </c>
      <c r="K13" s="201" t="n">
        <v>0.07</v>
      </c>
    </row>
    <row r="14" customFormat="false" ht="54" hidden="false" customHeight="true" outlineLevel="0" collapsed="false">
      <c r="B14" s="197" t="s">
        <v>169</v>
      </c>
      <c r="C14" s="197"/>
      <c r="D14" s="197"/>
      <c r="E14" s="177"/>
      <c r="F14" s="202"/>
      <c r="G14" s="199"/>
      <c r="H14" s="199"/>
      <c r="I14" s="200"/>
      <c r="K14" s="201" t="n">
        <v>0.07</v>
      </c>
    </row>
    <row r="15" customFormat="false" ht="30" hidden="false" customHeight="true" outlineLevel="0" collapsed="false">
      <c r="B15" s="197" t="s">
        <v>170</v>
      </c>
      <c r="C15" s="197"/>
      <c r="D15" s="197"/>
      <c r="E15" s="177"/>
      <c r="F15" s="202"/>
      <c r="G15" s="199"/>
      <c r="H15" s="199"/>
      <c r="I15" s="200"/>
      <c r="K15" s="201" t="n">
        <v>0.06</v>
      </c>
    </row>
    <row r="16" customFormat="false" ht="15" hidden="false" customHeight="true" outlineLevel="0" collapsed="false">
      <c r="B16" s="203" t="s">
        <v>171</v>
      </c>
      <c r="C16" s="203"/>
      <c r="D16" s="203"/>
      <c r="E16" s="203"/>
      <c r="F16" s="203"/>
      <c r="G16" s="203"/>
      <c r="H16" s="203"/>
      <c r="I16" s="203"/>
      <c r="K16" s="201"/>
    </row>
    <row r="17" customFormat="false" ht="51" hidden="false" customHeight="true" outlineLevel="0" collapsed="false">
      <c r="B17" s="197" t="s">
        <v>172</v>
      </c>
      <c r="C17" s="197"/>
      <c r="D17" s="197"/>
      <c r="E17" s="177"/>
      <c r="F17" s="202"/>
      <c r="G17" s="199"/>
      <c r="H17" s="199"/>
      <c r="I17" s="200" t="n">
        <v>0.15</v>
      </c>
      <c r="K17" s="201" t="n">
        <v>0.08</v>
      </c>
    </row>
    <row r="18" customFormat="false" ht="46.5" hidden="false" customHeight="true" outlineLevel="0" collapsed="false">
      <c r="B18" s="197" t="s">
        <v>173</v>
      </c>
      <c r="C18" s="197"/>
      <c r="D18" s="197"/>
      <c r="E18" s="177"/>
      <c r="F18" s="202"/>
      <c r="G18" s="199"/>
      <c r="H18" s="199"/>
      <c r="I18" s="200"/>
      <c r="K18" s="201" t="n">
        <v>0.07</v>
      </c>
    </row>
    <row r="19" customFormat="false" ht="15" hidden="false" customHeight="true" outlineLevel="0" collapsed="false">
      <c r="B19" s="203" t="s">
        <v>174</v>
      </c>
      <c r="C19" s="203"/>
      <c r="D19" s="203"/>
      <c r="E19" s="203"/>
      <c r="F19" s="203"/>
      <c r="G19" s="203"/>
      <c r="H19" s="203"/>
      <c r="I19" s="203"/>
      <c r="K19" s="201"/>
    </row>
    <row r="20" customFormat="false" ht="60" hidden="false" customHeight="true" outlineLevel="0" collapsed="false">
      <c r="B20" s="197" t="s">
        <v>175</v>
      </c>
      <c r="C20" s="197"/>
      <c r="D20" s="197"/>
      <c r="E20" s="177"/>
      <c r="F20" s="204"/>
      <c r="G20" s="199"/>
      <c r="H20" s="199"/>
      <c r="I20" s="200" t="n">
        <v>0.15</v>
      </c>
      <c r="K20" s="201" t="n">
        <v>0.08</v>
      </c>
    </row>
    <row r="21" customFormat="false" ht="62.25" hidden="false" customHeight="true" outlineLevel="0" collapsed="false">
      <c r="B21" s="205" t="s">
        <v>176</v>
      </c>
      <c r="C21" s="205"/>
      <c r="D21" s="205"/>
      <c r="E21" s="177"/>
      <c r="F21" s="204"/>
      <c r="G21" s="199"/>
      <c r="H21" s="199"/>
      <c r="I21" s="200"/>
      <c r="K21" s="201" t="n">
        <v>0.07</v>
      </c>
    </row>
    <row r="22" customFormat="false" ht="15" hidden="false" customHeight="true" outlineLevel="0" collapsed="false">
      <c r="B22" s="203" t="s">
        <v>177</v>
      </c>
      <c r="C22" s="203"/>
      <c r="D22" s="203"/>
      <c r="E22" s="203"/>
      <c r="F22" s="203"/>
      <c r="G22" s="203"/>
      <c r="H22" s="203"/>
      <c r="I22" s="203"/>
      <c r="K22" s="201"/>
    </row>
    <row r="23" customFormat="false" ht="28.5" hidden="false" customHeight="true" outlineLevel="0" collapsed="false">
      <c r="B23" s="197" t="s">
        <v>178</v>
      </c>
      <c r="C23" s="197"/>
      <c r="D23" s="197"/>
      <c r="E23" s="177"/>
      <c r="F23" s="204"/>
      <c r="G23" s="199"/>
      <c r="H23" s="199"/>
      <c r="I23" s="206" t="n">
        <v>0.3</v>
      </c>
      <c r="K23" s="201" t="n">
        <v>0.03</v>
      </c>
    </row>
    <row r="24" customFormat="false" ht="28.5" hidden="false" customHeight="true" outlineLevel="0" collapsed="false">
      <c r="B24" s="197" t="s">
        <v>179</v>
      </c>
      <c r="C24" s="197"/>
      <c r="D24" s="197"/>
      <c r="E24" s="177"/>
      <c r="F24" s="204"/>
      <c r="G24" s="199"/>
      <c r="H24" s="199"/>
      <c r="I24" s="206"/>
      <c r="K24" s="201" t="n">
        <v>0.03</v>
      </c>
    </row>
    <row r="25" customFormat="false" ht="49.5" hidden="false" customHeight="true" outlineLevel="0" collapsed="false">
      <c r="B25" s="197" t="s">
        <v>180</v>
      </c>
      <c r="C25" s="197"/>
      <c r="D25" s="197"/>
      <c r="E25" s="177"/>
      <c r="F25" s="204"/>
      <c r="G25" s="199"/>
      <c r="H25" s="199"/>
      <c r="I25" s="206"/>
      <c r="K25" s="201" t="n">
        <v>0.03</v>
      </c>
    </row>
    <row r="26" customFormat="false" ht="28.5" hidden="false" customHeight="true" outlineLevel="0" collapsed="false">
      <c r="B26" s="197" t="s">
        <v>181</v>
      </c>
      <c r="C26" s="197"/>
      <c r="D26" s="197"/>
      <c r="E26" s="177"/>
      <c r="F26" s="204"/>
      <c r="G26" s="207"/>
      <c r="H26" s="207"/>
      <c r="I26" s="206"/>
      <c r="K26" s="201" t="n">
        <v>0.03</v>
      </c>
    </row>
    <row r="27" customFormat="false" ht="28.5" hidden="false" customHeight="true" outlineLevel="0" collapsed="false">
      <c r="B27" s="197" t="s">
        <v>182</v>
      </c>
      <c r="C27" s="197"/>
      <c r="D27" s="197"/>
      <c r="E27" s="177"/>
      <c r="F27" s="204"/>
      <c r="G27" s="208"/>
      <c r="H27" s="208"/>
      <c r="I27" s="206"/>
      <c r="K27" s="201" t="n">
        <v>0.02</v>
      </c>
    </row>
    <row r="28" customFormat="false" ht="19.5" hidden="false" customHeight="true" outlineLevel="0" collapsed="false">
      <c r="B28" s="197" t="s">
        <v>183</v>
      </c>
      <c r="C28" s="197"/>
      <c r="D28" s="197"/>
      <c r="E28" s="177"/>
      <c r="F28" s="204"/>
      <c r="G28" s="199"/>
      <c r="H28" s="199"/>
      <c r="I28" s="206"/>
      <c r="K28" s="201" t="n">
        <v>0.02</v>
      </c>
    </row>
    <row r="29" customFormat="false" ht="44.25" hidden="false" customHeight="true" outlineLevel="0" collapsed="false">
      <c r="B29" s="197" t="s">
        <v>184</v>
      </c>
      <c r="C29" s="197"/>
      <c r="D29" s="197"/>
      <c r="E29" s="177"/>
      <c r="F29" s="204"/>
      <c r="G29" s="199"/>
      <c r="H29" s="199"/>
      <c r="I29" s="206"/>
      <c r="K29" s="201" t="n">
        <v>0.02</v>
      </c>
    </row>
    <row r="30" customFormat="false" ht="35.25" hidden="false" customHeight="true" outlineLevel="0" collapsed="false">
      <c r="B30" s="197" t="s">
        <v>185</v>
      </c>
      <c r="C30" s="197"/>
      <c r="D30" s="197"/>
      <c r="E30" s="177"/>
      <c r="F30" s="204"/>
      <c r="G30" s="199"/>
      <c r="H30" s="199"/>
      <c r="I30" s="206"/>
      <c r="K30" s="201" t="n">
        <v>0.02</v>
      </c>
    </row>
    <row r="31" customFormat="false" ht="33.75" hidden="false" customHeight="true" outlineLevel="0" collapsed="false">
      <c r="B31" s="197" t="s">
        <v>186</v>
      </c>
      <c r="C31" s="197"/>
      <c r="D31" s="197"/>
      <c r="E31" s="177"/>
      <c r="F31" s="204"/>
      <c r="G31" s="199"/>
      <c r="H31" s="199"/>
      <c r="I31" s="206"/>
      <c r="K31" s="201" t="n">
        <v>0.02</v>
      </c>
    </row>
    <row r="32" customFormat="false" ht="61.5" hidden="false" customHeight="true" outlineLevel="0" collapsed="false">
      <c r="B32" s="197" t="s">
        <v>187</v>
      </c>
      <c r="C32" s="197"/>
      <c r="D32" s="197"/>
      <c r="E32" s="177"/>
      <c r="F32" s="204"/>
      <c r="G32" s="199"/>
      <c r="H32" s="199"/>
      <c r="I32" s="206"/>
      <c r="K32" s="201" t="n">
        <v>0.02</v>
      </c>
    </row>
    <row r="33" customFormat="false" ht="30.75" hidden="false" customHeight="true" outlineLevel="0" collapsed="false">
      <c r="B33" s="197" t="s">
        <v>188</v>
      </c>
      <c r="C33" s="197"/>
      <c r="D33" s="197"/>
      <c r="E33" s="177"/>
      <c r="F33" s="204"/>
      <c r="G33" s="208"/>
      <c r="H33" s="208"/>
      <c r="I33" s="206"/>
      <c r="K33" s="201" t="n">
        <v>0.02</v>
      </c>
    </row>
    <row r="34" customFormat="false" ht="36" hidden="false" customHeight="true" outlineLevel="0" collapsed="false">
      <c r="B34" s="197" t="s">
        <v>189</v>
      </c>
      <c r="C34" s="197"/>
      <c r="D34" s="197"/>
      <c r="E34" s="177"/>
      <c r="F34" s="204"/>
      <c r="G34" s="208"/>
      <c r="H34" s="208"/>
      <c r="I34" s="206"/>
      <c r="K34" s="201" t="n">
        <v>0.02</v>
      </c>
    </row>
    <row r="35" customFormat="false" ht="15" hidden="false" customHeight="true" outlineLevel="0" collapsed="false">
      <c r="B35" s="197" t="s">
        <v>190</v>
      </c>
      <c r="C35" s="197"/>
      <c r="D35" s="197"/>
      <c r="E35" s="177"/>
      <c r="F35" s="204"/>
      <c r="G35" s="208"/>
      <c r="H35" s="208"/>
      <c r="I35" s="206"/>
      <c r="K35" s="201" t="n">
        <v>0.02</v>
      </c>
    </row>
    <row r="36" customFormat="false" ht="14.25" hidden="false" customHeight="false" outlineLevel="0" collapsed="false">
      <c r="B36" s="197"/>
      <c r="C36" s="197"/>
      <c r="D36" s="197"/>
      <c r="E36" s="177"/>
      <c r="F36" s="209"/>
      <c r="G36" s="199"/>
      <c r="H36" s="199"/>
      <c r="I36" s="210"/>
    </row>
    <row r="37" customFormat="false" ht="17.35" hidden="false" customHeight="false" outlineLevel="0" collapsed="false">
      <c r="B37" s="211" t="s">
        <v>191</v>
      </c>
      <c r="C37" s="211"/>
      <c r="D37" s="211"/>
      <c r="E37" s="212"/>
      <c r="F37" s="212"/>
      <c r="G37" s="213"/>
      <c r="H37" s="213"/>
      <c r="I37" s="214"/>
    </row>
    <row r="38" customFormat="false" ht="6.75" hidden="false" customHeight="true" outlineLevel="0" collapsed="false">
      <c r="F38" s="215"/>
      <c r="G38" s="216"/>
      <c r="H38" s="216"/>
    </row>
    <row r="39" customFormat="false" ht="23.25" hidden="false" customHeight="true" outlineLevel="0" collapsed="false">
      <c r="B39" s="217" t="s">
        <v>192</v>
      </c>
      <c r="C39" s="217"/>
      <c r="D39" s="218"/>
      <c r="E39" s="218"/>
      <c r="F39" s="218"/>
      <c r="G39" s="218"/>
      <c r="H39" s="218"/>
      <c r="I39" s="218"/>
    </row>
    <row r="40" customFormat="false" ht="26.25" hidden="false" customHeight="true" outlineLevel="0" collapsed="false">
      <c r="B40" s="219"/>
      <c r="C40" s="219"/>
      <c r="D40" s="219"/>
      <c r="E40" s="219"/>
      <c r="F40" s="219"/>
      <c r="G40" s="219"/>
      <c r="H40" s="219"/>
      <c r="I40" s="219"/>
    </row>
    <row r="41" customFormat="false" ht="24.75" hidden="false" customHeight="true" outlineLevel="0" collapsed="false">
      <c r="B41" s="220"/>
      <c r="C41" s="220"/>
      <c r="D41" s="220"/>
      <c r="E41" s="220"/>
      <c r="F41" s="220"/>
      <c r="G41" s="220"/>
      <c r="H41" s="220"/>
      <c r="I41" s="220"/>
    </row>
    <row r="42" customFormat="false" ht="15.75" hidden="false" customHeight="true" outlineLevel="0" collapsed="false">
      <c r="B42" s="221" t="s">
        <v>193</v>
      </c>
      <c r="C42" s="221"/>
      <c r="D42" s="222" t="s">
        <v>194</v>
      </c>
      <c r="E42" s="222"/>
      <c r="F42" s="222"/>
      <c r="G42" s="223" t="s">
        <v>195</v>
      </c>
      <c r="H42" s="223" t="s">
        <v>196</v>
      </c>
      <c r="I42" s="224" t="s">
        <v>123</v>
      </c>
    </row>
    <row r="43" customFormat="false" ht="14.25" hidden="false" customHeight="false" outlineLevel="0" collapsed="false">
      <c r="B43" s="221"/>
      <c r="C43" s="221"/>
      <c r="D43" s="222"/>
      <c r="E43" s="222"/>
      <c r="F43" s="222"/>
      <c r="G43" s="223"/>
      <c r="H43" s="223"/>
      <c r="I43" s="224"/>
    </row>
    <row r="44" customFormat="false" ht="14.25" hidden="false" customHeight="false" outlineLevel="0" collapsed="false">
      <c r="B44" s="225"/>
      <c r="C44" s="225"/>
      <c r="D44" s="226"/>
      <c r="E44" s="226"/>
      <c r="F44" s="226"/>
      <c r="G44" s="227" t="s">
        <v>52</v>
      </c>
      <c r="H44" s="228"/>
      <c r="I44" s="229" t="str">
        <f aca="false">'Master Data'!E24</f>
        <v>24-Jul-26</v>
      </c>
    </row>
    <row r="45" customFormat="false" ht="14.25" hidden="false" customHeight="false" outlineLevel="0" collapsed="false">
      <c r="B45" s="225"/>
      <c r="C45" s="225"/>
      <c r="D45" s="226"/>
      <c r="E45" s="226"/>
      <c r="F45" s="226"/>
      <c r="G45" s="227"/>
      <c r="H45" s="228"/>
      <c r="I45" s="229"/>
    </row>
    <row r="46" customFormat="false" ht="15" hidden="false" customHeight="true" outlineLevel="0" collapsed="false">
      <c r="B46" s="230"/>
      <c r="C46" s="230"/>
      <c r="D46" s="231"/>
      <c r="E46" s="231"/>
      <c r="F46" s="231"/>
      <c r="G46" s="232" t="s">
        <v>197</v>
      </c>
      <c r="H46" s="228"/>
      <c r="I46" s="229" t="str">
        <f aca="false">'Master Data'!E24</f>
        <v>24-Jul-26</v>
      </c>
    </row>
    <row r="47" customFormat="false" ht="14.25" hidden="false" customHeight="false" outlineLevel="0" collapsed="false">
      <c r="B47" s="230"/>
      <c r="C47" s="230"/>
      <c r="D47" s="231"/>
      <c r="E47" s="231"/>
      <c r="F47" s="231"/>
      <c r="G47" s="232"/>
      <c r="H47" s="228"/>
      <c r="I47" s="229"/>
    </row>
    <row r="48" customFormat="false" ht="14.25" hidden="false" customHeight="false" outlineLevel="0" collapsed="false">
      <c r="B48" s="233"/>
      <c r="C48" s="233"/>
      <c r="D48" s="234"/>
      <c r="E48" s="234"/>
      <c r="F48" s="235"/>
      <c r="G48" s="236"/>
      <c r="H48" s="236"/>
      <c r="I48" s="236"/>
    </row>
    <row r="49" customFormat="false" ht="14.25" hidden="false" customHeight="false" outlineLevel="0" collapsed="false">
      <c r="B49" s="233"/>
      <c r="C49" s="233"/>
      <c r="D49" s="234"/>
      <c r="E49" s="234"/>
      <c r="F49" s="235"/>
      <c r="G49" s="237"/>
      <c r="H49" s="237"/>
    </row>
    <row r="50" customFormat="false" ht="14.25" hidden="false" customHeight="false" outlineLevel="0" collapsed="false">
      <c r="F50" s="215"/>
      <c r="G50" s="216"/>
      <c r="H50" s="216"/>
    </row>
    <row r="51" customFormat="false" ht="14.25" hidden="false" customHeight="false" outlineLevel="0" collapsed="false">
      <c r="F51" s="215"/>
      <c r="G51" s="216"/>
      <c r="H51" s="216"/>
    </row>
    <row r="52" customFormat="false" ht="14.25" hidden="false" customHeight="false" outlineLevel="0" collapsed="false">
      <c r="F52" s="215"/>
      <c r="G52" s="216"/>
      <c r="H52" s="216"/>
    </row>
    <row r="53" customFormat="false" ht="14.25" hidden="false" customHeight="false" outlineLevel="0" collapsed="false">
      <c r="F53" s="215"/>
      <c r="G53" s="216"/>
      <c r="H53" s="216"/>
    </row>
    <row r="54" customFormat="false" ht="14.25" hidden="false" customHeight="false" outlineLevel="0" collapsed="false">
      <c r="F54" s="215"/>
      <c r="G54" s="216"/>
      <c r="H54" s="216"/>
    </row>
    <row r="55" customFormat="false" ht="14.25" hidden="false" customHeight="false" outlineLevel="0" collapsed="false">
      <c r="F55" s="215"/>
      <c r="G55" s="216"/>
      <c r="H55" s="216"/>
    </row>
    <row r="56" customFormat="false" ht="14.25" hidden="false" customHeight="false" outlineLevel="0" collapsed="false">
      <c r="F56" s="215"/>
      <c r="G56" s="216"/>
      <c r="H56" s="216"/>
    </row>
    <row r="57" customFormat="false" ht="14.25" hidden="false" customHeight="false" outlineLevel="0" collapsed="false">
      <c r="F57" s="215"/>
      <c r="G57" s="216"/>
      <c r="H57" s="216"/>
    </row>
    <row r="58" customFormat="false" ht="14.25" hidden="false" customHeight="false" outlineLevel="0" collapsed="false">
      <c r="F58" s="215"/>
      <c r="G58" s="216"/>
      <c r="H58" s="216"/>
    </row>
    <row r="59" customFormat="false" ht="14.25" hidden="false" customHeight="false" outlineLevel="0" collapsed="false">
      <c r="F59" s="215"/>
      <c r="G59" s="216"/>
      <c r="H59" s="216"/>
    </row>
    <row r="60" customFormat="false" ht="14.25" hidden="false" customHeight="false" outlineLevel="0" collapsed="false">
      <c r="F60" s="215"/>
      <c r="G60" s="216"/>
      <c r="H60" s="216"/>
    </row>
    <row r="61" customFormat="false" ht="14.25" hidden="false" customHeight="false" outlineLevel="0" collapsed="false">
      <c r="F61" s="215"/>
      <c r="G61" s="216"/>
      <c r="H61" s="216"/>
    </row>
    <row r="62" customFormat="false" ht="14.25" hidden="false" customHeight="false" outlineLevel="0" collapsed="false">
      <c r="F62" s="215"/>
      <c r="G62" s="216"/>
      <c r="H62" s="216"/>
    </row>
    <row r="63" customFormat="false" ht="14.25" hidden="false" customHeight="false" outlineLevel="0" collapsed="false">
      <c r="F63" s="215"/>
      <c r="G63" s="216"/>
      <c r="H63" s="216"/>
    </row>
    <row r="64" customFormat="false" ht="14.25" hidden="false" customHeight="false" outlineLevel="0" collapsed="false">
      <c r="F64" s="215"/>
      <c r="G64" s="216"/>
      <c r="H64" s="216"/>
    </row>
    <row r="65" customFormat="false" ht="14.25" hidden="false" customHeight="false" outlineLevel="0" collapsed="false">
      <c r="F65" s="215"/>
      <c r="G65" s="216"/>
      <c r="H65" s="216"/>
    </row>
    <row r="66" customFormat="false" ht="14.25" hidden="false" customHeight="false" outlineLevel="0" collapsed="false">
      <c r="F66" s="215"/>
      <c r="G66" s="216"/>
      <c r="H66" s="216"/>
    </row>
    <row r="67" customFormat="false" ht="14.25" hidden="false" customHeight="false" outlineLevel="0" collapsed="false">
      <c r="F67" s="215"/>
      <c r="G67" s="216"/>
      <c r="H67" s="216"/>
    </row>
    <row r="68" customFormat="false" ht="14.25" hidden="false" customHeight="false" outlineLevel="0" collapsed="false">
      <c r="F68" s="215"/>
      <c r="G68" s="216"/>
      <c r="H68" s="216"/>
    </row>
    <row r="69" customFormat="false" ht="14.25" hidden="false" customHeight="false" outlineLevel="0" collapsed="false">
      <c r="F69" s="215"/>
      <c r="G69" s="216"/>
      <c r="H69" s="216"/>
    </row>
    <row r="70" customFormat="false" ht="14.25" hidden="false" customHeight="false" outlineLevel="0" collapsed="false">
      <c r="F70" s="215"/>
      <c r="G70" s="216"/>
      <c r="H70" s="216"/>
    </row>
    <row r="71" customFormat="false" ht="14.25" hidden="false" customHeight="false" outlineLevel="0" collapsed="false">
      <c r="F71" s="215"/>
      <c r="G71" s="216"/>
      <c r="H71" s="216"/>
    </row>
    <row r="72" customFormat="false" ht="14.25" hidden="false" customHeight="false" outlineLevel="0" collapsed="false">
      <c r="F72" s="215"/>
      <c r="G72" s="216"/>
      <c r="H72" s="216"/>
    </row>
    <row r="73" customFormat="false" ht="14.25" hidden="false" customHeight="false" outlineLevel="0" collapsed="false">
      <c r="F73" s="215"/>
      <c r="G73" s="216"/>
      <c r="H73" s="216"/>
    </row>
    <row r="74" customFormat="false" ht="14.25" hidden="false" customHeight="false" outlineLevel="0" collapsed="false">
      <c r="F74" s="215"/>
      <c r="G74" s="216"/>
      <c r="H74" s="216"/>
    </row>
    <row r="75" customFormat="false" ht="14.25" hidden="false" customHeight="false" outlineLevel="0" collapsed="false">
      <c r="F75" s="215"/>
      <c r="G75" s="216"/>
      <c r="H75" s="216"/>
    </row>
    <row r="76" customFormat="false" ht="14.25" hidden="false" customHeight="false" outlineLevel="0" collapsed="false">
      <c r="F76" s="215"/>
      <c r="G76" s="216"/>
      <c r="H76" s="216"/>
    </row>
    <row r="77" customFormat="false" ht="14.25" hidden="false" customHeight="false" outlineLevel="0" collapsed="false">
      <c r="F77" s="215"/>
      <c r="G77" s="216"/>
      <c r="H77" s="216"/>
    </row>
    <row r="78" customFormat="false" ht="14.25" hidden="false" customHeight="false" outlineLevel="0" collapsed="false">
      <c r="F78" s="215"/>
      <c r="G78" s="216"/>
      <c r="H78" s="216"/>
    </row>
    <row r="79" customFormat="false" ht="14.25" hidden="false" customHeight="false" outlineLevel="0" collapsed="false">
      <c r="F79" s="215"/>
      <c r="G79" s="216"/>
      <c r="H79" s="216"/>
    </row>
    <row r="80" customFormat="false" ht="14.25" hidden="false" customHeight="false" outlineLevel="0" collapsed="false">
      <c r="F80" s="215"/>
      <c r="G80" s="216"/>
      <c r="H80" s="216"/>
    </row>
    <row r="81" customFormat="false" ht="14.25" hidden="false" customHeight="false" outlineLevel="0" collapsed="false">
      <c r="F81" s="215"/>
      <c r="G81" s="216"/>
      <c r="H81" s="216"/>
    </row>
    <row r="82" customFormat="false" ht="14.25" hidden="false" customHeight="false" outlineLevel="0" collapsed="false">
      <c r="F82" s="215"/>
      <c r="G82" s="216"/>
      <c r="H82" s="216"/>
    </row>
    <row r="83" customFormat="false" ht="14.25" hidden="false" customHeight="false" outlineLevel="0" collapsed="false">
      <c r="F83" s="215"/>
      <c r="G83" s="216"/>
      <c r="H83" s="216"/>
    </row>
    <row r="84" customFormat="false" ht="14.25" hidden="false" customHeight="false" outlineLevel="0" collapsed="false">
      <c r="F84" s="215"/>
      <c r="G84" s="216"/>
      <c r="H84" s="216"/>
    </row>
    <row r="85" customFormat="false" ht="14.25" hidden="false" customHeight="false" outlineLevel="0" collapsed="false">
      <c r="F85" s="215"/>
      <c r="G85" s="216"/>
      <c r="H85" s="216"/>
    </row>
    <row r="86" customFormat="false" ht="14.25" hidden="false" customHeight="false" outlineLevel="0" collapsed="false">
      <c r="F86" s="215"/>
      <c r="G86" s="216"/>
      <c r="H86" s="216"/>
    </row>
    <row r="87" customFormat="false" ht="14.25" hidden="false" customHeight="false" outlineLevel="0" collapsed="false">
      <c r="F87" s="215"/>
      <c r="G87" s="216"/>
      <c r="H87" s="216"/>
    </row>
    <row r="88" customFormat="false" ht="14.25" hidden="false" customHeight="false" outlineLevel="0" collapsed="false">
      <c r="F88" s="215"/>
      <c r="G88" s="216"/>
      <c r="H88" s="216"/>
    </row>
    <row r="89" customFormat="false" ht="14.25" hidden="false" customHeight="false" outlineLevel="0" collapsed="false">
      <c r="F89" s="215"/>
      <c r="G89" s="216"/>
      <c r="H89" s="216"/>
    </row>
    <row r="90" customFormat="false" ht="14.25" hidden="false" customHeight="false" outlineLevel="0" collapsed="false">
      <c r="F90" s="215"/>
      <c r="G90" s="216"/>
      <c r="H90" s="216"/>
    </row>
    <row r="91" customFormat="false" ht="14.25" hidden="false" customHeight="false" outlineLevel="0" collapsed="false">
      <c r="F91" s="215"/>
      <c r="G91" s="216"/>
      <c r="H91" s="216"/>
    </row>
    <row r="92" customFormat="false" ht="14.25" hidden="false" customHeight="false" outlineLevel="0" collapsed="false">
      <c r="F92" s="215"/>
      <c r="G92" s="216"/>
      <c r="H92" s="216"/>
    </row>
    <row r="93" customFormat="false" ht="14.25" hidden="false" customHeight="false" outlineLevel="0" collapsed="false">
      <c r="F93" s="215"/>
      <c r="G93" s="216"/>
      <c r="H93" s="216"/>
    </row>
    <row r="94" customFormat="false" ht="14.25" hidden="false" customHeight="false" outlineLevel="0" collapsed="false">
      <c r="F94" s="215"/>
      <c r="G94" s="216"/>
      <c r="H94" s="216"/>
    </row>
    <row r="95" customFormat="false" ht="14.25" hidden="false" customHeight="false" outlineLevel="0" collapsed="false">
      <c r="F95" s="215"/>
      <c r="G95" s="216"/>
      <c r="H95" s="216"/>
    </row>
    <row r="96" customFormat="false" ht="14.25" hidden="false" customHeight="false" outlineLevel="0" collapsed="false">
      <c r="F96" s="215"/>
      <c r="G96" s="216"/>
      <c r="H96" s="216"/>
    </row>
    <row r="97" customFormat="false" ht="14.25" hidden="false" customHeight="false" outlineLevel="0" collapsed="false">
      <c r="F97" s="215"/>
      <c r="G97" s="216"/>
      <c r="H97" s="216"/>
    </row>
    <row r="98" customFormat="false" ht="14.25" hidden="false" customHeight="false" outlineLevel="0" collapsed="false">
      <c r="F98" s="215"/>
      <c r="G98" s="216"/>
      <c r="H98" s="216"/>
    </row>
    <row r="99" customFormat="false" ht="14.25" hidden="false" customHeight="false" outlineLevel="0" collapsed="false">
      <c r="F99" s="215"/>
      <c r="G99" s="216"/>
      <c r="H99" s="216"/>
    </row>
    <row r="100" customFormat="false" ht="14.25" hidden="false" customHeight="false" outlineLevel="0" collapsed="false">
      <c r="F100" s="215"/>
      <c r="G100" s="216"/>
      <c r="H100" s="216"/>
    </row>
    <row r="101" customFormat="false" ht="14.25" hidden="false" customHeight="false" outlineLevel="0" collapsed="false">
      <c r="F101" s="215"/>
      <c r="G101" s="216"/>
      <c r="H101" s="216"/>
    </row>
    <row r="102" customFormat="false" ht="14.25" hidden="false" customHeight="false" outlineLevel="0" collapsed="false">
      <c r="F102" s="215"/>
      <c r="G102" s="216"/>
      <c r="H102" s="216"/>
    </row>
    <row r="103" customFormat="false" ht="14.25" hidden="false" customHeight="false" outlineLevel="0" collapsed="false">
      <c r="F103" s="215"/>
      <c r="G103" s="216"/>
      <c r="H103" s="216"/>
    </row>
    <row r="104" customFormat="false" ht="14.25" hidden="false" customHeight="false" outlineLevel="0" collapsed="false">
      <c r="F104" s="215"/>
      <c r="G104" s="216"/>
      <c r="H104" s="216"/>
    </row>
    <row r="105" customFormat="false" ht="14.25" hidden="false" customHeight="false" outlineLevel="0" collapsed="false">
      <c r="F105" s="215"/>
      <c r="G105" s="216"/>
      <c r="H105" s="216"/>
    </row>
    <row r="106" customFormat="false" ht="14.25" hidden="false" customHeight="false" outlineLevel="0" collapsed="false">
      <c r="F106" s="215"/>
      <c r="G106" s="216"/>
      <c r="H106" s="216"/>
    </row>
    <row r="107" customFormat="false" ht="14.25" hidden="false" customHeight="false" outlineLevel="0" collapsed="false">
      <c r="F107" s="215"/>
      <c r="G107" s="216"/>
      <c r="H107" s="216"/>
    </row>
    <row r="108" customFormat="false" ht="14.25" hidden="false" customHeight="false" outlineLevel="0" collapsed="false">
      <c r="F108" s="215"/>
      <c r="G108" s="216"/>
      <c r="H108" s="216"/>
    </row>
    <row r="109" customFormat="false" ht="14.25" hidden="false" customHeight="false" outlineLevel="0" collapsed="false">
      <c r="F109" s="215"/>
      <c r="G109" s="216"/>
      <c r="H109" s="216"/>
    </row>
    <row r="110" customFormat="false" ht="14.25" hidden="false" customHeight="false" outlineLevel="0" collapsed="false">
      <c r="F110" s="215"/>
      <c r="G110" s="216"/>
      <c r="H110" s="216"/>
    </row>
    <row r="111" customFormat="false" ht="14.25" hidden="false" customHeight="false" outlineLevel="0" collapsed="false">
      <c r="F111" s="215"/>
      <c r="G111" s="216"/>
      <c r="H111" s="216"/>
    </row>
    <row r="112" customFormat="false" ht="14.25" hidden="false" customHeight="false" outlineLevel="0" collapsed="false">
      <c r="F112" s="215"/>
      <c r="G112" s="216"/>
      <c r="H112" s="216"/>
    </row>
    <row r="113" customFormat="false" ht="14.25" hidden="false" customHeight="false" outlineLevel="0" collapsed="false">
      <c r="F113" s="215"/>
      <c r="G113" s="216"/>
      <c r="H113" s="216"/>
    </row>
    <row r="114" customFormat="false" ht="14.25" hidden="false" customHeight="false" outlineLevel="0" collapsed="false">
      <c r="F114" s="215"/>
      <c r="G114" s="216"/>
      <c r="H114" s="216"/>
    </row>
    <row r="115" customFormat="false" ht="14.25" hidden="false" customHeight="false" outlineLevel="0" collapsed="false">
      <c r="F115" s="215"/>
      <c r="G115" s="216"/>
      <c r="H115" s="216"/>
    </row>
    <row r="116" customFormat="false" ht="14.25" hidden="false" customHeight="false" outlineLevel="0" collapsed="false">
      <c r="F116" s="215"/>
      <c r="G116" s="216"/>
      <c r="H116" s="216"/>
    </row>
    <row r="117" customFormat="false" ht="14.25" hidden="false" customHeight="false" outlineLevel="0" collapsed="false">
      <c r="F117" s="215"/>
      <c r="G117" s="216"/>
      <c r="H117" s="216"/>
    </row>
    <row r="118" customFormat="false" ht="14.25" hidden="false" customHeight="false" outlineLevel="0" collapsed="false">
      <c r="F118" s="215"/>
      <c r="G118" s="216"/>
      <c r="H118" s="216"/>
    </row>
    <row r="119" customFormat="false" ht="14.25" hidden="false" customHeight="false" outlineLevel="0" collapsed="false">
      <c r="F119" s="215"/>
      <c r="G119" s="216"/>
      <c r="H119" s="216"/>
    </row>
    <row r="120" customFormat="false" ht="14.25" hidden="false" customHeight="false" outlineLevel="0" collapsed="false">
      <c r="F120" s="215"/>
      <c r="G120" s="216"/>
      <c r="H120" s="216"/>
    </row>
    <row r="121" customFormat="false" ht="14.25" hidden="false" customHeight="false" outlineLevel="0" collapsed="false">
      <c r="F121" s="215"/>
      <c r="G121" s="216"/>
      <c r="H121" s="216"/>
    </row>
    <row r="122" customFormat="false" ht="14.25" hidden="false" customHeight="false" outlineLevel="0" collapsed="false">
      <c r="F122" s="215"/>
      <c r="G122" s="216"/>
      <c r="H122" s="216"/>
    </row>
    <row r="123" customFormat="false" ht="14.25" hidden="false" customHeight="false" outlineLevel="0" collapsed="false">
      <c r="F123" s="215"/>
      <c r="G123" s="216"/>
      <c r="H123" s="216"/>
    </row>
    <row r="124" customFormat="false" ht="14.25" hidden="false" customHeight="false" outlineLevel="0" collapsed="false">
      <c r="F124" s="215"/>
      <c r="G124" s="216"/>
      <c r="H124" s="216"/>
    </row>
    <row r="125" customFormat="false" ht="14.25" hidden="false" customHeight="false" outlineLevel="0" collapsed="false">
      <c r="F125" s="215"/>
      <c r="G125" s="216"/>
      <c r="H125" s="216"/>
    </row>
    <row r="126" customFormat="false" ht="14.25" hidden="false" customHeight="false" outlineLevel="0" collapsed="false">
      <c r="F126" s="215"/>
      <c r="G126" s="216"/>
      <c r="H126" s="216"/>
    </row>
    <row r="127" customFormat="false" ht="14.25" hidden="false" customHeight="false" outlineLevel="0" collapsed="false">
      <c r="F127" s="215"/>
      <c r="G127" s="216"/>
      <c r="H127" s="216"/>
    </row>
    <row r="128" customFormat="false" ht="14.25" hidden="false" customHeight="false" outlineLevel="0" collapsed="false">
      <c r="F128" s="215"/>
      <c r="G128" s="216"/>
      <c r="H128" s="216"/>
    </row>
    <row r="129" customFormat="false" ht="14.25" hidden="false" customHeight="false" outlineLevel="0" collapsed="false">
      <c r="F129" s="215"/>
      <c r="G129" s="216"/>
      <c r="H129" s="216"/>
    </row>
    <row r="130" customFormat="false" ht="14.25" hidden="false" customHeight="false" outlineLevel="0" collapsed="false">
      <c r="F130" s="215"/>
      <c r="G130" s="216"/>
      <c r="H130" s="216"/>
    </row>
    <row r="131" customFormat="false" ht="14.25" hidden="false" customHeight="false" outlineLevel="0" collapsed="false">
      <c r="F131" s="215"/>
      <c r="G131" s="216"/>
      <c r="H131" s="216"/>
    </row>
    <row r="132" customFormat="false" ht="14.25" hidden="false" customHeight="false" outlineLevel="0" collapsed="false">
      <c r="F132" s="215"/>
      <c r="G132" s="216"/>
      <c r="H132" s="216"/>
    </row>
    <row r="133" customFormat="false" ht="14.25" hidden="false" customHeight="false" outlineLevel="0" collapsed="false">
      <c r="F133" s="215"/>
      <c r="G133" s="216"/>
      <c r="H133" s="216"/>
    </row>
    <row r="134" customFormat="false" ht="14.25" hidden="false" customHeight="false" outlineLevel="0" collapsed="false">
      <c r="F134" s="215"/>
      <c r="G134" s="216"/>
      <c r="H134" s="216"/>
    </row>
    <row r="135" customFormat="false" ht="14.25" hidden="false" customHeight="false" outlineLevel="0" collapsed="false">
      <c r="F135" s="215"/>
      <c r="G135" s="216"/>
      <c r="H135" s="216"/>
    </row>
    <row r="136" customFormat="false" ht="14.25" hidden="false" customHeight="false" outlineLevel="0" collapsed="false">
      <c r="F136" s="215"/>
      <c r="G136" s="216"/>
      <c r="H136" s="216"/>
    </row>
    <row r="137" customFormat="false" ht="14.25" hidden="false" customHeight="false" outlineLevel="0" collapsed="false">
      <c r="F137" s="215"/>
      <c r="G137" s="216"/>
      <c r="H137" s="216"/>
    </row>
    <row r="138" customFormat="false" ht="14.25" hidden="false" customHeight="false" outlineLevel="0" collapsed="false">
      <c r="F138" s="215"/>
      <c r="G138" s="216"/>
      <c r="H138" s="216"/>
    </row>
    <row r="139" customFormat="false" ht="14.25" hidden="false" customHeight="false" outlineLevel="0" collapsed="false">
      <c r="F139" s="215"/>
      <c r="G139" s="216"/>
      <c r="H139" s="216"/>
    </row>
    <row r="140" customFormat="false" ht="14.25" hidden="false" customHeight="false" outlineLevel="0" collapsed="false">
      <c r="F140" s="215"/>
      <c r="G140" s="216"/>
      <c r="H140" s="216"/>
    </row>
    <row r="141" customFormat="false" ht="14.25" hidden="false" customHeight="false" outlineLevel="0" collapsed="false">
      <c r="F141" s="215"/>
      <c r="G141" s="216"/>
      <c r="H141" s="216"/>
    </row>
    <row r="142" customFormat="false" ht="14.25" hidden="false" customHeight="false" outlineLevel="0" collapsed="false">
      <c r="F142" s="215"/>
      <c r="G142" s="216"/>
      <c r="H142" s="216"/>
    </row>
    <row r="143" customFormat="false" ht="14.25" hidden="false" customHeight="false" outlineLevel="0" collapsed="false">
      <c r="F143" s="215"/>
      <c r="G143" s="216"/>
      <c r="H143" s="216"/>
    </row>
    <row r="144" customFormat="false" ht="14.25" hidden="false" customHeight="false" outlineLevel="0" collapsed="false">
      <c r="F144" s="215"/>
      <c r="G144" s="216"/>
      <c r="H144" s="216"/>
    </row>
    <row r="145" customFormat="false" ht="14.25" hidden="false" customHeight="false" outlineLevel="0" collapsed="false">
      <c r="F145" s="215"/>
      <c r="G145" s="216"/>
      <c r="H145" s="216"/>
    </row>
    <row r="146" customFormat="false" ht="14.25" hidden="false" customHeight="false" outlineLevel="0" collapsed="false">
      <c r="F146" s="215"/>
      <c r="G146" s="216"/>
      <c r="H146" s="216"/>
    </row>
    <row r="147" customFormat="false" ht="14.25" hidden="false" customHeight="false" outlineLevel="0" collapsed="false">
      <c r="F147" s="215"/>
      <c r="G147" s="216"/>
      <c r="H147" s="216"/>
    </row>
    <row r="148" customFormat="false" ht="14.25" hidden="false" customHeight="false" outlineLevel="0" collapsed="false">
      <c r="F148" s="215"/>
      <c r="G148" s="216"/>
      <c r="H148" s="216"/>
    </row>
    <row r="149" customFormat="false" ht="14.25" hidden="false" customHeight="false" outlineLevel="0" collapsed="false">
      <c r="F149" s="215"/>
      <c r="G149" s="216"/>
      <c r="H149" s="216"/>
    </row>
    <row r="150" customFormat="false" ht="14.25" hidden="false" customHeight="false" outlineLevel="0" collapsed="false">
      <c r="F150" s="215"/>
      <c r="G150" s="216"/>
      <c r="H150" s="216"/>
    </row>
    <row r="151" customFormat="false" ht="14.25" hidden="false" customHeight="false" outlineLevel="0" collapsed="false">
      <c r="F151" s="215"/>
      <c r="G151" s="216"/>
      <c r="H151" s="216"/>
    </row>
    <row r="152" customFormat="false" ht="14.25" hidden="false" customHeight="false" outlineLevel="0" collapsed="false">
      <c r="F152" s="215"/>
      <c r="G152" s="216"/>
      <c r="H152" s="216"/>
    </row>
    <row r="153" customFormat="false" ht="14.25" hidden="false" customHeight="false" outlineLevel="0" collapsed="false">
      <c r="F153" s="215"/>
      <c r="G153" s="216"/>
      <c r="H153" s="216"/>
    </row>
    <row r="154" customFormat="false" ht="14.25" hidden="false" customHeight="false" outlineLevel="0" collapsed="false">
      <c r="F154" s="215"/>
      <c r="G154" s="216"/>
      <c r="H154" s="216"/>
    </row>
    <row r="155" customFormat="false" ht="14.25" hidden="false" customHeight="false" outlineLevel="0" collapsed="false">
      <c r="F155" s="215"/>
      <c r="G155" s="216"/>
      <c r="H155" s="216"/>
    </row>
    <row r="156" customFormat="false" ht="14.25" hidden="false" customHeight="false" outlineLevel="0" collapsed="false">
      <c r="F156" s="215"/>
      <c r="G156" s="216"/>
      <c r="H156" s="216"/>
    </row>
    <row r="157" customFormat="false" ht="14.25" hidden="false" customHeight="false" outlineLevel="0" collapsed="false">
      <c r="F157" s="215"/>
      <c r="G157" s="216"/>
      <c r="H157" s="216"/>
    </row>
    <row r="158" customFormat="false" ht="14.25" hidden="false" customHeight="false" outlineLevel="0" collapsed="false">
      <c r="F158" s="215"/>
      <c r="G158" s="216"/>
      <c r="H158" s="216"/>
    </row>
    <row r="159" customFormat="false" ht="14.25" hidden="false" customHeight="false" outlineLevel="0" collapsed="false">
      <c r="F159" s="215"/>
      <c r="G159" s="216"/>
      <c r="H159" s="216"/>
    </row>
    <row r="160" customFormat="false" ht="14.25" hidden="false" customHeight="false" outlineLevel="0" collapsed="false">
      <c r="F160" s="215"/>
      <c r="G160" s="216"/>
      <c r="H160" s="216"/>
    </row>
    <row r="161" customFormat="false" ht="14.25" hidden="false" customHeight="false" outlineLevel="0" collapsed="false">
      <c r="F161" s="215"/>
      <c r="G161" s="216"/>
      <c r="H161" s="216"/>
    </row>
    <row r="162" customFormat="false" ht="14.25" hidden="false" customHeight="false" outlineLevel="0" collapsed="false">
      <c r="F162" s="215"/>
      <c r="G162" s="216"/>
      <c r="H162" s="216"/>
    </row>
    <row r="163" customFormat="false" ht="14.25" hidden="false" customHeight="false" outlineLevel="0" collapsed="false">
      <c r="F163" s="215"/>
      <c r="G163" s="216"/>
      <c r="H163" s="216"/>
    </row>
    <row r="164" customFormat="false" ht="14.25" hidden="false" customHeight="false" outlineLevel="0" collapsed="false">
      <c r="F164" s="215"/>
      <c r="G164" s="216"/>
      <c r="H164" s="216"/>
    </row>
    <row r="165" customFormat="false" ht="14.25" hidden="false" customHeight="false" outlineLevel="0" collapsed="false">
      <c r="F165" s="215"/>
      <c r="G165" s="216"/>
      <c r="H165" s="216"/>
    </row>
    <row r="166" customFormat="false" ht="14.25" hidden="false" customHeight="false" outlineLevel="0" collapsed="false">
      <c r="F166" s="215"/>
      <c r="G166" s="216"/>
      <c r="H166" s="216"/>
    </row>
    <row r="167" customFormat="false" ht="14.25" hidden="false" customHeight="false" outlineLevel="0" collapsed="false">
      <c r="F167" s="215"/>
      <c r="G167" s="216"/>
      <c r="H167" s="216"/>
    </row>
    <row r="168" customFormat="false" ht="14.25" hidden="false" customHeight="false" outlineLevel="0" collapsed="false">
      <c r="F168" s="215"/>
      <c r="G168" s="216"/>
      <c r="H168" s="216"/>
    </row>
    <row r="169" customFormat="false" ht="14.25" hidden="false" customHeight="false" outlineLevel="0" collapsed="false">
      <c r="F169" s="215"/>
      <c r="G169" s="216"/>
      <c r="H169" s="216"/>
    </row>
    <row r="170" customFormat="false" ht="14.25" hidden="false" customHeight="false" outlineLevel="0" collapsed="false">
      <c r="F170" s="215"/>
      <c r="G170" s="216"/>
      <c r="H170" s="216"/>
    </row>
    <row r="171" customFormat="false" ht="14.25" hidden="false" customHeight="false" outlineLevel="0" collapsed="false">
      <c r="F171" s="215"/>
      <c r="G171" s="216"/>
      <c r="H171" s="216"/>
    </row>
    <row r="172" customFormat="false" ht="14.25" hidden="false" customHeight="false" outlineLevel="0" collapsed="false">
      <c r="F172" s="215"/>
      <c r="G172" s="216"/>
      <c r="H172" s="216"/>
    </row>
    <row r="173" customFormat="false" ht="14.25" hidden="false" customHeight="false" outlineLevel="0" collapsed="false">
      <c r="F173" s="215"/>
      <c r="G173" s="216"/>
      <c r="H173" s="216"/>
    </row>
    <row r="174" customFormat="false" ht="14.25" hidden="false" customHeight="false" outlineLevel="0" collapsed="false">
      <c r="F174" s="215"/>
      <c r="G174" s="216"/>
      <c r="H174" s="216"/>
    </row>
    <row r="175" customFormat="false" ht="14.25" hidden="false" customHeight="false" outlineLevel="0" collapsed="false">
      <c r="F175" s="215"/>
      <c r="G175" s="216"/>
      <c r="H175" s="216"/>
    </row>
    <row r="176" customFormat="false" ht="14.25" hidden="false" customHeight="false" outlineLevel="0" collapsed="false">
      <c r="F176" s="215"/>
      <c r="G176" s="216"/>
      <c r="H176" s="216"/>
    </row>
    <row r="177" customFormat="false" ht="14.25" hidden="false" customHeight="false" outlineLevel="0" collapsed="false">
      <c r="F177" s="215"/>
      <c r="G177" s="216"/>
      <c r="H177" s="216"/>
    </row>
    <row r="178" customFormat="false" ht="14.25" hidden="false" customHeight="false" outlineLevel="0" collapsed="false">
      <c r="F178" s="215"/>
      <c r="G178" s="216"/>
      <c r="H178" s="216"/>
    </row>
    <row r="179" customFormat="false" ht="14.25" hidden="false" customHeight="false" outlineLevel="0" collapsed="false">
      <c r="F179" s="215"/>
      <c r="G179" s="216"/>
      <c r="H179" s="216"/>
    </row>
    <row r="180" customFormat="false" ht="14.25" hidden="false" customHeight="false" outlineLevel="0" collapsed="false">
      <c r="F180" s="215"/>
      <c r="G180" s="216"/>
      <c r="H180" s="216"/>
    </row>
    <row r="181" customFormat="false" ht="14.25" hidden="false" customHeight="false" outlineLevel="0" collapsed="false">
      <c r="F181" s="215"/>
      <c r="G181" s="216"/>
      <c r="H181" s="216"/>
    </row>
    <row r="182" customFormat="false" ht="14.25" hidden="false" customHeight="false" outlineLevel="0" collapsed="false">
      <c r="F182" s="215"/>
      <c r="G182" s="216"/>
      <c r="H182" s="216"/>
    </row>
    <row r="183" customFormat="false" ht="14.25" hidden="false" customHeight="false" outlineLevel="0" collapsed="false">
      <c r="F183" s="215"/>
      <c r="G183" s="216"/>
      <c r="H183" s="216"/>
    </row>
    <row r="184" customFormat="false" ht="14.25" hidden="false" customHeight="false" outlineLevel="0" collapsed="false">
      <c r="F184" s="215"/>
      <c r="G184" s="216"/>
      <c r="H184" s="216"/>
    </row>
    <row r="185" customFormat="false" ht="14.25" hidden="false" customHeight="false" outlineLevel="0" collapsed="false">
      <c r="F185" s="215"/>
      <c r="G185" s="216"/>
      <c r="H185" s="216"/>
    </row>
    <row r="186" customFormat="false" ht="14.25" hidden="false" customHeight="false" outlineLevel="0" collapsed="false">
      <c r="F186" s="215"/>
      <c r="G186" s="216"/>
      <c r="H186" s="216"/>
    </row>
    <row r="187" customFormat="false" ht="14.25" hidden="false" customHeight="false" outlineLevel="0" collapsed="false">
      <c r="F187" s="215"/>
      <c r="G187" s="216"/>
      <c r="H187" s="216"/>
    </row>
    <row r="188" customFormat="false" ht="14.25" hidden="false" customHeight="false" outlineLevel="0" collapsed="false">
      <c r="F188" s="215"/>
      <c r="G188" s="216"/>
      <c r="H188" s="216"/>
    </row>
    <row r="189" customFormat="false" ht="14.25" hidden="false" customHeight="false" outlineLevel="0" collapsed="false">
      <c r="F189" s="215"/>
      <c r="G189" s="216"/>
      <c r="H189" s="216"/>
    </row>
    <row r="190" customFormat="false" ht="14.25" hidden="false" customHeight="false" outlineLevel="0" collapsed="false">
      <c r="F190" s="215"/>
      <c r="G190" s="216"/>
      <c r="H190" s="216"/>
    </row>
    <row r="191" customFormat="false" ht="14.25" hidden="false" customHeight="false" outlineLevel="0" collapsed="false">
      <c r="F191" s="215"/>
      <c r="G191" s="216"/>
      <c r="H191" s="216"/>
    </row>
    <row r="192" customFormat="false" ht="14.25" hidden="false" customHeight="false" outlineLevel="0" collapsed="false">
      <c r="F192" s="215"/>
      <c r="G192" s="216"/>
      <c r="H192" s="216"/>
    </row>
    <row r="193" customFormat="false" ht="14.25" hidden="false" customHeight="false" outlineLevel="0" collapsed="false">
      <c r="F193" s="215"/>
      <c r="G193" s="216"/>
      <c r="H193" s="216"/>
    </row>
    <row r="194" customFormat="false" ht="14.25" hidden="false" customHeight="false" outlineLevel="0" collapsed="false">
      <c r="F194" s="215"/>
      <c r="G194" s="216"/>
      <c r="H194" s="216"/>
    </row>
    <row r="195" customFormat="false" ht="14.25" hidden="false" customHeight="false" outlineLevel="0" collapsed="false">
      <c r="F195" s="215"/>
      <c r="G195" s="216"/>
      <c r="H195" s="216"/>
    </row>
    <row r="196" customFormat="false" ht="14.25" hidden="false" customHeight="false" outlineLevel="0" collapsed="false">
      <c r="F196" s="215"/>
      <c r="G196" s="216"/>
      <c r="H196" s="216"/>
    </row>
    <row r="197" customFormat="false" ht="14.25" hidden="false" customHeight="false" outlineLevel="0" collapsed="false">
      <c r="F197" s="215"/>
      <c r="G197" s="216"/>
      <c r="H197" s="216"/>
    </row>
    <row r="198" customFormat="false" ht="14.25" hidden="false" customHeight="false" outlineLevel="0" collapsed="false">
      <c r="F198" s="215"/>
      <c r="G198" s="216"/>
      <c r="H198" s="216"/>
    </row>
    <row r="199" customFormat="false" ht="14.25" hidden="false" customHeight="false" outlineLevel="0" collapsed="false">
      <c r="F199" s="215"/>
      <c r="G199" s="216"/>
      <c r="H199" s="216"/>
    </row>
    <row r="200" customFormat="false" ht="14.25" hidden="false" customHeight="false" outlineLevel="0" collapsed="false">
      <c r="F200" s="215"/>
      <c r="G200" s="216"/>
      <c r="H200" s="216"/>
    </row>
    <row r="201" customFormat="false" ht="14.25" hidden="false" customHeight="false" outlineLevel="0" collapsed="false">
      <c r="F201" s="215"/>
      <c r="G201" s="216"/>
      <c r="H201" s="216"/>
    </row>
    <row r="202" customFormat="false" ht="14.25" hidden="false" customHeight="false" outlineLevel="0" collapsed="false">
      <c r="F202" s="215"/>
      <c r="G202" s="216"/>
      <c r="H202" s="216"/>
    </row>
    <row r="203" customFormat="false" ht="14.25" hidden="false" customHeight="false" outlineLevel="0" collapsed="false">
      <c r="F203" s="215"/>
      <c r="G203" s="216"/>
      <c r="H203" s="216"/>
    </row>
    <row r="204" customFormat="false" ht="14.25" hidden="false" customHeight="false" outlineLevel="0" collapsed="false">
      <c r="F204" s="215"/>
      <c r="G204" s="216"/>
      <c r="H204" s="216"/>
    </row>
    <row r="205" customFormat="false" ht="14.25" hidden="false" customHeight="false" outlineLevel="0" collapsed="false">
      <c r="F205" s="215"/>
      <c r="G205" s="216"/>
      <c r="H205" s="216"/>
    </row>
    <row r="206" customFormat="false" ht="14.25" hidden="false" customHeight="false" outlineLevel="0" collapsed="false">
      <c r="F206" s="215"/>
      <c r="G206" s="216"/>
      <c r="H206" s="216"/>
    </row>
    <row r="207" customFormat="false" ht="14.25" hidden="false" customHeight="false" outlineLevel="0" collapsed="false">
      <c r="F207" s="215"/>
      <c r="G207" s="216"/>
      <c r="H207" s="216"/>
    </row>
    <row r="208" customFormat="false" ht="14.25" hidden="false" customHeight="false" outlineLevel="0" collapsed="false">
      <c r="F208" s="215"/>
      <c r="G208" s="216"/>
      <c r="H208" s="216"/>
    </row>
    <row r="209" customFormat="false" ht="14.25" hidden="false" customHeight="false" outlineLevel="0" collapsed="false">
      <c r="F209" s="215"/>
      <c r="G209" s="216"/>
      <c r="H209" s="216"/>
    </row>
    <row r="210" customFormat="false" ht="14.25" hidden="false" customHeight="false" outlineLevel="0" collapsed="false">
      <c r="F210" s="215"/>
      <c r="G210" s="216"/>
      <c r="H210" s="216"/>
    </row>
    <row r="211" customFormat="false" ht="14.25" hidden="false" customHeight="false" outlineLevel="0" collapsed="false">
      <c r="F211" s="215"/>
      <c r="G211" s="216"/>
      <c r="H211" s="216"/>
    </row>
    <row r="212" customFormat="false" ht="14.25" hidden="false" customHeight="false" outlineLevel="0" collapsed="false">
      <c r="F212" s="215"/>
      <c r="G212" s="216"/>
      <c r="H212" s="216"/>
    </row>
    <row r="213" customFormat="false" ht="14.25" hidden="false" customHeight="false" outlineLevel="0" collapsed="false">
      <c r="F213" s="215"/>
      <c r="G213" s="216"/>
      <c r="H213" s="216"/>
    </row>
    <row r="214" customFormat="false" ht="14.25" hidden="false" customHeight="false" outlineLevel="0" collapsed="false">
      <c r="F214" s="215"/>
      <c r="G214" s="216"/>
      <c r="H214" s="216"/>
    </row>
    <row r="215" customFormat="false" ht="14.25" hidden="false" customHeight="false" outlineLevel="0" collapsed="false">
      <c r="F215" s="215"/>
      <c r="G215" s="216"/>
      <c r="H215" s="216"/>
    </row>
    <row r="216" customFormat="false" ht="14.25" hidden="false" customHeight="false" outlineLevel="0" collapsed="false">
      <c r="F216" s="215"/>
      <c r="G216" s="216"/>
      <c r="H216" s="216"/>
    </row>
    <row r="217" customFormat="false" ht="14.25" hidden="false" customHeight="false" outlineLevel="0" collapsed="false">
      <c r="F217" s="215"/>
      <c r="G217" s="216"/>
      <c r="H217" s="216"/>
    </row>
    <row r="218" customFormat="false" ht="14.25" hidden="false" customHeight="false" outlineLevel="0" collapsed="false">
      <c r="F218" s="215"/>
      <c r="G218" s="216"/>
      <c r="H218" s="216"/>
    </row>
    <row r="219" customFormat="false" ht="14.25" hidden="false" customHeight="false" outlineLevel="0" collapsed="false">
      <c r="F219" s="215"/>
      <c r="G219" s="216"/>
      <c r="H219" s="216"/>
    </row>
    <row r="220" customFormat="false" ht="14.25" hidden="false" customHeight="false" outlineLevel="0" collapsed="false">
      <c r="F220" s="215"/>
      <c r="G220" s="216"/>
      <c r="H220" s="216"/>
    </row>
    <row r="221" customFormat="false" ht="14.25" hidden="false" customHeight="false" outlineLevel="0" collapsed="false">
      <c r="F221" s="215"/>
      <c r="G221" s="216"/>
      <c r="H221" s="216"/>
    </row>
    <row r="222" customFormat="false" ht="14.25" hidden="false" customHeight="false" outlineLevel="0" collapsed="false">
      <c r="F222" s="215"/>
      <c r="G222" s="216"/>
      <c r="H222" s="216"/>
    </row>
    <row r="223" customFormat="false" ht="14.25" hidden="false" customHeight="false" outlineLevel="0" collapsed="false">
      <c r="F223" s="215"/>
      <c r="G223" s="216"/>
      <c r="H223" s="216"/>
    </row>
    <row r="224" customFormat="false" ht="14.25" hidden="false" customHeight="false" outlineLevel="0" collapsed="false">
      <c r="F224" s="215"/>
      <c r="G224" s="216"/>
      <c r="H224" s="216"/>
    </row>
    <row r="225" customFormat="false" ht="14.25" hidden="false" customHeight="false" outlineLevel="0" collapsed="false">
      <c r="F225" s="215"/>
      <c r="G225" s="216"/>
      <c r="H225" s="216"/>
    </row>
    <row r="226" customFormat="false" ht="14.25" hidden="false" customHeight="false" outlineLevel="0" collapsed="false">
      <c r="F226" s="215"/>
      <c r="G226" s="216"/>
      <c r="H226" s="216"/>
    </row>
    <row r="227" customFormat="false" ht="14.25" hidden="false" customHeight="false" outlineLevel="0" collapsed="false">
      <c r="F227" s="215"/>
      <c r="G227" s="216"/>
      <c r="H227" s="216"/>
    </row>
    <row r="228" customFormat="false" ht="14.25" hidden="false" customHeight="false" outlineLevel="0" collapsed="false">
      <c r="F228" s="215"/>
      <c r="G228" s="216"/>
      <c r="H228" s="216"/>
    </row>
    <row r="229" customFormat="false" ht="14.25" hidden="false" customHeight="false" outlineLevel="0" collapsed="false">
      <c r="F229" s="215"/>
      <c r="G229" s="216"/>
      <c r="H229" s="216"/>
    </row>
    <row r="230" customFormat="false" ht="14.25" hidden="false" customHeight="false" outlineLevel="0" collapsed="false">
      <c r="F230" s="215"/>
      <c r="G230" s="216"/>
      <c r="H230" s="216"/>
    </row>
    <row r="231" customFormat="false" ht="14.25" hidden="false" customHeight="false" outlineLevel="0" collapsed="false">
      <c r="F231" s="215"/>
      <c r="G231" s="216"/>
      <c r="H231" s="216"/>
    </row>
    <row r="232" customFormat="false" ht="14.25" hidden="false" customHeight="false" outlineLevel="0" collapsed="false">
      <c r="F232" s="215"/>
      <c r="G232" s="216"/>
      <c r="H232" s="216"/>
    </row>
    <row r="233" customFormat="false" ht="14.25" hidden="false" customHeight="false" outlineLevel="0" collapsed="false">
      <c r="F233" s="215"/>
      <c r="G233" s="216"/>
      <c r="H233" s="216"/>
    </row>
    <row r="234" customFormat="false" ht="14.25" hidden="false" customHeight="false" outlineLevel="0" collapsed="false">
      <c r="F234" s="215"/>
      <c r="G234" s="216"/>
      <c r="H234" s="216"/>
    </row>
    <row r="235" customFormat="false" ht="14.25" hidden="false" customHeight="false" outlineLevel="0" collapsed="false">
      <c r="F235" s="215"/>
      <c r="G235" s="216"/>
      <c r="H235" s="216"/>
    </row>
    <row r="236" customFormat="false" ht="14.25" hidden="false" customHeight="false" outlineLevel="0" collapsed="false">
      <c r="F236" s="215"/>
      <c r="G236" s="216"/>
      <c r="H236" s="216"/>
    </row>
    <row r="237" customFormat="false" ht="14.25" hidden="false" customHeight="false" outlineLevel="0" collapsed="false">
      <c r="F237" s="215"/>
      <c r="G237" s="216"/>
      <c r="H237" s="216"/>
    </row>
    <row r="238" customFormat="false" ht="14.25" hidden="false" customHeight="false" outlineLevel="0" collapsed="false">
      <c r="F238" s="215"/>
      <c r="G238" s="216"/>
      <c r="H238" s="216"/>
    </row>
    <row r="239" customFormat="false" ht="14.25" hidden="false" customHeight="false" outlineLevel="0" collapsed="false">
      <c r="F239" s="215"/>
      <c r="G239" s="216"/>
      <c r="H239" s="216"/>
    </row>
    <row r="240" customFormat="false" ht="14.25" hidden="false" customHeight="false" outlineLevel="0" collapsed="false">
      <c r="F240" s="215"/>
      <c r="G240" s="216"/>
      <c r="H240" s="216"/>
    </row>
    <row r="241" customFormat="false" ht="14.25" hidden="false" customHeight="false" outlineLevel="0" collapsed="false">
      <c r="F241" s="215"/>
      <c r="G241" s="216"/>
      <c r="H241" s="216"/>
    </row>
    <row r="242" customFormat="false" ht="14.25" hidden="false" customHeight="false" outlineLevel="0" collapsed="false">
      <c r="F242" s="215"/>
      <c r="G242" s="216"/>
      <c r="H242" s="216"/>
    </row>
    <row r="243" customFormat="false" ht="14.25" hidden="false" customHeight="false" outlineLevel="0" collapsed="false">
      <c r="F243" s="215"/>
      <c r="G243" s="216"/>
      <c r="H243" s="216"/>
    </row>
    <row r="244" customFormat="false" ht="14.25" hidden="false" customHeight="false" outlineLevel="0" collapsed="false">
      <c r="F244" s="215"/>
      <c r="G244" s="216"/>
      <c r="H244" s="216"/>
    </row>
    <row r="245" customFormat="false" ht="14.25" hidden="false" customHeight="false" outlineLevel="0" collapsed="false">
      <c r="F245" s="215"/>
      <c r="G245" s="216"/>
      <c r="H245" s="216"/>
    </row>
    <row r="246" customFormat="false" ht="14.25" hidden="false" customHeight="false" outlineLevel="0" collapsed="false">
      <c r="F246" s="215"/>
      <c r="G246" s="216"/>
      <c r="H246" s="216"/>
    </row>
    <row r="247" customFormat="false" ht="14.25" hidden="false" customHeight="false" outlineLevel="0" collapsed="false">
      <c r="F247" s="215"/>
      <c r="G247" s="216"/>
      <c r="H247" s="216"/>
    </row>
    <row r="248" customFormat="false" ht="14.25" hidden="false" customHeight="false" outlineLevel="0" collapsed="false">
      <c r="F248" s="215"/>
      <c r="G248" s="216"/>
      <c r="H248" s="216"/>
    </row>
    <row r="249" customFormat="false" ht="14.25" hidden="false" customHeight="false" outlineLevel="0" collapsed="false">
      <c r="F249" s="215"/>
      <c r="G249" s="216"/>
      <c r="H249" s="216"/>
    </row>
    <row r="250" customFormat="false" ht="14.25" hidden="false" customHeight="false" outlineLevel="0" collapsed="false">
      <c r="F250" s="215"/>
      <c r="G250" s="216"/>
      <c r="H250" s="216"/>
    </row>
    <row r="251" customFormat="false" ht="14.25" hidden="false" customHeight="false" outlineLevel="0" collapsed="false">
      <c r="F251" s="215"/>
      <c r="G251" s="216"/>
      <c r="H251" s="216"/>
    </row>
    <row r="252" customFormat="false" ht="14.25" hidden="false" customHeight="false" outlineLevel="0" collapsed="false">
      <c r="F252" s="215"/>
      <c r="G252" s="216"/>
      <c r="H252" s="216"/>
    </row>
    <row r="253" customFormat="false" ht="14.25" hidden="false" customHeight="false" outlineLevel="0" collapsed="false">
      <c r="F253" s="215"/>
      <c r="G253" s="216"/>
      <c r="H253" s="216"/>
    </row>
    <row r="254" customFormat="false" ht="14.25" hidden="false" customHeight="false" outlineLevel="0" collapsed="false">
      <c r="F254" s="215"/>
      <c r="G254" s="216"/>
      <c r="H254" s="216"/>
    </row>
    <row r="255" customFormat="false" ht="14.25" hidden="false" customHeight="false" outlineLevel="0" collapsed="false">
      <c r="F255" s="215"/>
      <c r="G255" s="216"/>
      <c r="H255" s="216"/>
    </row>
    <row r="256" customFormat="false" ht="14.25" hidden="false" customHeight="false" outlineLevel="0" collapsed="false">
      <c r="F256" s="215"/>
      <c r="G256" s="216"/>
      <c r="H256" s="216"/>
    </row>
    <row r="257" customFormat="false" ht="14.25" hidden="false" customHeight="false" outlineLevel="0" collapsed="false">
      <c r="F257" s="215"/>
      <c r="G257" s="216"/>
      <c r="H257" s="216"/>
    </row>
  </sheetData>
  <sheetProtection algorithmName="SHA-512" hashValue="zo7yzeajskUT4Z27zQj9sbV5TQeyuLfJD4K1oW816dkSOQd7qn+dfzHEGIcKHROZnkproxw2NTQ3Et5JwU1oEA==" saltValue="YyK2xUMUQI05J5T2PFJp3w==" spinCount="100000" sheet="true" objects="true" scenarios="true" formatCells="false" formatColumns="false" formatRows="false"/>
  <mergeCells count="91">
    <mergeCell ref="B2:D2"/>
    <mergeCell ref="B3:E3"/>
    <mergeCell ref="B4:C4"/>
    <mergeCell ref="E4:F9"/>
    <mergeCell ref="B5:C5"/>
    <mergeCell ref="B6:C6"/>
    <mergeCell ref="B7:C7"/>
    <mergeCell ref="B8:C8"/>
    <mergeCell ref="B9:C9"/>
    <mergeCell ref="B10:D10"/>
    <mergeCell ref="E10:E12"/>
    <mergeCell ref="F10:F12"/>
    <mergeCell ref="G10:H10"/>
    <mergeCell ref="B12:D12"/>
    <mergeCell ref="G12:H12"/>
    <mergeCell ref="B13:D13"/>
    <mergeCell ref="G13:H13"/>
    <mergeCell ref="I13:I15"/>
    <mergeCell ref="B14:D14"/>
    <mergeCell ref="G14:H14"/>
    <mergeCell ref="B15:D15"/>
    <mergeCell ref="G15:H15"/>
    <mergeCell ref="B16:I16"/>
    <mergeCell ref="B17:D17"/>
    <mergeCell ref="G17:H17"/>
    <mergeCell ref="I17:I18"/>
    <mergeCell ref="B18:D18"/>
    <mergeCell ref="G18:H18"/>
    <mergeCell ref="B19:I19"/>
    <mergeCell ref="B20:D20"/>
    <mergeCell ref="G20:H20"/>
    <mergeCell ref="I20:I21"/>
    <mergeCell ref="B21:D21"/>
    <mergeCell ref="G21:H21"/>
    <mergeCell ref="B22:I22"/>
    <mergeCell ref="B23:D23"/>
    <mergeCell ref="G23:H23"/>
    <mergeCell ref="I23:I35"/>
    <mergeCell ref="B24:D24"/>
    <mergeCell ref="G24:H24"/>
    <mergeCell ref="B25:D25"/>
    <mergeCell ref="G25:H25"/>
    <mergeCell ref="B26:D26"/>
    <mergeCell ref="G26:H26"/>
    <mergeCell ref="B27:D27"/>
    <mergeCell ref="G27:H27"/>
    <mergeCell ref="B28:D28"/>
    <mergeCell ref="G28:H28"/>
    <mergeCell ref="B29:D29"/>
    <mergeCell ref="G29:H29"/>
    <mergeCell ref="B30:D30"/>
    <mergeCell ref="G30:H30"/>
    <mergeCell ref="B31:D31"/>
    <mergeCell ref="G31:H31"/>
    <mergeCell ref="B32:D32"/>
    <mergeCell ref="G32:H32"/>
    <mergeCell ref="B33:D33"/>
    <mergeCell ref="G33:H33"/>
    <mergeCell ref="B34:D34"/>
    <mergeCell ref="G34:H34"/>
    <mergeCell ref="B35:D35"/>
    <mergeCell ref="G35:H35"/>
    <mergeCell ref="B36:D36"/>
    <mergeCell ref="G36:H36"/>
    <mergeCell ref="B37:D37"/>
    <mergeCell ref="E37:F37"/>
    <mergeCell ref="G37:H37"/>
    <mergeCell ref="B39:C39"/>
    <mergeCell ref="D39:I39"/>
    <mergeCell ref="B40:I40"/>
    <mergeCell ref="B41:I41"/>
    <mergeCell ref="B42:C43"/>
    <mergeCell ref="D42:F43"/>
    <mergeCell ref="G42:G43"/>
    <mergeCell ref="H42:H43"/>
    <mergeCell ref="I42:I43"/>
    <mergeCell ref="B44:C45"/>
    <mergeCell ref="D44:F45"/>
    <mergeCell ref="G44:G45"/>
    <mergeCell ref="H44:H45"/>
    <mergeCell ref="I44:I45"/>
    <mergeCell ref="B46:C47"/>
    <mergeCell ref="D46:F47"/>
    <mergeCell ref="G46:G47"/>
    <mergeCell ref="H46:H47"/>
    <mergeCell ref="I46:I47"/>
    <mergeCell ref="B48:C49"/>
    <mergeCell ref="D48:D49"/>
    <mergeCell ref="E48:E49"/>
    <mergeCell ref="F48:F49"/>
    <mergeCell ref="G48:I48"/>
  </mergeCells>
  <printOptions headings="false" gridLines="false" gridLinesSet="true" horizontalCentered="false" verticalCentered="false"/>
  <pageMargins left="0.2" right="0.2" top="0.75" bottom="0.25" header="0.3" footer="0.511811023622047"/>
  <pageSetup paperSize="1" scale="55" fitToWidth="1" fitToHeight="1" pageOrder="downThenOver" orientation="portrait" blackAndWhite="false" draft="false" cellComments="none" horizontalDpi="300" verticalDpi="300" copies="1"/>
  <headerFooter differentFirst="false" differentOddEven="false">
    <oddHeader>&amp;L&amp;"arial,Regular"&amp;10&amp;K737373ADNOC Classification: Internal&amp;1#</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55"/>
  <sheetViews>
    <sheetView showFormulas="false" showGridLines="true" showRowColHeaders="true" showZeros="true" rightToLeft="false" tabSelected="false" showOutlineSymbols="true" defaultGridColor="true" view="pageBreakPreview" topLeftCell="A1" colorId="64" zoomScale="140" zoomScaleNormal="90" zoomScalePageLayoutView="140" workbookViewId="0">
      <selection pane="topLeft" activeCell="F44" activeCellId="0" sqref="F44"/>
    </sheetView>
  </sheetViews>
  <sheetFormatPr defaultColWidth="9.11328125" defaultRowHeight="13.5" customHeight="false" zeroHeight="false" outlineLevelRow="0" outlineLevelCol="0"/>
  <cols>
    <col collapsed="false" customWidth="true" hidden="false" outlineLevel="0" max="1" min="1" style="238" width="21"/>
    <col collapsed="false" customWidth="true" hidden="false" outlineLevel="0" max="13" min="2" style="239" width="12.67"/>
    <col collapsed="false" customWidth="false" hidden="false" outlineLevel="0" max="16384" min="14" style="240" width="9.11"/>
  </cols>
  <sheetData>
    <row r="1" customFormat="false" ht="61.5" hidden="false" customHeight="true" outlineLevel="0" collapsed="false">
      <c r="A1" s="241"/>
      <c r="B1" s="242" t="s">
        <v>198</v>
      </c>
      <c r="C1" s="242"/>
      <c r="D1" s="242"/>
      <c r="E1" s="242"/>
      <c r="F1" s="242"/>
      <c r="G1" s="242"/>
      <c r="H1" s="242"/>
      <c r="I1" s="242"/>
      <c r="J1" s="242"/>
      <c r="K1" s="242"/>
      <c r="L1" s="243"/>
      <c r="M1" s="243"/>
    </row>
    <row r="2" customFormat="false" ht="15" hidden="false" customHeight="true" outlineLevel="0" collapsed="false">
      <c r="A2" s="244" t="s">
        <v>96</v>
      </c>
      <c r="B2" s="244" t="s">
        <v>97</v>
      </c>
      <c r="C2" s="244"/>
      <c r="D2" s="244" t="s">
        <v>98</v>
      </c>
      <c r="E2" s="244"/>
      <c r="F2" s="244" t="s">
        <v>99</v>
      </c>
      <c r="G2" s="244"/>
      <c r="H2" s="244" t="s">
        <v>100</v>
      </c>
      <c r="I2" s="244"/>
      <c r="J2" s="244" t="s">
        <v>101</v>
      </c>
      <c r="K2" s="244"/>
      <c r="L2" s="244" t="s">
        <v>102</v>
      </c>
      <c r="M2" s="244"/>
    </row>
    <row r="3" customFormat="false" ht="26.25" hidden="false" customHeight="true" outlineLevel="0" collapsed="false">
      <c r="A3" s="245" t="s">
        <v>199</v>
      </c>
      <c r="B3" s="246" t="s">
        <v>104</v>
      </c>
      <c r="C3" s="246"/>
      <c r="D3" s="246" t="s">
        <v>105</v>
      </c>
      <c r="E3" s="246"/>
      <c r="F3" s="246" t="n">
        <v>1</v>
      </c>
      <c r="G3" s="246"/>
      <c r="H3" s="247" t="s">
        <v>200</v>
      </c>
      <c r="I3" s="247"/>
      <c r="J3" s="248" t="s">
        <v>201</v>
      </c>
      <c r="K3" s="248"/>
      <c r="L3" s="246" t="s">
        <v>202</v>
      </c>
      <c r="M3" s="246"/>
    </row>
    <row r="4" customFormat="false" ht="37.5" hidden="false" customHeight="true" outlineLevel="0" collapsed="false"/>
    <row r="5" customFormat="false" ht="18" hidden="false" customHeight="true" outlineLevel="0" collapsed="false">
      <c r="A5" s="249" t="s">
        <v>123</v>
      </c>
      <c r="B5" s="250" t="str">
        <f aca="false">'Master Data'!E24</f>
        <v>24-Jul-26</v>
      </c>
      <c r="C5" s="250"/>
      <c r="D5" s="250"/>
      <c r="E5" s="250"/>
      <c r="F5" s="250"/>
      <c r="G5" s="250"/>
      <c r="H5" s="250"/>
      <c r="I5" s="251"/>
      <c r="L5" s="240"/>
      <c r="M5" s="240"/>
    </row>
    <row r="6" customFormat="false" ht="18" hidden="false" customHeight="true" outlineLevel="0" collapsed="false">
      <c r="A6" s="252" t="s">
        <v>203</v>
      </c>
      <c r="B6" s="253" t="str">
        <f aca="false">'Master Data'!B3</f>
        <v>ADNOC ONSHORE</v>
      </c>
      <c r="C6" s="253"/>
      <c r="D6" s="253"/>
      <c r="E6" s="253"/>
      <c r="F6" s="253"/>
      <c r="G6" s="253"/>
      <c r="H6" s="253"/>
      <c r="I6" s="254"/>
      <c r="L6" s="240"/>
      <c r="M6" s="240"/>
    </row>
    <row r="7" customFormat="false" ht="18" hidden="false" customHeight="true" outlineLevel="0" collapsed="false">
      <c r="A7" s="252" t="s">
        <v>204</v>
      </c>
      <c r="B7" s="253" t="n">
        <f aca="false">'Master Data'!B4</f>
        <v>0</v>
      </c>
      <c r="C7" s="253"/>
      <c r="D7" s="253"/>
      <c r="E7" s="253"/>
      <c r="F7" s="253"/>
      <c r="G7" s="253"/>
      <c r="H7" s="253"/>
      <c r="I7" s="254"/>
      <c r="L7" s="240"/>
      <c r="M7" s="240"/>
    </row>
    <row r="8" customFormat="false" ht="18" hidden="false" customHeight="true" outlineLevel="0" collapsed="false">
      <c r="A8" s="252" t="s">
        <v>205</v>
      </c>
      <c r="B8" s="253" t="str">
        <f aca="false">'Master Data'!E10</f>
        <v>BB-1309</v>
      </c>
      <c r="C8" s="253"/>
      <c r="D8" s="253"/>
      <c r="E8" s="253"/>
      <c r="F8" s="253"/>
      <c r="G8" s="253"/>
      <c r="H8" s="253"/>
      <c r="I8" s="254"/>
      <c r="L8" s="240"/>
      <c r="M8" s="240"/>
    </row>
    <row r="9" customFormat="false" ht="18" hidden="false" customHeight="true" outlineLevel="0" collapsed="false">
      <c r="A9" s="252" t="s">
        <v>206</v>
      </c>
      <c r="B9" s="253" t="str">
        <f aca="false">'Master Data'!E8</f>
        <v>BAB</v>
      </c>
      <c r="C9" s="253"/>
      <c r="D9" s="253"/>
      <c r="E9" s="253"/>
      <c r="F9" s="253"/>
      <c r="G9" s="253"/>
      <c r="H9" s="253"/>
      <c r="I9" s="254"/>
      <c r="L9" s="240"/>
      <c r="M9" s="240"/>
    </row>
    <row r="10" customFormat="false" ht="18" hidden="false" customHeight="true" outlineLevel="0" collapsed="false">
      <c r="A10" s="252" t="s">
        <v>207</v>
      </c>
      <c r="B10" s="253" t="s">
        <v>208</v>
      </c>
      <c r="C10" s="253"/>
      <c r="D10" s="253"/>
      <c r="E10" s="253"/>
      <c r="F10" s="253"/>
      <c r="G10" s="253"/>
      <c r="H10" s="253"/>
      <c r="I10" s="254"/>
      <c r="L10" s="240"/>
      <c r="M10" s="240"/>
    </row>
    <row r="11" customFormat="false" ht="18" hidden="false" customHeight="true" outlineLevel="0" collapsed="false">
      <c r="A11" s="255" t="s">
        <v>209</v>
      </c>
      <c r="B11" s="256" t="s">
        <v>210</v>
      </c>
      <c r="C11" s="256"/>
      <c r="D11" s="256"/>
      <c r="E11" s="256"/>
      <c r="F11" s="256"/>
      <c r="G11" s="256"/>
      <c r="H11" s="256"/>
      <c r="I11" s="254"/>
      <c r="L11" s="240"/>
      <c r="M11" s="240"/>
    </row>
    <row r="12" customFormat="false" ht="40.5" hidden="false" customHeight="true" outlineLevel="0" collapsed="false">
      <c r="M12" s="257" t="s">
        <v>211</v>
      </c>
    </row>
    <row r="13" customFormat="false" ht="18" hidden="false" customHeight="true" outlineLevel="0" collapsed="false">
      <c r="A13" s="258" t="s">
        <v>212</v>
      </c>
      <c r="B13" s="259" t="n">
        <v>1</v>
      </c>
      <c r="C13" s="259"/>
      <c r="D13" s="260" t="n">
        <v>2</v>
      </c>
      <c r="E13" s="260"/>
      <c r="F13" s="261" t="n">
        <v>3</v>
      </c>
      <c r="G13" s="261"/>
      <c r="H13" s="262" t="n">
        <v>4</v>
      </c>
      <c r="I13" s="262"/>
      <c r="J13" s="263" t="n">
        <v>5</v>
      </c>
      <c r="K13" s="263"/>
      <c r="L13" s="264" t="n">
        <v>6</v>
      </c>
      <c r="M13" s="264"/>
    </row>
    <row r="14" customFormat="false" ht="18" hidden="false" customHeight="true" outlineLevel="0" collapsed="false">
      <c r="A14" s="258"/>
      <c r="B14" s="265"/>
      <c r="C14" s="265"/>
      <c r="D14" s="265"/>
      <c r="E14" s="265"/>
      <c r="F14" s="265"/>
      <c r="G14" s="265"/>
      <c r="H14" s="265"/>
      <c r="I14" s="265"/>
      <c r="J14" s="265"/>
      <c r="K14" s="265"/>
      <c r="L14" s="266"/>
      <c r="M14" s="266"/>
    </row>
    <row r="15" customFormat="false" ht="18" hidden="false" customHeight="true" outlineLevel="0" collapsed="false">
      <c r="A15" s="258"/>
      <c r="B15" s="267" t="s">
        <v>213</v>
      </c>
      <c r="C15" s="267"/>
      <c r="D15" s="267" t="s">
        <v>214</v>
      </c>
      <c r="E15" s="267"/>
      <c r="F15" s="267" t="s">
        <v>215</v>
      </c>
      <c r="G15" s="267"/>
      <c r="H15" s="267" t="s">
        <v>216</v>
      </c>
      <c r="I15" s="267"/>
      <c r="J15" s="267" t="s">
        <v>217</v>
      </c>
      <c r="K15" s="267"/>
      <c r="L15" s="268" t="s">
        <v>218</v>
      </c>
      <c r="M15" s="268"/>
    </row>
    <row r="16" customFormat="false" ht="66" hidden="false" customHeight="true" outlineLevel="0" collapsed="false">
      <c r="A16" s="258"/>
      <c r="B16" s="269" t="s">
        <v>219</v>
      </c>
      <c r="C16" s="269"/>
      <c r="D16" s="270" t="s">
        <v>220</v>
      </c>
      <c r="E16" s="270"/>
      <c r="F16" s="270" t="s">
        <v>221</v>
      </c>
      <c r="G16" s="270"/>
      <c r="H16" s="270" t="s">
        <v>222</v>
      </c>
      <c r="I16" s="270"/>
      <c r="J16" s="270" t="s">
        <v>223</v>
      </c>
      <c r="K16" s="270"/>
      <c r="L16" s="271" t="s">
        <v>224</v>
      </c>
      <c r="M16" s="271"/>
    </row>
    <row r="17" customFormat="false" ht="15" hidden="false" customHeight="true" outlineLevel="0" collapsed="false">
      <c r="A17" s="272"/>
      <c r="B17" s="273"/>
      <c r="C17" s="273"/>
      <c r="D17" s="273"/>
      <c r="E17" s="273"/>
      <c r="F17" s="273"/>
      <c r="G17" s="273"/>
      <c r="H17" s="273"/>
      <c r="I17" s="273"/>
      <c r="J17" s="273"/>
      <c r="K17" s="273"/>
      <c r="L17" s="273"/>
      <c r="M17" s="257" t="s">
        <v>211</v>
      </c>
    </row>
    <row r="18" customFormat="false" ht="18" hidden="false" customHeight="true" outlineLevel="0" collapsed="false">
      <c r="A18" s="258" t="s">
        <v>225</v>
      </c>
      <c r="B18" s="259" t="n">
        <v>1</v>
      </c>
      <c r="C18" s="259"/>
      <c r="D18" s="260" t="n">
        <v>2</v>
      </c>
      <c r="E18" s="260"/>
      <c r="F18" s="261" t="n">
        <v>3</v>
      </c>
      <c r="G18" s="261"/>
      <c r="H18" s="262" t="n">
        <v>4</v>
      </c>
      <c r="I18" s="262"/>
      <c r="J18" s="263" t="n">
        <v>5</v>
      </c>
      <c r="K18" s="263"/>
      <c r="L18" s="264" t="n">
        <v>6</v>
      </c>
      <c r="M18" s="264"/>
    </row>
    <row r="19" customFormat="false" ht="18" hidden="false" customHeight="true" outlineLevel="0" collapsed="false">
      <c r="A19" s="258"/>
      <c r="B19" s="265"/>
      <c r="C19" s="265"/>
      <c r="D19" s="265"/>
      <c r="E19" s="265"/>
      <c r="F19" s="265"/>
      <c r="G19" s="265"/>
      <c r="H19" s="265"/>
      <c r="I19" s="265"/>
      <c r="J19" s="265"/>
      <c r="K19" s="265"/>
      <c r="L19" s="266"/>
      <c r="M19" s="266"/>
    </row>
    <row r="20" customFormat="false" ht="18" hidden="false" customHeight="true" outlineLevel="0" collapsed="false">
      <c r="A20" s="258"/>
      <c r="B20" s="267" t="s">
        <v>213</v>
      </c>
      <c r="C20" s="267"/>
      <c r="D20" s="267" t="s">
        <v>214</v>
      </c>
      <c r="E20" s="267"/>
      <c r="F20" s="267" t="s">
        <v>215</v>
      </c>
      <c r="G20" s="267"/>
      <c r="H20" s="267" t="s">
        <v>216</v>
      </c>
      <c r="I20" s="267"/>
      <c r="J20" s="267" t="s">
        <v>217</v>
      </c>
      <c r="K20" s="267"/>
      <c r="L20" s="268" t="s">
        <v>218</v>
      </c>
      <c r="M20" s="268"/>
    </row>
    <row r="21" customFormat="false" ht="66" hidden="false" customHeight="true" outlineLevel="0" collapsed="false">
      <c r="A21" s="258"/>
      <c r="B21" s="270" t="s">
        <v>226</v>
      </c>
      <c r="C21" s="270"/>
      <c r="D21" s="270" t="s">
        <v>227</v>
      </c>
      <c r="E21" s="270"/>
      <c r="F21" s="270" t="s">
        <v>228</v>
      </c>
      <c r="G21" s="270"/>
      <c r="H21" s="270" t="s">
        <v>229</v>
      </c>
      <c r="I21" s="270"/>
      <c r="J21" s="270" t="s">
        <v>230</v>
      </c>
      <c r="K21" s="270"/>
      <c r="L21" s="271" t="s">
        <v>231</v>
      </c>
      <c r="M21" s="271"/>
    </row>
    <row r="22" customFormat="false" ht="15" hidden="false" customHeight="true" outlineLevel="0" collapsed="false">
      <c r="A22" s="272"/>
      <c r="B22" s="273"/>
      <c r="C22" s="273"/>
      <c r="D22" s="273"/>
      <c r="E22" s="273"/>
      <c r="F22" s="273"/>
      <c r="G22" s="273"/>
      <c r="H22" s="273"/>
      <c r="I22" s="273"/>
      <c r="J22" s="273"/>
      <c r="K22" s="273"/>
      <c r="L22" s="273"/>
      <c r="M22" s="257" t="s">
        <v>211</v>
      </c>
    </row>
    <row r="23" customFormat="false" ht="18" hidden="false" customHeight="true" outlineLevel="0" collapsed="false">
      <c r="A23" s="258" t="s">
        <v>232</v>
      </c>
      <c r="B23" s="259" t="n">
        <v>1</v>
      </c>
      <c r="C23" s="259"/>
      <c r="D23" s="260" t="n">
        <v>2</v>
      </c>
      <c r="E23" s="260"/>
      <c r="F23" s="261" t="n">
        <v>3</v>
      </c>
      <c r="G23" s="261"/>
      <c r="H23" s="262" t="n">
        <v>4</v>
      </c>
      <c r="I23" s="262"/>
      <c r="J23" s="263" t="n">
        <v>5</v>
      </c>
      <c r="K23" s="263"/>
      <c r="L23" s="264" t="n">
        <v>6</v>
      </c>
      <c r="M23" s="264"/>
    </row>
    <row r="24" customFormat="false" ht="18" hidden="false" customHeight="true" outlineLevel="0" collapsed="false">
      <c r="A24" s="258"/>
      <c r="B24" s="265"/>
      <c r="C24" s="265"/>
      <c r="D24" s="265"/>
      <c r="E24" s="265"/>
      <c r="F24" s="265"/>
      <c r="G24" s="265"/>
      <c r="H24" s="265"/>
      <c r="I24" s="265"/>
      <c r="J24" s="265"/>
      <c r="K24" s="265"/>
      <c r="L24" s="266"/>
      <c r="M24" s="266"/>
    </row>
    <row r="25" customFormat="false" ht="18" hidden="false" customHeight="true" outlineLevel="0" collapsed="false">
      <c r="A25" s="258"/>
      <c r="B25" s="267" t="s">
        <v>213</v>
      </c>
      <c r="C25" s="267"/>
      <c r="D25" s="267" t="s">
        <v>214</v>
      </c>
      <c r="E25" s="267"/>
      <c r="F25" s="267" t="s">
        <v>215</v>
      </c>
      <c r="G25" s="267"/>
      <c r="H25" s="267" t="s">
        <v>216</v>
      </c>
      <c r="I25" s="267"/>
      <c r="J25" s="267" t="s">
        <v>217</v>
      </c>
      <c r="K25" s="267"/>
      <c r="L25" s="268" t="s">
        <v>218</v>
      </c>
      <c r="M25" s="268"/>
    </row>
    <row r="26" customFormat="false" ht="66" hidden="false" customHeight="true" outlineLevel="0" collapsed="false">
      <c r="A26" s="258"/>
      <c r="B26" s="270" t="s">
        <v>233</v>
      </c>
      <c r="C26" s="270"/>
      <c r="D26" s="270" t="s">
        <v>234</v>
      </c>
      <c r="E26" s="270"/>
      <c r="F26" s="270" t="s">
        <v>235</v>
      </c>
      <c r="G26" s="270"/>
      <c r="H26" s="270" t="s">
        <v>236</v>
      </c>
      <c r="I26" s="270"/>
      <c r="J26" s="270" t="s">
        <v>237</v>
      </c>
      <c r="K26" s="270"/>
      <c r="L26" s="271" t="s">
        <v>238</v>
      </c>
      <c r="M26" s="271"/>
    </row>
    <row r="27" customFormat="false" ht="15" hidden="false" customHeight="true" outlineLevel="0" collapsed="false">
      <c r="A27" s="272"/>
      <c r="B27" s="273"/>
      <c r="C27" s="273"/>
      <c r="D27" s="273"/>
      <c r="E27" s="273"/>
      <c r="F27" s="273"/>
      <c r="G27" s="273"/>
      <c r="H27" s="273"/>
      <c r="I27" s="273"/>
      <c r="J27" s="273"/>
      <c r="K27" s="273"/>
      <c r="L27" s="273"/>
      <c r="M27" s="257" t="s">
        <v>211</v>
      </c>
    </row>
    <row r="28" customFormat="false" ht="18" hidden="false" customHeight="true" outlineLevel="0" collapsed="false">
      <c r="A28" s="258" t="s">
        <v>239</v>
      </c>
      <c r="B28" s="259" t="n">
        <v>1</v>
      </c>
      <c r="C28" s="259"/>
      <c r="D28" s="260" t="n">
        <v>2</v>
      </c>
      <c r="E28" s="260"/>
      <c r="F28" s="261" t="n">
        <v>3</v>
      </c>
      <c r="G28" s="261"/>
      <c r="H28" s="262" t="n">
        <v>4</v>
      </c>
      <c r="I28" s="262"/>
      <c r="J28" s="263" t="n">
        <v>5</v>
      </c>
      <c r="K28" s="263"/>
      <c r="L28" s="264" t="n">
        <v>6</v>
      </c>
      <c r="M28" s="264"/>
    </row>
    <row r="29" customFormat="false" ht="18" hidden="false" customHeight="true" outlineLevel="0" collapsed="false">
      <c r="A29" s="258"/>
      <c r="B29" s="274"/>
      <c r="C29" s="274"/>
      <c r="D29" s="274"/>
      <c r="E29" s="274"/>
      <c r="F29" s="274"/>
      <c r="G29" s="274"/>
      <c r="H29" s="274"/>
      <c r="I29" s="274"/>
      <c r="J29" s="274"/>
      <c r="K29" s="274"/>
      <c r="L29" s="275"/>
      <c r="M29" s="275"/>
    </row>
    <row r="30" customFormat="false" ht="18" hidden="false" customHeight="true" outlineLevel="0" collapsed="false">
      <c r="A30" s="258"/>
      <c r="B30" s="267" t="s">
        <v>213</v>
      </c>
      <c r="C30" s="267"/>
      <c r="D30" s="267" t="s">
        <v>214</v>
      </c>
      <c r="E30" s="267"/>
      <c r="F30" s="267" t="s">
        <v>215</v>
      </c>
      <c r="G30" s="267"/>
      <c r="H30" s="267" t="s">
        <v>216</v>
      </c>
      <c r="I30" s="267"/>
      <c r="J30" s="267" t="s">
        <v>217</v>
      </c>
      <c r="K30" s="267"/>
      <c r="L30" s="268" t="s">
        <v>218</v>
      </c>
      <c r="M30" s="268"/>
    </row>
    <row r="31" customFormat="false" ht="66" hidden="false" customHeight="true" outlineLevel="0" collapsed="false">
      <c r="A31" s="258"/>
      <c r="B31" s="270" t="s">
        <v>240</v>
      </c>
      <c r="C31" s="270"/>
      <c r="D31" s="270" t="s">
        <v>241</v>
      </c>
      <c r="E31" s="270"/>
      <c r="F31" s="270" t="s">
        <v>242</v>
      </c>
      <c r="G31" s="270"/>
      <c r="H31" s="270" t="s">
        <v>243</v>
      </c>
      <c r="I31" s="270"/>
      <c r="J31" s="270" t="s">
        <v>244</v>
      </c>
      <c r="K31" s="270"/>
      <c r="L31" s="271" t="s">
        <v>245</v>
      </c>
      <c r="M31" s="271"/>
    </row>
    <row r="32" customFormat="false" ht="15" hidden="false" customHeight="true" outlineLevel="0" collapsed="false">
      <c r="A32" s="272"/>
      <c r="B32" s="273"/>
      <c r="C32" s="273"/>
      <c r="D32" s="273"/>
      <c r="E32" s="273"/>
      <c r="F32" s="273"/>
      <c r="G32" s="273"/>
      <c r="H32" s="273"/>
      <c r="I32" s="273"/>
      <c r="J32" s="273"/>
      <c r="K32" s="273"/>
      <c r="L32" s="273"/>
      <c r="M32" s="257" t="s">
        <v>211</v>
      </c>
    </row>
    <row r="33" customFormat="false" ht="18" hidden="false" customHeight="true" outlineLevel="0" collapsed="false">
      <c r="A33" s="258" t="s">
        <v>246</v>
      </c>
      <c r="B33" s="259" t="n">
        <v>1</v>
      </c>
      <c r="C33" s="259"/>
      <c r="D33" s="260" t="n">
        <v>2</v>
      </c>
      <c r="E33" s="260"/>
      <c r="F33" s="261" t="n">
        <v>3</v>
      </c>
      <c r="G33" s="261"/>
      <c r="H33" s="262" t="n">
        <v>4</v>
      </c>
      <c r="I33" s="262"/>
      <c r="J33" s="263" t="n">
        <v>5</v>
      </c>
      <c r="K33" s="263"/>
      <c r="L33" s="264" t="n">
        <v>6</v>
      </c>
      <c r="M33" s="264"/>
    </row>
    <row r="34" customFormat="false" ht="18" hidden="false" customHeight="true" outlineLevel="0" collapsed="false">
      <c r="A34" s="258"/>
      <c r="B34" s="265"/>
      <c r="C34" s="265"/>
      <c r="D34" s="265"/>
      <c r="E34" s="265"/>
      <c r="F34" s="265"/>
      <c r="G34" s="265"/>
      <c r="H34" s="265"/>
      <c r="I34" s="265"/>
      <c r="J34" s="265"/>
      <c r="K34" s="265"/>
      <c r="L34" s="266"/>
      <c r="M34" s="266"/>
    </row>
    <row r="35" customFormat="false" ht="18" hidden="false" customHeight="true" outlineLevel="0" collapsed="false">
      <c r="A35" s="258"/>
      <c r="B35" s="267" t="s">
        <v>213</v>
      </c>
      <c r="C35" s="267"/>
      <c r="D35" s="267" t="s">
        <v>214</v>
      </c>
      <c r="E35" s="267"/>
      <c r="F35" s="267" t="s">
        <v>215</v>
      </c>
      <c r="G35" s="267"/>
      <c r="H35" s="267" t="s">
        <v>216</v>
      </c>
      <c r="I35" s="267"/>
      <c r="J35" s="267" t="s">
        <v>217</v>
      </c>
      <c r="K35" s="267"/>
      <c r="L35" s="268" t="s">
        <v>218</v>
      </c>
      <c r="M35" s="268"/>
    </row>
    <row r="36" customFormat="false" ht="66" hidden="false" customHeight="true" outlineLevel="0" collapsed="false">
      <c r="A36" s="258"/>
      <c r="B36" s="270" t="s">
        <v>247</v>
      </c>
      <c r="C36" s="270"/>
      <c r="D36" s="270" t="s">
        <v>248</v>
      </c>
      <c r="E36" s="270"/>
      <c r="F36" s="270" t="s">
        <v>249</v>
      </c>
      <c r="G36" s="270"/>
      <c r="H36" s="270" t="s">
        <v>250</v>
      </c>
      <c r="I36" s="270"/>
      <c r="J36" s="270" t="s">
        <v>251</v>
      </c>
      <c r="K36" s="270"/>
      <c r="L36" s="271" t="s">
        <v>252</v>
      </c>
      <c r="M36" s="271"/>
    </row>
    <row r="37" customFormat="false" ht="15" hidden="false" customHeight="true" outlineLevel="0" collapsed="false">
      <c r="A37" s="276"/>
      <c r="B37" s="273"/>
      <c r="C37" s="273"/>
      <c r="D37" s="273"/>
      <c r="E37" s="273"/>
      <c r="F37" s="273"/>
      <c r="G37" s="273"/>
      <c r="H37" s="273"/>
      <c r="I37" s="273"/>
      <c r="J37" s="273"/>
      <c r="K37" s="273"/>
      <c r="L37" s="273"/>
      <c r="M37" s="273"/>
    </row>
    <row r="38" customFormat="false" ht="18" hidden="false" customHeight="true" outlineLevel="0" collapsed="false">
      <c r="A38" s="277" t="s">
        <v>253</v>
      </c>
      <c r="B38" s="278"/>
      <c r="C38" s="278"/>
      <c r="D38" s="278"/>
      <c r="E38" s="278"/>
      <c r="F38" s="278"/>
      <c r="G38" s="279"/>
      <c r="H38" s="279"/>
      <c r="I38" s="279"/>
      <c r="J38" s="279"/>
      <c r="K38" s="279"/>
      <c r="L38" s="279"/>
      <c r="M38" s="279"/>
    </row>
    <row r="39" customFormat="false" ht="18" hidden="false" customHeight="true" outlineLevel="0" collapsed="false">
      <c r="A39" s="277"/>
      <c r="B39" s="280"/>
      <c r="C39" s="280"/>
      <c r="D39" s="280"/>
      <c r="E39" s="280"/>
      <c r="F39" s="280"/>
      <c r="G39" s="280"/>
      <c r="H39" s="280"/>
      <c r="I39" s="280"/>
      <c r="J39" s="280"/>
      <c r="K39" s="280"/>
      <c r="L39" s="280"/>
      <c r="M39" s="280"/>
    </row>
    <row r="40" customFormat="false" ht="84" hidden="false" customHeight="true" outlineLevel="0" collapsed="false">
      <c r="A40" s="277"/>
      <c r="B40" s="280"/>
      <c r="C40" s="280"/>
      <c r="D40" s="280"/>
      <c r="E40" s="280"/>
      <c r="F40" s="280"/>
      <c r="G40" s="280"/>
      <c r="H40" s="280"/>
      <c r="I40" s="280"/>
      <c r="J40" s="280"/>
      <c r="K40" s="280"/>
      <c r="L40" s="280"/>
      <c r="M40" s="280"/>
    </row>
    <row r="41" s="283" customFormat="true" ht="13.5" hidden="false" customHeight="false" outlineLevel="0" collapsed="false">
      <c r="A41" s="281"/>
      <c r="B41" s="282"/>
      <c r="C41" s="282"/>
      <c r="D41" s="282"/>
      <c r="E41" s="282"/>
      <c r="F41" s="282"/>
      <c r="G41" s="282"/>
      <c r="H41" s="282"/>
      <c r="I41" s="282"/>
      <c r="J41" s="282"/>
      <c r="K41" s="282"/>
      <c r="L41" s="282"/>
      <c r="M41" s="282"/>
    </row>
    <row r="42" s="283" customFormat="true" ht="13.5" hidden="false" customHeight="true" outlineLevel="0" collapsed="false">
      <c r="A42" s="281"/>
      <c r="B42" s="282"/>
      <c r="C42" s="282"/>
      <c r="D42" s="282"/>
      <c r="E42" s="282"/>
      <c r="F42" s="282"/>
      <c r="G42" s="282"/>
      <c r="H42" s="282"/>
      <c r="I42" s="282"/>
      <c r="J42" s="282"/>
      <c r="K42" s="284" t="s">
        <v>254</v>
      </c>
      <c r="L42" s="284"/>
      <c r="M42" s="284"/>
    </row>
    <row r="43" s="283" customFormat="true" ht="13.5" hidden="false" customHeight="false" outlineLevel="0" collapsed="false">
      <c r="A43" s="281"/>
      <c r="B43" s="282"/>
      <c r="C43" s="282"/>
      <c r="D43" s="282"/>
      <c r="E43" s="282"/>
      <c r="F43" s="282"/>
      <c r="G43" s="282"/>
      <c r="H43" s="282"/>
      <c r="I43" s="282"/>
      <c r="J43" s="282"/>
      <c r="K43" s="284"/>
      <c r="L43" s="284"/>
      <c r="M43" s="284"/>
    </row>
    <row r="44" s="283" customFormat="true" ht="13.5" hidden="false" customHeight="true" outlineLevel="0" collapsed="false">
      <c r="A44" s="285" t="n">
        <f aca="false">'Master Data'!B4</f>
        <v>0</v>
      </c>
      <c r="B44" s="285"/>
      <c r="C44" s="285"/>
      <c r="D44" s="285"/>
      <c r="E44" s="282"/>
      <c r="F44" s="285" t="str">
        <f aca="false">'Master Data'!B21</f>
        <v>Mahmoud Ali </v>
      </c>
      <c r="G44" s="285"/>
      <c r="H44" s="285"/>
      <c r="I44" s="285"/>
      <c r="J44" s="282"/>
      <c r="K44" s="284"/>
      <c r="L44" s="284"/>
      <c r="M44" s="284"/>
    </row>
    <row r="45" s="283" customFormat="true" ht="13.5" hidden="false" customHeight="true" outlineLevel="0" collapsed="false">
      <c r="A45" s="285"/>
      <c r="B45" s="285"/>
      <c r="C45" s="285"/>
      <c r="D45" s="285"/>
      <c r="E45" s="282"/>
      <c r="F45" s="285"/>
      <c r="G45" s="285"/>
      <c r="H45" s="285"/>
      <c r="I45" s="285"/>
      <c r="J45" s="286"/>
      <c r="K45" s="284"/>
      <c r="L45" s="284"/>
      <c r="M45" s="284"/>
    </row>
    <row r="46" s="283" customFormat="true" ht="13.5" hidden="false" customHeight="true" outlineLevel="0" collapsed="false">
      <c r="A46" s="287" t="s">
        <v>255</v>
      </c>
      <c r="B46" s="288"/>
      <c r="C46" s="288"/>
      <c r="D46" s="288"/>
      <c r="E46" s="289"/>
      <c r="F46" s="287" t="s">
        <v>256</v>
      </c>
      <c r="G46" s="289"/>
      <c r="H46" s="289"/>
      <c r="I46" s="289"/>
      <c r="K46" s="284"/>
      <c r="L46" s="284"/>
      <c r="M46" s="284"/>
    </row>
    <row r="47" s="283" customFormat="true" ht="23.25" hidden="false" customHeight="true" outlineLevel="0" collapsed="false">
      <c r="A47" s="290"/>
      <c r="B47" s="289"/>
      <c r="C47" s="289"/>
      <c r="D47" s="289"/>
      <c r="E47" s="289"/>
      <c r="F47" s="289"/>
      <c r="G47" s="289"/>
      <c r="H47" s="289"/>
      <c r="I47" s="289"/>
      <c r="J47" s="282"/>
      <c r="K47" s="284"/>
      <c r="L47" s="284"/>
      <c r="M47" s="284"/>
    </row>
    <row r="48" s="283" customFormat="true" ht="13.5" hidden="false" customHeight="true" outlineLevel="0" collapsed="false">
      <c r="A48" s="285"/>
      <c r="B48" s="285"/>
      <c r="C48" s="285"/>
      <c r="D48" s="285"/>
      <c r="E48" s="289"/>
      <c r="F48" s="285"/>
      <c r="G48" s="285"/>
      <c r="H48" s="285"/>
      <c r="I48" s="285"/>
      <c r="J48" s="282"/>
      <c r="K48" s="284"/>
      <c r="L48" s="284"/>
      <c r="M48" s="284"/>
    </row>
    <row r="49" s="283" customFormat="true" ht="13.5" hidden="false" customHeight="true" outlineLevel="0" collapsed="false">
      <c r="A49" s="285"/>
      <c r="B49" s="285"/>
      <c r="C49" s="285"/>
      <c r="D49" s="285"/>
      <c r="E49" s="289"/>
      <c r="F49" s="285"/>
      <c r="G49" s="285"/>
      <c r="H49" s="285"/>
      <c r="I49" s="285"/>
      <c r="J49" s="286"/>
      <c r="K49" s="284"/>
      <c r="L49" s="284"/>
      <c r="M49" s="284"/>
    </row>
    <row r="50" s="283" customFormat="true" ht="13.5" hidden="false" customHeight="true" outlineLevel="0" collapsed="false">
      <c r="A50" s="287" t="s">
        <v>196</v>
      </c>
      <c r="B50" s="288" t="s">
        <v>257</v>
      </c>
      <c r="C50" s="288"/>
      <c r="D50" s="288"/>
      <c r="E50" s="289"/>
      <c r="F50" s="287" t="s">
        <v>196</v>
      </c>
      <c r="G50" s="289"/>
      <c r="H50" s="289"/>
      <c r="I50" s="289"/>
      <c r="K50" s="284"/>
      <c r="L50" s="284"/>
      <c r="M50" s="284"/>
    </row>
    <row r="51" s="283" customFormat="true" ht="13.5" hidden="false" customHeight="false" outlineLevel="0" collapsed="false">
      <c r="A51" s="281"/>
      <c r="B51" s="282"/>
      <c r="C51" s="282"/>
      <c r="D51" s="282"/>
      <c r="E51" s="282"/>
      <c r="F51" s="282"/>
      <c r="G51" s="282"/>
      <c r="H51" s="282"/>
      <c r="I51" s="282"/>
      <c r="J51" s="282"/>
      <c r="K51" s="284"/>
      <c r="L51" s="284"/>
      <c r="M51" s="284"/>
    </row>
    <row r="52" s="283" customFormat="true" ht="12.75" hidden="false" customHeight="true" outlineLevel="0" collapsed="false">
      <c r="A52" s="281"/>
      <c r="B52" s="291"/>
      <c r="C52" s="291"/>
      <c r="D52" s="291"/>
      <c r="E52" s="291"/>
      <c r="F52" s="291"/>
      <c r="G52" s="291"/>
      <c r="H52" s="291"/>
      <c r="I52" s="291"/>
      <c r="J52" s="291"/>
      <c r="K52" s="284"/>
      <c r="L52" s="284"/>
      <c r="M52" s="284"/>
    </row>
    <row r="53" customFormat="false" ht="13.5" hidden="false" customHeight="true" outlineLevel="0" collapsed="false">
      <c r="A53" s="292" t="s">
        <v>258</v>
      </c>
      <c r="B53" s="292"/>
      <c r="C53" s="292"/>
      <c r="D53" s="292"/>
      <c r="E53" s="292"/>
      <c r="F53" s="292"/>
      <c r="G53" s="292"/>
      <c r="H53" s="292"/>
      <c r="I53" s="292"/>
      <c r="J53" s="292"/>
      <c r="K53" s="292"/>
      <c r="L53" s="292"/>
      <c r="M53" s="292"/>
    </row>
    <row r="54" customFormat="false" ht="13.5" hidden="false" customHeight="true" outlineLevel="0" collapsed="false">
      <c r="A54" s="292"/>
      <c r="B54" s="292"/>
      <c r="C54" s="292"/>
      <c r="D54" s="292"/>
      <c r="E54" s="292"/>
      <c r="F54" s="292"/>
      <c r="G54" s="292"/>
      <c r="H54" s="292"/>
      <c r="I54" s="292"/>
      <c r="J54" s="292"/>
      <c r="K54" s="292"/>
      <c r="L54" s="292"/>
      <c r="M54" s="292"/>
    </row>
    <row r="55" customFormat="false" ht="13.5" hidden="false" customHeight="true" outlineLevel="0" collapsed="false">
      <c r="A55" s="292"/>
      <c r="B55" s="292"/>
      <c r="C55" s="292"/>
      <c r="D55" s="292"/>
      <c r="E55" s="292"/>
      <c r="F55" s="292"/>
      <c r="G55" s="292"/>
      <c r="H55" s="292"/>
      <c r="I55" s="292"/>
      <c r="J55" s="292"/>
      <c r="K55" s="292"/>
      <c r="L55" s="292"/>
      <c r="M55" s="292"/>
    </row>
  </sheetData>
  <sheetProtection algorithmName="SHA-512" hashValue="1Z9zNuDy2f2VfOYG4AX10eoKNh6GcXc9rNmzFUg9T9DaC8oTP+gVtaeeEAiP6DifZE1hYvGQMK4+Jr/CT7krJA==" saltValue="cIsuOOE6Z7wY1wrEwfjRjQ==" spinCount="100000" sheet="true" objects="true" scenarios="true" formatCells="false" formatColumns="false" formatRows="false"/>
  <mergeCells count="154">
    <mergeCell ref="B1:K1"/>
    <mergeCell ref="L1:M1"/>
    <mergeCell ref="B2:C2"/>
    <mergeCell ref="D2:E2"/>
    <mergeCell ref="F2:G2"/>
    <mergeCell ref="H2:I2"/>
    <mergeCell ref="J2:K2"/>
    <mergeCell ref="L2:M2"/>
    <mergeCell ref="B3:C3"/>
    <mergeCell ref="D3:E3"/>
    <mergeCell ref="F3:G3"/>
    <mergeCell ref="H3:I3"/>
    <mergeCell ref="J3:K3"/>
    <mergeCell ref="L3:M3"/>
    <mergeCell ref="B5:H5"/>
    <mergeCell ref="B6:H6"/>
    <mergeCell ref="B7:H7"/>
    <mergeCell ref="B8:H8"/>
    <mergeCell ref="B9:H9"/>
    <mergeCell ref="B10:H10"/>
    <mergeCell ref="B11:H11"/>
    <mergeCell ref="A13:A16"/>
    <mergeCell ref="B13:C13"/>
    <mergeCell ref="D13:E13"/>
    <mergeCell ref="F13:G13"/>
    <mergeCell ref="H13:I13"/>
    <mergeCell ref="J13:K13"/>
    <mergeCell ref="L13:M13"/>
    <mergeCell ref="B14:C14"/>
    <mergeCell ref="D14:E14"/>
    <mergeCell ref="F14:G14"/>
    <mergeCell ref="H14:I14"/>
    <mergeCell ref="J14:K14"/>
    <mergeCell ref="L14:M14"/>
    <mergeCell ref="B15:C15"/>
    <mergeCell ref="D15:E15"/>
    <mergeCell ref="F15:G15"/>
    <mergeCell ref="H15:I15"/>
    <mergeCell ref="J15:K15"/>
    <mergeCell ref="L15:M15"/>
    <mergeCell ref="B16:C16"/>
    <mergeCell ref="D16:E16"/>
    <mergeCell ref="F16:G16"/>
    <mergeCell ref="H16:I16"/>
    <mergeCell ref="J16:K16"/>
    <mergeCell ref="L16:M16"/>
    <mergeCell ref="A18:A21"/>
    <mergeCell ref="B18:C18"/>
    <mergeCell ref="D18:E18"/>
    <mergeCell ref="F18:G18"/>
    <mergeCell ref="H18:I18"/>
    <mergeCell ref="J18:K18"/>
    <mergeCell ref="L18:M18"/>
    <mergeCell ref="B19:C19"/>
    <mergeCell ref="D19:E19"/>
    <mergeCell ref="F19:G19"/>
    <mergeCell ref="H19:I19"/>
    <mergeCell ref="J19:K19"/>
    <mergeCell ref="L19:M19"/>
    <mergeCell ref="B20:C20"/>
    <mergeCell ref="D20:E20"/>
    <mergeCell ref="F20:G20"/>
    <mergeCell ref="H20:I20"/>
    <mergeCell ref="J20:K20"/>
    <mergeCell ref="L20:M20"/>
    <mergeCell ref="B21:C21"/>
    <mergeCell ref="D21:E21"/>
    <mergeCell ref="F21:G21"/>
    <mergeCell ref="H21:I21"/>
    <mergeCell ref="J21:K21"/>
    <mergeCell ref="L21:M21"/>
    <mergeCell ref="A23:A26"/>
    <mergeCell ref="B23:C23"/>
    <mergeCell ref="D23:E23"/>
    <mergeCell ref="F23:G23"/>
    <mergeCell ref="H23:I23"/>
    <mergeCell ref="J23:K23"/>
    <mergeCell ref="L23:M23"/>
    <mergeCell ref="B24:C24"/>
    <mergeCell ref="D24:E24"/>
    <mergeCell ref="F24:G24"/>
    <mergeCell ref="H24:I24"/>
    <mergeCell ref="J24:K24"/>
    <mergeCell ref="L24:M24"/>
    <mergeCell ref="B25:C25"/>
    <mergeCell ref="D25:E25"/>
    <mergeCell ref="F25:G25"/>
    <mergeCell ref="H25:I25"/>
    <mergeCell ref="J25:K25"/>
    <mergeCell ref="L25:M25"/>
    <mergeCell ref="B26:C26"/>
    <mergeCell ref="D26:E26"/>
    <mergeCell ref="F26:G26"/>
    <mergeCell ref="H26:I26"/>
    <mergeCell ref="J26:K26"/>
    <mergeCell ref="L26:M26"/>
    <mergeCell ref="A28:A31"/>
    <mergeCell ref="B28:C28"/>
    <mergeCell ref="D28:E28"/>
    <mergeCell ref="F28:G28"/>
    <mergeCell ref="H28:I28"/>
    <mergeCell ref="J28:K28"/>
    <mergeCell ref="L28:M28"/>
    <mergeCell ref="B29:C29"/>
    <mergeCell ref="D29:E29"/>
    <mergeCell ref="F29:G29"/>
    <mergeCell ref="H29:I29"/>
    <mergeCell ref="J29:K29"/>
    <mergeCell ref="L29:M29"/>
    <mergeCell ref="B30:C30"/>
    <mergeCell ref="D30:E30"/>
    <mergeCell ref="F30:G30"/>
    <mergeCell ref="H30:I30"/>
    <mergeCell ref="J30:K30"/>
    <mergeCell ref="L30:M30"/>
    <mergeCell ref="B31:C31"/>
    <mergeCell ref="D31:E31"/>
    <mergeCell ref="F31:G31"/>
    <mergeCell ref="H31:I31"/>
    <mergeCell ref="J31:K31"/>
    <mergeCell ref="L31:M31"/>
    <mergeCell ref="A33:A36"/>
    <mergeCell ref="B33:C33"/>
    <mergeCell ref="D33:E33"/>
    <mergeCell ref="F33:G33"/>
    <mergeCell ref="H33:I33"/>
    <mergeCell ref="J33:K33"/>
    <mergeCell ref="L33:M33"/>
    <mergeCell ref="B34:C34"/>
    <mergeCell ref="D34:E34"/>
    <mergeCell ref="F34:G34"/>
    <mergeCell ref="H34:I34"/>
    <mergeCell ref="J34:K34"/>
    <mergeCell ref="L34:M34"/>
    <mergeCell ref="B35:C35"/>
    <mergeCell ref="D35:E35"/>
    <mergeCell ref="F35:G35"/>
    <mergeCell ref="H35:I35"/>
    <mergeCell ref="J35:K35"/>
    <mergeCell ref="L35:M35"/>
    <mergeCell ref="B36:C36"/>
    <mergeCell ref="D36:E36"/>
    <mergeCell ref="F36:G36"/>
    <mergeCell ref="H36:I36"/>
    <mergeCell ref="J36:K36"/>
    <mergeCell ref="L36:M36"/>
    <mergeCell ref="A38:A40"/>
    <mergeCell ref="B39:M40"/>
    <mergeCell ref="K42:M52"/>
    <mergeCell ref="A44:D45"/>
    <mergeCell ref="F44:I45"/>
    <mergeCell ref="A48:D49"/>
    <mergeCell ref="F48:I49"/>
    <mergeCell ref="A53:M55"/>
  </mergeCells>
  <printOptions headings="false" gridLines="false" gridLinesSet="true" horizontalCentered="false" verticalCentered="false"/>
  <pageMargins left="0.2" right="0" top="0.2" bottom="0" header="0.511811023622047" footer="0.511811023622047"/>
  <pageSetup paperSize="1" scale="57"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CB43"/>
  <sheetViews>
    <sheetView showFormulas="false" showGridLines="true" showRowColHeaders="true" showZeros="true" rightToLeft="false" tabSelected="false" showOutlineSymbols="true" defaultGridColor="true" view="pageBreakPreview" topLeftCell="A1" colorId="64" zoomScale="140" zoomScaleNormal="100" zoomScalePageLayoutView="140" workbookViewId="0">
      <selection pane="topLeft" activeCell="Y17" activeCellId="0" sqref="Y17"/>
    </sheetView>
  </sheetViews>
  <sheetFormatPr defaultColWidth="9.11328125" defaultRowHeight="14.25" customHeight="false" zeroHeight="false" outlineLevelRow="0" outlineLevelCol="0"/>
  <cols>
    <col collapsed="false" customWidth="true" hidden="false" outlineLevel="0" max="1" min="1" style="293" width="1.66"/>
    <col collapsed="false" customWidth="true" hidden="false" outlineLevel="0" max="2" min="2" style="293" width="25.89"/>
    <col collapsed="false" customWidth="true" hidden="false" outlineLevel="0" max="3" min="3" style="293" width="29.56"/>
    <col collapsed="false" customWidth="true" hidden="false" outlineLevel="0" max="4" min="4" style="293" width="3.55"/>
    <col collapsed="false" customWidth="true" hidden="false" outlineLevel="0" max="5" min="5" style="293" width="3.67"/>
    <col collapsed="false" customWidth="true" hidden="false" outlineLevel="0" max="40" min="6" style="293" width="3.55"/>
    <col collapsed="false" customWidth="true" hidden="false" outlineLevel="0" max="41" min="41" style="293" width="13.11"/>
    <col collapsed="false" customWidth="true" hidden="false" outlineLevel="0" max="42" min="42" style="293" width="1.66"/>
    <col collapsed="false" customWidth="false" hidden="false" outlineLevel="0" max="43" min="43" style="293" width="9.11"/>
    <col collapsed="false" customWidth="false" hidden="true" outlineLevel="0" max="80" min="44" style="293" width="9.11"/>
    <col collapsed="false" customWidth="false" hidden="false" outlineLevel="0" max="16384" min="81" style="293" width="9.11"/>
  </cols>
  <sheetData>
    <row r="1" customFormat="false" ht="6.75" hidden="false" customHeight="true" outlineLevel="0" collapsed="false">
      <c r="A1" s="294"/>
      <c r="B1" s="294"/>
      <c r="C1" s="294"/>
      <c r="D1" s="294"/>
      <c r="E1" s="294"/>
      <c r="F1" s="294"/>
      <c r="G1" s="294"/>
      <c r="H1" s="294"/>
      <c r="I1" s="294"/>
      <c r="J1" s="294"/>
      <c r="K1" s="294"/>
      <c r="L1" s="294"/>
      <c r="M1" s="294"/>
      <c r="N1" s="294"/>
      <c r="O1" s="294"/>
      <c r="P1" s="294"/>
      <c r="Q1" s="294"/>
      <c r="R1" s="294"/>
      <c r="S1" s="294"/>
      <c r="T1" s="294"/>
      <c r="U1" s="294"/>
      <c r="V1" s="294"/>
      <c r="W1" s="294"/>
      <c r="X1" s="294"/>
      <c r="Y1" s="294"/>
      <c r="Z1" s="294"/>
      <c r="AA1" s="294"/>
      <c r="AB1" s="294"/>
      <c r="AC1" s="294"/>
      <c r="AD1" s="294"/>
      <c r="AE1" s="294"/>
      <c r="AF1" s="294"/>
      <c r="AG1" s="294"/>
      <c r="AH1" s="294"/>
      <c r="AI1" s="294"/>
      <c r="AJ1" s="294"/>
      <c r="AK1" s="294"/>
      <c r="AL1" s="294"/>
      <c r="AM1" s="294"/>
      <c r="AN1" s="294"/>
      <c r="AO1" s="294"/>
      <c r="AP1" s="294"/>
    </row>
    <row r="2" customFormat="false" ht="28.5" hidden="false" customHeight="true" outlineLevel="0" collapsed="false">
      <c r="A2" s="294"/>
      <c r="B2" s="295"/>
      <c r="C2" s="296" t="s">
        <v>259</v>
      </c>
      <c r="D2" s="296"/>
      <c r="E2" s="296"/>
      <c r="F2" s="296"/>
      <c r="G2" s="296"/>
      <c r="H2" s="296"/>
      <c r="I2" s="296"/>
      <c r="J2" s="296"/>
      <c r="K2" s="296"/>
      <c r="L2" s="296"/>
      <c r="M2" s="296"/>
      <c r="N2" s="296"/>
      <c r="O2" s="296"/>
      <c r="P2" s="296"/>
      <c r="Q2" s="296"/>
      <c r="R2" s="296"/>
      <c r="S2" s="296"/>
      <c r="T2" s="296"/>
      <c r="U2" s="296"/>
      <c r="V2" s="296"/>
      <c r="W2" s="296"/>
      <c r="X2" s="296"/>
      <c r="Y2" s="296"/>
      <c r="Z2" s="296"/>
      <c r="AA2" s="296"/>
      <c r="AB2" s="296"/>
      <c r="AC2" s="296"/>
      <c r="AD2" s="296"/>
      <c r="AE2" s="296"/>
      <c r="AF2" s="296"/>
      <c r="AG2" s="296"/>
      <c r="AH2" s="296"/>
      <c r="AI2" s="296"/>
      <c r="AJ2" s="296"/>
      <c r="AK2" s="296"/>
      <c r="AL2" s="296"/>
      <c r="AM2" s="297"/>
      <c r="AN2" s="297"/>
      <c r="AO2" s="297"/>
      <c r="AP2" s="294"/>
    </row>
    <row r="3" customFormat="false" ht="10.5" hidden="false" customHeight="true" outlineLevel="0" collapsed="false">
      <c r="A3" s="294"/>
      <c r="B3" s="295"/>
      <c r="C3" s="298" t="s">
        <v>260</v>
      </c>
      <c r="D3" s="298" t="s">
        <v>261</v>
      </c>
      <c r="E3" s="298"/>
      <c r="F3" s="298"/>
      <c r="G3" s="298"/>
      <c r="H3" s="298"/>
      <c r="I3" s="298"/>
      <c r="J3" s="298" t="s">
        <v>262</v>
      </c>
      <c r="K3" s="298"/>
      <c r="L3" s="298"/>
      <c r="M3" s="298"/>
      <c r="N3" s="298"/>
      <c r="O3" s="298"/>
      <c r="P3" s="298" t="s">
        <v>263</v>
      </c>
      <c r="Q3" s="298"/>
      <c r="R3" s="298"/>
      <c r="S3" s="298"/>
      <c r="T3" s="298"/>
      <c r="U3" s="298"/>
      <c r="V3" s="298" t="s">
        <v>264</v>
      </c>
      <c r="W3" s="298"/>
      <c r="X3" s="298"/>
      <c r="Y3" s="298"/>
      <c r="Z3" s="298"/>
      <c r="AA3" s="298"/>
      <c r="AB3" s="298" t="s">
        <v>265</v>
      </c>
      <c r="AC3" s="298"/>
      <c r="AD3" s="298"/>
      <c r="AE3" s="298"/>
      <c r="AF3" s="298"/>
      <c r="AG3" s="298"/>
      <c r="AH3" s="298" t="s">
        <v>266</v>
      </c>
      <c r="AI3" s="298"/>
      <c r="AJ3" s="298"/>
      <c r="AK3" s="298"/>
      <c r="AL3" s="298"/>
      <c r="AM3" s="297"/>
      <c r="AN3" s="297"/>
      <c r="AO3" s="297"/>
      <c r="AP3" s="294"/>
    </row>
    <row r="4" customFormat="false" ht="11.25" hidden="false" customHeight="true" outlineLevel="0" collapsed="false">
      <c r="A4" s="294"/>
      <c r="B4" s="295"/>
      <c r="C4" s="299" t="s">
        <v>267</v>
      </c>
      <c r="D4" s="300" t="s">
        <v>268</v>
      </c>
      <c r="E4" s="300"/>
      <c r="F4" s="300"/>
      <c r="G4" s="300"/>
      <c r="H4" s="300"/>
      <c r="I4" s="300"/>
      <c r="J4" s="300" t="s">
        <v>269</v>
      </c>
      <c r="K4" s="300"/>
      <c r="L4" s="300"/>
      <c r="M4" s="300"/>
      <c r="N4" s="300"/>
      <c r="O4" s="300"/>
      <c r="P4" s="300" t="s">
        <v>270</v>
      </c>
      <c r="Q4" s="300"/>
      <c r="R4" s="300"/>
      <c r="S4" s="300"/>
      <c r="T4" s="300"/>
      <c r="U4" s="300"/>
      <c r="V4" s="300" t="s">
        <v>271</v>
      </c>
      <c r="W4" s="300"/>
      <c r="X4" s="300"/>
      <c r="Y4" s="300"/>
      <c r="Z4" s="300"/>
      <c r="AA4" s="300"/>
      <c r="AB4" s="301" t="n">
        <v>45627</v>
      </c>
      <c r="AC4" s="301"/>
      <c r="AD4" s="301"/>
      <c r="AE4" s="301"/>
      <c r="AF4" s="301"/>
      <c r="AG4" s="301"/>
      <c r="AH4" s="300" t="n">
        <v>1</v>
      </c>
      <c r="AI4" s="300"/>
      <c r="AJ4" s="300"/>
      <c r="AK4" s="300"/>
      <c r="AL4" s="300"/>
      <c r="AM4" s="297"/>
      <c r="AN4" s="297"/>
      <c r="AO4" s="297"/>
      <c r="AP4" s="294"/>
    </row>
    <row r="5" customFormat="false" ht="19.5" hidden="false" customHeight="true" outlineLevel="0" collapsed="false">
      <c r="A5" s="294"/>
      <c r="B5" s="295"/>
      <c r="C5" s="302" t="s">
        <v>272</v>
      </c>
      <c r="D5" s="303" t="str">
        <f aca="false">'Master Data'!E8</f>
        <v>BAB</v>
      </c>
      <c r="E5" s="303"/>
      <c r="F5" s="303"/>
      <c r="G5" s="303"/>
      <c r="H5" s="303"/>
      <c r="I5" s="304" t="s">
        <v>273</v>
      </c>
      <c r="J5" s="304"/>
      <c r="K5" s="304"/>
      <c r="L5" s="304"/>
      <c r="M5" s="304"/>
      <c r="N5" s="304"/>
      <c r="O5" s="304"/>
      <c r="P5" s="305" t="str">
        <f aca="false">'Master Data'!B10</f>
        <v>4700014396</v>
      </c>
      <c r="Q5" s="305"/>
      <c r="R5" s="305"/>
      <c r="S5" s="305"/>
      <c r="T5" s="305"/>
      <c r="U5" s="305"/>
      <c r="V5" s="304" t="s">
        <v>274</v>
      </c>
      <c r="W5" s="304"/>
      <c r="X5" s="304"/>
      <c r="Y5" s="304"/>
      <c r="Z5" s="304"/>
      <c r="AA5" s="304"/>
      <c r="AB5" s="306" t="str">
        <f aca="false">'Master Data'!B15</f>
        <v>DT 15949454</v>
      </c>
      <c r="AC5" s="306"/>
      <c r="AD5" s="306"/>
      <c r="AE5" s="306"/>
      <c r="AF5" s="306"/>
      <c r="AG5" s="306"/>
      <c r="AH5" s="306"/>
      <c r="AI5" s="306"/>
      <c r="AJ5" s="306"/>
      <c r="AK5" s="306"/>
      <c r="AL5" s="306"/>
      <c r="AM5" s="297"/>
      <c r="AN5" s="297"/>
      <c r="AO5" s="297"/>
      <c r="AP5" s="294"/>
    </row>
    <row r="6" customFormat="false" ht="18.75" hidden="false" customHeight="true" outlineLevel="0" collapsed="false">
      <c r="A6" s="294"/>
      <c r="B6" s="295"/>
      <c r="C6" s="302" t="s">
        <v>275</v>
      </c>
      <c r="D6" s="303" t="str">
        <f aca="false">'Master Data'!E11</f>
        <v>AD-237</v>
      </c>
      <c r="E6" s="303"/>
      <c r="F6" s="303"/>
      <c r="G6" s="303"/>
      <c r="H6" s="303"/>
      <c r="I6" s="304" t="s">
        <v>276</v>
      </c>
      <c r="J6" s="304"/>
      <c r="K6" s="304"/>
      <c r="L6" s="304"/>
      <c r="M6" s="304"/>
      <c r="N6" s="304"/>
      <c r="O6" s="304"/>
      <c r="P6" s="305" t="str">
        <f aca="false">'Master Data'!B11</f>
        <v>4200761193</v>
      </c>
      <c r="Q6" s="305"/>
      <c r="R6" s="305"/>
      <c r="S6" s="305"/>
      <c r="T6" s="305"/>
      <c r="U6" s="305"/>
      <c r="V6" s="304" t="s">
        <v>160</v>
      </c>
      <c r="W6" s="304"/>
      <c r="X6" s="304"/>
      <c r="Y6" s="304"/>
      <c r="Z6" s="304"/>
      <c r="AA6" s="304"/>
      <c r="AB6" s="307" t="s">
        <v>277</v>
      </c>
      <c r="AC6" s="307"/>
      <c r="AD6" s="308" t="str">
        <f aca="false">'Master Data'!E12</f>
        <v>02-Jul-26</v>
      </c>
      <c r="AE6" s="308"/>
      <c r="AF6" s="308"/>
      <c r="AG6" s="308"/>
      <c r="AH6" s="309" t="s">
        <v>278</v>
      </c>
      <c r="AI6" s="310" t="str">
        <f aca="false">'Master Data'!E15</f>
        <v>24-Jul-26</v>
      </c>
      <c r="AJ6" s="310"/>
      <c r="AK6" s="310"/>
      <c r="AL6" s="310"/>
      <c r="AM6" s="297"/>
      <c r="AN6" s="297"/>
      <c r="AO6" s="297"/>
      <c r="AP6" s="294"/>
    </row>
    <row r="7" customFormat="false" ht="15" hidden="false" customHeight="true" outlineLevel="0" collapsed="false">
      <c r="A7" s="294"/>
      <c r="B7" s="311" t="s">
        <v>279</v>
      </c>
      <c r="C7" s="302" t="s">
        <v>280</v>
      </c>
      <c r="D7" s="303" t="str">
        <f aca="false">'Master Data'!E10</f>
        <v>BB-1309</v>
      </c>
      <c r="E7" s="303"/>
      <c r="F7" s="303"/>
      <c r="G7" s="303"/>
      <c r="H7" s="303"/>
      <c r="I7" s="304" t="s">
        <v>281</v>
      </c>
      <c r="J7" s="304"/>
      <c r="K7" s="304"/>
      <c r="L7" s="304"/>
      <c r="M7" s="304"/>
      <c r="N7" s="304"/>
      <c r="O7" s="304"/>
      <c r="P7" s="312" t="str">
        <f aca="false">'Master Data'!E4</f>
        <v>RIH COMPLETION</v>
      </c>
      <c r="Q7" s="312"/>
      <c r="R7" s="312"/>
      <c r="S7" s="312"/>
      <c r="T7" s="312"/>
      <c r="U7" s="312"/>
      <c r="V7" s="312"/>
      <c r="W7" s="312"/>
      <c r="X7" s="312"/>
      <c r="Y7" s="312"/>
      <c r="Z7" s="312"/>
      <c r="AA7" s="312"/>
      <c r="AB7" s="312"/>
      <c r="AC7" s="312"/>
      <c r="AD7" s="312"/>
      <c r="AE7" s="312"/>
      <c r="AF7" s="312"/>
      <c r="AG7" s="312"/>
      <c r="AH7" s="312"/>
      <c r="AI7" s="312"/>
      <c r="AJ7" s="312"/>
      <c r="AK7" s="312"/>
      <c r="AL7" s="312"/>
      <c r="AM7" s="313" t="s">
        <v>282</v>
      </c>
      <c r="AN7" s="313"/>
      <c r="AO7" s="313"/>
      <c r="AP7" s="294"/>
    </row>
    <row r="8" customFormat="false" ht="15" hidden="false" customHeight="true" outlineLevel="0" collapsed="false">
      <c r="A8" s="294"/>
      <c r="B8" s="314"/>
      <c r="C8" s="315"/>
      <c r="D8" s="316" t="str">
        <f aca="false">IF(TEXT(AD6,"mmm")=TEXT(AI6,"mmm"),TEXT(AD6,"mmm/yyy"),IF(TEXT(AD6,"yyyy")=TEXT(AI6,"yyyy"),TEXT(AD6,"mmm")&amp;" - "&amp;TEXT(AI6,"mmm")&amp;"/"&amp;TEXT(AI6,"yyyy"),TEXT(AD6,"mmm/yyyy")&amp;" - "&amp;TEXT(AI6,"mmm/yyyy")))</f>
        <v>Jul/26y</v>
      </c>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6"/>
      <c r="AH8" s="316"/>
      <c r="AI8" s="316"/>
      <c r="AJ8" s="316"/>
      <c r="AK8" s="316"/>
      <c r="AL8" s="316"/>
      <c r="AM8" s="317" t="s">
        <v>3</v>
      </c>
      <c r="AN8" s="317"/>
      <c r="AO8" s="317"/>
      <c r="AP8" s="318"/>
    </row>
    <row r="9" customFormat="false" ht="18" hidden="false" customHeight="true" outlineLevel="0" collapsed="false">
      <c r="A9" s="294"/>
      <c r="B9" s="319" t="s">
        <v>283</v>
      </c>
      <c r="C9" s="319" t="s">
        <v>284</v>
      </c>
      <c r="D9" s="320" t="str">
        <f aca="false">$AD$6</f>
        <v>02-Jul-26</v>
      </c>
      <c r="E9" s="320" t="n">
        <f aca="false">D9+1</f>
        <v>46206</v>
      </c>
      <c r="F9" s="320" t="n">
        <f aca="false">E9+1</f>
        <v>46207</v>
      </c>
      <c r="G9" s="320" t="n">
        <f aca="false">F9+1</f>
        <v>46208</v>
      </c>
      <c r="H9" s="320" t="n">
        <f aca="false">G9+1</f>
        <v>46209</v>
      </c>
      <c r="I9" s="320" t="n">
        <f aca="false">H9+1</f>
        <v>46210</v>
      </c>
      <c r="J9" s="320" t="n">
        <f aca="false">I9+1</f>
        <v>46211</v>
      </c>
      <c r="K9" s="320" t="n">
        <f aca="false">J9+1</f>
        <v>46212</v>
      </c>
      <c r="L9" s="320" t="n">
        <f aca="false">K9+1</f>
        <v>46213</v>
      </c>
      <c r="M9" s="320" t="n">
        <f aca="false">L9+1</f>
        <v>46214</v>
      </c>
      <c r="N9" s="320" t="n">
        <f aca="false">M9+1</f>
        <v>46215</v>
      </c>
      <c r="O9" s="320" t="n">
        <f aca="false">N9+1</f>
        <v>46216</v>
      </c>
      <c r="P9" s="320" t="n">
        <f aca="false">O9+1</f>
        <v>46217</v>
      </c>
      <c r="Q9" s="320" t="n">
        <f aca="false">P9+1</f>
        <v>46218</v>
      </c>
      <c r="R9" s="320" t="n">
        <f aca="false">Q9+1</f>
        <v>46219</v>
      </c>
      <c r="S9" s="320" t="n">
        <f aca="false">R9+1</f>
        <v>46220</v>
      </c>
      <c r="T9" s="320" t="n">
        <f aca="false">S9+1</f>
        <v>46221</v>
      </c>
      <c r="U9" s="320" t="n">
        <f aca="false">T9+1</f>
        <v>46222</v>
      </c>
      <c r="V9" s="320" t="n">
        <f aca="false">U9+1</f>
        <v>46223</v>
      </c>
      <c r="W9" s="320" t="n">
        <f aca="false">V9+1</f>
        <v>46224</v>
      </c>
      <c r="X9" s="320" t="n">
        <f aca="false">W9+1</f>
        <v>46225</v>
      </c>
      <c r="Y9" s="320" t="n">
        <f aca="false">X9+1</f>
        <v>46226</v>
      </c>
      <c r="Z9" s="320" t="n">
        <f aca="false">Y9+1</f>
        <v>46227</v>
      </c>
      <c r="AA9" s="320" t="n">
        <f aca="false">Z9+1</f>
        <v>46228</v>
      </c>
      <c r="AB9" s="320" t="n">
        <f aca="false">AA9+1</f>
        <v>46229</v>
      </c>
      <c r="AC9" s="320" t="n">
        <f aca="false">AB9+1</f>
        <v>46230</v>
      </c>
      <c r="AD9" s="320" t="n">
        <f aca="false">AC9+1</f>
        <v>46231</v>
      </c>
      <c r="AE9" s="320" t="n">
        <f aca="false">AD9+1</f>
        <v>46232</v>
      </c>
      <c r="AF9" s="320" t="n">
        <f aca="false">AE9+1</f>
        <v>46233</v>
      </c>
      <c r="AG9" s="320" t="n">
        <f aca="false">AF9+1</f>
        <v>46234</v>
      </c>
      <c r="AH9" s="320" t="n">
        <f aca="false">AG9+1</f>
        <v>46235</v>
      </c>
      <c r="AI9" s="320" t="n">
        <f aca="false">AH9+1</f>
        <v>46236</v>
      </c>
      <c r="AJ9" s="320" t="n">
        <f aca="false">AI9+1</f>
        <v>46237</v>
      </c>
      <c r="AK9" s="320" t="n">
        <f aca="false">AJ9+1</f>
        <v>46238</v>
      </c>
      <c r="AL9" s="320" t="n">
        <f aca="false">AK9+1</f>
        <v>46239</v>
      </c>
      <c r="AM9" s="321" t="s">
        <v>285</v>
      </c>
      <c r="AN9" s="321"/>
      <c r="AO9" s="321"/>
      <c r="AP9" s="294"/>
    </row>
    <row r="10" customFormat="false" ht="15.75" hidden="false" customHeight="true" outlineLevel="0" collapsed="false">
      <c r="A10" s="294"/>
      <c r="B10" s="319"/>
      <c r="C10" s="319"/>
      <c r="D10" s="320"/>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c r="AC10" s="320"/>
      <c r="AD10" s="320"/>
      <c r="AE10" s="320"/>
      <c r="AF10" s="320"/>
      <c r="AG10" s="320"/>
      <c r="AH10" s="320"/>
      <c r="AI10" s="320"/>
      <c r="AJ10" s="320"/>
      <c r="AK10" s="320"/>
      <c r="AL10" s="320"/>
      <c r="AM10" s="321"/>
      <c r="AN10" s="321"/>
      <c r="AO10" s="321"/>
      <c r="AP10" s="294"/>
    </row>
    <row r="11" customFormat="false" ht="13.5" hidden="false" customHeight="true" outlineLevel="0" collapsed="false">
      <c r="A11" s="294"/>
      <c r="B11" s="319"/>
      <c r="C11" s="319"/>
      <c r="D11" s="319" t="s">
        <v>212</v>
      </c>
      <c r="E11" s="319"/>
      <c r="F11" s="319"/>
      <c r="G11" s="319"/>
      <c r="H11" s="319"/>
      <c r="I11" s="319"/>
      <c r="J11" s="319"/>
      <c r="K11" s="319"/>
      <c r="L11" s="319"/>
      <c r="M11" s="319"/>
      <c r="N11" s="319"/>
      <c r="O11" s="319"/>
      <c r="P11" s="319"/>
      <c r="Q11" s="319"/>
      <c r="R11" s="319"/>
      <c r="S11" s="319"/>
      <c r="T11" s="319"/>
      <c r="U11" s="319"/>
      <c r="V11" s="319"/>
      <c r="W11" s="319"/>
      <c r="X11" s="319"/>
      <c r="Y11" s="319"/>
      <c r="Z11" s="319"/>
      <c r="AA11" s="319"/>
      <c r="AB11" s="319"/>
      <c r="AC11" s="319"/>
      <c r="AD11" s="319"/>
      <c r="AE11" s="319"/>
      <c r="AF11" s="319"/>
      <c r="AG11" s="319"/>
      <c r="AH11" s="319"/>
      <c r="AI11" s="319"/>
      <c r="AJ11" s="319"/>
      <c r="AK11" s="319"/>
      <c r="AL11" s="319"/>
      <c r="AM11" s="321"/>
      <c r="AN11" s="321"/>
      <c r="AO11" s="321"/>
      <c r="AP11" s="294"/>
    </row>
    <row r="12" s="326" customFormat="true" ht="14.25" hidden="false" customHeight="false" outlineLevel="0" collapsed="false">
      <c r="A12" s="322"/>
      <c r="B12" s="323" t="str">
        <f aca="false">IF('Master Data'!H3="","",'Master Data'!H3)</f>
        <v>Mahmoud Ali</v>
      </c>
      <c r="C12" s="323" t="str">
        <f aca="false">IF('Master Data'!I3="","",'Master Data'!I3)</f>
        <v>Field Supervisor</v>
      </c>
      <c r="D12" s="324" t="s">
        <v>286</v>
      </c>
      <c r="E12" s="324" t="s">
        <v>286</v>
      </c>
      <c r="F12" s="324" t="s">
        <v>286</v>
      </c>
      <c r="G12" s="324" t="s">
        <v>286</v>
      </c>
      <c r="H12" s="324" t="s">
        <v>286</v>
      </c>
      <c r="I12" s="324" t="s">
        <v>286</v>
      </c>
      <c r="J12" s="324" t="s">
        <v>286</v>
      </c>
      <c r="K12" s="324" t="s">
        <v>286</v>
      </c>
      <c r="L12" s="324" t="s">
        <v>286</v>
      </c>
      <c r="M12" s="324" t="s">
        <v>286</v>
      </c>
      <c r="N12" s="324" t="s">
        <v>286</v>
      </c>
      <c r="O12" s="324" t="s">
        <v>286</v>
      </c>
      <c r="P12" s="324" t="s">
        <v>286</v>
      </c>
      <c r="Q12" s="324" t="s">
        <v>286</v>
      </c>
      <c r="R12" s="324" t="s">
        <v>286</v>
      </c>
      <c r="S12" s="324" t="s">
        <v>286</v>
      </c>
      <c r="T12" s="324" t="s">
        <v>286</v>
      </c>
      <c r="U12" s="324" t="s">
        <v>286</v>
      </c>
      <c r="V12" s="324" t="s">
        <v>286</v>
      </c>
      <c r="W12" s="324" t="s">
        <v>286</v>
      </c>
      <c r="X12" s="324" t="s">
        <v>286</v>
      </c>
      <c r="Y12" s="324" t="s">
        <v>286</v>
      </c>
      <c r="Z12" s="324" t="s">
        <v>286</v>
      </c>
      <c r="AA12" s="324"/>
      <c r="AB12" s="324"/>
      <c r="AC12" s="324"/>
      <c r="AD12" s="324"/>
      <c r="AE12" s="324"/>
      <c r="AF12" s="324"/>
      <c r="AG12" s="324"/>
      <c r="AH12" s="324"/>
      <c r="AI12" s="324"/>
      <c r="AJ12" s="324"/>
      <c r="AK12" s="324"/>
      <c r="AL12" s="324"/>
      <c r="AM12" s="325" t="n">
        <f aca="false">IF(COUNTA(D12:AL12)=0,"",COUNTA(D12:AL12))</f>
        <v>23</v>
      </c>
      <c r="AN12" s="325"/>
      <c r="AO12" s="325"/>
      <c r="AP12" s="322"/>
      <c r="AR12" s="326" t="n">
        <f aca="false">IF(D12="X",1,0)</f>
        <v>1</v>
      </c>
      <c r="AS12" s="326" t="n">
        <f aca="false">IF(E12="X",1,0)</f>
        <v>1</v>
      </c>
      <c r="AT12" s="326" t="n">
        <f aca="false">IF(F12="X",1,0)</f>
        <v>1</v>
      </c>
      <c r="AU12" s="326" t="n">
        <f aca="false">IF(G12="X",1,0)</f>
        <v>1</v>
      </c>
      <c r="AV12" s="326" t="n">
        <f aca="false">IF(H12="X",1,0)</f>
        <v>1</v>
      </c>
      <c r="AW12" s="326" t="n">
        <f aca="false">IF(I12="X",1,0)</f>
        <v>1</v>
      </c>
      <c r="AX12" s="326" t="n">
        <f aca="false">IF(J12="X",1,0)</f>
        <v>1</v>
      </c>
      <c r="AY12" s="326" t="n">
        <f aca="false">IF(K12="X",1,0)</f>
        <v>1</v>
      </c>
      <c r="AZ12" s="326" t="n">
        <f aca="false">IF(L12="X",1,0)</f>
        <v>1</v>
      </c>
      <c r="BA12" s="326" t="n">
        <f aca="false">IF(M12="X",1,0)</f>
        <v>1</v>
      </c>
      <c r="BB12" s="326" t="n">
        <f aca="false">IF(N12="X",1,0)</f>
        <v>1</v>
      </c>
      <c r="BC12" s="326" t="n">
        <f aca="false">IF(O12="X",1,0)</f>
        <v>1</v>
      </c>
      <c r="BD12" s="326" t="n">
        <f aca="false">IF(P12="X",1,0)</f>
        <v>1</v>
      </c>
      <c r="BE12" s="326" t="n">
        <f aca="false">IF(Q12="X",1,0)</f>
        <v>1</v>
      </c>
      <c r="BF12" s="326" t="n">
        <f aca="false">IF(R12="X",1,0)</f>
        <v>1</v>
      </c>
      <c r="BG12" s="326" t="n">
        <f aca="false">IF(S12="X",1,0)</f>
        <v>1</v>
      </c>
      <c r="BH12" s="326" t="n">
        <f aca="false">IF(T12="X",1,0)</f>
        <v>1</v>
      </c>
      <c r="BI12" s="326" t="n">
        <f aca="false">IF(U12="X",1,0)</f>
        <v>1</v>
      </c>
      <c r="BJ12" s="326" t="n">
        <f aca="false">IF(V12="X",1,0)</f>
        <v>1</v>
      </c>
      <c r="BK12" s="326" t="n">
        <f aca="false">IF(W12="X",1,0)</f>
        <v>1</v>
      </c>
      <c r="BL12" s="326" t="n">
        <f aca="false">IF(X12="X",1,0)</f>
        <v>1</v>
      </c>
      <c r="BM12" s="326" t="n">
        <f aca="false">IF(Y12="X",1,0)</f>
        <v>1</v>
      </c>
      <c r="BN12" s="326" t="n">
        <f aca="false">IF(Z12="X",1,0)</f>
        <v>1</v>
      </c>
      <c r="BO12" s="326" t="n">
        <f aca="false">IF(AA12="X",1,0)</f>
        <v>0</v>
      </c>
      <c r="BP12" s="326" t="n">
        <f aca="false">IF(AB12="X",1,0)</f>
        <v>0</v>
      </c>
      <c r="BQ12" s="326" t="n">
        <f aca="false">IF(AC12="X",1,0)</f>
        <v>0</v>
      </c>
      <c r="BR12" s="326" t="n">
        <f aca="false">IF(AD12="X",1,0)</f>
        <v>0</v>
      </c>
      <c r="BS12" s="326" t="n">
        <f aca="false">IF(AE12="X",1,0)</f>
        <v>0</v>
      </c>
      <c r="BT12" s="326" t="n">
        <f aca="false">IF(AF12="X",1,0)</f>
        <v>0</v>
      </c>
      <c r="BU12" s="326" t="n">
        <f aca="false">IF(AG12="X",1,0)</f>
        <v>0</v>
      </c>
      <c r="BV12" s="326" t="n">
        <f aca="false">IF(AH12="X",1,0)</f>
        <v>0</v>
      </c>
      <c r="BW12" s="326" t="n">
        <f aca="false">IF(AI12="X",1,0)</f>
        <v>0</v>
      </c>
      <c r="BX12" s="326" t="n">
        <f aca="false">IF(AJ12="X",1,0)</f>
        <v>0</v>
      </c>
      <c r="BY12" s="326" t="n">
        <f aca="false">IF(AK12="X",1,0)</f>
        <v>0</v>
      </c>
      <c r="BZ12" s="326" t="n">
        <f aca="false">IF(AL12="X",1,0)</f>
        <v>0</v>
      </c>
      <c r="CA12" s="326" t="n">
        <f aca="false">IF(AM12="X",1,0)</f>
        <v>0</v>
      </c>
      <c r="CB12" s="326" t="n">
        <f aca="false">IF(AN12="X",1,0)</f>
        <v>0</v>
      </c>
    </row>
    <row r="13" s="326" customFormat="true" ht="14.25" hidden="false" customHeight="false" outlineLevel="0" collapsed="false">
      <c r="A13" s="322"/>
      <c r="B13" s="323" t="str">
        <f aca="false">IF('Master Data'!H4="","",'Master Data'!H4)</f>
        <v>Ibrahim Gad</v>
      </c>
      <c r="C13" s="323" t="str">
        <f aca="false">IF('Master Data'!I4="","",'Master Data'!I4)</f>
        <v>TRSV Engineer</v>
      </c>
      <c r="D13" s="324"/>
      <c r="E13" s="324"/>
      <c r="F13" s="324"/>
      <c r="G13" s="324" t="s">
        <v>286</v>
      </c>
      <c r="H13" s="324" t="s">
        <v>286</v>
      </c>
      <c r="I13" s="324" t="s">
        <v>286</v>
      </c>
      <c r="J13" s="324"/>
      <c r="K13" s="324"/>
      <c r="L13" s="324"/>
      <c r="M13" s="324"/>
      <c r="N13" s="324"/>
      <c r="O13" s="324"/>
      <c r="P13" s="324"/>
      <c r="Q13" s="324"/>
      <c r="R13" s="324"/>
      <c r="S13" s="324"/>
      <c r="T13" s="324"/>
      <c r="U13" s="324"/>
      <c r="V13" s="324"/>
      <c r="W13" s="324"/>
      <c r="X13" s="324"/>
      <c r="Y13" s="324"/>
      <c r="Z13" s="324"/>
      <c r="AA13" s="324"/>
      <c r="AB13" s="327"/>
      <c r="AC13" s="327"/>
      <c r="AD13" s="327"/>
      <c r="AE13" s="327"/>
      <c r="AF13" s="327"/>
      <c r="AG13" s="327"/>
      <c r="AH13" s="327"/>
      <c r="AI13" s="327"/>
      <c r="AJ13" s="324"/>
      <c r="AK13" s="324"/>
      <c r="AL13" s="324"/>
      <c r="AM13" s="325" t="n">
        <f aca="false">IF(COUNTA(D13:AL13)=0,"",COUNTA(D13:AL13))</f>
        <v>3</v>
      </c>
      <c r="AN13" s="325"/>
      <c r="AO13" s="325"/>
      <c r="AP13" s="322"/>
      <c r="AR13" s="326" t="n">
        <f aca="false">IF(D13="X",1,0)</f>
        <v>0</v>
      </c>
      <c r="AS13" s="326" t="n">
        <f aca="false">IF(E13="X",1,0)</f>
        <v>0</v>
      </c>
      <c r="AT13" s="326" t="n">
        <f aca="false">IF(F13="X",1,0)</f>
        <v>0</v>
      </c>
      <c r="AU13" s="326" t="n">
        <f aca="false">IF(G13="X",1,0)</f>
        <v>1</v>
      </c>
      <c r="AV13" s="326" t="n">
        <f aca="false">IF(H13="X",1,0)</f>
        <v>1</v>
      </c>
      <c r="AW13" s="326" t="n">
        <f aca="false">IF(I13="X",1,0)</f>
        <v>1</v>
      </c>
      <c r="AX13" s="326" t="n">
        <f aca="false">IF(J13="X",1,0)</f>
        <v>0</v>
      </c>
      <c r="AY13" s="326" t="n">
        <f aca="false">IF(K13="X",1,0)</f>
        <v>0</v>
      </c>
      <c r="AZ13" s="326" t="n">
        <f aca="false">IF(L13="X",1,0)</f>
        <v>0</v>
      </c>
      <c r="BA13" s="326" t="n">
        <f aca="false">IF(M13="X",1,0)</f>
        <v>0</v>
      </c>
      <c r="BB13" s="326" t="n">
        <f aca="false">IF(N13="X",1,0)</f>
        <v>0</v>
      </c>
      <c r="BC13" s="326" t="n">
        <f aca="false">IF(O13="X",1,0)</f>
        <v>0</v>
      </c>
      <c r="BD13" s="326" t="n">
        <f aca="false">IF(P13="X",1,0)</f>
        <v>0</v>
      </c>
      <c r="BE13" s="326" t="n">
        <f aca="false">IF(Q13="X",1,0)</f>
        <v>0</v>
      </c>
      <c r="BF13" s="326" t="n">
        <f aca="false">IF(R13="X",1,0)</f>
        <v>0</v>
      </c>
      <c r="BG13" s="326" t="n">
        <f aca="false">IF(S13="X",1,0)</f>
        <v>0</v>
      </c>
      <c r="BH13" s="326" t="n">
        <f aca="false">IF(T13="X",1,0)</f>
        <v>0</v>
      </c>
      <c r="BI13" s="326" t="n">
        <f aca="false">IF(U13="X",1,0)</f>
        <v>0</v>
      </c>
      <c r="BJ13" s="326" t="n">
        <f aca="false">IF(V13="X",1,0)</f>
        <v>0</v>
      </c>
      <c r="BK13" s="326" t="n">
        <f aca="false">IF(W13="X",1,0)</f>
        <v>0</v>
      </c>
      <c r="BL13" s="326" t="n">
        <f aca="false">IF(X13="X",1,0)</f>
        <v>0</v>
      </c>
      <c r="BM13" s="326" t="n">
        <f aca="false">IF(Y13="X",1,0)</f>
        <v>0</v>
      </c>
      <c r="BN13" s="326" t="n">
        <f aca="false">IF(Z13="X",1,0)</f>
        <v>0</v>
      </c>
      <c r="BO13" s="326" t="n">
        <f aca="false">IF(AA13="X",1,0)</f>
        <v>0</v>
      </c>
      <c r="BP13" s="326" t="n">
        <f aca="false">IF(AB13="X",1,0)</f>
        <v>0</v>
      </c>
      <c r="BQ13" s="326" t="n">
        <f aca="false">IF(AC13="X",1,0)</f>
        <v>0</v>
      </c>
      <c r="BR13" s="326" t="n">
        <f aca="false">IF(AD13="X",1,0)</f>
        <v>0</v>
      </c>
      <c r="BS13" s="326" t="n">
        <f aca="false">IF(AE13="X",1,0)</f>
        <v>0</v>
      </c>
      <c r="BT13" s="326" t="n">
        <f aca="false">IF(AF13="X",1,0)</f>
        <v>0</v>
      </c>
      <c r="BU13" s="326" t="n">
        <f aca="false">IF(AG13="X",1,0)</f>
        <v>0</v>
      </c>
      <c r="BV13" s="326" t="n">
        <f aca="false">IF(AH13="X",1,0)</f>
        <v>0</v>
      </c>
      <c r="BW13" s="326" t="n">
        <f aca="false">IF(AI13="X",1,0)</f>
        <v>0</v>
      </c>
      <c r="BX13" s="326" t="n">
        <f aca="false">IF(AJ13="X",1,0)</f>
        <v>0</v>
      </c>
      <c r="BY13" s="326" t="n">
        <f aca="false">IF(AK13="X",1,0)</f>
        <v>0</v>
      </c>
      <c r="BZ13" s="326" t="n">
        <f aca="false">IF(AL13="X",1,0)</f>
        <v>0</v>
      </c>
      <c r="CA13" s="326" t="n">
        <f aca="false">IF(AM13="X",1,0)</f>
        <v>0</v>
      </c>
      <c r="CB13" s="326" t="n">
        <f aca="false">IF(AN13="X",1,0)</f>
        <v>0</v>
      </c>
    </row>
    <row r="14" s="326" customFormat="true" ht="14.25" hidden="false" customHeight="false" outlineLevel="0" collapsed="false">
      <c r="A14" s="322"/>
      <c r="B14" s="323" t="str">
        <f aca="false">IF('Master Data'!H8="","",'Master Data'!H8)</f>
        <v>Ibrahim Gad</v>
      </c>
      <c r="C14" s="323" t="str">
        <f aca="false">IF('Master Data'!I8="","",'Master Data'!I8)</f>
        <v>TRSV Engineer</v>
      </c>
      <c r="D14" s="324"/>
      <c r="E14" s="324"/>
      <c r="F14" s="324"/>
      <c r="G14" s="324"/>
      <c r="H14" s="324"/>
      <c r="I14" s="324"/>
      <c r="J14" s="324"/>
      <c r="K14" s="324"/>
      <c r="L14" s="324"/>
      <c r="M14" s="324"/>
      <c r="N14" s="324"/>
      <c r="O14" s="324"/>
      <c r="P14" s="324"/>
      <c r="Q14" s="324"/>
      <c r="R14" s="324"/>
      <c r="S14" s="324"/>
      <c r="T14" s="324"/>
      <c r="U14" s="324"/>
      <c r="V14" s="324"/>
      <c r="W14" s="324"/>
      <c r="X14" s="324"/>
      <c r="Y14" s="324"/>
      <c r="Z14" s="324"/>
      <c r="AA14" s="327"/>
      <c r="AB14" s="327"/>
      <c r="AC14" s="327"/>
      <c r="AD14" s="327"/>
      <c r="AE14" s="327"/>
      <c r="AF14" s="327"/>
      <c r="AG14" s="327"/>
      <c r="AH14" s="327"/>
      <c r="AI14" s="324"/>
      <c r="AJ14" s="324"/>
      <c r="AK14" s="324"/>
      <c r="AL14" s="324"/>
      <c r="AM14" s="325" t="str">
        <f aca="false">IF(COUNTA(D14:AL14)=0,"",COUNTA(D14:AL14))</f>
        <v/>
      </c>
      <c r="AN14" s="325"/>
      <c r="AO14" s="325"/>
      <c r="AP14" s="322"/>
      <c r="AR14" s="326" t="n">
        <f aca="false">IF(D14="X",1,0)</f>
        <v>0</v>
      </c>
      <c r="AS14" s="326" t="n">
        <f aca="false">IF(E14="X",1,0)</f>
        <v>0</v>
      </c>
      <c r="AT14" s="326" t="n">
        <f aca="false">IF(F14="X",1,0)</f>
        <v>0</v>
      </c>
      <c r="AU14" s="326" t="n">
        <f aca="false">IF(G14="X",1,0)</f>
        <v>0</v>
      </c>
      <c r="AV14" s="326" t="n">
        <f aca="false">IF(H14="X",1,0)</f>
        <v>0</v>
      </c>
      <c r="AW14" s="326" t="n">
        <f aca="false">IF(I14="X",1,0)</f>
        <v>0</v>
      </c>
      <c r="AX14" s="326" t="n">
        <f aca="false">IF(J14="X",1,0)</f>
        <v>0</v>
      </c>
      <c r="AY14" s="326" t="n">
        <f aca="false">IF(K14="X",1,0)</f>
        <v>0</v>
      </c>
      <c r="AZ14" s="326" t="n">
        <f aca="false">IF(L14="X",1,0)</f>
        <v>0</v>
      </c>
      <c r="BA14" s="326" t="n">
        <f aca="false">IF(M14="X",1,0)</f>
        <v>0</v>
      </c>
      <c r="BB14" s="326" t="n">
        <f aca="false">IF(N14="X",1,0)</f>
        <v>0</v>
      </c>
      <c r="BC14" s="326" t="n">
        <f aca="false">IF(O14="X",1,0)</f>
        <v>0</v>
      </c>
      <c r="BD14" s="326" t="n">
        <f aca="false">IF(P14="X",1,0)</f>
        <v>0</v>
      </c>
      <c r="BE14" s="326" t="n">
        <f aca="false">IF(Q14="X",1,0)</f>
        <v>0</v>
      </c>
      <c r="BF14" s="326" t="n">
        <f aca="false">IF(R14="X",1,0)</f>
        <v>0</v>
      </c>
      <c r="BG14" s="326" t="n">
        <f aca="false">IF(S14="X",1,0)</f>
        <v>0</v>
      </c>
      <c r="BH14" s="326" t="n">
        <f aca="false">IF(T14="X",1,0)</f>
        <v>0</v>
      </c>
      <c r="BI14" s="326" t="n">
        <f aca="false">IF(U14="X",1,0)</f>
        <v>0</v>
      </c>
      <c r="BJ14" s="326" t="n">
        <f aca="false">IF(V14="X",1,0)</f>
        <v>0</v>
      </c>
      <c r="BK14" s="326" t="n">
        <f aca="false">IF(W14="X",1,0)</f>
        <v>0</v>
      </c>
      <c r="BL14" s="326" t="n">
        <f aca="false">IF(X14="X",1,0)</f>
        <v>0</v>
      </c>
      <c r="BM14" s="326" t="n">
        <f aca="false">IF(Y14="X",1,0)</f>
        <v>0</v>
      </c>
      <c r="BN14" s="326" t="n">
        <f aca="false">IF(Z14="X",1,0)</f>
        <v>0</v>
      </c>
      <c r="BO14" s="326" t="n">
        <f aca="false">IF(AA14="X",1,0)</f>
        <v>0</v>
      </c>
      <c r="BP14" s="326" t="n">
        <f aca="false">IF(AB14="X",1,0)</f>
        <v>0</v>
      </c>
      <c r="BQ14" s="326" t="n">
        <f aca="false">IF(AC14="X",1,0)</f>
        <v>0</v>
      </c>
      <c r="BR14" s="326" t="n">
        <f aca="false">IF(AD14="X",1,0)</f>
        <v>0</v>
      </c>
      <c r="BS14" s="326" t="n">
        <f aca="false">IF(AE14="X",1,0)</f>
        <v>0</v>
      </c>
      <c r="BT14" s="326" t="n">
        <f aca="false">IF(AF14="X",1,0)</f>
        <v>0</v>
      </c>
      <c r="BU14" s="326" t="n">
        <f aca="false">IF(AG14="X",1,0)</f>
        <v>0</v>
      </c>
      <c r="BV14" s="326" t="n">
        <f aca="false">IF(AH14="X",1,0)</f>
        <v>0</v>
      </c>
      <c r="BW14" s="326" t="n">
        <f aca="false">IF(AI14="X",1,0)</f>
        <v>0</v>
      </c>
      <c r="BX14" s="326" t="n">
        <f aca="false">IF(AJ14="X",1,0)</f>
        <v>0</v>
      </c>
      <c r="BY14" s="326" t="n">
        <f aca="false">IF(AK14="X",1,0)</f>
        <v>0</v>
      </c>
      <c r="BZ14" s="326" t="n">
        <f aca="false">IF(AL14="X",1,0)</f>
        <v>0</v>
      </c>
      <c r="CA14" s="326" t="n">
        <f aca="false">IF(AM14="X",1,0)</f>
        <v>0</v>
      </c>
      <c r="CB14" s="326" t="n">
        <f aca="false">IF(AN14="X",1,0)</f>
        <v>0</v>
      </c>
    </row>
    <row r="15" s="326" customFormat="true" ht="14.25" hidden="false" customHeight="false" outlineLevel="0" collapsed="false">
      <c r="A15" s="322"/>
      <c r="B15" s="325" t="str">
        <f aca="false">IF('Master Data'!H10="","",'Master Data'!H10)</f>
        <v>Ibrahim Gad</v>
      </c>
      <c r="C15" s="325" t="str">
        <f aca="false">IF('Master Data'!I10="","",'Master Data'!I10)</f>
        <v>TRSV Engineer</v>
      </c>
      <c r="D15" s="324"/>
      <c r="E15" s="324"/>
      <c r="F15" s="324"/>
      <c r="G15" s="324"/>
      <c r="H15" s="324"/>
      <c r="I15" s="324"/>
      <c r="J15" s="324"/>
      <c r="K15" s="324"/>
      <c r="L15" s="324"/>
      <c r="M15" s="324"/>
      <c r="N15" s="324"/>
      <c r="O15" s="324"/>
      <c r="P15" s="324"/>
      <c r="Q15" s="324"/>
      <c r="R15" s="324"/>
      <c r="S15" s="324"/>
      <c r="T15" s="324"/>
      <c r="U15" s="324"/>
      <c r="V15" s="324"/>
      <c r="W15" s="324"/>
      <c r="X15" s="324"/>
      <c r="Y15" s="324"/>
      <c r="Z15" s="324"/>
      <c r="AA15" s="324"/>
      <c r="AB15" s="324"/>
      <c r="AC15" s="324"/>
      <c r="AD15" s="324"/>
      <c r="AE15" s="324"/>
      <c r="AF15" s="324"/>
      <c r="AG15" s="324"/>
      <c r="AH15" s="324"/>
      <c r="AI15" s="324"/>
      <c r="AJ15" s="324"/>
      <c r="AK15" s="324"/>
      <c r="AL15" s="324"/>
      <c r="AM15" s="325" t="str">
        <f aca="false">IF(COUNTA(D15:AL15)=0,"",COUNTA(D15:AL15))</f>
        <v/>
      </c>
      <c r="AN15" s="325"/>
      <c r="AO15" s="325"/>
      <c r="AP15" s="322"/>
    </row>
    <row r="16" s="326" customFormat="true" ht="14.25" hidden="false" customHeight="false" outlineLevel="0" collapsed="false">
      <c r="A16" s="322"/>
      <c r="B16" s="325" t="str">
        <f aca="false">IF('Master Data'!H11="","",'Master Data'!H11)</f>
        <v/>
      </c>
      <c r="C16" s="325" t="str">
        <f aca="false">IF('Master Data'!I11="","",'Master Data'!I11)</f>
        <v>TRSV Engineer</v>
      </c>
      <c r="D16" s="324"/>
      <c r="E16" s="324"/>
      <c r="F16" s="324"/>
      <c r="G16" s="324"/>
      <c r="H16" s="324"/>
      <c r="I16" s="324"/>
      <c r="J16" s="324"/>
      <c r="K16" s="324"/>
      <c r="L16" s="324"/>
      <c r="M16" s="324"/>
      <c r="N16" s="324"/>
      <c r="O16" s="324"/>
      <c r="P16" s="324"/>
      <c r="Q16" s="324"/>
      <c r="R16" s="324"/>
      <c r="S16" s="324"/>
      <c r="T16" s="324"/>
      <c r="U16" s="324"/>
      <c r="V16" s="324"/>
      <c r="W16" s="324"/>
      <c r="X16" s="324"/>
      <c r="Y16" s="324"/>
      <c r="Z16" s="324"/>
      <c r="AA16" s="324"/>
      <c r="AB16" s="324"/>
      <c r="AC16" s="324"/>
      <c r="AD16" s="324"/>
      <c r="AE16" s="324"/>
      <c r="AF16" s="324"/>
      <c r="AG16" s="324"/>
      <c r="AH16" s="324"/>
      <c r="AI16" s="324"/>
      <c r="AJ16" s="324"/>
      <c r="AK16" s="324"/>
      <c r="AL16" s="324"/>
      <c r="AM16" s="325" t="str">
        <f aca="false">IF(COUNTA(D16:AL16)=0,"",COUNTA(D16:AL16))</f>
        <v/>
      </c>
      <c r="AN16" s="325"/>
      <c r="AO16" s="325"/>
      <c r="AP16" s="322"/>
    </row>
    <row r="17" s="326" customFormat="true" ht="14.25" hidden="false" customHeight="false" outlineLevel="0" collapsed="false">
      <c r="A17" s="322"/>
      <c r="B17" s="325" t="str">
        <f aca="false">IF('Master Data'!H12="","",'Master Data'!H12)</f>
        <v/>
      </c>
      <c r="C17" s="325" t="str">
        <f aca="false">IF('Master Data'!I12="","",'Master Data'!I12)</f>
        <v/>
      </c>
      <c r="D17" s="324"/>
      <c r="E17" s="324"/>
      <c r="F17" s="324"/>
      <c r="G17" s="324"/>
      <c r="H17" s="324"/>
      <c r="I17" s="324"/>
      <c r="J17" s="324"/>
      <c r="K17" s="324"/>
      <c r="L17" s="324"/>
      <c r="M17" s="324"/>
      <c r="N17" s="324"/>
      <c r="O17" s="324"/>
      <c r="P17" s="324"/>
      <c r="Q17" s="324"/>
      <c r="R17" s="324"/>
      <c r="S17" s="324"/>
      <c r="T17" s="324"/>
      <c r="U17" s="324"/>
      <c r="V17" s="324"/>
      <c r="W17" s="324"/>
      <c r="X17" s="324"/>
      <c r="Y17" s="324"/>
      <c r="Z17" s="324"/>
      <c r="AA17" s="324"/>
      <c r="AB17" s="324"/>
      <c r="AC17" s="324"/>
      <c r="AD17" s="324"/>
      <c r="AE17" s="324"/>
      <c r="AF17" s="324"/>
      <c r="AG17" s="324"/>
      <c r="AH17" s="324"/>
      <c r="AI17" s="324"/>
      <c r="AJ17" s="324"/>
      <c r="AK17" s="324"/>
      <c r="AL17" s="324"/>
      <c r="AM17" s="325" t="str">
        <f aca="false">IF(COUNTA(D17:AL17)=0,"",COUNTA(D17:AL17))</f>
        <v/>
      </c>
      <c r="AN17" s="325"/>
      <c r="AO17" s="325"/>
      <c r="AP17" s="322"/>
    </row>
    <row r="18" s="326" customFormat="true" ht="14.25" hidden="false" customHeight="false" outlineLevel="0" collapsed="false">
      <c r="A18" s="322"/>
      <c r="B18" s="325" t="str">
        <f aca="false">IF('Master Data'!H13="","",'Master Data'!H13)</f>
        <v/>
      </c>
      <c r="C18" s="325" t="str">
        <f aca="false">IF('Master Data'!I13="","",'Master Data'!I13)</f>
        <v/>
      </c>
      <c r="D18" s="324"/>
      <c r="E18" s="324"/>
      <c r="F18" s="324"/>
      <c r="G18" s="324"/>
      <c r="H18" s="324"/>
      <c r="I18" s="324"/>
      <c r="J18" s="324"/>
      <c r="K18" s="324"/>
      <c r="L18" s="324"/>
      <c r="M18" s="324"/>
      <c r="N18" s="324"/>
      <c r="O18" s="324"/>
      <c r="P18" s="324"/>
      <c r="Q18" s="324"/>
      <c r="R18" s="324"/>
      <c r="S18" s="324"/>
      <c r="T18" s="324"/>
      <c r="U18" s="324"/>
      <c r="V18" s="324"/>
      <c r="W18" s="324"/>
      <c r="X18" s="324"/>
      <c r="Y18" s="324"/>
      <c r="Z18" s="324"/>
      <c r="AA18" s="324"/>
      <c r="AB18" s="324"/>
      <c r="AC18" s="324"/>
      <c r="AD18" s="324"/>
      <c r="AE18" s="324"/>
      <c r="AF18" s="324"/>
      <c r="AG18" s="324"/>
      <c r="AH18" s="324"/>
      <c r="AI18" s="324"/>
      <c r="AJ18" s="324"/>
      <c r="AK18" s="324"/>
      <c r="AL18" s="324"/>
      <c r="AM18" s="325" t="str">
        <f aca="false">IF(COUNTA(D18:AL18)=0,"",COUNTA(D18:AL18))</f>
        <v/>
      </c>
      <c r="AN18" s="325"/>
      <c r="AO18" s="325"/>
      <c r="AP18" s="322"/>
    </row>
    <row r="19" s="326" customFormat="true" ht="14.25" hidden="false" customHeight="false" outlineLevel="0" collapsed="false">
      <c r="A19" s="322"/>
      <c r="B19" s="325" t="str">
        <f aca="false">IF('Master Data'!H14="","",'Master Data'!H14)</f>
        <v/>
      </c>
      <c r="C19" s="325" t="str">
        <f aca="false">IF('Master Data'!I14="","",'Master Data'!I14)</f>
        <v/>
      </c>
      <c r="D19" s="324"/>
      <c r="E19" s="324"/>
      <c r="F19" s="324"/>
      <c r="G19" s="324"/>
      <c r="H19" s="324"/>
      <c r="I19" s="324"/>
      <c r="J19" s="324"/>
      <c r="K19" s="324"/>
      <c r="L19" s="324"/>
      <c r="M19" s="324"/>
      <c r="N19" s="324"/>
      <c r="O19" s="324"/>
      <c r="P19" s="324"/>
      <c r="Q19" s="324"/>
      <c r="R19" s="324"/>
      <c r="S19" s="324"/>
      <c r="T19" s="324"/>
      <c r="U19" s="324"/>
      <c r="V19" s="324"/>
      <c r="W19" s="324"/>
      <c r="X19" s="324"/>
      <c r="Y19" s="324"/>
      <c r="Z19" s="324"/>
      <c r="AA19" s="324"/>
      <c r="AB19" s="324"/>
      <c r="AC19" s="324"/>
      <c r="AD19" s="324"/>
      <c r="AE19" s="324"/>
      <c r="AF19" s="324"/>
      <c r="AG19" s="324"/>
      <c r="AH19" s="324"/>
      <c r="AI19" s="324"/>
      <c r="AJ19" s="324"/>
      <c r="AK19" s="324"/>
      <c r="AL19" s="324"/>
      <c r="AM19" s="325" t="str">
        <f aca="false">IF(COUNTA(D19:AL19)=0,"",COUNTA(D19:AL19))</f>
        <v/>
      </c>
      <c r="AN19" s="325"/>
      <c r="AO19" s="325"/>
      <c r="AP19" s="322"/>
    </row>
    <row r="20" s="326" customFormat="true" ht="14.25" hidden="false" customHeight="false" outlineLevel="0" collapsed="false">
      <c r="A20" s="322"/>
      <c r="B20" s="325" t="str">
        <f aca="false">IF('Master Data'!H15="","",'Master Data'!H15)</f>
        <v/>
      </c>
      <c r="C20" s="325" t="str">
        <f aca="false">IF('Master Data'!I15="","",'Master Data'!I15)</f>
        <v/>
      </c>
      <c r="D20" s="324"/>
      <c r="E20" s="324"/>
      <c r="F20" s="324"/>
      <c r="G20" s="324"/>
      <c r="H20" s="324"/>
      <c r="I20" s="324"/>
      <c r="J20" s="324"/>
      <c r="K20" s="324"/>
      <c r="L20" s="324"/>
      <c r="M20" s="324"/>
      <c r="N20" s="324"/>
      <c r="O20" s="324"/>
      <c r="P20" s="324"/>
      <c r="Q20" s="324"/>
      <c r="R20" s="324"/>
      <c r="S20" s="324"/>
      <c r="T20" s="324"/>
      <c r="U20" s="324"/>
      <c r="V20" s="324"/>
      <c r="W20" s="324"/>
      <c r="X20" s="324"/>
      <c r="Y20" s="324"/>
      <c r="Z20" s="324"/>
      <c r="AA20" s="324"/>
      <c r="AB20" s="324"/>
      <c r="AC20" s="324"/>
      <c r="AD20" s="324"/>
      <c r="AE20" s="324"/>
      <c r="AF20" s="324"/>
      <c r="AG20" s="324"/>
      <c r="AH20" s="324"/>
      <c r="AI20" s="324"/>
      <c r="AJ20" s="324"/>
      <c r="AK20" s="324"/>
      <c r="AL20" s="324"/>
      <c r="AM20" s="325" t="str">
        <f aca="false">IF(COUNTA(D20:AL20)=0,"",COUNTA(D20:AL20))</f>
        <v/>
      </c>
      <c r="AN20" s="325"/>
      <c r="AO20" s="325"/>
      <c r="AP20" s="322"/>
    </row>
    <row r="21" s="326" customFormat="true" ht="14.25" hidden="false" customHeight="false" outlineLevel="0" collapsed="false">
      <c r="A21" s="322"/>
      <c r="B21" s="325" t="str">
        <f aca="false">IF('Master Data'!H16="","",'Master Data'!H16)</f>
        <v/>
      </c>
      <c r="C21" s="325" t="str">
        <f aca="false">IF('Master Data'!I16="","",'Master Data'!I16)</f>
        <v/>
      </c>
      <c r="D21" s="324"/>
      <c r="E21" s="324"/>
      <c r="F21" s="324"/>
      <c r="G21" s="324"/>
      <c r="H21" s="324"/>
      <c r="I21" s="324"/>
      <c r="J21" s="324"/>
      <c r="K21" s="324"/>
      <c r="L21" s="324"/>
      <c r="M21" s="324"/>
      <c r="N21" s="324"/>
      <c r="O21" s="324"/>
      <c r="P21" s="324"/>
      <c r="Q21" s="324"/>
      <c r="R21" s="324"/>
      <c r="S21" s="324"/>
      <c r="T21" s="324"/>
      <c r="U21" s="324"/>
      <c r="V21" s="324"/>
      <c r="W21" s="324"/>
      <c r="X21" s="324"/>
      <c r="Y21" s="324"/>
      <c r="Z21" s="324"/>
      <c r="AA21" s="324"/>
      <c r="AB21" s="324"/>
      <c r="AC21" s="324"/>
      <c r="AD21" s="324"/>
      <c r="AE21" s="324"/>
      <c r="AF21" s="324"/>
      <c r="AG21" s="324"/>
      <c r="AH21" s="324"/>
      <c r="AI21" s="324"/>
      <c r="AJ21" s="324"/>
      <c r="AK21" s="324"/>
      <c r="AL21" s="324"/>
      <c r="AM21" s="325" t="str">
        <f aca="false">IF(COUNTA(D21:AL21)=0,"",COUNTA(D21:AL21))</f>
        <v/>
      </c>
      <c r="AN21" s="325"/>
      <c r="AO21" s="325"/>
      <c r="AP21" s="322"/>
    </row>
    <row r="22" s="326" customFormat="true" ht="14.25" hidden="false" customHeight="false" outlineLevel="0" collapsed="false">
      <c r="A22" s="322"/>
      <c r="B22" s="325" t="str">
        <f aca="false">IF('Master Data'!H17="","",'Master Data'!H17)</f>
        <v/>
      </c>
      <c r="C22" s="325" t="str">
        <f aca="false">IF('Master Data'!I17="","",'Master Data'!I17)</f>
        <v/>
      </c>
      <c r="D22" s="324"/>
      <c r="E22" s="324"/>
      <c r="F22" s="324"/>
      <c r="G22" s="324"/>
      <c r="H22" s="324"/>
      <c r="I22" s="324"/>
      <c r="J22" s="324"/>
      <c r="K22" s="324"/>
      <c r="L22" s="324"/>
      <c r="M22" s="324"/>
      <c r="N22" s="324"/>
      <c r="O22" s="324"/>
      <c r="P22" s="324"/>
      <c r="Q22" s="324"/>
      <c r="R22" s="324"/>
      <c r="S22" s="324"/>
      <c r="T22" s="324"/>
      <c r="U22" s="324"/>
      <c r="V22" s="324"/>
      <c r="W22" s="324"/>
      <c r="X22" s="324"/>
      <c r="Y22" s="324"/>
      <c r="Z22" s="324"/>
      <c r="AA22" s="324"/>
      <c r="AB22" s="324"/>
      <c r="AC22" s="324"/>
      <c r="AD22" s="324"/>
      <c r="AE22" s="324"/>
      <c r="AF22" s="324"/>
      <c r="AG22" s="324"/>
      <c r="AH22" s="324"/>
      <c r="AI22" s="324"/>
      <c r="AJ22" s="324"/>
      <c r="AK22" s="324"/>
      <c r="AL22" s="324"/>
      <c r="AM22" s="325" t="str">
        <f aca="false">IF(COUNTA(D22:AL22)=0,"",COUNTA(D22:AL22))</f>
        <v/>
      </c>
      <c r="AN22" s="325"/>
      <c r="AO22" s="325"/>
      <c r="AP22" s="322"/>
      <c r="AR22" s="326" t="n">
        <f aca="false">IF(D22="X",1,0)</f>
        <v>0</v>
      </c>
      <c r="AS22" s="326" t="n">
        <f aca="false">IF(E22="X",1,0)</f>
        <v>0</v>
      </c>
      <c r="AT22" s="326" t="n">
        <f aca="false">IF(F22="X",1,0)</f>
        <v>0</v>
      </c>
      <c r="AU22" s="326" t="n">
        <f aca="false">IF(G22="X",1,0)</f>
        <v>0</v>
      </c>
      <c r="AV22" s="326" t="n">
        <f aca="false">IF(H22="X",1,0)</f>
        <v>0</v>
      </c>
      <c r="AW22" s="326" t="n">
        <f aca="false">IF(I22="X",1,0)</f>
        <v>0</v>
      </c>
      <c r="AX22" s="326" t="n">
        <f aca="false">IF(J22="X",1,0)</f>
        <v>0</v>
      </c>
      <c r="AY22" s="326" t="n">
        <f aca="false">IF(K22="X",1,0)</f>
        <v>0</v>
      </c>
      <c r="AZ22" s="326" t="n">
        <f aca="false">IF(L22="X",1,0)</f>
        <v>0</v>
      </c>
      <c r="BA22" s="326" t="n">
        <f aca="false">IF(M22="X",1,0)</f>
        <v>0</v>
      </c>
      <c r="BB22" s="326" t="n">
        <f aca="false">IF(N22="X",1,0)</f>
        <v>0</v>
      </c>
      <c r="BC22" s="326" t="n">
        <f aca="false">IF(O22="X",1,0)</f>
        <v>0</v>
      </c>
      <c r="BD22" s="326" t="n">
        <f aca="false">IF(P22="X",1,0)</f>
        <v>0</v>
      </c>
      <c r="BE22" s="326" t="n">
        <f aca="false">IF(Q22="X",1,0)</f>
        <v>0</v>
      </c>
      <c r="BF22" s="326" t="n">
        <f aca="false">IF(R22="X",1,0)</f>
        <v>0</v>
      </c>
      <c r="BG22" s="326" t="n">
        <f aca="false">IF(S22="X",1,0)</f>
        <v>0</v>
      </c>
      <c r="BH22" s="326" t="n">
        <f aca="false">IF(T22="X",1,0)</f>
        <v>0</v>
      </c>
      <c r="BI22" s="326" t="n">
        <f aca="false">IF(U22="X",1,0)</f>
        <v>0</v>
      </c>
      <c r="BJ22" s="326" t="n">
        <f aca="false">IF(V22="X",1,0)</f>
        <v>0</v>
      </c>
      <c r="BK22" s="326" t="n">
        <f aca="false">IF(W22="X",1,0)</f>
        <v>0</v>
      </c>
      <c r="BL22" s="326" t="n">
        <f aca="false">IF(X22="X",1,0)</f>
        <v>0</v>
      </c>
      <c r="BM22" s="326" t="n">
        <f aca="false">IF(Y22="X",1,0)</f>
        <v>0</v>
      </c>
      <c r="BN22" s="326" t="n">
        <f aca="false">IF(Z22="X",1,0)</f>
        <v>0</v>
      </c>
      <c r="BO22" s="326" t="n">
        <f aca="false">IF(AA22="X",1,0)</f>
        <v>0</v>
      </c>
      <c r="BP22" s="326" t="n">
        <f aca="false">IF(AB22="X",1,0)</f>
        <v>0</v>
      </c>
      <c r="BQ22" s="326" t="n">
        <f aca="false">IF(AC22="X",1,0)</f>
        <v>0</v>
      </c>
      <c r="BR22" s="326" t="n">
        <f aca="false">IF(AD22="X",1,0)</f>
        <v>0</v>
      </c>
      <c r="BS22" s="326" t="n">
        <f aca="false">IF(AE22="X",1,0)</f>
        <v>0</v>
      </c>
      <c r="BT22" s="326" t="n">
        <f aca="false">IF(AF22="X",1,0)</f>
        <v>0</v>
      </c>
      <c r="BU22" s="326" t="n">
        <f aca="false">IF(AG22="X",1,0)</f>
        <v>0</v>
      </c>
      <c r="BV22" s="326" t="n">
        <f aca="false">IF(AH22="X",1,0)</f>
        <v>0</v>
      </c>
      <c r="BW22" s="326" t="n">
        <f aca="false">IF(AI22="X",1,0)</f>
        <v>0</v>
      </c>
      <c r="BX22" s="326" t="n">
        <f aca="false">IF(AJ22="X",1,0)</f>
        <v>0</v>
      </c>
      <c r="BY22" s="326" t="n">
        <f aca="false">IF(AK22="X",1,0)</f>
        <v>0</v>
      </c>
      <c r="BZ22" s="326" t="n">
        <f aca="false">IF(AL22="X",1,0)</f>
        <v>0</v>
      </c>
      <c r="CA22" s="326" t="n">
        <f aca="false">IF(AM22="X",1,0)</f>
        <v>0</v>
      </c>
      <c r="CB22" s="326" t="n">
        <f aca="false">IF(AN22="X",1,0)</f>
        <v>0</v>
      </c>
    </row>
    <row r="23" customFormat="false" ht="14.25" hidden="false" customHeight="false" outlineLevel="0" collapsed="false">
      <c r="A23" s="294"/>
      <c r="B23" s="325" t="str">
        <f aca="false">IF('Master Data'!H18="","",'Master Data'!H18)</f>
        <v/>
      </c>
      <c r="C23" s="325" t="str">
        <f aca="false">IF('Master Data'!I18="","",'Master Data'!I18)</f>
        <v/>
      </c>
      <c r="D23" s="324"/>
      <c r="E23" s="324"/>
      <c r="F23" s="324"/>
      <c r="G23" s="324"/>
      <c r="H23" s="324"/>
      <c r="I23" s="324"/>
      <c r="J23" s="324"/>
      <c r="K23" s="324"/>
      <c r="L23" s="324"/>
      <c r="M23" s="324"/>
      <c r="N23" s="324"/>
      <c r="O23" s="324"/>
      <c r="P23" s="324"/>
      <c r="Q23" s="324"/>
      <c r="R23" s="324"/>
      <c r="S23" s="324"/>
      <c r="T23" s="324"/>
      <c r="U23" s="324"/>
      <c r="V23" s="324"/>
      <c r="W23" s="324"/>
      <c r="X23" s="324"/>
      <c r="Y23" s="324"/>
      <c r="Z23" s="324"/>
      <c r="AA23" s="324"/>
      <c r="AB23" s="324"/>
      <c r="AC23" s="324"/>
      <c r="AD23" s="324"/>
      <c r="AE23" s="324"/>
      <c r="AF23" s="324"/>
      <c r="AG23" s="324"/>
      <c r="AH23" s="324"/>
      <c r="AI23" s="324"/>
      <c r="AJ23" s="324"/>
      <c r="AK23" s="324"/>
      <c r="AL23" s="324"/>
      <c r="AM23" s="325" t="str">
        <f aca="false">IF(COUNTA(D23:AL23)=0,"",COUNTA(D23:AL23))</f>
        <v/>
      </c>
      <c r="AN23" s="325"/>
      <c r="AO23" s="325"/>
      <c r="AP23" s="294"/>
      <c r="AR23" s="326" t="n">
        <f aca="false">IF(D23="X",1,0)</f>
        <v>0</v>
      </c>
      <c r="AS23" s="326" t="n">
        <f aca="false">IF(E23="X",1,0)</f>
        <v>0</v>
      </c>
      <c r="AT23" s="326" t="n">
        <f aca="false">IF(F23="X",1,0)</f>
        <v>0</v>
      </c>
      <c r="AU23" s="326" t="n">
        <f aca="false">IF(G23="X",1,0)</f>
        <v>0</v>
      </c>
      <c r="AV23" s="326" t="n">
        <f aca="false">IF(H23="X",1,0)</f>
        <v>0</v>
      </c>
      <c r="AW23" s="326" t="n">
        <f aca="false">IF(I23="X",1,0)</f>
        <v>0</v>
      </c>
      <c r="AX23" s="326" t="n">
        <f aca="false">IF(J23="X",1,0)</f>
        <v>0</v>
      </c>
      <c r="AY23" s="326" t="n">
        <f aca="false">IF(K23="X",1,0)</f>
        <v>0</v>
      </c>
      <c r="AZ23" s="326" t="n">
        <f aca="false">IF(L23="X",1,0)</f>
        <v>0</v>
      </c>
      <c r="BA23" s="326" t="n">
        <f aca="false">IF(M23="X",1,0)</f>
        <v>0</v>
      </c>
      <c r="BB23" s="326" t="n">
        <f aca="false">IF(N23="X",1,0)</f>
        <v>0</v>
      </c>
      <c r="BC23" s="326" t="n">
        <f aca="false">IF(O23="X",1,0)</f>
        <v>0</v>
      </c>
      <c r="BD23" s="326" t="n">
        <f aca="false">IF(P23="X",1,0)</f>
        <v>0</v>
      </c>
      <c r="BE23" s="326" t="n">
        <f aca="false">IF(Q23="X",1,0)</f>
        <v>0</v>
      </c>
      <c r="BF23" s="326" t="n">
        <f aca="false">IF(R23="X",1,0)</f>
        <v>0</v>
      </c>
      <c r="BG23" s="326" t="n">
        <f aca="false">IF(S23="X",1,0)</f>
        <v>0</v>
      </c>
      <c r="BH23" s="326" t="n">
        <f aca="false">IF(T23="X",1,0)</f>
        <v>0</v>
      </c>
      <c r="BI23" s="326" t="n">
        <f aca="false">IF(U23="X",1,0)</f>
        <v>0</v>
      </c>
      <c r="BJ23" s="326" t="n">
        <f aca="false">IF(V23="X",1,0)</f>
        <v>0</v>
      </c>
      <c r="BK23" s="326" t="n">
        <f aca="false">IF(W23="X",1,0)</f>
        <v>0</v>
      </c>
      <c r="BL23" s="326" t="n">
        <f aca="false">IF(X23="X",1,0)</f>
        <v>0</v>
      </c>
      <c r="BM23" s="326" t="n">
        <f aca="false">IF(Y23="X",1,0)</f>
        <v>0</v>
      </c>
      <c r="BN23" s="326" t="n">
        <f aca="false">IF(Z23="X",1,0)</f>
        <v>0</v>
      </c>
      <c r="BO23" s="326" t="n">
        <f aca="false">IF(AA23="X",1,0)</f>
        <v>0</v>
      </c>
      <c r="BP23" s="326" t="n">
        <f aca="false">IF(AB23="X",1,0)</f>
        <v>0</v>
      </c>
      <c r="BQ23" s="326" t="n">
        <f aca="false">IF(AC23="X",1,0)</f>
        <v>0</v>
      </c>
      <c r="BR23" s="326" t="n">
        <f aca="false">IF(AD23="X",1,0)</f>
        <v>0</v>
      </c>
      <c r="BS23" s="326" t="n">
        <f aca="false">IF(AE23="X",1,0)</f>
        <v>0</v>
      </c>
      <c r="BT23" s="326" t="n">
        <f aca="false">IF(AF23="X",1,0)</f>
        <v>0</v>
      </c>
      <c r="BU23" s="326" t="n">
        <f aca="false">IF(AG23="X",1,0)</f>
        <v>0</v>
      </c>
      <c r="BV23" s="326" t="n">
        <f aca="false">IF(AH23="X",1,0)</f>
        <v>0</v>
      </c>
      <c r="BW23" s="326" t="n">
        <f aca="false">IF(AI23="X",1,0)</f>
        <v>0</v>
      </c>
      <c r="BX23" s="326" t="n">
        <f aca="false">IF(AJ23="X",1,0)</f>
        <v>0</v>
      </c>
      <c r="BY23" s="326" t="n">
        <f aca="false">IF(AK23="X",1,0)</f>
        <v>0</v>
      </c>
      <c r="BZ23" s="326" t="n">
        <f aca="false">IF(AL23="X",1,0)</f>
        <v>0</v>
      </c>
      <c r="CA23" s="326" t="n">
        <f aca="false">IF(AM23="X",1,0)</f>
        <v>0</v>
      </c>
      <c r="CB23" s="326" t="n">
        <f aca="false">IF(AN23="X",1,0)</f>
        <v>0</v>
      </c>
    </row>
    <row r="24" customFormat="false" ht="14.25" hidden="false" customHeight="true" outlineLevel="0" collapsed="false">
      <c r="A24" s="294"/>
      <c r="B24" s="319" t="s">
        <v>287</v>
      </c>
      <c r="C24" s="319" t="s">
        <v>288</v>
      </c>
      <c r="D24" s="328"/>
      <c r="E24" s="328"/>
      <c r="F24" s="328"/>
      <c r="G24" s="328"/>
      <c r="H24" s="328"/>
      <c r="I24" s="328"/>
      <c r="J24" s="328"/>
      <c r="K24" s="328"/>
      <c r="L24" s="328"/>
      <c r="M24" s="328"/>
      <c r="N24" s="328"/>
      <c r="O24" s="328"/>
      <c r="P24" s="328"/>
      <c r="Q24" s="328"/>
      <c r="R24" s="328"/>
      <c r="S24" s="328"/>
      <c r="T24" s="328"/>
      <c r="U24" s="328"/>
      <c r="V24" s="328"/>
      <c r="W24" s="328"/>
      <c r="X24" s="328"/>
      <c r="Y24" s="328"/>
      <c r="Z24" s="328"/>
      <c r="AA24" s="328"/>
      <c r="AB24" s="328"/>
      <c r="AC24" s="328"/>
      <c r="AD24" s="328"/>
      <c r="AE24" s="328"/>
      <c r="AF24" s="328"/>
      <c r="AG24" s="328"/>
      <c r="AH24" s="328"/>
      <c r="AI24" s="328"/>
      <c r="AJ24" s="328"/>
      <c r="AK24" s="328"/>
      <c r="AL24" s="328"/>
      <c r="AM24" s="329"/>
      <c r="AN24" s="329"/>
      <c r="AO24" s="329"/>
      <c r="AP24" s="294"/>
      <c r="AR24" s="326"/>
      <c r="AS24" s="326"/>
      <c r="AT24" s="326"/>
      <c r="AU24" s="326"/>
      <c r="AV24" s="326"/>
      <c r="AW24" s="326"/>
      <c r="AX24" s="326"/>
      <c r="AY24" s="326"/>
      <c r="AZ24" s="326"/>
      <c r="BA24" s="326"/>
      <c r="BB24" s="326"/>
      <c r="BC24" s="326"/>
      <c r="BD24" s="326"/>
      <c r="BE24" s="326"/>
      <c r="BF24" s="326"/>
      <c r="BG24" s="326"/>
      <c r="BH24" s="326"/>
      <c r="BI24" s="326"/>
      <c r="BJ24" s="326"/>
      <c r="BK24" s="326"/>
      <c r="BL24" s="326"/>
      <c r="BM24" s="326"/>
      <c r="BN24" s="326"/>
      <c r="BO24" s="326"/>
      <c r="BP24" s="326"/>
      <c r="BQ24" s="326"/>
      <c r="BR24" s="326"/>
      <c r="BS24" s="326"/>
      <c r="BT24" s="326"/>
      <c r="BU24" s="326"/>
      <c r="BV24" s="326"/>
      <c r="BW24" s="326"/>
      <c r="BX24" s="326"/>
      <c r="BY24" s="326"/>
      <c r="BZ24" s="326"/>
      <c r="CA24" s="326"/>
      <c r="CB24" s="326"/>
    </row>
    <row r="25" customFormat="false" ht="14.25" hidden="false" customHeight="true" outlineLevel="0" collapsed="false">
      <c r="A25" s="294"/>
      <c r="B25" s="330" t="str">
        <f aca="false">'MS2'!F11</f>
        <v>CON-TAC21-06</v>
      </c>
      <c r="C25" s="331" t="str">
        <f aca="false">'MS2'!G11</f>
        <v>BASKET, EQUIPMENT OFFSHORE</v>
      </c>
      <c r="D25" s="324" t="s">
        <v>286</v>
      </c>
      <c r="E25" s="324" t="s">
        <v>286</v>
      </c>
      <c r="F25" s="324" t="s">
        <v>286</v>
      </c>
      <c r="G25" s="324" t="s">
        <v>286</v>
      </c>
      <c r="H25" s="324" t="s">
        <v>286</v>
      </c>
      <c r="I25" s="324" t="s">
        <v>286</v>
      </c>
      <c r="J25" s="332"/>
      <c r="K25" s="332"/>
      <c r="L25" s="332"/>
      <c r="M25" s="332"/>
      <c r="N25" s="332"/>
      <c r="O25" s="333"/>
      <c r="P25" s="333"/>
      <c r="Q25" s="333"/>
      <c r="R25" s="333"/>
      <c r="S25" s="333"/>
      <c r="T25" s="333"/>
      <c r="U25" s="333"/>
      <c r="V25" s="333"/>
      <c r="W25" s="333"/>
      <c r="X25" s="333"/>
      <c r="Y25" s="333"/>
      <c r="Z25" s="327"/>
      <c r="AA25" s="327"/>
      <c r="AB25" s="327"/>
      <c r="AC25" s="327"/>
      <c r="AD25" s="327"/>
      <c r="AE25" s="327"/>
      <c r="AF25" s="327"/>
      <c r="AG25" s="327"/>
      <c r="AH25" s="332"/>
      <c r="AI25" s="332"/>
      <c r="AJ25" s="332"/>
      <c r="AK25" s="332"/>
      <c r="AL25" s="332"/>
      <c r="AM25" s="325" t="n">
        <f aca="false">IF(COUNTA(D25:AL25)=0,"",COUNTA(D25:AL25))</f>
        <v>6</v>
      </c>
      <c r="AN25" s="325"/>
      <c r="AO25" s="325"/>
      <c r="AP25" s="294"/>
      <c r="AR25" s="326" t="n">
        <f aca="false">IF(D25="X",1,0)</f>
        <v>1</v>
      </c>
      <c r="AS25" s="326" t="n">
        <f aca="false">IF(E25="X",1,0)</f>
        <v>1</v>
      </c>
      <c r="AT25" s="326" t="n">
        <f aca="false">IF(F25="X",1,0)</f>
        <v>1</v>
      </c>
      <c r="AU25" s="326" t="n">
        <f aca="false">IF(G25="X",1,0)</f>
        <v>1</v>
      </c>
      <c r="AV25" s="326" t="n">
        <f aca="false">IF(H25="X",1,0)</f>
        <v>1</v>
      </c>
      <c r="AW25" s="326" t="n">
        <f aca="false">IF(I25="X",1,0)</f>
        <v>1</v>
      </c>
      <c r="AX25" s="326" t="n">
        <f aca="false">IF(J25="X",1,0)</f>
        <v>0</v>
      </c>
      <c r="AY25" s="326" t="n">
        <f aca="false">IF(K25="X",1,0)</f>
        <v>0</v>
      </c>
      <c r="AZ25" s="326" t="n">
        <f aca="false">IF(L25="X",1,0)</f>
        <v>0</v>
      </c>
      <c r="BA25" s="326" t="n">
        <f aca="false">IF(M25="X",1,0)</f>
        <v>0</v>
      </c>
      <c r="BB25" s="326" t="n">
        <f aca="false">IF(N25="X",1,0)</f>
        <v>0</v>
      </c>
      <c r="BC25" s="326" t="n">
        <f aca="false">IF(O25="X",1,0)</f>
        <v>0</v>
      </c>
      <c r="BD25" s="326" t="n">
        <f aca="false">IF(P25="X",1,0)</f>
        <v>0</v>
      </c>
      <c r="BE25" s="326" t="n">
        <f aca="false">IF(Q25="X",1,0)</f>
        <v>0</v>
      </c>
      <c r="BF25" s="326" t="n">
        <f aca="false">IF(R25="X",1,0)</f>
        <v>0</v>
      </c>
      <c r="BG25" s="326" t="n">
        <f aca="false">IF(S25="X",1,0)</f>
        <v>0</v>
      </c>
      <c r="BH25" s="326" t="n">
        <f aca="false">IF(T25="X",1,0)</f>
        <v>0</v>
      </c>
      <c r="BI25" s="326" t="n">
        <f aca="false">IF(U25="X",1,0)</f>
        <v>0</v>
      </c>
      <c r="BJ25" s="326" t="n">
        <f aca="false">IF(V25="X",1,0)</f>
        <v>0</v>
      </c>
      <c r="BK25" s="326" t="n">
        <f aca="false">IF(W25="X",1,0)</f>
        <v>0</v>
      </c>
      <c r="BL25" s="326" t="n">
        <f aca="false">IF(X25="X",1,0)</f>
        <v>0</v>
      </c>
      <c r="BM25" s="326" t="n">
        <f aca="false">IF(Y25="X",1,0)</f>
        <v>0</v>
      </c>
      <c r="BN25" s="326" t="n">
        <f aca="false">IF(Z25="X",1,0)</f>
        <v>0</v>
      </c>
      <c r="BO25" s="326" t="n">
        <f aca="false">IF(AA25="X",1,0)</f>
        <v>0</v>
      </c>
      <c r="BP25" s="326" t="n">
        <f aca="false">IF(AB25="X",1,0)</f>
        <v>0</v>
      </c>
      <c r="BQ25" s="326" t="n">
        <f aca="false">IF(AC25="X",1,0)</f>
        <v>0</v>
      </c>
      <c r="BR25" s="326" t="n">
        <f aca="false">IF(AD25="X",1,0)</f>
        <v>0</v>
      </c>
      <c r="BS25" s="326" t="n">
        <f aca="false">IF(AE25="X",1,0)</f>
        <v>0</v>
      </c>
      <c r="BT25" s="326" t="n">
        <f aca="false">IF(AF25="X",1,0)</f>
        <v>0</v>
      </c>
      <c r="BU25" s="326" t="n">
        <f aca="false">IF(AG25="X",1,0)</f>
        <v>0</v>
      </c>
      <c r="BV25" s="326" t="n">
        <f aca="false">IF(AH25="X",1,0)</f>
        <v>0</v>
      </c>
      <c r="BW25" s="326" t="n">
        <f aca="false">IF(AI25="X",1,0)</f>
        <v>0</v>
      </c>
      <c r="BX25" s="326" t="n">
        <f aca="false">IF(AJ25="X",1,0)</f>
        <v>0</v>
      </c>
      <c r="BY25" s="326" t="n">
        <f aca="false">IF(AK25="X",1,0)</f>
        <v>0</v>
      </c>
      <c r="BZ25" s="326" t="n">
        <f aca="false">IF(AL25="X",1,0)</f>
        <v>0</v>
      </c>
      <c r="CA25" s="326" t="n">
        <f aca="false">IF(AM25="X",1,0)</f>
        <v>0</v>
      </c>
      <c r="CB25" s="326" t="n">
        <f aca="false">IF(AN25="X",1,0)</f>
        <v>0</v>
      </c>
    </row>
    <row r="26" customFormat="false" ht="14.25" hidden="false" customHeight="true" outlineLevel="0" collapsed="false">
      <c r="A26" s="294"/>
      <c r="B26" s="334" t="str">
        <f aca="false">'MS2'!F12</f>
        <v>RZ060-012</v>
      </c>
      <c r="C26" s="335" t="str">
        <f aca="false">'MS2'!G12</f>
        <v>TOOLBOX, OFFSHORE - WELLSITE</v>
      </c>
      <c r="D26" s="333"/>
      <c r="E26" s="333"/>
      <c r="F26" s="333"/>
      <c r="G26" s="333"/>
      <c r="H26" s="333"/>
      <c r="I26" s="333"/>
      <c r="J26" s="333"/>
      <c r="K26" s="333"/>
      <c r="L26" s="333"/>
      <c r="M26" s="333"/>
      <c r="N26" s="333"/>
      <c r="O26" s="333"/>
      <c r="P26" s="333"/>
      <c r="Q26" s="333"/>
      <c r="R26" s="333"/>
      <c r="S26" s="333"/>
      <c r="T26" s="333"/>
      <c r="U26" s="333"/>
      <c r="V26" s="333"/>
      <c r="W26" s="333"/>
      <c r="X26" s="333"/>
      <c r="Y26" s="333"/>
      <c r="Z26" s="327"/>
      <c r="AA26" s="327"/>
      <c r="AB26" s="327"/>
      <c r="AC26" s="327"/>
      <c r="AD26" s="327"/>
      <c r="AE26" s="327"/>
      <c r="AF26" s="327"/>
      <c r="AG26" s="327"/>
      <c r="AH26" s="327"/>
      <c r="AI26" s="333"/>
      <c r="AJ26" s="333"/>
      <c r="AK26" s="333"/>
      <c r="AL26" s="333"/>
      <c r="AM26" s="325" t="str">
        <f aca="false">IF(COUNTA(D26:AL26)=0,"",COUNTA(D26:AL26))</f>
        <v/>
      </c>
      <c r="AN26" s="325"/>
      <c r="AO26" s="325"/>
      <c r="AP26" s="294"/>
      <c r="AR26" s="326" t="n">
        <f aca="false">IF(D26="X",1,0)</f>
        <v>0</v>
      </c>
      <c r="AS26" s="326" t="n">
        <f aca="false">IF(E26="X",1,0)</f>
        <v>0</v>
      </c>
      <c r="AT26" s="326" t="n">
        <f aca="false">IF(F26="X",1,0)</f>
        <v>0</v>
      </c>
      <c r="AU26" s="326" t="n">
        <f aca="false">IF(G26="X",1,0)</f>
        <v>0</v>
      </c>
      <c r="AV26" s="326" t="n">
        <f aca="false">IF(H26="X",1,0)</f>
        <v>0</v>
      </c>
      <c r="AW26" s="326" t="n">
        <f aca="false">IF(I26="X",1,0)</f>
        <v>0</v>
      </c>
      <c r="AX26" s="326" t="n">
        <f aca="false">IF(J26="X",1,0)</f>
        <v>0</v>
      </c>
      <c r="AY26" s="326" t="n">
        <f aca="false">IF(K26="X",1,0)</f>
        <v>0</v>
      </c>
      <c r="AZ26" s="326" t="n">
        <f aca="false">IF(L26="X",1,0)</f>
        <v>0</v>
      </c>
      <c r="BA26" s="326" t="n">
        <f aca="false">IF(M26="X",1,0)</f>
        <v>0</v>
      </c>
      <c r="BB26" s="326" t="n">
        <f aca="false">IF(N26="X",1,0)</f>
        <v>0</v>
      </c>
      <c r="BC26" s="326" t="n">
        <f aca="false">IF(O26="X",1,0)</f>
        <v>0</v>
      </c>
      <c r="BD26" s="326" t="n">
        <f aca="false">IF(P26="X",1,0)</f>
        <v>0</v>
      </c>
      <c r="BE26" s="326" t="n">
        <f aca="false">IF(Q26="X",1,0)</f>
        <v>0</v>
      </c>
      <c r="BF26" s="326" t="n">
        <f aca="false">IF(R26="X",1,0)</f>
        <v>0</v>
      </c>
      <c r="BG26" s="326" t="n">
        <f aca="false">IF(S26="X",1,0)</f>
        <v>0</v>
      </c>
      <c r="BH26" s="326" t="n">
        <f aca="false">IF(T26="X",1,0)</f>
        <v>0</v>
      </c>
      <c r="BI26" s="326" t="n">
        <f aca="false">IF(U26="X",1,0)</f>
        <v>0</v>
      </c>
      <c r="BJ26" s="326" t="n">
        <f aca="false">IF(V26="X",1,0)</f>
        <v>0</v>
      </c>
      <c r="BK26" s="326" t="n">
        <f aca="false">IF(W26="X",1,0)</f>
        <v>0</v>
      </c>
      <c r="BL26" s="326" t="n">
        <f aca="false">IF(X26="X",1,0)</f>
        <v>0</v>
      </c>
      <c r="BM26" s="326" t="n">
        <f aca="false">IF(Y26="X",1,0)</f>
        <v>0</v>
      </c>
      <c r="BN26" s="326" t="n">
        <f aca="false">IF(Z26="X",1,0)</f>
        <v>0</v>
      </c>
      <c r="BO26" s="326" t="n">
        <f aca="false">IF(AA26="X",1,0)</f>
        <v>0</v>
      </c>
      <c r="BP26" s="326" t="n">
        <f aca="false">IF(AB26="X",1,0)</f>
        <v>0</v>
      </c>
      <c r="BQ26" s="326" t="n">
        <f aca="false">IF(AC26="X",1,0)</f>
        <v>0</v>
      </c>
      <c r="BR26" s="326" t="n">
        <f aca="false">IF(AD26="X",1,0)</f>
        <v>0</v>
      </c>
      <c r="BS26" s="326" t="n">
        <f aca="false">IF(AE26="X",1,0)</f>
        <v>0</v>
      </c>
      <c r="BT26" s="326" t="n">
        <f aca="false">IF(AF26="X",1,0)</f>
        <v>0</v>
      </c>
      <c r="BU26" s="326" t="n">
        <f aca="false">IF(AG26="X",1,0)</f>
        <v>0</v>
      </c>
      <c r="BV26" s="326" t="n">
        <f aca="false">IF(AH26="X",1,0)</f>
        <v>0</v>
      </c>
      <c r="BW26" s="326" t="n">
        <f aca="false">IF(AI26="X",1,0)</f>
        <v>0</v>
      </c>
      <c r="BX26" s="326" t="n">
        <f aca="false">IF(AJ26="X",1,0)</f>
        <v>0</v>
      </c>
      <c r="BY26" s="326" t="n">
        <f aca="false">IF(AK26="X",1,0)</f>
        <v>0</v>
      </c>
      <c r="BZ26" s="326" t="n">
        <f aca="false">IF(AL26="X",1,0)</f>
        <v>0</v>
      </c>
      <c r="CA26" s="326" t="n">
        <f aca="false">IF(AM26="X",1,0)</f>
        <v>0</v>
      </c>
      <c r="CB26" s="326" t="n">
        <f aca="false">IF(AN26="X",1,0)</f>
        <v>0</v>
      </c>
    </row>
    <row r="27" customFormat="false" ht="14.25" hidden="false" customHeight="false" outlineLevel="0" collapsed="false">
      <c r="A27" s="294"/>
      <c r="B27" s="330" t="str">
        <f aca="false">'MS2'!F13</f>
        <v>3254409</v>
      </c>
      <c r="C27" s="335" t="str">
        <f aca="false">'MS2'!G13</f>
        <v>PUMP, HYDRAULIC</v>
      </c>
      <c r="D27" s="333"/>
      <c r="E27" s="333"/>
      <c r="F27" s="333"/>
      <c r="G27" s="333"/>
      <c r="H27" s="333"/>
      <c r="I27" s="333"/>
      <c r="J27" s="333"/>
      <c r="K27" s="333"/>
      <c r="L27" s="333"/>
      <c r="M27" s="333"/>
      <c r="N27" s="333"/>
      <c r="O27" s="333"/>
      <c r="P27" s="333"/>
      <c r="Q27" s="333"/>
      <c r="R27" s="333"/>
      <c r="S27" s="333"/>
      <c r="T27" s="333"/>
      <c r="U27" s="333"/>
      <c r="V27" s="333"/>
      <c r="W27" s="333"/>
      <c r="X27" s="333"/>
      <c r="Y27" s="333"/>
      <c r="Z27" s="333"/>
      <c r="AA27" s="333"/>
      <c r="AB27" s="333"/>
      <c r="AC27" s="333"/>
      <c r="AD27" s="333"/>
      <c r="AE27" s="333"/>
      <c r="AF27" s="333"/>
      <c r="AG27" s="333"/>
      <c r="AH27" s="333"/>
      <c r="AI27" s="333"/>
      <c r="AJ27" s="333"/>
      <c r="AK27" s="333"/>
      <c r="AL27" s="333"/>
      <c r="AM27" s="325" t="str">
        <f aca="false">IF(COUNTA(D27:AL27)=0,"",COUNTA(D27:AL27))</f>
        <v/>
      </c>
      <c r="AN27" s="325"/>
      <c r="AO27" s="325"/>
      <c r="AP27" s="294"/>
      <c r="AR27" s="326" t="n">
        <f aca="false">IF(D27="X",1,0)</f>
        <v>0</v>
      </c>
      <c r="AS27" s="326" t="n">
        <f aca="false">IF(E27="X",1,0)</f>
        <v>0</v>
      </c>
      <c r="AT27" s="326" t="n">
        <f aca="false">IF(F27="X",1,0)</f>
        <v>0</v>
      </c>
      <c r="AU27" s="326" t="n">
        <f aca="false">IF(G27="X",1,0)</f>
        <v>0</v>
      </c>
      <c r="AV27" s="326" t="n">
        <f aca="false">IF(H27="X",1,0)</f>
        <v>0</v>
      </c>
      <c r="AW27" s="326" t="n">
        <f aca="false">IF(I27="X",1,0)</f>
        <v>0</v>
      </c>
      <c r="AX27" s="326" t="n">
        <f aca="false">IF(J27="X",1,0)</f>
        <v>0</v>
      </c>
      <c r="AY27" s="326" t="n">
        <f aca="false">IF(K27="X",1,0)</f>
        <v>0</v>
      </c>
      <c r="AZ27" s="326" t="n">
        <f aca="false">IF(L27="X",1,0)</f>
        <v>0</v>
      </c>
      <c r="BA27" s="326" t="n">
        <f aca="false">IF(M27="X",1,0)</f>
        <v>0</v>
      </c>
      <c r="BB27" s="326" t="n">
        <f aca="false">IF(N27="X",1,0)</f>
        <v>0</v>
      </c>
      <c r="BC27" s="326" t="n">
        <f aca="false">IF(O27="X",1,0)</f>
        <v>0</v>
      </c>
      <c r="BD27" s="326" t="n">
        <f aca="false">IF(P27="X",1,0)</f>
        <v>0</v>
      </c>
      <c r="BE27" s="326" t="n">
        <f aca="false">IF(Q27="X",1,0)</f>
        <v>0</v>
      </c>
      <c r="BF27" s="326" t="n">
        <f aca="false">IF(R27="X",1,0)</f>
        <v>0</v>
      </c>
      <c r="BG27" s="326" t="n">
        <f aca="false">IF(S27="X",1,0)</f>
        <v>0</v>
      </c>
      <c r="BH27" s="326" t="n">
        <f aca="false">IF(T27="X",1,0)</f>
        <v>0</v>
      </c>
      <c r="BI27" s="326" t="n">
        <f aca="false">IF(U27="X",1,0)</f>
        <v>0</v>
      </c>
      <c r="BJ27" s="326" t="n">
        <f aca="false">IF(V27="X",1,0)</f>
        <v>0</v>
      </c>
      <c r="BK27" s="326" t="n">
        <f aca="false">IF(W27="X",1,0)</f>
        <v>0</v>
      </c>
      <c r="BL27" s="326" t="n">
        <f aca="false">IF(X27="X",1,0)</f>
        <v>0</v>
      </c>
      <c r="BM27" s="326" t="n">
        <f aca="false">IF(Y27="X",1,0)</f>
        <v>0</v>
      </c>
      <c r="BN27" s="326" t="n">
        <f aca="false">IF(Z27="X",1,0)</f>
        <v>0</v>
      </c>
      <c r="BO27" s="326" t="n">
        <f aca="false">IF(AA27="X",1,0)</f>
        <v>0</v>
      </c>
      <c r="BP27" s="326" t="n">
        <f aca="false">IF(AB27="X",1,0)</f>
        <v>0</v>
      </c>
      <c r="BQ27" s="326" t="n">
        <f aca="false">IF(AC27="X",1,0)</f>
        <v>0</v>
      </c>
      <c r="BR27" s="326" t="n">
        <f aca="false">IF(AD27="X",1,0)</f>
        <v>0</v>
      </c>
      <c r="BS27" s="326" t="n">
        <f aca="false">IF(AE27="X",1,0)</f>
        <v>0</v>
      </c>
      <c r="BT27" s="326" t="n">
        <f aca="false">IF(AF27="X",1,0)</f>
        <v>0</v>
      </c>
      <c r="BU27" s="326" t="n">
        <f aca="false">IF(AG27="X",1,0)</f>
        <v>0</v>
      </c>
      <c r="BV27" s="326" t="n">
        <f aca="false">IF(AH27="X",1,0)</f>
        <v>0</v>
      </c>
      <c r="BW27" s="326" t="n">
        <f aca="false">IF(AI27="X",1,0)</f>
        <v>0</v>
      </c>
      <c r="BX27" s="326" t="n">
        <f aca="false">IF(AJ27="X",1,0)</f>
        <v>0</v>
      </c>
      <c r="BY27" s="326" t="n">
        <f aca="false">IF(AK27="X",1,0)</f>
        <v>0</v>
      </c>
      <c r="BZ27" s="326" t="n">
        <f aca="false">IF(AL27="X",1,0)</f>
        <v>0</v>
      </c>
      <c r="CA27" s="326" t="n">
        <f aca="false">IF(AM27="X",1,0)</f>
        <v>0</v>
      </c>
      <c r="CB27" s="326" t="n">
        <f aca="false">IF(AN27="X",1,0)</f>
        <v>0</v>
      </c>
    </row>
    <row r="28" customFormat="false" ht="14.25" hidden="false" customHeight="true" outlineLevel="0" collapsed="false">
      <c r="A28" s="294"/>
      <c r="B28" s="330"/>
      <c r="C28" s="334"/>
      <c r="D28" s="333"/>
      <c r="E28" s="333"/>
      <c r="F28" s="333"/>
      <c r="G28" s="333"/>
      <c r="H28" s="333"/>
      <c r="I28" s="333"/>
      <c r="J28" s="333"/>
      <c r="K28" s="333"/>
      <c r="L28" s="333"/>
      <c r="M28" s="333"/>
      <c r="N28" s="333"/>
      <c r="O28" s="333"/>
      <c r="P28" s="333"/>
      <c r="Q28" s="333"/>
      <c r="R28" s="333"/>
      <c r="S28" s="333"/>
      <c r="T28" s="333"/>
      <c r="U28" s="333"/>
      <c r="V28" s="333"/>
      <c r="W28" s="333"/>
      <c r="X28" s="333"/>
      <c r="Y28" s="333"/>
      <c r="Z28" s="333"/>
      <c r="AA28" s="333"/>
      <c r="AB28" s="333"/>
      <c r="AC28" s="333"/>
      <c r="AD28" s="333"/>
      <c r="AE28" s="333"/>
      <c r="AF28" s="333"/>
      <c r="AG28" s="333"/>
      <c r="AH28" s="333"/>
      <c r="AI28" s="333"/>
      <c r="AJ28" s="333"/>
      <c r="AK28" s="333"/>
      <c r="AL28" s="333"/>
      <c r="AM28" s="325" t="str">
        <f aca="false">IF(COUNTA(D28:AL28)=0,"",COUNTA(D28:AL28))</f>
        <v/>
      </c>
      <c r="AN28" s="325"/>
      <c r="AO28" s="325"/>
      <c r="AP28" s="294"/>
      <c r="AR28" s="326"/>
      <c r="AS28" s="326"/>
      <c r="AT28" s="326"/>
      <c r="AU28" s="326"/>
      <c r="AV28" s="326"/>
      <c r="AW28" s="326"/>
      <c r="AX28" s="326"/>
      <c r="AY28" s="326"/>
      <c r="AZ28" s="326"/>
      <c r="BA28" s="326"/>
      <c r="BB28" s="326"/>
      <c r="BC28" s="326"/>
      <c r="BD28" s="326"/>
      <c r="BE28" s="326"/>
      <c r="BF28" s="326"/>
      <c r="BG28" s="326"/>
      <c r="BH28" s="326"/>
      <c r="BI28" s="326"/>
      <c r="BJ28" s="326"/>
      <c r="BK28" s="326"/>
      <c r="BL28" s="326"/>
      <c r="BM28" s="326"/>
      <c r="BN28" s="326"/>
      <c r="BO28" s="326"/>
      <c r="BP28" s="326"/>
      <c r="BQ28" s="326"/>
      <c r="BR28" s="326"/>
      <c r="BS28" s="326"/>
      <c r="BT28" s="326"/>
      <c r="BU28" s="326"/>
      <c r="BV28" s="326"/>
      <c r="BW28" s="326"/>
      <c r="BX28" s="326"/>
      <c r="BY28" s="326"/>
      <c r="BZ28" s="326"/>
      <c r="CA28" s="326"/>
      <c r="CB28" s="326"/>
    </row>
    <row r="29" customFormat="false" ht="14.25" hidden="false" customHeight="true" outlineLevel="0" collapsed="false">
      <c r="A29" s="294"/>
      <c r="B29" s="330"/>
      <c r="C29" s="334"/>
      <c r="D29" s="333"/>
      <c r="E29" s="333"/>
      <c r="F29" s="333"/>
      <c r="G29" s="333"/>
      <c r="H29" s="333"/>
      <c r="I29" s="333"/>
      <c r="J29" s="333"/>
      <c r="K29" s="333"/>
      <c r="L29" s="333"/>
      <c r="M29" s="333"/>
      <c r="N29" s="333"/>
      <c r="O29" s="333"/>
      <c r="P29" s="333"/>
      <c r="Q29" s="333"/>
      <c r="R29" s="333"/>
      <c r="S29" s="333"/>
      <c r="T29" s="333"/>
      <c r="U29" s="333"/>
      <c r="V29" s="333"/>
      <c r="W29" s="333"/>
      <c r="X29" s="333"/>
      <c r="Y29" s="333"/>
      <c r="Z29" s="333"/>
      <c r="AA29" s="333"/>
      <c r="AB29" s="333"/>
      <c r="AC29" s="333"/>
      <c r="AD29" s="333"/>
      <c r="AE29" s="333"/>
      <c r="AF29" s="333"/>
      <c r="AG29" s="333"/>
      <c r="AH29" s="333"/>
      <c r="AI29" s="333"/>
      <c r="AJ29" s="333"/>
      <c r="AK29" s="333"/>
      <c r="AL29" s="333"/>
      <c r="AM29" s="325" t="str">
        <f aca="false">IF(COUNTA(D29:AL29)=0,"",COUNTA(D29:AL29))</f>
        <v/>
      </c>
      <c r="AN29" s="325"/>
      <c r="AO29" s="325"/>
      <c r="AP29" s="294"/>
      <c r="AR29" s="326"/>
      <c r="AS29" s="326"/>
      <c r="AT29" s="326"/>
      <c r="AU29" s="326"/>
      <c r="AV29" s="326"/>
      <c r="AW29" s="326"/>
      <c r="AX29" s="326"/>
      <c r="AY29" s="326"/>
      <c r="AZ29" s="326"/>
      <c r="BA29" s="326"/>
      <c r="BB29" s="326"/>
      <c r="BC29" s="326"/>
      <c r="BD29" s="326"/>
      <c r="BE29" s="326"/>
      <c r="BF29" s="326"/>
      <c r="BG29" s="326"/>
      <c r="BH29" s="326"/>
      <c r="BI29" s="326"/>
      <c r="BJ29" s="326"/>
      <c r="BK29" s="326"/>
      <c r="BL29" s="326"/>
      <c r="BM29" s="326"/>
      <c r="BN29" s="326"/>
      <c r="BO29" s="326"/>
      <c r="BP29" s="326"/>
      <c r="BQ29" s="326"/>
      <c r="BR29" s="326"/>
      <c r="BS29" s="326"/>
      <c r="BT29" s="326"/>
      <c r="BU29" s="326"/>
      <c r="BV29" s="326"/>
      <c r="BW29" s="326"/>
      <c r="BX29" s="326"/>
      <c r="BY29" s="326"/>
      <c r="BZ29" s="326"/>
      <c r="CA29" s="326"/>
      <c r="CB29" s="326"/>
    </row>
    <row r="30" customFormat="false" ht="14.25" hidden="false" customHeight="true" outlineLevel="0" collapsed="false">
      <c r="A30" s="294"/>
      <c r="B30" s="330"/>
      <c r="C30" s="334"/>
      <c r="D30" s="333"/>
      <c r="E30" s="333"/>
      <c r="F30" s="333"/>
      <c r="G30" s="333"/>
      <c r="H30" s="333"/>
      <c r="I30" s="333"/>
      <c r="J30" s="333"/>
      <c r="K30" s="333"/>
      <c r="L30" s="333"/>
      <c r="M30" s="333"/>
      <c r="N30" s="333"/>
      <c r="O30" s="333"/>
      <c r="P30" s="333"/>
      <c r="Q30" s="333"/>
      <c r="R30" s="333"/>
      <c r="S30" s="333"/>
      <c r="T30" s="333"/>
      <c r="U30" s="333"/>
      <c r="V30" s="333"/>
      <c r="W30" s="333"/>
      <c r="X30" s="333"/>
      <c r="Y30" s="333"/>
      <c r="Z30" s="333"/>
      <c r="AA30" s="333"/>
      <c r="AB30" s="333"/>
      <c r="AC30" s="333"/>
      <c r="AD30" s="333"/>
      <c r="AE30" s="333"/>
      <c r="AF30" s="333"/>
      <c r="AG30" s="333"/>
      <c r="AH30" s="333"/>
      <c r="AI30" s="333"/>
      <c r="AJ30" s="333"/>
      <c r="AK30" s="333"/>
      <c r="AL30" s="333"/>
      <c r="AM30" s="325" t="str">
        <f aca="false">IF(COUNTA(D30:AL30)=0,"",COUNTA(D30:AL30))</f>
        <v/>
      </c>
      <c r="AN30" s="325"/>
      <c r="AO30" s="325"/>
      <c r="AP30" s="294"/>
      <c r="AR30" s="326" t="n">
        <f aca="false">IF(D30="X",1,0)</f>
        <v>0</v>
      </c>
      <c r="AS30" s="326" t="n">
        <f aca="false">IF(E30="X",1,0)</f>
        <v>0</v>
      </c>
      <c r="AT30" s="326" t="n">
        <f aca="false">IF(F30="X",1,0)</f>
        <v>0</v>
      </c>
      <c r="AU30" s="326" t="n">
        <f aca="false">IF(G30="X",1,0)</f>
        <v>0</v>
      </c>
      <c r="AV30" s="326" t="n">
        <f aca="false">IF(H30="X",1,0)</f>
        <v>0</v>
      </c>
      <c r="AW30" s="326" t="n">
        <f aca="false">IF(I30="X",1,0)</f>
        <v>0</v>
      </c>
      <c r="AX30" s="326" t="n">
        <f aca="false">IF(J30="X",1,0)</f>
        <v>0</v>
      </c>
      <c r="AY30" s="326" t="n">
        <f aca="false">IF(K30="X",1,0)</f>
        <v>0</v>
      </c>
      <c r="AZ30" s="326" t="n">
        <f aca="false">IF(L30="X",1,0)</f>
        <v>0</v>
      </c>
      <c r="BA30" s="326" t="n">
        <f aca="false">IF(M30="X",1,0)</f>
        <v>0</v>
      </c>
      <c r="BB30" s="326" t="n">
        <f aca="false">IF(N30="X",1,0)</f>
        <v>0</v>
      </c>
      <c r="BC30" s="326" t="n">
        <f aca="false">IF(O30="X",1,0)</f>
        <v>0</v>
      </c>
      <c r="BD30" s="326" t="n">
        <f aca="false">IF(P30="X",1,0)</f>
        <v>0</v>
      </c>
      <c r="BE30" s="326" t="n">
        <f aca="false">IF(Q30="X",1,0)</f>
        <v>0</v>
      </c>
      <c r="BF30" s="326" t="n">
        <f aca="false">IF(R30="X",1,0)</f>
        <v>0</v>
      </c>
      <c r="BG30" s="326" t="n">
        <f aca="false">IF(S30="X",1,0)</f>
        <v>0</v>
      </c>
      <c r="BH30" s="326" t="n">
        <f aca="false">IF(T30="X",1,0)</f>
        <v>0</v>
      </c>
      <c r="BI30" s="326" t="n">
        <f aca="false">IF(U30="X",1,0)</f>
        <v>0</v>
      </c>
      <c r="BJ30" s="326" t="n">
        <f aca="false">IF(V30="X",1,0)</f>
        <v>0</v>
      </c>
      <c r="BK30" s="326" t="n">
        <f aca="false">IF(W30="X",1,0)</f>
        <v>0</v>
      </c>
      <c r="BL30" s="326" t="n">
        <f aca="false">IF(X30="X",1,0)</f>
        <v>0</v>
      </c>
      <c r="BM30" s="326" t="n">
        <f aca="false">IF(Y30="X",1,0)</f>
        <v>0</v>
      </c>
      <c r="BN30" s="326" t="n">
        <f aca="false">IF(Z30="X",1,0)</f>
        <v>0</v>
      </c>
      <c r="BO30" s="326" t="n">
        <f aca="false">IF(AA30="X",1,0)</f>
        <v>0</v>
      </c>
      <c r="BP30" s="326" t="n">
        <f aca="false">IF(AB30="X",1,0)</f>
        <v>0</v>
      </c>
      <c r="BQ30" s="326" t="n">
        <f aca="false">IF(AC30="X",1,0)</f>
        <v>0</v>
      </c>
      <c r="BR30" s="326" t="n">
        <f aca="false">IF(AD30="X",1,0)</f>
        <v>0</v>
      </c>
      <c r="BS30" s="326" t="n">
        <f aca="false">IF(AE30="X",1,0)</f>
        <v>0</v>
      </c>
      <c r="BT30" s="326" t="n">
        <f aca="false">IF(AF30="X",1,0)</f>
        <v>0</v>
      </c>
      <c r="BU30" s="326" t="n">
        <f aca="false">IF(AG30="X",1,0)</f>
        <v>0</v>
      </c>
      <c r="BV30" s="326" t="n">
        <f aca="false">IF(AH30="X",1,0)</f>
        <v>0</v>
      </c>
      <c r="BW30" s="326" t="n">
        <f aca="false">IF(AI30="X",1,0)</f>
        <v>0</v>
      </c>
      <c r="BX30" s="326" t="n">
        <f aca="false">IF(AJ30="X",1,0)</f>
        <v>0</v>
      </c>
      <c r="BY30" s="326" t="n">
        <f aca="false">IF(AK30="X",1,0)</f>
        <v>0</v>
      </c>
      <c r="BZ30" s="326" t="n">
        <f aca="false">IF(AL30="X",1,0)</f>
        <v>0</v>
      </c>
      <c r="CA30" s="326" t="n">
        <f aca="false">IF(AM30="X",1,0)</f>
        <v>0</v>
      </c>
      <c r="CB30" s="326" t="n">
        <f aca="false">IF(AN30="X",1,0)</f>
        <v>0</v>
      </c>
    </row>
    <row r="31" customFormat="false" ht="14.25" hidden="false" customHeight="true" outlineLevel="0" collapsed="false">
      <c r="A31" s="294"/>
      <c r="B31" s="334"/>
      <c r="C31" s="334"/>
      <c r="D31" s="333"/>
      <c r="E31" s="333"/>
      <c r="F31" s="333"/>
      <c r="G31" s="333"/>
      <c r="H31" s="333"/>
      <c r="I31" s="333"/>
      <c r="J31" s="333"/>
      <c r="K31" s="333"/>
      <c r="L31" s="333"/>
      <c r="M31" s="333"/>
      <c r="N31" s="333"/>
      <c r="O31" s="333"/>
      <c r="P31" s="333"/>
      <c r="Q31" s="333"/>
      <c r="R31" s="333"/>
      <c r="S31" s="333"/>
      <c r="T31" s="333"/>
      <c r="U31" s="333"/>
      <c r="V31" s="333"/>
      <c r="W31" s="333"/>
      <c r="X31" s="333"/>
      <c r="Y31" s="333"/>
      <c r="Z31" s="333"/>
      <c r="AA31" s="333"/>
      <c r="AB31" s="333"/>
      <c r="AC31" s="333"/>
      <c r="AD31" s="333"/>
      <c r="AE31" s="333"/>
      <c r="AF31" s="333"/>
      <c r="AG31" s="333"/>
      <c r="AH31" s="333"/>
      <c r="AI31" s="333"/>
      <c r="AJ31" s="333"/>
      <c r="AK31" s="333"/>
      <c r="AL31" s="333"/>
      <c r="AM31" s="325" t="str">
        <f aca="false">IF(COUNTA(D31:AL31)=0,"",COUNTA(D31:AL31))</f>
        <v/>
      </c>
      <c r="AN31" s="325"/>
      <c r="AO31" s="325"/>
      <c r="AP31" s="294"/>
      <c r="AR31" s="326"/>
      <c r="AS31" s="326"/>
      <c r="AT31" s="326"/>
      <c r="AU31" s="326"/>
      <c r="AV31" s="326"/>
      <c r="AW31" s="326"/>
      <c r="AX31" s="326"/>
      <c r="AY31" s="326"/>
      <c r="AZ31" s="326"/>
      <c r="BA31" s="326"/>
      <c r="BB31" s="326"/>
      <c r="BC31" s="326"/>
      <c r="BD31" s="326"/>
      <c r="BE31" s="326"/>
      <c r="BF31" s="326"/>
      <c r="BG31" s="326"/>
      <c r="BH31" s="326"/>
      <c r="BI31" s="326"/>
      <c r="BJ31" s="326"/>
      <c r="BK31" s="326"/>
      <c r="BL31" s="326"/>
      <c r="BM31" s="326"/>
      <c r="BN31" s="326"/>
      <c r="BO31" s="326"/>
      <c r="BP31" s="326"/>
      <c r="BQ31" s="326"/>
      <c r="BR31" s="326"/>
      <c r="BS31" s="326"/>
      <c r="BT31" s="326"/>
      <c r="BU31" s="326"/>
      <c r="BV31" s="326"/>
      <c r="BW31" s="326"/>
      <c r="BX31" s="326"/>
      <c r="BY31" s="326"/>
      <c r="BZ31" s="326"/>
      <c r="CA31" s="326"/>
      <c r="CB31" s="326"/>
    </row>
    <row r="32" customFormat="false" ht="14.25" hidden="false" customHeight="true" outlineLevel="0" collapsed="false">
      <c r="A32" s="294"/>
      <c r="B32" s="334"/>
      <c r="C32" s="334"/>
      <c r="D32" s="333"/>
      <c r="E32" s="333"/>
      <c r="F32" s="333"/>
      <c r="G32" s="333"/>
      <c r="H32" s="333"/>
      <c r="I32" s="333"/>
      <c r="J32" s="333"/>
      <c r="K32" s="333"/>
      <c r="L32" s="333"/>
      <c r="M32" s="333"/>
      <c r="N32" s="333"/>
      <c r="O32" s="333"/>
      <c r="P32" s="333"/>
      <c r="Q32" s="333"/>
      <c r="R32" s="333"/>
      <c r="S32" s="333"/>
      <c r="T32" s="333"/>
      <c r="U32" s="333"/>
      <c r="V32" s="333"/>
      <c r="W32" s="333"/>
      <c r="X32" s="333"/>
      <c r="Y32" s="333"/>
      <c r="Z32" s="333"/>
      <c r="AA32" s="333"/>
      <c r="AB32" s="333"/>
      <c r="AC32" s="333"/>
      <c r="AD32" s="333"/>
      <c r="AE32" s="333"/>
      <c r="AF32" s="333"/>
      <c r="AG32" s="333"/>
      <c r="AH32" s="333"/>
      <c r="AI32" s="333"/>
      <c r="AJ32" s="333"/>
      <c r="AK32" s="333"/>
      <c r="AL32" s="333"/>
      <c r="AM32" s="325" t="str">
        <f aca="false">IF(COUNTA(D32:AL32)=0,"",COUNTA(D32:AL32))</f>
        <v/>
      </c>
      <c r="AN32" s="325"/>
      <c r="AO32" s="325"/>
      <c r="AP32" s="294"/>
      <c r="AR32" s="326"/>
      <c r="AS32" s="326"/>
      <c r="AT32" s="326"/>
      <c r="AU32" s="326"/>
      <c r="AV32" s="326"/>
      <c r="AW32" s="326"/>
      <c r="AX32" s="326"/>
      <c r="AY32" s="326"/>
      <c r="AZ32" s="326"/>
      <c r="BA32" s="326"/>
      <c r="BB32" s="326"/>
      <c r="BC32" s="326"/>
      <c r="BD32" s="326"/>
      <c r="BE32" s="326"/>
      <c r="BF32" s="326"/>
      <c r="BG32" s="326"/>
      <c r="BH32" s="326"/>
      <c r="BI32" s="326"/>
      <c r="BJ32" s="326"/>
      <c r="BK32" s="326"/>
      <c r="BL32" s="326"/>
      <c r="BM32" s="326"/>
      <c r="BN32" s="326"/>
      <c r="BO32" s="326"/>
      <c r="BP32" s="326"/>
      <c r="BQ32" s="326"/>
      <c r="BR32" s="326"/>
      <c r="BS32" s="326"/>
      <c r="BT32" s="326"/>
      <c r="BU32" s="326"/>
      <c r="BV32" s="326"/>
      <c r="BW32" s="326"/>
      <c r="BX32" s="326"/>
      <c r="BY32" s="326"/>
      <c r="BZ32" s="326"/>
      <c r="CA32" s="326"/>
      <c r="CB32" s="326"/>
    </row>
    <row r="33" customFormat="false" ht="14.25" hidden="false" customHeight="true" outlineLevel="0" collapsed="false">
      <c r="A33" s="294"/>
      <c r="B33" s="334"/>
      <c r="C33" s="334"/>
      <c r="D33" s="333"/>
      <c r="E33" s="333"/>
      <c r="F33" s="333"/>
      <c r="G33" s="333"/>
      <c r="H33" s="333"/>
      <c r="I33" s="333"/>
      <c r="J33" s="333"/>
      <c r="K33" s="333"/>
      <c r="L33" s="333"/>
      <c r="M33" s="333"/>
      <c r="N33" s="333"/>
      <c r="O33" s="333"/>
      <c r="P33" s="333"/>
      <c r="Q33" s="333"/>
      <c r="R33" s="333"/>
      <c r="S33" s="333"/>
      <c r="T33" s="333"/>
      <c r="U33" s="333"/>
      <c r="V33" s="333"/>
      <c r="W33" s="333"/>
      <c r="X33" s="333"/>
      <c r="Y33" s="333"/>
      <c r="Z33" s="333"/>
      <c r="AA33" s="333"/>
      <c r="AB33" s="333"/>
      <c r="AC33" s="333"/>
      <c r="AD33" s="333"/>
      <c r="AE33" s="333"/>
      <c r="AF33" s="333"/>
      <c r="AG33" s="333"/>
      <c r="AH33" s="333"/>
      <c r="AI33" s="333"/>
      <c r="AJ33" s="333"/>
      <c r="AK33" s="333"/>
      <c r="AL33" s="333"/>
      <c r="AM33" s="325" t="str">
        <f aca="false">IF(COUNTA(D33:AL33)=0,"",COUNTA(D33:AL33))</f>
        <v/>
      </c>
      <c r="AN33" s="325"/>
      <c r="AO33" s="325"/>
      <c r="AP33" s="294"/>
      <c r="AR33" s="326" t="n">
        <f aca="false">IF(D33="X",1,0)</f>
        <v>0</v>
      </c>
      <c r="AS33" s="326" t="n">
        <f aca="false">IF(E33="X",1,0)</f>
        <v>0</v>
      </c>
      <c r="AT33" s="326" t="n">
        <f aca="false">IF(F33="X",1,0)</f>
        <v>0</v>
      </c>
      <c r="AU33" s="326" t="n">
        <f aca="false">IF(G33="X",1,0)</f>
        <v>0</v>
      </c>
      <c r="AV33" s="326" t="n">
        <f aca="false">IF(H33="X",1,0)</f>
        <v>0</v>
      </c>
      <c r="AW33" s="326" t="n">
        <f aca="false">IF(I33="X",1,0)</f>
        <v>0</v>
      </c>
      <c r="AX33" s="326" t="n">
        <f aca="false">IF(J33="X",1,0)</f>
        <v>0</v>
      </c>
      <c r="AY33" s="326" t="n">
        <f aca="false">IF(K33="X",1,0)</f>
        <v>0</v>
      </c>
      <c r="AZ33" s="326" t="n">
        <f aca="false">IF(L33="X",1,0)</f>
        <v>0</v>
      </c>
      <c r="BA33" s="326" t="n">
        <f aca="false">IF(M33="X",1,0)</f>
        <v>0</v>
      </c>
      <c r="BB33" s="326" t="n">
        <f aca="false">IF(N33="X",1,0)</f>
        <v>0</v>
      </c>
      <c r="BC33" s="326" t="n">
        <f aca="false">IF(O33="X",1,0)</f>
        <v>0</v>
      </c>
      <c r="BD33" s="326" t="n">
        <f aca="false">IF(P33="X",1,0)</f>
        <v>0</v>
      </c>
      <c r="BE33" s="326" t="n">
        <f aca="false">IF(Q33="X",1,0)</f>
        <v>0</v>
      </c>
      <c r="BF33" s="326" t="n">
        <f aca="false">IF(R33="X",1,0)</f>
        <v>0</v>
      </c>
      <c r="BG33" s="326" t="n">
        <f aca="false">IF(S33="X",1,0)</f>
        <v>0</v>
      </c>
      <c r="BH33" s="326" t="n">
        <f aca="false">IF(T33="X",1,0)</f>
        <v>0</v>
      </c>
      <c r="BI33" s="326" t="n">
        <f aca="false">IF(U33="X",1,0)</f>
        <v>0</v>
      </c>
      <c r="BJ33" s="326" t="n">
        <f aca="false">IF(V33="X",1,0)</f>
        <v>0</v>
      </c>
      <c r="BK33" s="326" t="n">
        <f aca="false">IF(W33="X",1,0)</f>
        <v>0</v>
      </c>
      <c r="BL33" s="326" t="n">
        <f aca="false">IF(X33="X",1,0)</f>
        <v>0</v>
      </c>
      <c r="BM33" s="326" t="n">
        <f aca="false">IF(Y33="X",1,0)</f>
        <v>0</v>
      </c>
      <c r="BN33" s="326" t="n">
        <f aca="false">IF(Z33="X",1,0)</f>
        <v>0</v>
      </c>
      <c r="BO33" s="326" t="n">
        <f aca="false">IF(AA33="X",1,0)</f>
        <v>0</v>
      </c>
      <c r="BP33" s="326" t="n">
        <f aca="false">IF(AB33="X",1,0)</f>
        <v>0</v>
      </c>
      <c r="BQ33" s="326" t="n">
        <f aca="false">IF(AC33="X",1,0)</f>
        <v>0</v>
      </c>
      <c r="BR33" s="326" t="n">
        <f aca="false">IF(AD33="X",1,0)</f>
        <v>0</v>
      </c>
      <c r="BS33" s="326" t="n">
        <f aca="false">IF(AE33="X",1,0)</f>
        <v>0</v>
      </c>
      <c r="BT33" s="326" t="n">
        <f aca="false">IF(AF33="X",1,0)</f>
        <v>0</v>
      </c>
      <c r="BU33" s="326" t="n">
        <f aca="false">IF(AG33="X",1,0)</f>
        <v>0</v>
      </c>
      <c r="BV33" s="326" t="n">
        <f aca="false">IF(AH33="X",1,0)</f>
        <v>0</v>
      </c>
      <c r="BW33" s="326" t="n">
        <f aca="false">IF(AI33="X",1,0)</f>
        <v>0</v>
      </c>
      <c r="BX33" s="326" t="n">
        <f aca="false">IF(AJ33="X",1,0)</f>
        <v>0</v>
      </c>
      <c r="BY33" s="326" t="n">
        <f aca="false">IF(AK33="X",1,0)</f>
        <v>0</v>
      </c>
      <c r="BZ33" s="326" t="n">
        <f aca="false">IF(AL33="X",1,0)</f>
        <v>0</v>
      </c>
      <c r="CA33" s="326" t="n">
        <f aca="false">IF(AM33="X",1,0)</f>
        <v>0</v>
      </c>
      <c r="CB33" s="326" t="n">
        <f aca="false">IF(AN33="X",1,0)</f>
        <v>0</v>
      </c>
    </row>
    <row r="34" customFormat="false" ht="14.25" hidden="false" customHeight="true" outlineLevel="0" collapsed="false">
      <c r="A34" s="294"/>
      <c r="B34" s="334"/>
      <c r="C34" s="334"/>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3"/>
      <c r="AF34" s="333"/>
      <c r="AG34" s="333"/>
      <c r="AH34" s="333"/>
      <c r="AI34" s="333"/>
      <c r="AJ34" s="333"/>
      <c r="AK34" s="333"/>
      <c r="AL34" s="333"/>
      <c r="AM34" s="325" t="str">
        <f aca="false">IF(COUNTA(D34:AL34)=0,"",COUNTA(D34:AL34))</f>
        <v/>
      </c>
      <c r="AN34" s="325"/>
      <c r="AO34" s="325"/>
      <c r="AP34" s="294"/>
      <c r="AR34" s="326" t="n">
        <f aca="false">IF(D34="X",1,0)</f>
        <v>0</v>
      </c>
      <c r="AS34" s="326" t="n">
        <f aca="false">IF(E34="X",1,0)</f>
        <v>0</v>
      </c>
      <c r="AT34" s="326" t="n">
        <f aca="false">IF(F34="X",1,0)</f>
        <v>0</v>
      </c>
      <c r="AU34" s="326" t="n">
        <f aca="false">IF(G34="X",1,0)</f>
        <v>0</v>
      </c>
      <c r="AV34" s="326" t="n">
        <f aca="false">IF(H34="X",1,0)</f>
        <v>0</v>
      </c>
      <c r="AW34" s="326" t="n">
        <f aca="false">IF(I34="X",1,0)</f>
        <v>0</v>
      </c>
      <c r="AX34" s="326" t="n">
        <f aca="false">IF(J34="X",1,0)</f>
        <v>0</v>
      </c>
      <c r="AY34" s="326" t="n">
        <f aca="false">IF(K34="X",1,0)</f>
        <v>0</v>
      </c>
      <c r="AZ34" s="326" t="n">
        <f aca="false">IF(L34="X",1,0)</f>
        <v>0</v>
      </c>
      <c r="BA34" s="326" t="n">
        <f aca="false">IF(M34="X",1,0)</f>
        <v>0</v>
      </c>
      <c r="BB34" s="326" t="n">
        <f aca="false">IF(N34="X",1,0)</f>
        <v>0</v>
      </c>
      <c r="BC34" s="326" t="n">
        <f aca="false">IF(O34="X",1,0)</f>
        <v>0</v>
      </c>
      <c r="BD34" s="326" t="n">
        <f aca="false">IF(P34="X",1,0)</f>
        <v>0</v>
      </c>
      <c r="BE34" s="326" t="n">
        <f aca="false">IF(Q34="X",1,0)</f>
        <v>0</v>
      </c>
      <c r="BF34" s="326" t="n">
        <f aca="false">IF(R34="X",1,0)</f>
        <v>0</v>
      </c>
      <c r="BG34" s="326" t="n">
        <f aca="false">IF(S34="X",1,0)</f>
        <v>0</v>
      </c>
      <c r="BH34" s="326" t="n">
        <f aca="false">IF(T34="X",1,0)</f>
        <v>0</v>
      </c>
      <c r="BI34" s="326" t="n">
        <f aca="false">IF(U34="X",1,0)</f>
        <v>0</v>
      </c>
      <c r="BJ34" s="326" t="n">
        <f aca="false">IF(V34="X",1,0)</f>
        <v>0</v>
      </c>
      <c r="BK34" s="326" t="n">
        <f aca="false">IF(W34="X",1,0)</f>
        <v>0</v>
      </c>
      <c r="BL34" s="326" t="n">
        <f aca="false">IF(X34="X",1,0)</f>
        <v>0</v>
      </c>
      <c r="BM34" s="326" t="n">
        <f aca="false">IF(Y34="X",1,0)</f>
        <v>0</v>
      </c>
      <c r="BN34" s="326" t="n">
        <f aca="false">IF(Z34="X",1,0)</f>
        <v>0</v>
      </c>
      <c r="BO34" s="326" t="n">
        <f aca="false">IF(AA34="X",1,0)</f>
        <v>0</v>
      </c>
      <c r="BP34" s="326" t="n">
        <f aca="false">IF(AB34="X",1,0)</f>
        <v>0</v>
      </c>
      <c r="BQ34" s="326" t="n">
        <f aca="false">IF(AC34="X",1,0)</f>
        <v>0</v>
      </c>
      <c r="BR34" s="326" t="n">
        <f aca="false">IF(AD34="X",1,0)</f>
        <v>0</v>
      </c>
      <c r="BS34" s="326" t="n">
        <f aca="false">IF(AE34="X",1,0)</f>
        <v>0</v>
      </c>
      <c r="BT34" s="326" t="n">
        <f aca="false">IF(AF34="X",1,0)</f>
        <v>0</v>
      </c>
      <c r="BU34" s="326" t="n">
        <f aca="false">IF(AG34="X",1,0)</f>
        <v>0</v>
      </c>
      <c r="BV34" s="326" t="n">
        <f aca="false">IF(AH34="X",1,0)</f>
        <v>0</v>
      </c>
      <c r="BW34" s="326" t="n">
        <f aca="false">IF(AI34="X",1,0)</f>
        <v>0</v>
      </c>
      <c r="BX34" s="326" t="n">
        <f aca="false">IF(AJ34="X",1,0)</f>
        <v>0</v>
      </c>
      <c r="BY34" s="326" t="n">
        <f aca="false">IF(AK34="X",1,0)</f>
        <v>0</v>
      </c>
      <c r="BZ34" s="326" t="n">
        <f aca="false">IF(AL34="X",1,0)</f>
        <v>0</v>
      </c>
      <c r="CA34" s="326" t="n">
        <f aca="false">IF(AM34="X",1,0)</f>
        <v>0</v>
      </c>
      <c r="CB34" s="326" t="n">
        <f aca="false">IF(AN34="X",1,0)</f>
        <v>0</v>
      </c>
    </row>
    <row r="35" customFormat="false" ht="9.75" hidden="false" customHeight="true" outlineLevel="0" collapsed="false">
      <c r="A35" s="294"/>
      <c r="B35" s="336" t="s">
        <v>289</v>
      </c>
      <c r="C35" s="336"/>
      <c r="D35" s="337"/>
      <c r="E35" s="337"/>
      <c r="F35" s="337"/>
      <c r="G35" s="337"/>
      <c r="H35" s="337"/>
      <c r="I35" s="337"/>
      <c r="J35" s="337"/>
      <c r="K35" s="337"/>
      <c r="L35" s="337"/>
      <c r="M35" s="337"/>
      <c r="N35" s="337"/>
      <c r="O35" s="337"/>
      <c r="P35" s="337"/>
      <c r="Q35" s="337"/>
      <c r="R35" s="337"/>
      <c r="S35" s="337"/>
      <c r="T35" s="337"/>
      <c r="U35" s="337"/>
      <c r="V35" s="337"/>
      <c r="W35" s="337"/>
      <c r="X35" s="337"/>
      <c r="Y35" s="337"/>
      <c r="Z35" s="337"/>
      <c r="AA35" s="337"/>
      <c r="AB35" s="337"/>
      <c r="AC35" s="337"/>
      <c r="AD35" s="337"/>
      <c r="AE35" s="337"/>
      <c r="AF35" s="337"/>
      <c r="AG35" s="337"/>
      <c r="AH35" s="337"/>
      <c r="AI35" s="337"/>
      <c r="AJ35" s="337"/>
      <c r="AK35" s="337"/>
      <c r="AL35" s="337"/>
      <c r="AM35" s="337"/>
      <c r="AN35" s="337"/>
      <c r="AO35" s="337"/>
      <c r="AP35" s="294"/>
    </row>
    <row r="36" customFormat="false" ht="9.75" hidden="false" customHeight="true" outlineLevel="0" collapsed="false">
      <c r="A36" s="294"/>
      <c r="B36" s="336"/>
      <c r="C36" s="336"/>
      <c r="D36" s="337"/>
      <c r="E36" s="337"/>
      <c r="F36" s="337"/>
      <c r="G36" s="337"/>
      <c r="H36" s="337"/>
      <c r="I36" s="337"/>
      <c r="J36" s="337"/>
      <c r="K36" s="337"/>
      <c r="L36" s="337"/>
      <c r="M36" s="337"/>
      <c r="N36" s="337"/>
      <c r="O36" s="337"/>
      <c r="P36" s="337"/>
      <c r="Q36" s="337"/>
      <c r="R36" s="337"/>
      <c r="S36" s="337"/>
      <c r="T36" s="337"/>
      <c r="U36" s="337"/>
      <c r="V36" s="337"/>
      <c r="W36" s="337"/>
      <c r="X36" s="337"/>
      <c r="Y36" s="337"/>
      <c r="Z36" s="337"/>
      <c r="AA36" s="337"/>
      <c r="AB36" s="337"/>
      <c r="AC36" s="337"/>
      <c r="AD36" s="337"/>
      <c r="AE36" s="337"/>
      <c r="AF36" s="337"/>
      <c r="AG36" s="337"/>
      <c r="AH36" s="337"/>
      <c r="AI36" s="337"/>
      <c r="AJ36" s="337"/>
      <c r="AK36" s="337"/>
      <c r="AL36" s="337"/>
      <c r="AM36" s="337"/>
      <c r="AN36" s="337"/>
      <c r="AO36" s="337"/>
      <c r="AP36" s="294"/>
    </row>
    <row r="37" customFormat="false" ht="19.5" hidden="false" customHeight="true" outlineLevel="0" collapsed="false">
      <c r="A37" s="294"/>
      <c r="B37" s="338" t="s">
        <v>290</v>
      </c>
      <c r="C37" s="339" t="str">
        <f aca="false">'Master Data'!B21</f>
        <v>Mahmoud Ali </v>
      </c>
      <c r="D37" s="339"/>
      <c r="E37" s="339"/>
      <c r="F37" s="339"/>
      <c r="G37" s="339"/>
      <c r="H37" s="339"/>
      <c r="I37" s="340" t="s">
        <v>291</v>
      </c>
      <c r="J37" s="340"/>
      <c r="K37" s="340"/>
      <c r="L37" s="340"/>
      <c r="M37" s="340"/>
      <c r="N37" s="340"/>
      <c r="O37" s="340"/>
      <c r="P37" s="340"/>
      <c r="Q37" s="340"/>
      <c r="R37" s="340"/>
      <c r="S37" s="340"/>
      <c r="T37" s="340"/>
      <c r="U37" s="340"/>
      <c r="V37" s="340" t="n">
        <f aca="false">'Master Data'!B4</f>
        <v>0</v>
      </c>
      <c r="W37" s="340"/>
      <c r="X37" s="340"/>
      <c r="Y37" s="340"/>
      <c r="Z37" s="340"/>
      <c r="AA37" s="340"/>
      <c r="AB37" s="340"/>
      <c r="AC37" s="340"/>
      <c r="AD37" s="340"/>
      <c r="AE37" s="340"/>
      <c r="AF37" s="340"/>
      <c r="AG37" s="340"/>
      <c r="AH37" s="341" t="s">
        <v>292</v>
      </c>
      <c r="AI37" s="341"/>
      <c r="AJ37" s="341"/>
      <c r="AK37" s="341"/>
      <c r="AL37" s="341"/>
      <c r="AM37" s="341"/>
      <c r="AN37" s="341"/>
      <c r="AO37" s="341"/>
      <c r="AP37" s="294"/>
    </row>
    <row r="38" customFormat="false" ht="19.5" hidden="false" customHeight="true" outlineLevel="0" collapsed="false">
      <c r="A38" s="294"/>
      <c r="B38" s="338" t="s">
        <v>196</v>
      </c>
      <c r="C38" s="339"/>
      <c r="D38" s="339"/>
      <c r="E38" s="339"/>
      <c r="F38" s="339"/>
      <c r="G38" s="339"/>
      <c r="H38" s="339"/>
      <c r="I38" s="340" t="s">
        <v>196</v>
      </c>
      <c r="J38" s="340"/>
      <c r="K38" s="340"/>
      <c r="L38" s="340"/>
      <c r="M38" s="340"/>
      <c r="N38" s="340"/>
      <c r="O38" s="340"/>
      <c r="P38" s="340"/>
      <c r="Q38" s="340"/>
      <c r="R38" s="340"/>
      <c r="S38" s="340"/>
      <c r="T38" s="340"/>
      <c r="U38" s="340"/>
      <c r="V38" s="340"/>
      <c r="W38" s="340"/>
      <c r="X38" s="340"/>
      <c r="Y38" s="340"/>
      <c r="Z38" s="340"/>
      <c r="AA38" s="340"/>
      <c r="AB38" s="340"/>
      <c r="AC38" s="340"/>
      <c r="AD38" s="340"/>
      <c r="AE38" s="340"/>
      <c r="AF38" s="340"/>
      <c r="AG38" s="340"/>
      <c r="AH38" s="341"/>
      <c r="AI38" s="341"/>
      <c r="AJ38" s="341"/>
      <c r="AK38" s="341"/>
      <c r="AL38" s="341"/>
      <c r="AM38" s="341"/>
      <c r="AN38" s="341"/>
      <c r="AO38" s="341"/>
      <c r="AP38" s="294"/>
    </row>
    <row r="39" customFormat="false" ht="18.75" hidden="false" customHeight="true" outlineLevel="0" collapsed="false">
      <c r="A39" s="294"/>
      <c r="B39" s="338" t="s">
        <v>293</v>
      </c>
      <c r="C39" s="342" t="str">
        <f aca="false">'Master Data'!E24</f>
        <v>24-Jul-26</v>
      </c>
      <c r="D39" s="342"/>
      <c r="E39" s="342"/>
      <c r="F39" s="342"/>
      <c r="G39" s="342"/>
      <c r="H39" s="342"/>
      <c r="I39" s="339" t="s">
        <v>293</v>
      </c>
      <c r="J39" s="339"/>
      <c r="K39" s="339"/>
      <c r="L39" s="339"/>
      <c r="M39" s="339"/>
      <c r="N39" s="339"/>
      <c r="O39" s="339"/>
      <c r="P39" s="339"/>
      <c r="Q39" s="339"/>
      <c r="R39" s="339"/>
      <c r="S39" s="339"/>
      <c r="T39" s="339"/>
      <c r="U39" s="339"/>
      <c r="V39" s="342" t="str">
        <f aca="false">'Master Data'!E24</f>
        <v>24-Jul-26</v>
      </c>
      <c r="W39" s="342"/>
      <c r="X39" s="342"/>
      <c r="Y39" s="342"/>
      <c r="Z39" s="342"/>
      <c r="AA39" s="342"/>
      <c r="AB39" s="342"/>
      <c r="AC39" s="342"/>
      <c r="AD39" s="342"/>
      <c r="AE39" s="342"/>
      <c r="AF39" s="342"/>
      <c r="AG39" s="342"/>
      <c r="AH39" s="341"/>
      <c r="AI39" s="341"/>
      <c r="AJ39" s="341"/>
      <c r="AK39" s="341"/>
      <c r="AL39" s="341"/>
      <c r="AM39" s="341"/>
      <c r="AN39" s="341"/>
      <c r="AO39" s="341"/>
      <c r="AP39" s="294"/>
      <c r="AR39" s="326"/>
      <c r="AS39" s="326"/>
      <c r="AT39" s="326"/>
      <c r="AU39" s="326"/>
      <c r="AV39" s="326"/>
      <c r="AW39" s="326"/>
      <c r="AX39" s="326"/>
      <c r="AY39" s="326"/>
      <c r="AZ39" s="326"/>
      <c r="BA39" s="326"/>
      <c r="BB39" s="326"/>
      <c r="BC39" s="326"/>
      <c r="BD39" s="326"/>
      <c r="BE39" s="326"/>
      <c r="BF39" s="326"/>
      <c r="BG39" s="326"/>
      <c r="BH39" s="326"/>
      <c r="BI39" s="326"/>
      <c r="BJ39" s="326"/>
      <c r="BK39" s="326"/>
      <c r="BL39" s="326"/>
      <c r="BM39" s="326"/>
      <c r="BN39" s="326"/>
      <c r="BO39" s="326"/>
      <c r="BP39" s="326"/>
      <c r="BQ39" s="326"/>
      <c r="BR39" s="326"/>
      <c r="BS39" s="326"/>
      <c r="BT39" s="326"/>
      <c r="BU39" s="326"/>
      <c r="BV39" s="326"/>
      <c r="BW39" s="326"/>
      <c r="BX39" s="326"/>
      <c r="BY39" s="326"/>
      <c r="BZ39" s="326"/>
      <c r="CA39" s="326"/>
      <c r="CB39" s="326"/>
    </row>
    <row r="40" customFormat="false" ht="14.25" hidden="false" customHeight="false" outlineLevel="0" collapsed="false">
      <c r="A40" s="294"/>
      <c r="B40" s="294"/>
      <c r="C40" s="294"/>
      <c r="D40" s="294"/>
      <c r="E40" s="294"/>
      <c r="F40" s="294"/>
      <c r="G40" s="294"/>
      <c r="H40" s="294"/>
      <c r="I40" s="294"/>
      <c r="J40" s="294"/>
      <c r="K40" s="294"/>
      <c r="L40" s="294"/>
      <c r="M40" s="294"/>
      <c r="N40" s="294"/>
      <c r="O40" s="294"/>
      <c r="P40" s="294"/>
      <c r="Q40" s="294"/>
      <c r="R40" s="294"/>
      <c r="S40" s="294"/>
      <c r="T40" s="294"/>
      <c r="U40" s="294"/>
      <c r="V40" s="294"/>
      <c r="W40" s="294"/>
      <c r="X40" s="294"/>
      <c r="Y40" s="294"/>
      <c r="Z40" s="294"/>
      <c r="AA40" s="294"/>
      <c r="AB40" s="294"/>
      <c r="AC40" s="294"/>
      <c r="AD40" s="294"/>
      <c r="AE40" s="294"/>
      <c r="AF40" s="294"/>
      <c r="AG40" s="294"/>
      <c r="AH40" s="294"/>
      <c r="AI40" s="294"/>
      <c r="AJ40" s="294"/>
      <c r="AK40" s="294"/>
      <c r="AL40" s="294"/>
      <c r="AM40" s="294"/>
      <c r="AN40" s="294"/>
      <c r="AO40" s="294"/>
      <c r="AP40" s="294"/>
    </row>
    <row r="43" customFormat="false" ht="14.25" hidden="false" customHeight="false" outlineLevel="0" collapsed="false">
      <c r="E43" s="343"/>
    </row>
  </sheetData>
  <sheetProtection algorithmName="SHA-512" hashValue="GmbJp3OWBX2ib50zseQWOjKRN7y3tfsAhAdyrGnXvJVSnq0/yLaByGC8aEievHr70wS6fArMDq/BhGI1087nWQ==" saltValue="bT4lTD4mXOKx723/x5iIVw==" spinCount="100000" sheet="true" objects="true" scenarios="true" formatCells="false" formatColumns="false" formatRows="false"/>
  <mergeCells count="107">
    <mergeCell ref="B2:B6"/>
    <mergeCell ref="C2:AL2"/>
    <mergeCell ref="AM2:AO6"/>
    <mergeCell ref="D3:I3"/>
    <mergeCell ref="J3:O3"/>
    <mergeCell ref="P3:U3"/>
    <mergeCell ref="V3:AA3"/>
    <mergeCell ref="AB3:AG3"/>
    <mergeCell ref="AH3:AL3"/>
    <mergeCell ref="D4:I4"/>
    <mergeCell ref="J4:O4"/>
    <mergeCell ref="P4:U4"/>
    <mergeCell ref="V4:AA4"/>
    <mergeCell ref="AB4:AG4"/>
    <mergeCell ref="AH4:AL4"/>
    <mergeCell ref="D5:H5"/>
    <mergeCell ref="I5:O5"/>
    <mergeCell ref="P5:U5"/>
    <mergeCell ref="V5:AA5"/>
    <mergeCell ref="AB5:AL5"/>
    <mergeCell ref="D6:H6"/>
    <mergeCell ref="I6:O6"/>
    <mergeCell ref="P6:U6"/>
    <mergeCell ref="V6:AA6"/>
    <mergeCell ref="AB6:AC6"/>
    <mergeCell ref="AD6:AG6"/>
    <mergeCell ref="AI6:AL6"/>
    <mergeCell ref="D7:H7"/>
    <mergeCell ref="I7:O7"/>
    <mergeCell ref="P7:AL7"/>
    <mergeCell ref="AM7:AO7"/>
    <mergeCell ref="D8:AL8"/>
    <mergeCell ref="AM8:AO8"/>
    <mergeCell ref="B9:B11"/>
    <mergeCell ref="C9:C11"/>
    <mergeCell ref="D9:D10"/>
    <mergeCell ref="E9:E10"/>
    <mergeCell ref="F9:F10"/>
    <mergeCell ref="G9:G10"/>
    <mergeCell ref="H9:H10"/>
    <mergeCell ref="I9:I10"/>
    <mergeCell ref="J9:J10"/>
    <mergeCell ref="K9:K10"/>
    <mergeCell ref="L9:L10"/>
    <mergeCell ref="M9:M10"/>
    <mergeCell ref="N9:N10"/>
    <mergeCell ref="O9:O10"/>
    <mergeCell ref="P9:P10"/>
    <mergeCell ref="Q9:Q10"/>
    <mergeCell ref="R9:R10"/>
    <mergeCell ref="S9:S10"/>
    <mergeCell ref="T9:T10"/>
    <mergeCell ref="U9:U10"/>
    <mergeCell ref="V9:V10"/>
    <mergeCell ref="W9:W10"/>
    <mergeCell ref="X9:X10"/>
    <mergeCell ref="Y9:Y10"/>
    <mergeCell ref="Z9:Z10"/>
    <mergeCell ref="AA9:AA10"/>
    <mergeCell ref="AB9:AB10"/>
    <mergeCell ref="AC9:AC10"/>
    <mergeCell ref="AD9:AD10"/>
    <mergeCell ref="AE9:AE10"/>
    <mergeCell ref="AF9:AF10"/>
    <mergeCell ref="AG9:AG10"/>
    <mergeCell ref="AH9:AH10"/>
    <mergeCell ref="AI9:AI10"/>
    <mergeCell ref="AJ9:AJ10"/>
    <mergeCell ref="AK9:AK10"/>
    <mergeCell ref="AL9:AL10"/>
    <mergeCell ref="AM9:AO11"/>
    <mergeCell ref="D11:AL11"/>
    <mergeCell ref="AM12:AO12"/>
    <mergeCell ref="AM13:AO13"/>
    <mergeCell ref="AM14:AO14"/>
    <mergeCell ref="AM15:AO15"/>
    <mergeCell ref="AM16:AO16"/>
    <mergeCell ref="AM17:AO17"/>
    <mergeCell ref="AM18:AO18"/>
    <mergeCell ref="AM19:AO19"/>
    <mergeCell ref="AM20:AO20"/>
    <mergeCell ref="AM21:AO21"/>
    <mergeCell ref="AM22:AO22"/>
    <mergeCell ref="AM23:AO23"/>
    <mergeCell ref="AM24:AO24"/>
    <mergeCell ref="AM25:AO25"/>
    <mergeCell ref="AM26:AO26"/>
    <mergeCell ref="AM27:AO27"/>
    <mergeCell ref="AM28:AO28"/>
    <mergeCell ref="AM29:AO29"/>
    <mergeCell ref="AM30:AO30"/>
    <mergeCell ref="AM31:AO31"/>
    <mergeCell ref="AM32:AO32"/>
    <mergeCell ref="AM33:AO33"/>
    <mergeCell ref="AM34:AO34"/>
    <mergeCell ref="B35:C36"/>
    <mergeCell ref="D35:AO36"/>
    <mergeCell ref="C37:H37"/>
    <mergeCell ref="I37:U37"/>
    <mergeCell ref="V37:AG37"/>
    <mergeCell ref="AH37:AO39"/>
    <mergeCell ref="C38:H38"/>
    <mergeCell ref="I38:U38"/>
    <mergeCell ref="V38:AG38"/>
    <mergeCell ref="C39:H39"/>
    <mergeCell ref="I39:U39"/>
    <mergeCell ref="V39:AG39"/>
  </mergeCells>
  <printOptions headings="false" gridLines="false" gridLinesSet="true" horizontalCentered="false" verticalCentered="false"/>
  <pageMargins left="0" right="0" top="0.722222222222222" bottom="0" header="0" footer="0"/>
  <pageSetup paperSize="9" scale="100" fitToWidth="1" fitToHeight="0" pageOrder="downThenOver" orientation="landscape" blackAndWhite="false" draft="false" cellComments="none" horizontalDpi="300" verticalDpi="300" copies="1"/>
  <headerFooter differentFirst="true" differentOddEven="true">
    <oddHeader>&amp;L&amp;"arial,Regular"&amp;10&amp;K737373 ADNOC Classification: Public&amp;1#_x005F_x000D_</oddHeader>
    <oddFooter>&amp;C&amp;1#&amp;10 </oddFooter>
    <evenHeader/>
    <evenFooter/>
    <firstHeader/>
    <first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tnDuplicate">
              <controlPr defaultSize="0" print="true" autoFill="0" autoPict="0" macro="Module2.DuplicateThisSheet">
                <anchor moveWithCells="true" sizeWithCells="false">
                  <from>
                    <xdr:col>80</xdr:col>
                    <xdr:colOff>85680</xdr:colOff>
                    <xdr:row>1</xdr:row>
                    <xdr:rowOff>38160</xdr:rowOff>
                  </from>
                  <to>
                    <xdr:col>81</xdr:col>
                    <xdr:colOff>342720</xdr:colOff>
                    <xdr:row>2</xdr:row>
                    <xdr:rowOff>104760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E2F0D9"/>
    <pageSetUpPr fitToPage="false"/>
  </sheetPr>
  <dimension ref="A1:O28"/>
  <sheetViews>
    <sheetView showFormulas="false" showGridLines="false" showRowColHeaders="true" showZeros="true" rightToLeft="false" tabSelected="false" showOutlineSymbols="true" defaultGridColor="true" view="pageBreakPreview" topLeftCell="A1" colorId="64" zoomScale="140" zoomScaleNormal="100" zoomScalePageLayoutView="140" workbookViewId="0">
      <selection pane="topLeft" activeCell="H6" activeCellId="0" sqref="H6"/>
    </sheetView>
  </sheetViews>
  <sheetFormatPr defaultColWidth="8.59765625" defaultRowHeight="14.25" customHeight="false" zeroHeight="false" outlineLevelRow="0" outlineLevelCol="0"/>
  <cols>
    <col collapsed="false" customWidth="true" hidden="false" outlineLevel="0" max="3" min="3" style="37" width="6.56"/>
    <col collapsed="false" customWidth="true" hidden="false" outlineLevel="0" max="5" min="4" style="37" width="17.56"/>
    <col collapsed="false" customWidth="true" hidden="false" outlineLevel="0" max="6" min="6" style="37" width="5.44"/>
    <col collapsed="false" customWidth="true" hidden="false" outlineLevel="0" max="7" min="7" style="37" width="14.78"/>
    <col collapsed="false" customWidth="true" hidden="false" outlineLevel="0" max="8" min="8" style="37" width="6.67"/>
    <col collapsed="false" customWidth="true" hidden="false" outlineLevel="0" max="9" min="9" style="37" width="6.56"/>
    <col collapsed="false" customWidth="true" hidden="false" outlineLevel="0" max="10" min="10" style="37" width="9.22"/>
    <col collapsed="false" customWidth="true" hidden="false" outlineLevel="0" max="11" min="11" style="37" width="8.33"/>
  </cols>
  <sheetData>
    <row r="1" customFormat="false" ht="45.75" hidden="false" customHeight="true" outlineLevel="0" collapsed="false">
      <c r="A1" s="344"/>
      <c r="B1" s="344"/>
      <c r="C1" s="345" t="s">
        <v>294</v>
      </c>
      <c r="D1" s="346" t="s">
        <v>295</v>
      </c>
      <c r="E1" s="346"/>
      <c r="F1" s="346"/>
      <c r="G1" s="346"/>
      <c r="H1" s="346"/>
      <c r="I1" s="346"/>
      <c r="J1" s="346"/>
      <c r="K1" s="346"/>
    </row>
    <row r="2" customFormat="false" ht="14.25" hidden="false" customHeight="true" outlineLevel="0" collapsed="false">
      <c r="A2" s="345" t="s">
        <v>96</v>
      </c>
      <c r="B2" s="345"/>
      <c r="C2" s="345" t="s">
        <v>97</v>
      </c>
      <c r="D2" s="345"/>
      <c r="E2" s="345" t="s">
        <v>98</v>
      </c>
      <c r="F2" s="345"/>
      <c r="G2" s="345" t="s">
        <v>99</v>
      </c>
      <c r="H2" s="345" t="s">
        <v>100</v>
      </c>
      <c r="I2" s="345"/>
      <c r="J2" s="345" t="s">
        <v>101</v>
      </c>
      <c r="K2" s="345" t="s">
        <v>102</v>
      </c>
    </row>
    <row r="3" customFormat="false" ht="18.75" hidden="false" customHeight="true" outlineLevel="0" collapsed="false">
      <c r="A3" s="347" t="s">
        <v>296</v>
      </c>
      <c r="B3" s="347"/>
      <c r="C3" s="348" t="s">
        <v>104</v>
      </c>
      <c r="D3" s="348"/>
      <c r="E3" s="348" t="s">
        <v>105</v>
      </c>
      <c r="F3" s="348"/>
      <c r="G3" s="348" t="n">
        <v>0</v>
      </c>
      <c r="H3" s="348" t="s">
        <v>297</v>
      </c>
      <c r="I3" s="348"/>
      <c r="J3" s="348" t="s">
        <v>298</v>
      </c>
      <c r="K3" s="348" t="s">
        <v>107</v>
      </c>
    </row>
    <row r="5" customFormat="false" ht="14.9" hidden="false" customHeight="false" outlineLevel="0" collapsed="false">
      <c r="A5" s="349" t="s">
        <v>299</v>
      </c>
      <c r="B5" s="349"/>
      <c r="C5" s="350" t="str">
        <f aca="false">'Master Data'!E10</f>
        <v>BB-1309</v>
      </c>
      <c r="D5" s="350"/>
      <c r="E5" s="350"/>
      <c r="F5" s="349" t="s">
        <v>300</v>
      </c>
      <c r="G5" s="349"/>
      <c r="H5" s="350" t="str">
        <f aca="false">'Master Data'!B11</f>
        <v>4200761193</v>
      </c>
      <c r="I5" s="350"/>
      <c r="J5" s="350"/>
      <c r="K5" s="350"/>
    </row>
    <row r="6" customFormat="false" ht="14.9" hidden="false" customHeight="false" outlineLevel="0" collapsed="false">
      <c r="A6" s="349" t="s">
        <v>301</v>
      </c>
      <c r="B6" s="349"/>
      <c r="C6" s="351" t="s">
        <v>302</v>
      </c>
      <c r="D6" s="351"/>
      <c r="E6" s="351"/>
      <c r="F6" s="349" t="s">
        <v>303</v>
      </c>
      <c r="G6" s="349"/>
      <c r="H6" s="352" t="str">
        <f aca="false">_xlfn.CONCAT('Master Data'!E11," / ", 'Master Data'!E10)</f>
        <v>AD-237 / BB-1309</v>
      </c>
      <c r="I6" s="352"/>
      <c r="J6" s="352"/>
      <c r="K6" s="352"/>
    </row>
    <row r="7" customFormat="false" ht="14.25" hidden="false" customHeight="false" outlineLevel="0" collapsed="false">
      <c r="A7" s="350" t="s">
        <v>304</v>
      </c>
      <c r="B7" s="350"/>
      <c r="C7" s="350"/>
      <c r="D7" s="350"/>
      <c r="E7" s="350"/>
      <c r="F7" s="350"/>
      <c r="G7" s="350"/>
      <c r="H7" s="350"/>
      <c r="I7" s="350"/>
      <c r="J7" s="350"/>
      <c r="K7" s="350"/>
    </row>
    <row r="8" customFormat="false" ht="14.25" hidden="false" customHeight="false" outlineLevel="0" collapsed="false">
      <c r="A8" s="350" t="s">
        <v>305</v>
      </c>
      <c r="B8" s="350" t="s">
        <v>139</v>
      </c>
      <c r="C8" s="350"/>
      <c r="D8" s="350"/>
      <c r="E8" s="350"/>
      <c r="F8" s="350" t="s">
        <v>31</v>
      </c>
      <c r="G8" s="350"/>
      <c r="H8" s="350" t="s">
        <v>306</v>
      </c>
      <c r="I8" s="350"/>
      <c r="J8" s="350"/>
      <c r="K8" s="350" t="s">
        <v>307</v>
      </c>
    </row>
    <row r="9" customFormat="false" ht="14.25" hidden="false" customHeight="false" outlineLevel="0" collapsed="false">
      <c r="A9" s="353" t="s">
        <v>308</v>
      </c>
      <c r="B9" s="353"/>
      <c r="C9" s="353"/>
      <c r="D9" s="353"/>
      <c r="E9" s="353"/>
      <c r="F9" s="353"/>
      <c r="G9" s="353"/>
      <c r="H9" s="353"/>
      <c r="I9" s="353"/>
      <c r="J9" s="353"/>
      <c r="K9" s="353"/>
    </row>
    <row r="10" customFormat="false" ht="36" hidden="false" customHeight="true" outlineLevel="0" collapsed="false">
      <c r="A10" s="354" t="n">
        <v>1</v>
      </c>
      <c r="B10" s="355" t="str">
        <f aca="false">'MS2'!D11</f>
        <v>BASKET, EQUIPMENT OFFSHORE</v>
      </c>
      <c r="C10" s="355"/>
      <c r="D10" s="355"/>
      <c r="E10" s="355"/>
      <c r="F10" s="356" t="str">
        <f aca="false">'MS2'!F11</f>
        <v>CON-TAC21-06</v>
      </c>
      <c r="G10" s="356"/>
      <c r="H10" s="356"/>
      <c r="I10" s="356"/>
      <c r="J10" s="356"/>
      <c r="K10" s="356" t="s">
        <v>309</v>
      </c>
    </row>
    <row r="11" customFormat="false" ht="50.25" hidden="false" customHeight="true" outlineLevel="0" collapsed="false">
      <c r="A11" s="354" t="n">
        <v>2</v>
      </c>
      <c r="B11" s="355" t="str">
        <f aca="false">'MS2'!D12</f>
        <v>TOOLBOX, OFFSHORE - WELLSITE</v>
      </c>
      <c r="C11" s="355"/>
      <c r="D11" s="355"/>
      <c r="E11" s="355"/>
      <c r="F11" s="356" t="str">
        <f aca="false">'MS2'!F12</f>
        <v>RZ060-012</v>
      </c>
      <c r="G11" s="356"/>
      <c r="H11" s="356"/>
      <c r="I11" s="356"/>
      <c r="J11" s="356"/>
      <c r="K11" s="356" t="s">
        <v>309</v>
      </c>
    </row>
    <row r="12" customFormat="false" ht="30" hidden="false" customHeight="true" outlineLevel="0" collapsed="false">
      <c r="A12" s="354"/>
      <c r="B12" s="355"/>
      <c r="C12" s="355"/>
      <c r="D12" s="355"/>
      <c r="E12" s="355"/>
      <c r="F12" s="356"/>
      <c r="G12" s="356"/>
      <c r="H12" s="356"/>
      <c r="I12" s="356"/>
      <c r="J12" s="356"/>
      <c r="K12" s="356"/>
    </row>
    <row r="13" customFormat="false" ht="15" hidden="false" customHeight="true" outlineLevel="0" collapsed="false">
      <c r="A13" s="354" t="n">
        <v>3</v>
      </c>
      <c r="B13" s="355" t="str">
        <f aca="false">'MS2'!D13</f>
        <v>PUMP, HYDRAULIC</v>
      </c>
      <c r="C13" s="355"/>
      <c r="D13" s="355"/>
      <c r="E13" s="355"/>
      <c r="F13" s="356" t="str">
        <f aca="false">'MS2'!F13</f>
        <v>3254409</v>
      </c>
      <c r="G13" s="356"/>
      <c r="H13" s="356"/>
      <c r="I13" s="356"/>
      <c r="J13" s="356"/>
      <c r="K13" s="356" t="s">
        <v>310</v>
      </c>
    </row>
    <row r="14" customFormat="false" ht="26.8" hidden="false" customHeight="false" outlineLevel="0" collapsed="false">
      <c r="A14" s="357"/>
      <c r="B14" s="358"/>
      <c r="C14" s="358"/>
      <c r="D14" s="358"/>
      <c r="E14" s="358"/>
      <c r="F14" s="356"/>
      <c r="G14" s="356"/>
      <c r="H14" s="356"/>
      <c r="I14" s="356"/>
      <c r="J14" s="356"/>
      <c r="K14" s="356"/>
      <c r="O14" s="359"/>
    </row>
    <row r="15" customFormat="false" ht="15" hidden="false" customHeight="true" outlineLevel="0" collapsed="false">
      <c r="A15" s="356"/>
      <c r="B15" s="360"/>
      <c r="C15" s="360"/>
      <c r="D15" s="360"/>
      <c r="E15" s="360"/>
      <c r="F15" s="356"/>
      <c r="G15" s="356"/>
      <c r="H15" s="356"/>
      <c r="I15" s="356"/>
      <c r="J15" s="356"/>
      <c r="K15" s="361"/>
    </row>
    <row r="16" customFormat="false" ht="15" hidden="false" customHeight="true" outlineLevel="0" collapsed="false">
      <c r="A16" s="356"/>
      <c r="B16" s="360"/>
      <c r="C16" s="360"/>
      <c r="D16" s="360"/>
      <c r="E16" s="360"/>
      <c r="F16" s="356"/>
      <c r="G16" s="356"/>
      <c r="H16" s="356"/>
      <c r="I16" s="356"/>
      <c r="J16" s="356"/>
      <c r="K16" s="361"/>
    </row>
    <row r="17" customFormat="false" ht="15" hidden="false" customHeight="true" outlineLevel="0" collapsed="false">
      <c r="A17" s="356"/>
      <c r="B17" s="360"/>
      <c r="C17" s="360"/>
      <c r="D17" s="360"/>
      <c r="E17" s="360"/>
      <c r="F17" s="356"/>
      <c r="G17" s="356"/>
      <c r="H17" s="356"/>
      <c r="I17" s="356"/>
      <c r="J17" s="356"/>
      <c r="K17" s="361"/>
    </row>
    <row r="18" customFormat="false" ht="14.25" hidden="false" customHeight="false" outlineLevel="0" collapsed="false">
      <c r="A18" s="362" t="s">
        <v>311</v>
      </c>
      <c r="B18" s="362"/>
      <c r="C18" s="362"/>
      <c r="D18" s="362"/>
      <c r="E18" s="362"/>
      <c r="F18" s="362"/>
      <c r="G18" s="362"/>
      <c r="H18" s="362"/>
      <c r="I18" s="362"/>
      <c r="J18" s="362"/>
      <c r="K18" s="362"/>
    </row>
    <row r="19" customFormat="false" ht="14.25" hidden="false" customHeight="false" outlineLevel="0" collapsed="false">
      <c r="A19" s="363"/>
      <c r="B19" s="363"/>
      <c r="C19" s="363"/>
      <c r="D19" s="363"/>
      <c r="E19" s="363"/>
      <c r="F19" s="363"/>
      <c r="G19" s="363"/>
      <c r="H19" s="363"/>
      <c r="I19" s="363"/>
      <c r="J19" s="363"/>
      <c r="K19" s="363"/>
    </row>
    <row r="20" customFormat="false" ht="14.25" hidden="false" customHeight="false" outlineLevel="0" collapsed="false">
      <c r="A20" s="363"/>
      <c r="B20" s="363"/>
      <c r="C20" s="363"/>
      <c r="D20" s="363"/>
      <c r="E20" s="363"/>
      <c r="F20" s="363"/>
      <c r="G20" s="363"/>
      <c r="H20" s="363"/>
      <c r="I20" s="363"/>
      <c r="J20" s="363"/>
      <c r="K20" s="363"/>
    </row>
    <row r="21" customFormat="false" ht="14.25" hidden="false" customHeight="false" outlineLevel="0" collapsed="false">
      <c r="A21" s="364"/>
      <c r="B21" s="364"/>
      <c r="C21" s="364"/>
      <c r="D21" s="364"/>
      <c r="E21" s="364"/>
      <c r="F21" s="364"/>
      <c r="G21" s="364"/>
      <c r="H21" s="364"/>
      <c r="I21" s="364"/>
      <c r="J21" s="364"/>
      <c r="K21" s="364"/>
    </row>
    <row r="22" customFormat="false" ht="14.9" hidden="false" customHeight="false" outlineLevel="0" collapsed="false">
      <c r="A22" s="365" t="s">
        <v>312</v>
      </c>
      <c r="B22" s="365"/>
      <c r="C22" s="365"/>
      <c r="D22" s="366" t="str">
        <f aca="false">'Master Data'!B21</f>
        <v>Mahmoud Ali </v>
      </c>
      <c r="E22" s="366"/>
      <c r="F22" s="366"/>
      <c r="G22" s="366"/>
      <c r="H22" s="367" t="s">
        <v>313</v>
      </c>
      <c r="I22" s="368" t="str">
        <f aca="false">'Master Data'!E24</f>
        <v>24-Jul-26</v>
      </c>
      <c r="J22" s="368"/>
      <c r="K22" s="368"/>
    </row>
    <row r="23" customFormat="false" ht="14.9" hidden="false" customHeight="false" outlineLevel="0" collapsed="false">
      <c r="A23" s="365" t="s">
        <v>314</v>
      </c>
      <c r="B23" s="365"/>
      <c r="C23" s="365"/>
      <c r="D23" s="366"/>
      <c r="E23" s="366"/>
      <c r="F23" s="366"/>
      <c r="G23" s="366"/>
      <c r="H23" s="367" t="s">
        <v>14</v>
      </c>
      <c r="I23" s="368" t="str">
        <f aca="false">'Master Data'!E24</f>
        <v>24-Jul-26</v>
      </c>
      <c r="J23" s="368"/>
      <c r="K23" s="368"/>
    </row>
    <row r="24" customFormat="false" ht="14.9" hidden="false" customHeight="false" outlineLevel="0" collapsed="false">
      <c r="A24" s="365" t="s">
        <v>315</v>
      </c>
      <c r="B24" s="365"/>
      <c r="C24" s="365"/>
      <c r="D24" s="366" t="s">
        <v>257</v>
      </c>
      <c r="E24" s="366"/>
      <c r="F24" s="366"/>
      <c r="G24" s="366"/>
      <c r="H24" s="367" t="s">
        <v>14</v>
      </c>
      <c r="I24" s="369"/>
      <c r="J24" s="369"/>
      <c r="K24" s="369"/>
    </row>
    <row r="25" customFormat="false" ht="14.9" hidden="false" customHeight="false" outlineLevel="0" collapsed="false">
      <c r="A25" s="370"/>
      <c r="B25" s="370"/>
      <c r="C25" s="370"/>
      <c r="D25" s="366"/>
      <c r="E25" s="366"/>
      <c r="F25" s="366"/>
      <c r="G25" s="366"/>
      <c r="H25" s="367" t="s">
        <v>14</v>
      </c>
      <c r="I25" s="369"/>
      <c r="J25" s="369"/>
      <c r="K25" s="369"/>
    </row>
    <row r="26" customFormat="false" ht="12" hidden="false" customHeight="true" outlineLevel="0" collapsed="false">
      <c r="A26" s="371"/>
      <c r="B26" s="371"/>
      <c r="C26" s="371"/>
      <c r="D26" s="371"/>
      <c r="E26" s="371"/>
      <c r="F26" s="371"/>
      <c r="G26" s="371"/>
      <c r="H26" s="371"/>
      <c r="I26" s="371"/>
      <c r="J26" s="371"/>
      <c r="K26" s="371"/>
    </row>
    <row r="27" customFormat="false" ht="14.25" hidden="false" customHeight="false" outlineLevel="0" collapsed="false">
      <c r="A27" s="372" t="s">
        <v>316</v>
      </c>
      <c r="B27" s="372"/>
      <c r="C27" s="372"/>
      <c r="D27" s="372"/>
      <c r="E27" s="372"/>
      <c r="F27" s="372"/>
      <c r="G27" s="372"/>
      <c r="H27" s="372"/>
      <c r="I27" s="372"/>
      <c r="J27" s="372"/>
      <c r="K27" s="372"/>
    </row>
    <row r="28" customFormat="false" ht="42.75" hidden="false" customHeight="true" outlineLevel="0" collapsed="false">
      <c r="A28" s="373" t="s">
        <v>317</v>
      </c>
      <c r="B28" s="373"/>
      <c r="C28" s="373"/>
      <c r="D28" s="373"/>
      <c r="E28" s="373"/>
      <c r="F28" s="373"/>
      <c r="G28" s="373"/>
      <c r="H28" s="373"/>
      <c r="I28" s="373"/>
      <c r="J28" s="373"/>
      <c r="K28" s="373"/>
    </row>
  </sheetData>
  <mergeCells count="65">
    <mergeCell ref="A1:B1"/>
    <mergeCell ref="D1:I1"/>
    <mergeCell ref="J1:K1"/>
    <mergeCell ref="A2:B2"/>
    <mergeCell ref="C2:D2"/>
    <mergeCell ref="E2:F2"/>
    <mergeCell ref="H2:I2"/>
    <mergeCell ref="A3:B3"/>
    <mergeCell ref="C3:D3"/>
    <mergeCell ref="E3:F3"/>
    <mergeCell ref="H3:I3"/>
    <mergeCell ref="A5:B5"/>
    <mergeCell ref="C5:E5"/>
    <mergeCell ref="H5:K5"/>
    <mergeCell ref="A6:B6"/>
    <mergeCell ref="C6:E6"/>
    <mergeCell ref="H6:K6"/>
    <mergeCell ref="A7:K7"/>
    <mergeCell ref="B8:E8"/>
    <mergeCell ref="F8:G8"/>
    <mergeCell ref="H8:J8"/>
    <mergeCell ref="A9:E9"/>
    <mergeCell ref="F9:K9"/>
    <mergeCell ref="B10:E10"/>
    <mergeCell ref="F10:G10"/>
    <mergeCell ref="H10:J10"/>
    <mergeCell ref="A11:A12"/>
    <mergeCell ref="B11:E12"/>
    <mergeCell ref="F11:G12"/>
    <mergeCell ref="H11:J12"/>
    <mergeCell ref="K11:K12"/>
    <mergeCell ref="B13:E13"/>
    <mergeCell ref="F13:G13"/>
    <mergeCell ref="H13:J13"/>
    <mergeCell ref="B14:E14"/>
    <mergeCell ref="F14:G14"/>
    <mergeCell ref="H14:J14"/>
    <mergeCell ref="B15:E15"/>
    <mergeCell ref="F15:G15"/>
    <mergeCell ref="H15:J15"/>
    <mergeCell ref="B16:E16"/>
    <mergeCell ref="F16:G16"/>
    <mergeCell ref="H16:J16"/>
    <mergeCell ref="B17:E17"/>
    <mergeCell ref="F17:G17"/>
    <mergeCell ref="H17:J17"/>
    <mergeCell ref="A18:K18"/>
    <mergeCell ref="A19:K19"/>
    <mergeCell ref="A20:K20"/>
    <mergeCell ref="A21:K21"/>
    <mergeCell ref="A22:C22"/>
    <mergeCell ref="D22:G22"/>
    <mergeCell ref="I22:K22"/>
    <mergeCell ref="A23:C23"/>
    <mergeCell ref="D23:G23"/>
    <mergeCell ref="I23:K23"/>
    <mergeCell ref="A24:C24"/>
    <mergeCell ref="D24:G24"/>
    <mergeCell ref="I24:K24"/>
    <mergeCell ref="A25:C25"/>
    <mergeCell ref="D25:G25"/>
    <mergeCell ref="I25:K25"/>
    <mergeCell ref="A26:K26"/>
    <mergeCell ref="A27:K27"/>
    <mergeCell ref="A28:K28"/>
  </mergeCells>
  <printOptions headings="false" gridLines="false" gridLinesSet="true" horizontalCentered="false" verticalCentered="false"/>
  <pageMargins left="0.25" right="0.25" top="0.444444444444445" bottom="0.75" header="0.511811023622047" footer="0.511811023622047"/>
  <pageSetup paperSize="9" scale="85"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tnDuplicate">
              <controlPr defaultSize="0" print="true" autoFill="0" autoPict="0" macro="Module2.DuplicateThisSheet">
                <anchor moveWithCells="true" sizeWithCells="false">
                  <from>
                    <xdr:col>12</xdr:col>
                    <xdr:colOff>47520</xdr:colOff>
                    <xdr:row>0</xdr:row>
                    <xdr:rowOff>142920</xdr:rowOff>
                  </from>
                  <to>
                    <xdr:col>13</xdr:col>
                    <xdr:colOff>314280</xdr:colOff>
                    <xdr:row>1</xdr:row>
                    <xdr:rowOff>85680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true"/>
  </sheetPr>
  <dimension ref="A2:T46"/>
  <sheetViews>
    <sheetView showFormulas="false" showGridLines="true" showRowColHeaders="true" showZeros="true" rightToLeft="false" tabSelected="false" showOutlineSymbols="true" defaultGridColor="true" view="pageBreakPreview" topLeftCell="A28" colorId="64" zoomScale="140" zoomScaleNormal="72" zoomScalePageLayoutView="140" workbookViewId="0">
      <selection pane="topLeft" activeCell="I24" activeCellId="0" sqref="I24"/>
    </sheetView>
  </sheetViews>
  <sheetFormatPr defaultColWidth="8.890625" defaultRowHeight="12.75" customHeight="false" zeroHeight="false" outlineLevelRow="0" outlineLevelCol="0"/>
  <cols>
    <col collapsed="false" customWidth="true" hidden="false" outlineLevel="0" max="1" min="1" style="374" width="4.89"/>
    <col collapsed="false" customWidth="false" hidden="false" outlineLevel="0" max="2" min="2" style="375" width="8.89"/>
    <col collapsed="false" customWidth="false" hidden="false" outlineLevel="0" max="3" min="3" style="374" width="8.89"/>
    <col collapsed="false" customWidth="true" hidden="false" outlineLevel="0" max="4" min="4" style="374" width="13.89"/>
    <col collapsed="false" customWidth="false" hidden="false" outlineLevel="0" max="5" min="5" style="374" width="8.89"/>
    <col collapsed="false" customWidth="true" hidden="false" outlineLevel="0" max="6" min="6" style="374" width="13.44"/>
    <col collapsed="false" customWidth="false" hidden="false" outlineLevel="0" max="8" min="7" style="374" width="8.89"/>
    <col collapsed="false" customWidth="true" hidden="false" outlineLevel="0" max="9" min="9" style="374" width="14"/>
    <col collapsed="false" customWidth="true" hidden="false" outlineLevel="0" max="10" min="10" style="374" width="16.45"/>
    <col collapsed="false" customWidth="true" hidden="false" outlineLevel="0" max="11" min="11" style="374" width="10.11"/>
    <col collapsed="false" customWidth="true" hidden="false" outlineLevel="0" max="12" min="12" style="374" width="12.11"/>
    <col collapsed="false" customWidth="true" hidden="false" outlineLevel="0" max="14" min="13" style="374" width="16.55"/>
    <col collapsed="false" customWidth="false" hidden="false" outlineLevel="0" max="259" min="15" style="374" width="8.89"/>
    <col collapsed="false" customWidth="true" hidden="false" outlineLevel="0" max="260" min="260" style="374" width="13.89"/>
    <col collapsed="false" customWidth="false" hidden="false" outlineLevel="0" max="261" min="261" style="374" width="8.89"/>
    <col collapsed="false" customWidth="true" hidden="false" outlineLevel="0" max="262" min="262" style="374" width="13.44"/>
    <col collapsed="false" customWidth="false" hidden="false" outlineLevel="0" max="264" min="263" style="374" width="8.89"/>
    <col collapsed="false" customWidth="true" hidden="false" outlineLevel="0" max="265" min="265" style="374" width="12.55"/>
    <col collapsed="false" customWidth="true" hidden="false" outlineLevel="0" max="266" min="266" style="374" width="16.45"/>
    <col collapsed="false" customWidth="true" hidden="false" outlineLevel="0" max="267" min="267" style="374" width="10.11"/>
    <col collapsed="false" customWidth="true" hidden="false" outlineLevel="0" max="268" min="268" style="374" width="9.11"/>
    <col collapsed="false" customWidth="true" hidden="false" outlineLevel="0" max="269" min="269" style="374" width="11.55"/>
    <col collapsed="false" customWidth="false" hidden="false" outlineLevel="0" max="515" min="270" style="374" width="8.89"/>
    <col collapsed="false" customWidth="true" hidden="false" outlineLevel="0" max="516" min="516" style="374" width="13.89"/>
    <col collapsed="false" customWidth="false" hidden="false" outlineLevel="0" max="517" min="517" style="374" width="8.89"/>
    <col collapsed="false" customWidth="true" hidden="false" outlineLevel="0" max="518" min="518" style="374" width="13.44"/>
    <col collapsed="false" customWidth="false" hidden="false" outlineLevel="0" max="520" min="519" style="374" width="8.89"/>
    <col collapsed="false" customWidth="true" hidden="false" outlineLevel="0" max="521" min="521" style="374" width="12.55"/>
    <col collapsed="false" customWidth="true" hidden="false" outlineLevel="0" max="522" min="522" style="374" width="16.45"/>
    <col collapsed="false" customWidth="true" hidden="false" outlineLevel="0" max="523" min="523" style="374" width="10.11"/>
    <col collapsed="false" customWidth="true" hidden="false" outlineLevel="0" max="524" min="524" style="374" width="9.11"/>
    <col collapsed="false" customWidth="true" hidden="false" outlineLevel="0" max="525" min="525" style="374" width="11.55"/>
    <col collapsed="false" customWidth="false" hidden="false" outlineLevel="0" max="771" min="526" style="374" width="8.89"/>
    <col collapsed="false" customWidth="true" hidden="false" outlineLevel="0" max="772" min="772" style="374" width="13.89"/>
    <col collapsed="false" customWidth="false" hidden="false" outlineLevel="0" max="773" min="773" style="374" width="8.89"/>
    <col collapsed="false" customWidth="true" hidden="false" outlineLevel="0" max="774" min="774" style="374" width="13.44"/>
    <col collapsed="false" customWidth="false" hidden="false" outlineLevel="0" max="776" min="775" style="374" width="8.89"/>
    <col collapsed="false" customWidth="true" hidden="false" outlineLevel="0" max="777" min="777" style="374" width="12.55"/>
    <col collapsed="false" customWidth="true" hidden="false" outlineLevel="0" max="778" min="778" style="374" width="16.45"/>
    <col collapsed="false" customWidth="true" hidden="false" outlineLevel="0" max="779" min="779" style="374" width="10.11"/>
    <col collapsed="false" customWidth="true" hidden="false" outlineLevel="0" max="780" min="780" style="374" width="9.11"/>
    <col collapsed="false" customWidth="true" hidden="false" outlineLevel="0" max="781" min="781" style="374" width="11.55"/>
    <col collapsed="false" customWidth="false" hidden="false" outlineLevel="0" max="1027" min="782" style="374" width="8.89"/>
    <col collapsed="false" customWidth="true" hidden="false" outlineLevel="0" max="1028" min="1028" style="374" width="13.89"/>
    <col collapsed="false" customWidth="false" hidden="false" outlineLevel="0" max="1029" min="1029" style="374" width="8.89"/>
    <col collapsed="false" customWidth="true" hidden="false" outlineLevel="0" max="1030" min="1030" style="374" width="13.44"/>
    <col collapsed="false" customWidth="false" hidden="false" outlineLevel="0" max="1032" min="1031" style="374" width="8.89"/>
    <col collapsed="false" customWidth="true" hidden="false" outlineLevel="0" max="1033" min="1033" style="374" width="12.55"/>
    <col collapsed="false" customWidth="true" hidden="false" outlineLevel="0" max="1034" min="1034" style="374" width="16.45"/>
    <col collapsed="false" customWidth="true" hidden="false" outlineLevel="0" max="1035" min="1035" style="374" width="10.11"/>
    <col collapsed="false" customWidth="true" hidden="false" outlineLevel="0" max="1036" min="1036" style="374" width="9.11"/>
    <col collapsed="false" customWidth="true" hidden="false" outlineLevel="0" max="1037" min="1037" style="374" width="11.55"/>
    <col collapsed="false" customWidth="false" hidden="false" outlineLevel="0" max="1283" min="1038" style="374" width="8.89"/>
    <col collapsed="false" customWidth="true" hidden="false" outlineLevel="0" max="1284" min="1284" style="374" width="13.89"/>
    <col collapsed="false" customWidth="false" hidden="false" outlineLevel="0" max="1285" min="1285" style="374" width="8.89"/>
    <col collapsed="false" customWidth="true" hidden="false" outlineLevel="0" max="1286" min="1286" style="374" width="13.44"/>
    <col collapsed="false" customWidth="false" hidden="false" outlineLevel="0" max="1288" min="1287" style="374" width="8.89"/>
    <col collapsed="false" customWidth="true" hidden="false" outlineLevel="0" max="1289" min="1289" style="374" width="12.55"/>
    <col collapsed="false" customWidth="true" hidden="false" outlineLevel="0" max="1290" min="1290" style="374" width="16.45"/>
    <col collapsed="false" customWidth="true" hidden="false" outlineLevel="0" max="1291" min="1291" style="374" width="10.11"/>
    <col collapsed="false" customWidth="true" hidden="false" outlineLevel="0" max="1292" min="1292" style="374" width="9.11"/>
    <col collapsed="false" customWidth="true" hidden="false" outlineLevel="0" max="1293" min="1293" style="374" width="11.55"/>
    <col collapsed="false" customWidth="false" hidden="false" outlineLevel="0" max="1539" min="1294" style="374" width="8.89"/>
    <col collapsed="false" customWidth="true" hidden="false" outlineLevel="0" max="1540" min="1540" style="374" width="13.89"/>
    <col collapsed="false" customWidth="false" hidden="false" outlineLevel="0" max="1541" min="1541" style="374" width="8.89"/>
    <col collapsed="false" customWidth="true" hidden="false" outlineLevel="0" max="1542" min="1542" style="374" width="13.44"/>
    <col collapsed="false" customWidth="false" hidden="false" outlineLevel="0" max="1544" min="1543" style="374" width="8.89"/>
    <col collapsed="false" customWidth="true" hidden="false" outlineLevel="0" max="1545" min="1545" style="374" width="12.55"/>
    <col collapsed="false" customWidth="true" hidden="false" outlineLevel="0" max="1546" min="1546" style="374" width="16.45"/>
    <col collapsed="false" customWidth="true" hidden="false" outlineLevel="0" max="1547" min="1547" style="374" width="10.11"/>
    <col collapsed="false" customWidth="true" hidden="false" outlineLevel="0" max="1548" min="1548" style="374" width="9.11"/>
    <col collapsed="false" customWidth="true" hidden="false" outlineLevel="0" max="1549" min="1549" style="374" width="11.55"/>
    <col collapsed="false" customWidth="false" hidden="false" outlineLevel="0" max="1795" min="1550" style="374" width="8.89"/>
    <col collapsed="false" customWidth="true" hidden="false" outlineLevel="0" max="1796" min="1796" style="374" width="13.89"/>
    <col collapsed="false" customWidth="false" hidden="false" outlineLevel="0" max="1797" min="1797" style="374" width="8.89"/>
    <col collapsed="false" customWidth="true" hidden="false" outlineLevel="0" max="1798" min="1798" style="374" width="13.44"/>
    <col collapsed="false" customWidth="false" hidden="false" outlineLevel="0" max="1800" min="1799" style="374" width="8.89"/>
    <col collapsed="false" customWidth="true" hidden="false" outlineLevel="0" max="1801" min="1801" style="374" width="12.55"/>
    <col collapsed="false" customWidth="true" hidden="false" outlineLevel="0" max="1802" min="1802" style="374" width="16.45"/>
    <col collapsed="false" customWidth="true" hidden="false" outlineLevel="0" max="1803" min="1803" style="374" width="10.11"/>
    <col collapsed="false" customWidth="true" hidden="false" outlineLevel="0" max="1804" min="1804" style="374" width="9.11"/>
    <col collapsed="false" customWidth="true" hidden="false" outlineLevel="0" max="1805" min="1805" style="374" width="11.55"/>
    <col collapsed="false" customWidth="false" hidden="false" outlineLevel="0" max="2051" min="1806" style="374" width="8.89"/>
    <col collapsed="false" customWidth="true" hidden="false" outlineLevel="0" max="2052" min="2052" style="374" width="13.89"/>
    <col collapsed="false" customWidth="false" hidden="false" outlineLevel="0" max="2053" min="2053" style="374" width="8.89"/>
    <col collapsed="false" customWidth="true" hidden="false" outlineLevel="0" max="2054" min="2054" style="374" width="13.44"/>
    <col collapsed="false" customWidth="false" hidden="false" outlineLevel="0" max="2056" min="2055" style="374" width="8.89"/>
    <col collapsed="false" customWidth="true" hidden="false" outlineLevel="0" max="2057" min="2057" style="374" width="12.55"/>
    <col collapsed="false" customWidth="true" hidden="false" outlineLevel="0" max="2058" min="2058" style="374" width="16.45"/>
    <col collapsed="false" customWidth="true" hidden="false" outlineLevel="0" max="2059" min="2059" style="374" width="10.11"/>
    <col collapsed="false" customWidth="true" hidden="false" outlineLevel="0" max="2060" min="2060" style="374" width="9.11"/>
    <col collapsed="false" customWidth="true" hidden="false" outlineLevel="0" max="2061" min="2061" style="374" width="11.55"/>
    <col collapsed="false" customWidth="false" hidden="false" outlineLevel="0" max="2307" min="2062" style="374" width="8.89"/>
    <col collapsed="false" customWidth="true" hidden="false" outlineLevel="0" max="2308" min="2308" style="374" width="13.89"/>
    <col collapsed="false" customWidth="false" hidden="false" outlineLevel="0" max="2309" min="2309" style="374" width="8.89"/>
    <col collapsed="false" customWidth="true" hidden="false" outlineLevel="0" max="2310" min="2310" style="374" width="13.44"/>
    <col collapsed="false" customWidth="false" hidden="false" outlineLevel="0" max="2312" min="2311" style="374" width="8.89"/>
    <col collapsed="false" customWidth="true" hidden="false" outlineLevel="0" max="2313" min="2313" style="374" width="12.55"/>
    <col collapsed="false" customWidth="true" hidden="false" outlineLevel="0" max="2314" min="2314" style="374" width="16.45"/>
    <col collapsed="false" customWidth="true" hidden="false" outlineLevel="0" max="2315" min="2315" style="374" width="10.11"/>
    <col collapsed="false" customWidth="true" hidden="false" outlineLevel="0" max="2316" min="2316" style="374" width="9.11"/>
    <col collapsed="false" customWidth="true" hidden="false" outlineLevel="0" max="2317" min="2317" style="374" width="11.55"/>
    <col collapsed="false" customWidth="false" hidden="false" outlineLevel="0" max="2563" min="2318" style="374" width="8.89"/>
    <col collapsed="false" customWidth="true" hidden="false" outlineLevel="0" max="2564" min="2564" style="374" width="13.89"/>
    <col collapsed="false" customWidth="false" hidden="false" outlineLevel="0" max="2565" min="2565" style="374" width="8.89"/>
    <col collapsed="false" customWidth="true" hidden="false" outlineLevel="0" max="2566" min="2566" style="374" width="13.44"/>
    <col collapsed="false" customWidth="false" hidden="false" outlineLevel="0" max="2568" min="2567" style="374" width="8.89"/>
    <col collapsed="false" customWidth="true" hidden="false" outlineLevel="0" max="2569" min="2569" style="374" width="12.55"/>
    <col collapsed="false" customWidth="true" hidden="false" outlineLevel="0" max="2570" min="2570" style="374" width="16.45"/>
    <col collapsed="false" customWidth="true" hidden="false" outlineLevel="0" max="2571" min="2571" style="374" width="10.11"/>
    <col collapsed="false" customWidth="true" hidden="false" outlineLevel="0" max="2572" min="2572" style="374" width="9.11"/>
    <col collapsed="false" customWidth="true" hidden="false" outlineLevel="0" max="2573" min="2573" style="374" width="11.55"/>
    <col collapsed="false" customWidth="false" hidden="false" outlineLevel="0" max="2819" min="2574" style="374" width="8.89"/>
    <col collapsed="false" customWidth="true" hidden="false" outlineLevel="0" max="2820" min="2820" style="374" width="13.89"/>
    <col collapsed="false" customWidth="false" hidden="false" outlineLevel="0" max="2821" min="2821" style="374" width="8.89"/>
    <col collapsed="false" customWidth="true" hidden="false" outlineLevel="0" max="2822" min="2822" style="374" width="13.44"/>
    <col collapsed="false" customWidth="false" hidden="false" outlineLevel="0" max="2824" min="2823" style="374" width="8.89"/>
    <col collapsed="false" customWidth="true" hidden="false" outlineLevel="0" max="2825" min="2825" style="374" width="12.55"/>
    <col collapsed="false" customWidth="true" hidden="false" outlineLevel="0" max="2826" min="2826" style="374" width="16.45"/>
    <col collapsed="false" customWidth="true" hidden="false" outlineLevel="0" max="2827" min="2827" style="374" width="10.11"/>
    <col collapsed="false" customWidth="true" hidden="false" outlineLevel="0" max="2828" min="2828" style="374" width="9.11"/>
    <col collapsed="false" customWidth="true" hidden="false" outlineLevel="0" max="2829" min="2829" style="374" width="11.55"/>
    <col collapsed="false" customWidth="false" hidden="false" outlineLevel="0" max="3075" min="2830" style="374" width="8.89"/>
    <col collapsed="false" customWidth="true" hidden="false" outlineLevel="0" max="3076" min="3076" style="374" width="13.89"/>
    <col collapsed="false" customWidth="false" hidden="false" outlineLevel="0" max="3077" min="3077" style="374" width="8.89"/>
    <col collapsed="false" customWidth="true" hidden="false" outlineLevel="0" max="3078" min="3078" style="374" width="13.44"/>
    <col collapsed="false" customWidth="false" hidden="false" outlineLevel="0" max="3080" min="3079" style="374" width="8.89"/>
    <col collapsed="false" customWidth="true" hidden="false" outlineLevel="0" max="3081" min="3081" style="374" width="12.55"/>
    <col collapsed="false" customWidth="true" hidden="false" outlineLevel="0" max="3082" min="3082" style="374" width="16.45"/>
    <col collapsed="false" customWidth="true" hidden="false" outlineLevel="0" max="3083" min="3083" style="374" width="10.11"/>
    <col collapsed="false" customWidth="true" hidden="false" outlineLevel="0" max="3084" min="3084" style="374" width="9.11"/>
    <col collapsed="false" customWidth="true" hidden="false" outlineLevel="0" max="3085" min="3085" style="374" width="11.55"/>
    <col collapsed="false" customWidth="false" hidden="false" outlineLevel="0" max="3331" min="3086" style="374" width="8.89"/>
    <col collapsed="false" customWidth="true" hidden="false" outlineLevel="0" max="3332" min="3332" style="374" width="13.89"/>
    <col collapsed="false" customWidth="false" hidden="false" outlineLevel="0" max="3333" min="3333" style="374" width="8.89"/>
    <col collapsed="false" customWidth="true" hidden="false" outlineLevel="0" max="3334" min="3334" style="374" width="13.44"/>
    <col collapsed="false" customWidth="false" hidden="false" outlineLevel="0" max="3336" min="3335" style="374" width="8.89"/>
    <col collapsed="false" customWidth="true" hidden="false" outlineLevel="0" max="3337" min="3337" style="374" width="12.55"/>
    <col collapsed="false" customWidth="true" hidden="false" outlineLevel="0" max="3338" min="3338" style="374" width="16.45"/>
    <col collapsed="false" customWidth="true" hidden="false" outlineLevel="0" max="3339" min="3339" style="374" width="10.11"/>
    <col collapsed="false" customWidth="true" hidden="false" outlineLevel="0" max="3340" min="3340" style="374" width="9.11"/>
    <col collapsed="false" customWidth="true" hidden="false" outlineLevel="0" max="3341" min="3341" style="374" width="11.55"/>
    <col collapsed="false" customWidth="false" hidden="false" outlineLevel="0" max="3587" min="3342" style="374" width="8.89"/>
    <col collapsed="false" customWidth="true" hidden="false" outlineLevel="0" max="3588" min="3588" style="374" width="13.89"/>
    <col collapsed="false" customWidth="false" hidden="false" outlineLevel="0" max="3589" min="3589" style="374" width="8.89"/>
    <col collapsed="false" customWidth="true" hidden="false" outlineLevel="0" max="3590" min="3590" style="374" width="13.44"/>
    <col collapsed="false" customWidth="false" hidden="false" outlineLevel="0" max="3592" min="3591" style="374" width="8.89"/>
    <col collapsed="false" customWidth="true" hidden="false" outlineLevel="0" max="3593" min="3593" style="374" width="12.55"/>
    <col collapsed="false" customWidth="true" hidden="false" outlineLevel="0" max="3594" min="3594" style="374" width="16.45"/>
    <col collapsed="false" customWidth="true" hidden="false" outlineLevel="0" max="3595" min="3595" style="374" width="10.11"/>
    <col collapsed="false" customWidth="true" hidden="false" outlineLevel="0" max="3596" min="3596" style="374" width="9.11"/>
    <col collapsed="false" customWidth="true" hidden="false" outlineLevel="0" max="3597" min="3597" style="374" width="11.55"/>
    <col collapsed="false" customWidth="false" hidden="false" outlineLevel="0" max="3843" min="3598" style="374" width="8.89"/>
    <col collapsed="false" customWidth="true" hidden="false" outlineLevel="0" max="3844" min="3844" style="374" width="13.89"/>
    <col collapsed="false" customWidth="false" hidden="false" outlineLevel="0" max="3845" min="3845" style="374" width="8.89"/>
    <col collapsed="false" customWidth="true" hidden="false" outlineLevel="0" max="3846" min="3846" style="374" width="13.44"/>
    <col collapsed="false" customWidth="false" hidden="false" outlineLevel="0" max="3848" min="3847" style="374" width="8.89"/>
    <col collapsed="false" customWidth="true" hidden="false" outlineLevel="0" max="3849" min="3849" style="374" width="12.55"/>
    <col collapsed="false" customWidth="true" hidden="false" outlineLevel="0" max="3850" min="3850" style="374" width="16.45"/>
    <col collapsed="false" customWidth="true" hidden="false" outlineLevel="0" max="3851" min="3851" style="374" width="10.11"/>
    <col collapsed="false" customWidth="true" hidden="false" outlineLevel="0" max="3852" min="3852" style="374" width="9.11"/>
    <col collapsed="false" customWidth="true" hidden="false" outlineLevel="0" max="3853" min="3853" style="374" width="11.55"/>
    <col collapsed="false" customWidth="false" hidden="false" outlineLevel="0" max="4099" min="3854" style="374" width="8.89"/>
    <col collapsed="false" customWidth="true" hidden="false" outlineLevel="0" max="4100" min="4100" style="374" width="13.89"/>
    <col collapsed="false" customWidth="false" hidden="false" outlineLevel="0" max="4101" min="4101" style="374" width="8.89"/>
    <col collapsed="false" customWidth="true" hidden="false" outlineLevel="0" max="4102" min="4102" style="374" width="13.44"/>
    <col collapsed="false" customWidth="false" hidden="false" outlineLevel="0" max="4104" min="4103" style="374" width="8.89"/>
    <col collapsed="false" customWidth="true" hidden="false" outlineLevel="0" max="4105" min="4105" style="374" width="12.55"/>
    <col collapsed="false" customWidth="true" hidden="false" outlineLevel="0" max="4106" min="4106" style="374" width="16.45"/>
    <col collapsed="false" customWidth="true" hidden="false" outlineLevel="0" max="4107" min="4107" style="374" width="10.11"/>
    <col collapsed="false" customWidth="true" hidden="false" outlineLevel="0" max="4108" min="4108" style="374" width="9.11"/>
    <col collapsed="false" customWidth="true" hidden="false" outlineLevel="0" max="4109" min="4109" style="374" width="11.55"/>
    <col collapsed="false" customWidth="false" hidden="false" outlineLevel="0" max="4355" min="4110" style="374" width="8.89"/>
    <col collapsed="false" customWidth="true" hidden="false" outlineLevel="0" max="4356" min="4356" style="374" width="13.89"/>
    <col collapsed="false" customWidth="false" hidden="false" outlineLevel="0" max="4357" min="4357" style="374" width="8.89"/>
    <col collapsed="false" customWidth="true" hidden="false" outlineLevel="0" max="4358" min="4358" style="374" width="13.44"/>
    <col collapsed="false" customWidth="false" hidden="false" outlineLevel="0" max="4360" min="4359" style="374" width="8.89"/>
    <col collapsed="false" customWidth="true" hidden="false" outlineLevel="0" max="4361" min="4361" style="374" width="12.55"/>
    <col collapsed="false" customWidth="true" hidden="false" outlineLevel="0" max="4362" min="4362" style="374" width="16.45"/>
    <col collapsed="false" customWidth="true" hidden="false" outlineLevel="0" max="4363" min="4363" style="374" width="10.11"/>
    <col collapsed="false" customWidth="true" hidden="false" outlineLevel="0" max="4364" min="4364" style="374" width="9.11"/>
    <col collapsed="false" customWidth="true" hidden="false" outlineLevel="0" max="4365" min="4365" style="374" width="11.55"/>
    <col collapsed="false" customWidth="false" hidden="false" outlineLevel="0" max="4611" min="4366" style="374" width="8.89"/>
    <col collapsed="false" customWidth="true" hidden="false" outlineLevel="0" max="4612" min="4612" style="374" width="13.89"/>
    <col collapsed="false" customWidth="false" hidden="false" outlineLevel="0" max="4613" min="4613" style="374" width="8.89"/>
    <col collapsed="false" customWidth="true" hidden="false" outlineLevel="0" max="4614" min="4614" style="374" width="13.44"/>
    <col collapsed="false" customWidth="false" hidden="false" outlineLevel="0" max="4616" min="4615" style="374" width="8.89"/>
    <col collapsed="false" customWidth="true" hidden="false" outlineLevel="0" max="4617" min="4617" style="374" width="12.55"/>
    <col collapsed="false" customWidth="true" hidden="false" outlineLevel="0" max="4618" min="4618" style="374" width="16.45"/>
    <col collapsed="false" customWidth="true" hidden="false" outlineLevel="0" max="4619" min="4619" style="374" width="10.11"/>
    <col collapsed="false" customWidth="true" hidden="false" outlineLevel="0" max="4620" min="4620" style="374" width="9.11"/>
    <col collapsed="false" customWidth="true" hidden="false" outlineLevel="0" max="4621" min="4621" style="374" width="11.55"/>
    <col collapsed="false" customWidth="false" hidden="false" outlineLevel="0" max="4867" min="4622" style="374" width="8.89"/>
    <col collapsed="false" customWidth="true" hidden="false" outlineLevel="0" max="4868" min="4868" style="374" width="13.89"/>
    <col collapsed="false" customWidth="false" hidden="false" outlineLevel="0" max="4869" min="4869" style="374" width="8.89"/>
    <col collapsed="false" customWidth="true" hidden="false" outlineLevel="0" max="4870" min="4870" style="374" width="13.44"/>
    <col collapsed="false" customWidth="false" hidden="false" outlineLevel="0" max="4872" min="4871" style="374" width="8.89"/>
    <col collapsed="false" customWidth="true" hidden="false" outlineLevel="0" max="4873" min="4873" style="374" width="12.55"/>
    <col collapsed="false" customWidth="true" hidden="false" outlineLevel="0" max="4874" min="4874" style="374" width="16.45"/>
    <col collapsed="false" customWidth="true" hidden="false" outlineLevel="0" max="4875" min="4875" style="374" width="10.11"/>
    <col collapsed="false" customWidth="true" hidden="false" outlineLevel="0" max="4876" min="4876" style="374" width="9.11"/>
    <col collapsed="false" customWidth="true" hidden="false" outlineLevel="0" max="4877" min="4877" style="374" width="11.55"/>
    <col collapsed="false" customWidth="false" hidden="false" outlineLevel="0" max="5123" min="4878" style="374" width="8.89"/>
    <col collapsed="false" customWidth="true" hidden="false" outlineLevel="0" max="5124" min="5124" style="374" width="13.89"/>
    <col collapsed="false" customWidth="false" hidden="false" outlineLevel="0" max="5125" min="5125" style="374" width="8.89"/>
    <col collapsed="false" customWidth="true" hidden="false" outlineLevel="0" max="5126" min="5126" style="374" width="13.44"/>
    <col collapsed="false" customWidth="false" hidden="false" outlineLevel="0" max="5128" min="5127" style="374" width="8.89"/>
    <col collapsed="false" customWidth="true" hidden="false" outlineLevel="0" max="5129" min="5129" style="374" width="12.55"/>
    <col collapsed="false" customWidth="true" hidden="false" outlineLevel="0" max="5130" min="5130" style="374" width="16.45"/>
    <col collapsed="false" customWidth="true" hidden="false" outlineLevel="0" max="5131" min="5131" style="374" width="10.11"/>
    <col collapsed="false" customWidth="true" hidden="false" outlineLevel="0" max="5132" min="5132" style="374" width="9.11"/>
    <col collapsed="false" customWidth="true" hidden="false" outlineLevel="0" max="5133" min="5133" style="374" width="11.55"/>
    <col collapsed="false" customWidth="false" hidden="false" outlineLevel="0" max="5379" min="5134" style="374" width="8.89"/>
    <col collapsed="false" customWidth="true" hidden="false" outlineLevel="0" max="5380" min="5380" style="374" width="13.89"/>
    <col collapsed="false" customWidth="false" hidden="false" outlineLevel="0" max="5381" min="5381" style="374" width="8.89"/>
    <col collapsed="false" customWidth="true" hidden="false" outlineLevel="0" max="5382" min="5382" style="374" width="13.44"/>
    <col collapsed="false" customWidth="false" hidden="false" outlineLevel="0" max="5384" min="5383" style="374" width="8.89"/>
    <col collapsed="false" customWidth="true" hidden="false" outlineLevel="0" max="5385" min="5385" style="374" width="12.55"/>
    <col collapsed="false" customWidth="true" hidden="false" outlineLevel="0" max="5386" min="5386" style="374" width="16.45"/>
    <col collapsed="false" customWidth="true" hidden="false" outlineLevel="0" max="5387" min="5387" style="374" width="10.11"/>
    <col collapsed="false" customWidth="true" hidden="false" outlineLevel="0" max="5388" min="5388" style="374" width="9.11"/>
    <col collapsed="false" customWidth="true" hidden="false" outlineLevel="0" max="5389" min="5389" style="374" width="11.55"/>
    <col collapsed="false" customWidth="false" hidden="false" outlineLevel="0" max="5635" min="5390" style="374" width="8.89"/>
    <col collapsed="false" customWidth="true" hidden="false" outlineLevel="0" max="5636" min="5636" style="374" width="13.89"/>
    <col collapsed="false" customWidth="false" hidden="false" outlineLevel="0" max="5637" min="5637" style="374" width="8.89"/>
    <col collapsed="false" customWidth="true" hidden="false" outlineLevel="0" max="5638" min="5638" style="374" width="13.44"/>
    <col collapsed="false" customWidth="false" hidden="false" outlineLevel="0" max="5640" min="5639" style="374" width="8.89"/>
    <col collapsed="false" customWidth="true" hidden="false" outlineLevel="0" max="5641" min="5641" style="374" width="12.55"/>
    <col collapsed="false" customWidth="true" hidden="false" outlineLevel="0" max="5642" min="5642" style="374" width="16.45"/>
    <col collapsed="false" customWidth="true" hidden="false" outlineLevel="0" max="5643" min="5643" style="374" width="10.11"/>
    <col collapsed="false" customWidth="true" hidden="false" outlineLevel="0" max="5644" min="5644" style="374" width="9.11"/>
    <col collapsed="false" customWidth="true" hidden="false" outlineLevel="0" max="5645" min="5645" style="374" width="11.55"/>
    <col collapsed="false" customWidth="false" hidden="false" outlineLevel="0" max="5891" min="5646" style="374" width="8.89"/>
    <col collapsed="false" customWidth="true" hidden="false" outlineLevel="0" max="5892" min="5892" style="374" width="13.89"/>
    <col collapsed="false" customWidth="false" hidden="false" outlineLevel="0" max="5893" min="5893" style="374" width="8.89"/>
    <col collapsed="false" customWidth="true" hidden="false" outlineLevel="0" max="5894" min="5894" style="374" width="13.44"/>
    <col collapsed="false" customWidth="false" hidden="false" outlineLevel="0" max="5896" min="5895" style="374" width="8.89"/>
    <col collapsed="false" customWidth="true" hidden="false" outlineLevel="0" max="5897" min="5897" style="374" width="12.55"/>
    <col collapsed="false" customWidth="true" hidden="false" outlineLevel="0" max="5898" min="5898" style="374" width="16.45"/>
    <col collapsed="false" customWidth="true" hidden="false" outlineLevel="0" max="5899" min="5899" style="374" width="10.11"/>
    <col collapsed="false" customWidth="true" hidden="false" outlineLevel="0" max="5900" min="5900" style="374" width="9.11"/>
    <col collapsed="false" customWidth="true" hidden="false" outlineLevel="0" max="5901" min="5901" style="374" width="11.55"/>
    <col collapsed="false" customWidth="false" hidden="false" outlineLevel="0" max="6147" min="5902" style="374" width="8.89"/>
    <col collapsed="false" customWidth="true" hidden="false" outlineLevel="0" max="6148" min="6148" style="374" width="13.89"/>
    <col collapsed="false" customWidth="false" hidden="false" outlineLevel="0" max="6149" min="6149" style="374" width="8.89"/>
    <col collapsed="false" customWidth="true" hidden="false" outlineLevel="0" max="6150" min="6150" style="374" width="13.44"/>
    <col collapsed="false" customWidth="false" hidden="false" outlineLevel="0" max="6152" min="6151" style="374" width="8.89"/>
    <col collapsed="false" customWidth="true" hidden="false" outlineLevel="0" max="6153" min="6153" style="374" width="12.55"/>
    <col collapsed="false" customWidth="true" hidden="false" outlineLevel="0" max="6154" min="6154" style="374" width="16.45"/>
    <col collapsed="false" customWidth="true" hidden="false" outlineLevel="0" max="6155" min="6155" style="374" width="10.11"/>
    <col collapsed="false" customWidth="true" hidden="false" outlineLevel="0" max="6156" min="6156" style="374" width="9.11"/>
    <col collapsed="false" customWidth="true" hidden="false" outlineLevel="0" max="6157" min="6157" style="374" width="11.55"/>
    <col collapsed="false" customWidth="false" hidden="false" outlineLevel="0" max="6403" min="6158" style="374" width="8.89"/>
    <col collapsed="false" customWidth="true" hidden="false" outlineLevel="0" max="6404" min="6404" style="374" width="13.89"/>
    <col collapsed="false" customWidth="false" hidden="false" outlineLevel="0" max="6405" min="6405" style="374" width="8.89"/>
    <col collapsed="false" customWidth="true" hidden="false" outlineLevel="0" max="6406" min="6406" style="374" width="13.44"/>
    <col collapsed="false" customWidth="false" hidden="false" outlineLevel="0" max="6408" min="6407" style="374" width="8.89"/>
    <col collapsed="false" customWidth="true" hidden="false" outlineLevel="0" max="6409" min="6409" style="374" width="12.55"/>
    <col collapsed="false" customWidth="true" hidden="false" outlineLevel="0" max="6410" min="6410" style="374" width="16.45"/>
    <col collapsed="false" customWidth="true" hidden="false" outlineLevel="0" max="6411" min="6411" style="374" width="10.11"/>
    <col collapsed="false" customWidth="true" hidden="false" outlineLevel="0" max="6412" min="6412" style="374" width="9.11"/>
    <col collapsed="false" customWidth="true" hidden="false" outlineLevel="0" max="6413" min="6413" style="374" width="11.55"/>
    <col collapsed="false" customWidth="false" hidden="false" outlineLevel="0" max="6659" min="6414" style="374" width="8.89"/>
    <col collapsed="false" customWidth="true" hidden="false" outlineLevel="0" max="6660" min="6660" style="374" width="13.89"/>
    <col collapsed="false" customWidth="false" hidden="false" outlineLevel="0" max="6661" min="6661" style="374" width="8.89"/>
    <col collapsed="false" customWidth="true" hidden="false" outlineLevel="0" max="6662" min="6662" style="374" width="13.44"/>
    <col collapsed="false" customWidth="false" hidden="false" outlineLevel="0" max="6664" min="6663" style="374" width="8.89"/>
    <col collapsed="false" customWidth="true" hidden="false" outlineLevel="0" max="6665" min="6665" style="374" width="12.55"/>
    <col collapsed="false" customWidth="true" hidden="false" outlineLevel="0" max="6666" min="6666" style="374" width="16.45"/>
    <col collapsed="false" customWidth="true" hidden="false" outlineLevel="0" max="6667" min="6667" style="374" width="10.11"/>
    <col collapsed="false" customWidth="true" hidden="false" outlineLevel="0" max="6668" min="6668" style="374" width="9.11"/>
    <col collapsed="false" customWidth="true" hidden="false" outlineLevel="0" max="6669" min="6669" style="374" width="11.55"/>
    <col collapsed="false" customWidth="false" hidden="false" outlineLevel="0" max="6915" min="6670" style="374" width="8.89"/>
    <col collapsed="false" customWidth="true" hidden="false" outlineLevel="0" max="6916" min="6916" style="374" width="13.89"/>
    <col collapsed="false" customWidth="false" hidden="false" outlineLevel="0" max="6917" min="6917" style="374" width="8.89"/>
    <col collapsed="false" customWidth="true" hidden="false" outlineLevel="0" max="6918" min="6918" style="374" width="13.44"/>
    <col collapsed="false" customWidth="false" hidden="false" outlineLevel="0" max="6920" min="6919" style="374" width="8.89"/>
    <col collapsed="false" customWidth="true" hidden="false" outlineLevel="0" max="6921" min="6921" style="374" width="12.55"/>
    <col collapsed="false" customWidth="true" hidden="false" outlineLevel="0" max="6922" min="6922" style="374" width="16.45"/>
    <col collapsed="false" customWidth="true" hidden="false" outlineLevel="0" max="6923" min="6923" style="374" width="10.11"/>
    <col collapsed="false" customWidth="true" hidden="false" outlineLevel="0" max="6924" min="6924" style="374" width="9.11"/>
    <col collapsed="false" customWidth="true" hidden="false" outlineLevel="0" max="6925" min="6925" style="374" width="11.55"/>
    <col collapsed="false" customWidth="false" hidden="false" outlineLevel="0" max="7171" min="6926" style="374" width="8.89"/>
    <col collapsed="false" customWidth="true" hidden="false" outlineLevel="0" max="7172" min="7172" style="374" width="13.89"/>
    <col collapsed="false" customWidth="false" hidden="false" outlineLevel="0" max="7173" min="7173" style="374" width="8.89"/>
    <col collapsed="false" customWidth="true" hidden="false" outlineLevel="0" max="7174" min="7174" style="374" width="13.44"/>
    <col collapsed="false" customWidth="false" hidden="false" outlineLevel="0" max="7176" min="7175" style="374" width="8.89"/>
    <col collapsed="false" customWidth="true" hidden="false" outlineLevel="0" max="7177" min="7177" style="374" width="12.55"/>
    <col collapsed="false" customWidth="true" hidden="false" outlineLevel="0" max="7178" min="7178" style="374" width="16.45"/>
    <col collapsed="false" customWidth="true" hidden="false" outlineLevel="0" max="7179" min="7179" style="374" width="10.11"/>
    <col collapsed="false" customWidth="true" hidden="false" outlineLevel="0" max="7180" min="7180" style="374" width="9.11"/>
    <col collapsed="false" customWidth="true" hidden="false" outlineLevel="0" max="7181" min="7181" style="374" width="11.55"/>
    <col collapsed="false" customWidth="false" hidden="false" outlineLevel="0" max="7427" min="7182" style="374" width="8.89"/>
    <col collapsed="false" customWidth="true" hidden="false" outlineLevel="0" max="7428" min="7428" style="374" width="13.89"/>
    <col collapsed="false" customWidth="false" hidden="false" outlineLevel="0" max="7429" min="7429" style="374" width="8.89"/>
    <col collapsed="false" customWidth="true" hidden="false" outlineLevel="0" max="7430" min="7430" style="374" width="13.44"/>
    <col collapsed="false" customWidth="false" hidden="false" outlineLevel="0" max="7432" min="7431" style="374" width="8.89"/>
    <col collapsed="false" customWidth="true" hidden="false" outlineLevel="0" max="7433" min="7433" style="374" width="12.55"/>
    <col collapsed="false" customWidth="true" hidden="false" outlineLevel="0" max="7434" min="7434" style="374" width="16.45"/>
    <col collapsed="false" customWidth="true" hidden="false" outlineLevel="0" max="7435" min="7435" style="374" width="10.11"/>
    <col collapsed="false" customWidth="true" hidden="false" outlineLevel="0" max="7436" min="7436" style="374" width="9.11"/>
    <col collapsed="false" customWidth="true" hidden="false" outlineLevel="0" max="7437" min="7437" style="374" width="11.55"/>
    <col collapsed="false" customWidth="false" hidden="false" outlineLevel="0" max="7683" min="7438" style="374" width="8.89"/>
    <col collapsed="false" customWidth="true" hidden="false" outlineLevel="0" max="7684" min="7684" style="374" width="13.89"/>
    <col collapsed="false" customWidth="false" hidden="false" outlineLevel="0" max="7685" min="7685" style="374" width="8.89"/>
    <col collapsed="false" customWidth="true" hidden="false" outlineLevel="0" max="7686" min="7686" style="374" width="13.44"/>
    <col collapsed="false" customWidth="false" hidden="false" outlineLevel="0" max="7688" min="7687" style="374" width="8.89"/>
    <col collapsed="false" customWidth="true" hidden="false" outlineLevel="0" max="7689" min="7689" style="374" width="12.55"/>
    <col collapsed="false" customWidth="true" hidden="false" outlineLevel="0" max="7690" min="7690" style="374" width="16.45"/>
    <col collapsed="false" customWidth="true" hidden="false" outlineLevel="0" max="7691" min="7691" style="374" width="10.11"/>
    <col collapsed="false" customWidth="true" hidden="false" outlineLevel="0" max="7692" min="7692" style="374" width="9.11"/>
    <col collapsed="false" customWidth="true" hidden="false" outlineLevel="0" max="7693" min="7693" style="374" width="11.55"/>
    <col collapsed="false" customWidth="false" hidden="false" outlineLevel="0" max="7939" min="7694" style="374" width="8.89"/>
    <col collapsed="false" customWidth="true" hidden="false" outlineLevel="0" max="7940" min="7940" style="374" width="13.89"/>
    <col collapsed="false" customWidth="false" hidden="false" outlineLevel="0" max="7941" min="7941" style="374" width="8.89"/>
    <col collapsed="false" customWidth="true" hidden="false" outlineLevel="0" max="7942" min="7942" style="374" width="13.44"/>
    <col collapsed="false" customWidth="false" hidden="false" outlineLevel="0" max="7944" min="7943" style="374" width="8.89"/>
    <col collapsed="false" customWidth="true" hidden="false" outlineLevel="0" max="7945" min="7945" style="374" width="12.55"/>
    <col collapsed="false" customWidth="true" hidden="false" outlineLevel="0" max="7946" min="7946" style="374" width="16.45"/>
    <col collapsed="false" customWidth="true" hidden="false" outlineLevel="0" max="7947" min="7947" style="374" width="10.11"/>
    <col collapsed="false" customWidth="true" hidden="false" outlineLevel="0" max="7948" min="7948" style="374" width="9.11"/>
    <col collapsed="false" customWidth="true" hidden="false" outlineLevel="0" max="7949" min="7949" style="374" width="11.55"/>
    <col collapsed="false" customWidth="false" hidden="false" outlineLevel="0" max="8195" min="7950" style="374" width="8.89"/>
    <col collapsed="false" customWidth="true" hidden="false" outlineLevel="0" max="8196" min="8196" style="374" width="13.89"/>
    <col collapsed="false" customWidth="false" hidden="false" outlineLevel="0" max="8197" min="8197" style="374" width="8.89"/>
    <col collapsed="false" customWidth="true" hidden="false" outlineLevel="0" max="8198" min="8198" style="374" width="13.44"/>
    <col collapsed="false" customWidth="false" hidden="false" outlineLevel="0" max="8200" min="8199" style="374" width="8.89"/>
    <col collapsed="false" customWidth="true" hidden="false" outlineLevel="0" max="8201" min="8201" style="374" width="12.55"/>
    <col collapsed="false" customWidth="true" hidden="false" outlineLevel="0" max="8202" min="8202" style="374" width="16.45"/>
    <col collapsed="false" customWidth="true" hidden="false" outlineLevel="0" max="8203" min="8203" style="374" width="10.11"/>
    <col collapsed="false" customWidth="true" hidden="false" outlineLevel="0" max="8204" min="8204" style="374" width="9.11"/>
    <col collapsed="false" customWidth="true" hidden="false" outlineLevel="0" max="8205" min="8205" style="374" width="11.55"/>
    <col collapsed="false" customWidth="false" hidden="false" outlineLevel="0" max="8451" min="8206" style="374" width="8.89"/>
    <col collapsed="false" customWidth="true" hidden="false" outlineLevel="0" max="8452" min="8452" style="374" width="13.89"/>
    <col collapsed="false" customWidth="false" hidden="false" outlineLevel="0" max="8453" min="8453" style="374" width="8.89"/>
    <col collapsed="false" customWidth="true" hidden="false" outlineLevel="0" max="8454" min="8454" style="374" width="13.44"/>
    <col collapsed="false" customWidth="false" hidden="false" outlineLevel="0" max="8456" min="8455" style="374" width="8.89"/>
    <col collapsed="false" customWidth="true" hidden="false" outlineLevel="0" max="8457" min="8457" style="374" width="12.55"/>
    <col collapsed="false" customWidth="true" hidden="false" outlineLevel="0" max="8458" min="8458" style="374" width="16.45"/>
    <col collapsed="false" customWidth="true" hidden="false" outlineLevel="0" max="8459" min="8459" style="374" width="10.11"/>
    <col collapsed="false" customWidth="true" hidden="false" outlineLevel="0" max="8460" min="8460" style="374" width="9.11"/>
    <col collapsed="false" customWidth="true" hidden="false" outlineLevel="0" max="8461" min="8461" style="374" width="11.55"/>
    <col collapsed="false" customWidth="false" hidden="false" outlineLevel="0" max="8707" min="8462" style="374" width="8.89"/>
    <col collapsed="false" customWidth="true" hidden="false" outlineLevel="0" max="8708" min="8708" style="374" width="13.89"/>
    <col collapsed="false" customWidth="false" hidden="false" outlineLevel="0" max="8709" min="8709" style="374" width="8.89"/>
    <col collapsed="false" customWidth="true" hidden="false" outlineLevel="0" max="8710" min="8710" style="374" width="13.44"/>
    <col collapsed="false" customWidth="false" hidden="false" outlineLevel="0" max="8712" min="8711" style="374" width="8.89"/>
    <col collapsed="false" customWidth="true" hidden="false" outlineLevel="0" max="8713" min="8713" style="374" width="12.55"/>
    <col collapsed="false" customWidth="true" hidden="false" outlineLevel="0" max="8714" min="8714" style="374" width="16.45"/>
    <col collapsed="false" customWidth="true" hidden="false" outlineLevel="0" max="8715" min="8715" style="374" width="10.11"/>
    <col collapsed="false" customWidth="true" hidden="false" outlineLevel="0" max="8716" min="8716" style="374" width="9.11"/>
    <col collapsed="false" customWidth="true" hidden="false" outlineLevel="0" max="8717" min="8717" style="374" width="11.55"/>
    <col collapsed="false" customWidth="false" hidden="false" outlineLevel="0" max="8963" min="8718" style="374" width="8.89"/>
    <col collapsed="false" customWidth="true" hidden="false" outlineLevel="0" max="8964" min="8964" style="374" width="13.89"/>
    <col collapsed="false" customWidth="false" hidden="false" outlineLevel="0" max="8965" min="8965" style="374" width="8.89"/>
    <col collapsed="false" customWidth="true" hidden="false" outlineLevel="0" max="8966" min="8966" style="374" width="13.44"/>
    <col collapsed="false" customWidth="false" hidden="false" outlineLevel="0" max="8968" min="8967" style="374" width="8.89"/>
    <col collapsed="false" customWidth="true" hidden="false" outlineLevel="0" max="8969" min="8969" style="374" width="12.55"/>
    <col collapsed="false" customWidth="true" hidden="false" outlineLevel="0" max="8970" min="8970" style="374" width="16.45"/>
    <col collapsed="false" customWidth="true" hidden="false" outlineLevel="0" max="8971" min="8971" style="374" width="10.11"/>
    <col collapsed="false" customWidth="true" hidden="false" outlineLevel="0" max="8972" min="8972" style="374" width="9.11"/>
    <col collapsed="false" customWidth="true" hidden="false" outlineLevel="0" max="8973" min="8973" style="374" width="11.55"/>
    <col collapsed="false" customWidth="false" hidden="false" outlineLevel="0" max="9219" min="8974" style="374" width="8.89"/>
    <col collapsed="false" customWidth="true" hidden="false" outlineLevel="0" max="9220" min="9220" style="374" width="13.89"/>
    <col collapsed="false" customWidth="false" hidden="false" outlineLevel="0" max="9221" min="9221" style="374" width="8.89"/>
    <col collapsed="false" customWidth="true" hidden="false" outlineLevel="0" max="9222" min="9222" style="374" width="13.44"/>
    <col collapsed="false" customWidth="false" hidden="false" outlineLevel="0" max="9224" min="9223" style="374" width="8.89"/>
    <col collapsed="false" customWidth="true" hidden="false" outlineLevel="0" max="9225" min="9225" style="374" width="12.55"/>
    <col collapsed="false" customWidth="true" hidden="false" outlineLevel="0" max="9226" min="9226" style="374" width="16.45"/>
    <col collapsed="false" customWidth="true" hidden="false" outlineLevel="0" max="9227" min="9227" style="374" width="10.11"/>
    <col collapsed="false" customWidth="true" hidden="false" outlineLevel="0" max="9228" min="9228" style="374" width="9.11"/>
    <col collapsed="false" customWidth="true" hidden="false" outlineLevel="0" max="9229" min="9229" style="374" width="11.55"/>
    <col collapsed="false" customWidth="false" hidden="false" outlineLevel="0" max="9475" min="9230" style="374" width="8.89"/>
    <col collapsed="false" customWidth="true" hidden="false" outlineLevel="0" max="9476" min="9476" style="374" width="13.89"/>
    <col collapsed="false" customWidth="false" hidden="false" outlineLevel="0" max="9477" min="9477" style="374" width="8.89"/>
    <col collapsed="false" customWidth="true" hidden="false" outlineLevel="0" max="9478" min="9478" style="374" width="13.44"/>
    <col collapsed="false" customWidth="false" hidden="false" outlineLevel="0" max="9480" min="9479" style="374" width="8.89"/>
    <col collapsed="false" customWidth="true" hidden="false" outlineLevel="0" max="9481" min="9481" style="374" width="12.55"/>
    <col collapsed="false" customWidth="true" hidden="false" outlineLevel="0" max="9482" min="9482" style="374" width="16.45"/>
    <col collapsed="false" customWidth="true" hidden="false" outlineLevel="0" max="9483" min="9483" style="374" width="10.11"/>
    <col collapsed="false" customWidth="true" hidden="false" outlineLevel="0" max="9484" min="9484" style="374" width="9.11"/>
    <col collapsed="false" customWidth="true" hidden="false" outlineLevel="0" max="9485" min="9485" style="374" width="11.55"/>
    <col collapsed="false" customWidth="false" hidden="false" outlineLevel="0" max="9731" min="9486" style="374" width="8.89"/>
    <col collapsed="false" customWidth="true" hidden="false" outlineLevel="0" max="9732" min="9732" style="374" width="13.89"/>
    <col collapsed="false" customWidth="false" hidden="false" outlineLevel="0" max="9733" min="9733" style="374" width="8.89"/>
    <col collapsed="false" customWidth="true" hidden="false" outlineLevel="0" max="9734" min="9734" style="374" width="13.44"/>
    <col collapsed="false" customWidth="false" hidden="false" outlineLevel="0" max="9736" min="9735" style="374" width="8.89"/>
    <col collapsed="false" customWidth="true" hidden="false" outlineLevel="0" max="9737" min="9737" style="374" width="12.55"/>
    <col collapsed="false" customWidth="true" hidden="false" outlineLevel="0" max="9738" min="9738" style="374" width="16.45"/>
    <col collapsed="false" customWidth="true" hidden="false" outlineLevel="0" max="9739" min="9739" style="374" width="10.11"/>
    <col collapsed="false" customWidth="true" hidden="false" outlineLevel="0" max="9740" min="9740" style="374" width="9.11"/>
    <col collapsed="false" customWidth="true" hidden="false" outlineLevel="0" max="9741" min="9741" style="374" width="11.55"/>
    <col collapsed="false" customWidth="false" hidden="false" outlineLevel="0" max="9987" min="9742" style="374" width="8.89"/>
    <col collapsed="false" customWidth="true" hidden="false" outlineLevel="0" max="9988" min="9988" style="374" width="13.89"/>
    <col collapsed="false" customWidth="false" hidden="false" outlineLevel="0" max="9989" min="9989" style="374" width="8.89"/>
    <col collapsed="false" customWidth="true" hidden="false" outlineLevel="0" max="9990" min="9990" style="374" width="13.44"/>
    <col collapsed="false" customWidth="false" hidden="false" outlineLevel="0" max="9992" min="9991" style="374" width="8.89"/>
    <col collapsed="false" customWidth="true" hidden="false" outlineLevel="0" max="9993" min="9993" style="374" width="12.55"/>
    <col collapsed="false" customWidth="true" hidden="false" outlineLevel="0" max="9994" min="9994" style="374" width="16.45"/>
    <col collapsed="false" customWidth="true" hidden="false" outlineLevel="0" max="9995" min="9995" style="374" width="10.11"/>
    <col collapsed="false" customWidth="true" hidden="false" outlineLevel="0" max="9996" min="9996" style="374" width="9.11"/>
    <col collapsed="false" customWidth="true" hidden="false" outlineLevel="0" max="9997" min="9997" style="374" width="11.55"/>
    <col collapsed="false" customWidth="false" hidden="false" outlineLevel="0" max="10243" min="9998" style="374" width="8.89"/>
    <col collapsed="false" customWidth="true" hidden="false" outlineLevel="0" max="10244" min="10244" style="374" width="13.89"/>
    <col collapsed="false" customWidth="false" hidden="false" outlineLevel="0" max="10245" min="10245" style="374" width="8.89"/>
    <col collapsed="false" customWidth="true" hidden="false" outlineLevel="0" max="10246" min="10246" style="374" width="13.44"/>
    <col collapsed="false" customWidth="false" hidden="false" outlineLevel="0" max="10248" min="10247" style="374" width="8.89"/>
    <col collapsed="false" customWidth="true" hidden="false" outlineLevel="0" max="10249" min="10249" style="374" width="12.55"/>
    <col collapsed="false" customWidth="true" hidden="false" outlineLevel="0" max="10250" min="10250" style="374" width="16.45"/>
    <col collapsed="false" customWidth="true" hidden="false" outlineLevel="0" max="10251" min="10251" style="374" width="10.11"/>
    <col collapsed="false" customWidth="true" hidden="false" outlineLevel="0" max="10252" min="10252" style="374" width="9.11"/>
    <col collapsed="false" customWidth="true" hidden="false" outlineLevel="0" max="10253" min="10253" style="374" width="11.55"/>
    <col collapsed="false" customWidth="false" hidden="false" outlineLevel="0" max="10499" min="10254" style="374" width="8.89"/>
    <col collapsed="false" customWidth="true" hidden="false" outlineLevel="0" max="10500" min="10500" style="374" width="13.89"/>
    <col collapsed="false" customWidth="false" hidden="false" outlineLevel="0" max="10501" min="10501" style="374" width="8.89"/>
    <col collapsed="false" customWidth="true" hidden="false" outlineLevel="0" max="10502" min="10502" style="374" width="13.44"/>
    <col collapsed="false" customWidth="false" hidden="false" outlineLevel="0" max="10504" min="10503" style="374" width="8.89"/>
    <col collapsed="false" customWidth="true" hidden="false" outlineLevel="0" max="10505" min="10505" style="374" width="12.55"/>
    <col collapsed="false" customWidth="true" hidden="false" outlineLevel="0" max="10506" min="10506" style="374" width="16.45"/>
    <col collapsed="false" customWidth="true" hidden="false" outlineLevel="0" max="10507" min="10507" style="374" width="10.11"/>
    <col collapsed="false" customWidth="true" hidden="false" outlineLevel="0" max="10508" min="10508" style="374" width="9.11"/>
    <col collapsed="false" customWidth="true" hidden="false" outlineLevel="0" max="10509" min="10509" style="374" width="11.55"/>
    <col collapsed="false" customWidth="false" hidden="false" outlineLevel="0" max="10755" min="10510" style="374" width="8.89"/>
    <col collapsed="false" customWidth="true" hidden="false" outlineLevel="0" max="10756" min="10756" style="374" width="13.89"/>
    <col collapsed="false" customWidth="false" hidden="false" outlineLevel="0" max="10757" min="10757" style="374" width="8.89"/>
    <col collapsed="false" customWidth="true" hidden="false" outlineLevel="0" max="10758" min="10758" style="374" width="13.44"/>
    <col collapsed="false" customWidth="false" hidden="false" outlineLevel="0" max="10760" min="10759" style="374" width="8.89"/>
    <col collapsed="false" customWidth="true" hidden="false" outlineLevel="0" max="10761" min="10761" style="374" width="12.55"/>
    <col collapsed="false" customWidth="true" hidden="false" outlineLevel="0" max="10762" min="10762" style="374" width="16.45"/>
    <col collapsed="false" customWidth="true" hidden="false" outlineLevel="0" max="10763" min="10763" style="374" width="10.11"/>
    <col collapsed="false" customWidth="true" hidden="false" outlineLevel="0" max="10764" min="10764" style="374" width="9.11"/>
    <col collapsed="false" customWidth="true" hidden="false" outlineLevel="0" max="10765" min="10765" style="374" width="11.55"/>
    <col collapsed="false" customWidth="false" hidden="false" outlineLevel="0" max="11011" min="10766" style="374" width="8.89"/>
    <col collapsed="false" customWidth="true" hidden="false" outlineLevel="0" max="11012" min="11012" style="374" width="13.89"/>
    <col collapsed="false" customWidth="false" hidden="false" outlineLevel="0" max="11013" min="11013" style="374" width="8.89"/>
    <col collapsed="false" customWidth="true" hidden="false" outlineLevel="0" max="11014" min="11014" style="374" width="13.44"/>
    <col collapsed="false" customWidth="false" hidden="false" outlineLevel="0" max="11016" min="11015" style="374" width="8.89"/>
    <col collapsed="false" customWidth="true" hidden="false" outlineLevel="0" max="11017" min="11017" style="374" width="12.55"/>
    <col collapsed="false" customWidth="true" hidden="false" outlineLevel="0" max="11018" min="11018" style="374" width="16.45"/>
    <col collapsed="false" customWidth="true" hidden="false" outlineLevel="0" max="11019" min="11019" style="374" width="10.11"/>
    <col collapsed="false" customWidth="true" hidden="false" outlineLevel="0" max="11020" min="11020" style="374" width="9.11"/>
    <col collapsed="false" customWidth="true" hidden="false" outlineLevel="0" max="11021" min="11021" style="374" width="11.55"/>
    <col collapsed="false" customWidth="false" hidden="false" outlineLevel="0" max="11267" min="11022" style="374" width="8.89"/>
    <col collapsed="false" customWidth="true" hidden="false" outlineLevel="0" max="11268" min="11268" style="374" width="13.89"/>
    <col collapsed="false" customWidth="false" hidden="false" outlineLevel="0" max="11269" min="11269" style="374" width="8.89"/>
    <col collapsed="false" customWidth="true" hidden="false" outlineLevel="0" max="11270" min="11270" style="374" width="13.44"/>
    <col collapsed="false" customWidth="false" hidden="false" outlineLevel="0" max="11272" min="11271" style="374" width="8.89"/>
    <col collapsed="false" customWidth="true" hidden="false" outlineLevel="0" max="11273" min="11273" style="374" width="12.55"/>
    <col collapsed="false" customWidth="true" hidden="false" outlineLevel="0" max="11274" min="11274" style="374" width="16.45"/>
    <col collapsed="false" customWidth="true" hidden="false" outlineLevel="0" max="11275" min="11275" style="374" width="10.11"/>
    <col collapsed="false" customWidth="true" hidden="false" outlineLevel="0" max="11276" min="11276" style="374" width="9.11"/>
    <col collapsed="false" customWidth="true" hidden="false" outlineLevel="0" max="11277" min="11277" style="374" width="11.55"/>
    <col collapsed="false" customWidth="false" hidden="false" outlineLevel="0" max="11523" min="11278" style="374" width="8.89"/>
    <col collapsed="false" customWidth="true" hidden="false" outlineLevel="0" max="11524" min="11524" style="374" width="13.89"/>
    <col collapsed="false" customWidth="false" hidden="false" outlineLevel="0" max="11525" min="11525" style="374" width="8.89"/>
    <col collapsed="false" customWidth="true" hidden="false" outlineLevel="0" max="11526" min="11526" style="374" width="13.44"/>
    <col collapsed="false" customWidth="false" hidden="false" outlineLevel="0" max="11528" min="11527" style="374" width="8.89"/>
    <col collapsed="false" customWidth="true" hidden="false" outlineLevel="0" max="11529" min="11529" style="374" width="12.55"/>
    <col collapsed="false" customWidth="true" hidden="false" outlineLevel="0" max="11530" min="11530" style="374" width="16.45"/>
    <col collapsed="false" customWidth="true" hidden="false" outlineLevel="0" max="11531" min="11531" style="374" width="10.11"/>
    <col collapsed="false" customWidth="true" hidden="false" outlineLevel="0" max="11532" min="11532" style="374" width="9.11"/>
    <col collapsed="false" customWidth="true" hidden="false" outlineLevel="0" max="11533" min="11533" style="374" width="11.55"/>
    <col collapsed="false" customWidth="false" hidden="false" outlineLevel="0" max="11779" min="11534" style="374" width="8.89"/>
    <col collapsed="false" customWidth="true" hidden="false" outlineLevel="0" max="11780" min="11780" style="374" width="13.89"/>
    <col collapsed="false" customWidth="false" hidden="false" outlineLevel="0" max="11781" min="11781" style="374" width="8.89"/>
    <col collapsed="false" customWidth="true" hidden="false" outlineLevel="0" max="11782" min="11782" style="374" width="13.44"/>
    <col collapsed="false" customWidth="false" hidden="false" outlineLevel="0" max="11784" min="11783" style="374" width="8.89"/>
    <col collapsed="false" customWidth="true" hidden="false" outlineLevel="0" max="11785" min="11785" style="374" width="12.55"/>
    <col collapsed="false" customWidth="true" hidden="false" outlineLevel="0" max="11786" min="11786" style="374" width="16.45"/>
    <col collapsed="false" customWidth="true" hidden="false" outlineLevel="0" max="11787" min="11787" style="374" width="10.11"/>
    <col collapsed="false" customWidth="true" hidden="false" outlineLevel="0" max="11788" min="11788" style="374" width="9.11"/>
    <col collapsed="false" customWidth="true" hidden="false" outlineLevel="0" max="11789" min="11789" style="374" width="11.55"/>
    <col collapsed="false" customWidth="false" hidden="false" outlineLevel="0" max="12035" min="11790" style="374" width="8.89"/>
    <col collapsed="false" customWidth="true" hidden="false" outlineLevel="0" max="12036" min="12036" style="374" width="13.89"/>
    <col collapsed="false" customWidth="false" hidden="false" outlineLevel="0" max="12037" min="12037" style="374" width="8.89"/>
    <col collapsed="false" customWidth="true" hidden="false" outlineLevel="0" max="12038" min="12038" style="374" width="13.44"/>
    <col collapsed="false" customWidth="false" hidden="false" outlineLevel="0" max="12040" min="12039" style="374" width="8.89"/>
    <col collapsed="false" customWidth="true" hidden="false" outlineLevel="0" max="12041" min="12041" style="374" width="12.55"/>
    <col collapsed="false" customWidth="true" hidden="false" outlineLevel="0" max="12042" min="12042" style="374" width="16.45"/>
    <col collapsed="false" customWidth="true" hidden="false" outlineLevel="0" max="12043" min="12043" style="374" width="10.11"/>
    <col collapsed="false" customWidth="true" hidden="false" outlineLevel="0" max="12044" min="12044" style="374" width="9.11"/>
    <col collapsed="false" customWidth="true" hidden="false" outlineLevel="0" max="12045" min="12045" style="374" width="11.55"/>
    <col collapsed="false" customWidth="false" hidden="false" outlineLevel="0" max="12291" min="12046" style="374" width="8.89"/>
    <col collapsed="false" customWidth="true" hidden="false" outlineLevel="0" max="12292" min="12292" style="374" width="13.89"/>
    <col collapsed="false" customWidth="false" hidden="false" outlineLevel="0" max="12293" min="12293" style="374" width="8.89"/>
    <col collapsed="false" customWidth="true" hidden="false" outlineLevel="0" max="12294" min="12294" style="374" width="13.44"/>
    <col collapsed="false" customWidth="false" hidden="false" outlineLevel="0" max="12296" min="12295" style="374" width="8.89"/>
    <col collapsed="false" customWidth="true" hidden="false" outlineLevel="0" max="12297" min="12297" style="374" width="12.55"/>
    <col collapsed="false" customWidth="true" hidden="false" outlineLevel="0" max="12298" min="12298" style="374" width="16.45"/>
    <col collapsed="false" customWidth="true" hidden="false" outlineLevel="0" max="12299" min="12299" style="374" width="10.11"/>
    <col collapsed="false" customWidth="true" hidden="false" outlineLevel="0" max="12300" min="12300" style="374" width="9.11"/>
    <col collapsed="false" customWidth="true" hidden="false" outlineLevel="0" max="12301" min="12301" style="374" width="11.55"/>
    <col collapsed="false" customWidth="false" hidden="false" outlineLevel="0" max="12547" min="12302" style="374" width="8.89"/>
    <col collapsed="false" customWidth="true" hidden="false" outlineLevel="0" max="12548" min="12548" style="374" width="13.89"/>
    <col collapsed="false" customWidth="false" hidden="false" outlineLevel="0" max="12549" min="12549" style="374" width="8.89"/>
    <col collapsed="false" customWidth="true" hidden="false" outlineLevel="0" max="12550" min="12550" style="374" width="13.44"/>
    <col collapsed="false" customWidth="false" hidden="false" outlineLevel="0" max="12552" min="12551" style="374" width="8.89"/>
    <col collapsed="false" customWidth="true" hidden="false" outlineLevel="0" max="12553" min="12553" style="374" width="12.55"/>
    <col collapsed="false" customWidth="true" hidden="false" outlineLevel="0" max="12554" min="12554" style="374" width="16.45"/>
    <col collapsed="false" customWidth="true" hidden="false" outlineLevel="0" max="12555" min="12555" style="374" width="10.11"/>
    <col collapsed="false" customWidth="true" hidden="false" outlineLevel="0" max="12556" min="12556" style="374" width="9.11"/>
    <col collapsed="false" customWidth="true" hidden="false" outlineLevel="0" max="12557" min="12557" style="374" width="11.55"/>
    <col collapsed="false" customWidth="false" hidden="false" outlineLevel="0" max="12803" min="12558" style="374" width="8.89"/>
    <col collapsed="false" customWidth="true" hidden="false" outlineLevel="0" max="12804" min="12804" style="374" width="13.89"/>
    <col collapsed="false" customWidth="false" hidden="false" outlineLevel="0" max="12805" min="12805" style="374" width="8.89"/>
    <col collapsed="false" customWidth="true" hidden="false" outlineLevel="0" max="12806" min="12806" style="374" width="13.44"/>
    <col collapsed="false" customWidth="false" hidden="false" outlineLevel="0" max="12808" min="12807" style="374" width="8.89"/>
    <col collapsed="false" customWidth="true" hidden="false" outlineLevel="0" max="12809" min="12809" style="374" width="12.55"/>
    <col collapsed="false" customWidth="true" hidden="false" outlineLevel="0" max="12810" min="12810" style="374" width="16.45"/>
    <col collapsed="false" customWidth="true" hidden="false" outlineLevel="0" max="12811" min="12811" style="374" width="10.11"/>
    <col collapsed="false" customWidth="true" hidden="false" outlineLevel="0" max="12812" min="12812" style="374" width="9.11"/>
    <col collapsed="false" customWidth="true" hidden="false" outlineLevel="0" max="12813" min="12813" style="374" width="11.55"/>
    <col collapsed="false" customWidth="false" hidden="false" outlineLevel="0" max="13059" min="12814" style="374" width="8.89"/>
    <col collapsed="false" customWidth="true" hidden="false" outlineLevel="0" max="13060" min="13060" style="374" width="13.89"/>
    <col collapsed="false" customWidth="false" hidden="false" outlineLevel="0" max="13061" min="13061" style="374" width="8.89"/>
    <col collapsed="false" customWidth="true" hidden="false" outlineLevel="0" max="13062" min="13062" style="374" width="13.44"/>
    <col collapsed="false" customWidth="false" hidden="false" outlineLevel="0" max="13064" min="13063" style="374" width="8.89"/>
    <col collapsed="false" customWidth="true" hidden="false" outlineLevel="0" max="13065" min="13065" style="374" width="12.55"/>
    <col collapsed="false" customWidth="true" hidden="false" outlineLevel="0" max="13066" min="13066" style="374" width="16.45"/>
    <col collapsed="false" customWidth="true" hidden="false" outlineLevel="0" max="13067" min="13067" style="374" width="10.11"/>
    <col collapsed="false" customWidth="true" hidden="false" outlineLevel="0" max="13068" min="13068" style="374" width="9.11"/>
    <col collapsed="false" customWidth="true" hidden="false" outlineLevel="0" max="13069" min="13069" style="374" width="11.55"/>
    <col collapsed="false" customWidth="false" hidden="false" outlineLevel="0" max="13315" min="13070" style="374" width="8.89"/>
    <col collapsed="false" customWidth="true" hidden="false" outlineLevel="0" max="13316" min="13316" style="374" width="13.89"/>
    <col collapsed="false" customWidth="false" hidden="false" outlineLevel="0" max="13317" min="13317" style="374" width="8.89"/>
    <col collapsed="false" customWidth="true" hidden="false" outlineLevel="0" max="13318" min="13318" style="374" width="13.44"/>
    <col collapsed="false" customWidth="false" hidden="false" outlineLevel="0" max="13320" min="13319" style="374" width="8.89"/>
    <col collapsed="false" customWidth="true" hidden="false" outlineLevel="0" max="13321" min="13321" style="374" width="12.55"/>
    <col collapsed="false" customWidth="true" hidden="false" outlineLevel="0" max="13322" min="13322" style="374" width="16.45"/>
    <col collapsed="false" customWidth="true" hidden="false" outlineLevel="0" max="13323" min="13323" style="374" width="10.11"/>
    <col collapsed="false" customWidth="true" hidden="false" outlineLevel="0" max="13324" min="13324" style="374" width="9.11"/>
    <col collapsed="false" customWidth="true" hidden="false" outlineLevel="0" max="13325" min="13325" style="374" width="11.55"/>
    <col collapsed="false" customWidth="false" hidden="false" outlineLevel="0" max="13571" min="13326" style="374" width="8.89"/>
    <col collapsed="false" customWidth="true" hidden="false" outlineLevel="0" max="13572" min="13572" style="374" width="13.89"/>
    <col collapsed="false" customWidth="false" hidden="false" outlineLevel="0" max="13573" min="13573" style="374" width="8.89"/>
    <col collapsed="false" customWidth="true" hidden="false" outlineLevel="0" max="13574" min="13574" style="374" width="13.44"/>
    <col collapsed="false" customWidth="false" hidden="false" outlineLevel="0" max="13576" min="13575" style="374" width="8.89"/>
    <col collapsed="false" customWidth="true" hidden="false" outlineLevel="0" max="13577" min="13577" style="374" width="12.55"/>
    <col collapsed="false" customWidth="true" hidden="false" outlineLevel="0" max="13578" min="13578" style="374" width="16.45"/>
    <col collapsed="false" customWidth="true" hidden="false" outlineLevel="0" max="13579" min="13579" style="374" width="10.11"/>
    <col collapsed="false" customWidth="true" hidden="false" outlineLevel="0" max="13580" min="13580" style="374" width="9.11"/>
    <col collapsed="false" customWidth="true" hidden="false" outlineLevel="0" max="13581" min="13581" style="374" width="11.55"/>
    <col collapsed="false" customWidth="false" hidden="false" outlineLevel="0" max="13827" min="13582" style="374" width="8.89"/>
    <col collapsed="false" customWidth="true" hidden="false" outlineLevel="0" max="13828" min="13828" style="374" width="13.89"/>
    <col collapsed="false" customWidth="false" hidden="false" outlineLevel="0" max="13829" min="13829" style="374" width="8.89"/>
    <col collapsed="false" customWidth="true" hidden="false" outlineLevel="0" max="13830" min="13830" style="374" width="13.44"/>
    <col collapsed="false" customWidth="false" hidden="false" outlineLevel="0" max="13832" min="13831" style="374" width="8.89"/>
    <col collapsed="false" customWidth="true" hidden="false" outlineLevel="0" max="13833" min="13833" style="374" width="12.55"/>
    <col collapsed="false" customWidth="true" hidden="false" outlineLevel="0" max="13834" min="13834" style="374" width="16.45"/>
    <col collapsed="false" customWidth="true" hidden="false" outlineLevel="0" max="13835" min="13835" style="374" width="10.11"/>
    <col collapsed="false" customWidth="true" hidden="false" outlineLevel="0" max="13836" min="13836" style="374" width="9.11"/>
    <col collapsed="false" customWidth="true" hidden="false" outlineLevel="0" max="13837" min="13837" style="374" width="11.55"/>
    <col collapsed="false" customWidth="false" hidden="false" outlineLevel="0" max="14083" min="13838" style="374" width="8.89"/>
    <col collapsed="false" customWidth="true" hidden="false" outlineLevel="0" max="14084" min="14084" style="374" width="13.89"/>
    <col collapsed="false" customWidth="false" hidden="false" outlineLevel="0" max="14085" min="14085" style="374" width="8.89"/>
    <col collapsed="false" customWidth="true" hidden="false" outlineLevel="0" max="14086" min="14086" style="374" width="13.44"/>
    <col collapsed="false" customWidth="false" hidden="false" outlineLevel="0" max="14088" min="14087" style="374" width="8.89"/>
    <col collapsed="false" customWidth="true" hidden="false" outlineLevel="0" max="14089" min="14089" style="374" width="12.55"/>
    <col collapsed="false" customWidth="true" hidden="false" outlineLevel="0" max="14090" min="14090" style="374" width="16.45"/>
    <col collapsed="false" customWidth="true" hidden="false" outlineLevel="0" max="14091" min="14091" style="374" width="10.11"/>
    <col collapsed="false" customWidth="true" hidden="false" outlineLevel="0" max="14092" min="14092" style="374" width="9.11"/>
    <col collapsed="false" customWidth="true" hidden="false" outlineLevel="0" max="14093" min="14093" style="374" width="11.55"/>
    <col collapsed="false" customWidth="false" hidden="false" outlineLevel="0" max="14339" min="14094" style="374" width="8.89"/>
    <col collapsed="false" customWidth="true" hidden="false" outlineLevel="0" max="14340" min="14340" style="374" width="13.89"/>
    <col collapsed="false" customWidth="false" hidden="false" outlineLevel="0" max="14341" min="14341" style="374" width="8.89"/>
    <col collapsed="false" customWidth="true" hidden="false" outlineLevel="0" max="14342" min="14342" style="374" width="13.44"/>
    <col collapsed="false" customWidth="false" hidden="false" outlineLevel="0" max="14344" min="14343" style="374" width="8.89"/>
    <col collapsed="false" customWidth="true" hidden="false" outlineLevel="0" max="14345" min="14345" style="374" width="12.55"/>
    <col collapsed="false" customWidth="true" hidden="false" outlineLevel="0" max="14346" min="14346" style="374" width="16.45"/>
    <col collapsed="false" customWidth="true" hidden="false" outlineLevel="0" max="14347" min="14347" style="374" width="10.11"/>
    <col collapsed="false" customWidth="true" hidden="false" outlineLevel="0" max="14348" min="14348" style="374" width="9.11"/>
    <col collapsed="false" customWidth="true" hidden="false" outlineLevel="0" max="14349" min="14349" style="374" width="11.55"/>
    <col collapsed="false" customWidth="false" hidden="false" outlineLevel="0" max="14595" min="14350" style="374" width="8.89"/>
    <col collapsed="false" customWidth="true" hidden="false" outlineLevel="0" max="14596" min="14596" style="374" width="13.89"/>
    <col collapsed="false" customWidth="false" hidden="false" outlineLevel="0" max="14597" min="14597" style="374" width="8.89"/>
    <col collapsed="false" customWidth="true" hidden="false" outlineLevel="0" max="14598" min="14598" style="374" width="13.44"/>
    <col collapsed="false" customWidth="false" hidden="false" outlineLevel="0" max="14600" min="14599" style="374" width="8.89"/>
    <col collapsed="false" customWidth="true" hidden="false" outlineLevel="0" max="14601" min="14601" style="374" width="12.55"/>
    <col collapsed="false" customWidth="true" hidden="false" outlineLevel="0" max="14602" min="14602" style="374" width="16.45"/>
    <col collapsed="false" customWidth="true" hidden="false" outlineLevel="0" max="14603" min="14603" style="374" width="10.11"/>
    <col collapsed="false" customWidth="true" hidden="false" outlineLevel="0" max="14604" min="14604" style="374" width="9.11"/>
    <col collapsed="false" customWidth="true" hidden="false" outlineLevel="0" max="14605" min="14605" style="374" width="11.55"/>
    <col collapsed="false" customWidth="false" hidden="false" outlineLevel="0" max="14851" min="14606" style="374" width="8.89"/>
    <col collapsed="false" customWidth="true" hidden="false" outlineLevel="0" max="14852" min="14852" style="374" width="13.89"/>
    <col collapsed="false" customWidth="false" hidden="false" outlineLevel="0" max="14853" min="14853" style="374" width="8.89"/>
    <col collapsed="false" customWidth="true" hidden="false" outlineLevel="0" max="14854" min="14854" style="374" width="13.44"/>
    <col collapsed="false" customWidth="false" hidden="false" outlineLevel="0" max="14856" min="14855" style="374" width="8.89"/>
    <col collapsed="false" customWidth="true" hidden="false" outlineLevel="0" max="14857" min="14857" style="374" width="12.55"/>
    <col collapsed="false" customWidth="true" hidden="false" outlineLevel="0" max="14858" min="14858" style="374" width="16.45"/>
    <col collapsed="false" customWidth="true" hidden="false" outlineLevel="0" max="14859" min="14859" style="374" width="10.11"/>
    <col collapsed="false" customWidth="true" hidden="false" outlineLevel="0" max="14860" min="14860" style="374" width="9.11"/>
    <col collapsed="false" customWidth="true" hidden="false" outlineLevel="0" max="14861" min="14861" style="374" width="11.55"/>
    <col collapsed="false" customWidth="false" hidden="false" outlineLevel="0" max="15107" min="14862" style="374" width="8.89"/>
    <col collapsed="false" customWidth="true" hidden="false" outlineLevel="0" max="15108" min="15108" style="374" width="13.89"/>
    <col collapsed="false" customWidth="false" hidden="false" outlineLevel="0" max="15109" min="15109" style="374" width="8.89"/>
    <col collapsed="false" customWidth="true" hidden="false" outlineLevel="0" max="15110" min="15110" style="374" width="13.44"/>
    <col collapsed="false" customWidth="false" hidden="false" outlineLevel="0" max="15112" min="15111" style="374" width="8.89"/>
    <col collapsed="false" customWidth="true" hidden="false" outlineLevel="0" max="15113" min="15113" style="374" width="12.55"/>
    <col collapsed="false" customWidth="true" hidden="false" outlineLevel="0" max="15114" min="15114" style="374" width="16.45"/>
    <col collapsed="false" customWidth="true" hidden="false" outlineLevel="0" max="15115" min="15115" style="374" width="10.11"/>
    <col collapsed="false" customWidth="true" hidden="false" outlineLevel="0" max="15116" min="15116" style="374" width="9.11"/>
    <col collapsed="false" customWidth="true" hidden="false" outlineLevel="0" max="15117" min="15117" style="374" width="11.55"/>
    <col collapsed="false" customWidth="false" hidden="false" outlineLevel="0" max="15363" min="15118" style="374" width="8.89"/>
    <col collapsed="false" customWidth="true" hidden="false" outlineLevel="0" max="15364" min="15364" style="374" width="13.89"/>
    <col collapsed="false" customWidth="false" hidden="false" outlineLevel="0" max="15365" min="15365" style="374" width="8.89"/>
    <col collapsed="false" customWidth="true" hidden="false" outlineLevel="0" max="15366" min="15366" style="374" width="13.44"/>
    <col collapsed="false" customWidth="false" hidden="false" outlineLevel="0" max="15368" min="15367" style="374" width="8.89"/>
    <col collapsed="false" customWidth="true" hidden="false" outlineLevel="0" max="15369" min="15369" style="374" width="12.55"/>
    <col collapsed="false" customWidth="true" hidden="false" outlineLevel="0" max="15370" min="15370" style="374" width="16.45"/>
    <col collapsed="false" customWidth="true" hidden="false" outlineLevel="0" max="15371" min="15371" style="374" width="10.11"/>
    <col collapsed="false" customWidth="true" hidden="false" outlineLevel="0" max="15372" min="15372" style="374" width="9.11"/>
    <col collapsed="false" customWidth="true" hidden="false" outlineLevel="0" max="15373" min="15373" style="374" width="11.55"/>
    <col collapsed="false" customWidth="false" hidden="false" outlineLevel="0" max="15619" min="15374" style="374" width="8.89"/>
    <col collapsed="false" customWidth="true" hidden="false" outlineLevel="0" max="15620" min="15620" style="374" width="13.89"/>
    <col collapsed="false" customWidth="false" hidden="false" outlineLevel="0" max="15621" min="15621" style="374" width="8.89"/>
    <col collapsed="false" customWidth="true" hidden="false" outlineLevel="0" max="15622" min="15622" style="374" width="13.44"/>
    <col collapsed="false" customWidth="false" hidden="false" outlineLevel="0" max="15624" min="15623" style="374" width="8.89"/>
    <col collapsed="false" customWidth="true" hidden="false" outlineLevel="0" max="15625" min="15625" style="374" width="12.55"/>
    <col collapsed="false" customWidth="true" hidden="false" outlineLevel="0" max="15626" min="15626" style="374" width="16.45"/>
    <col collapsed="false" customWidth="true" hidden="false" outlineLevel="0" max="15627" min="15627" style="374" width="10.11"/>
    <col collapsed="false" customWidth="true" hidden="false" outlineLevel="0" max="15628" min="15628" style="374" width="9.11"/>
    <col collapsed="false" customWidth="true" hidden="false" outlineLevel="0" max="15629" min="15629" style="374" width="11.55"/>
    <col collapsed="false" customWidth="false" hidden="false" outlineLevel="0" max="15875" min="15630" style="374" width="8.89"/>
    <col collapsed="false" customWidth="true" hidden="false" outlineLevel="0" max="15876" min="15876" style="374" width="13.89"/>
    <col collapsed="false" customWidth="false" hidden="false" outlineLevel="0" max="15877" min="15877" style="374" width="8.89"/>
    <col collapsed="false" customWidth="true" hidden="false" outlineLevel="0" max="15878" min="15878" style="374" width="13.44"/>
    <col collapsed="false" customWidth="false" hidden="false" outlineLevel="0" max="15880" min="15879" style="374" width="8.89"/>
    <col collapsed="false" customWidth="true" hidden="false" outlineLevel="0" max="15881" min="15881" style="374" width="12.55"/>
    <col collapsed="false" customWidth="true" hidden="false" outlineLevel="0" max="15882" min="15882" style="374" width="16.45"/>
    <col collapsed="false" customWidth="true" hidden="false" outlineLevel="0" max="15883" min="15883" style="374" width="10.11"/>
    <col collapsed="false" customWidth="true" hidden="false" outlineLevel="0" max="15884" min="15884" style="374" width="9.11"/>
    <col collapsed="false" customWidth="true" hidden="false" outlineLevel="0" max="15885" min="15885" style="374" width="11.55"/>
    <col collapsed="false" customWidth="false" hidden="false" outlineLevel="0" max="16131" min="15886" style="374" width="8.89"/>
    <col collapsed="false" customWidth="true" hidden="false" outlineLevel="0" max="16132" min="16132" style="374" width="13.89"/>
    <col collapsed="false" customWidth="false" hidden="false" outlineLevel="0" max="16133" min="16133" style="374" width="8.89"/>
    <col collapsed="false" customWidth="true" hidden="false" outlineLevel="0" max="16134" min="16134" style="374" width="13.44"/>
    <col collapsed="false" customWidth="false" hidden="false" outlineLevel="0" max="16136" min="16135" style="374" width="8.89"/>
    <col collapsed="false" customWidth="true" hidden="false" outlineLevel="0" max="16137" min="16137" style="374" width="12.55"/>
    <col collapsed="false" customWidth="true" hidden="false" outlineLevel="0" max="16138" min="16138" style="374" width="16.45"/>
    <col collapsed="false" customWidth="true" hidden="false" outlineLevel="0" max="16139" min="16139" style="374" width="10.11"/>
    <col collapsed="false" customWidth="true" hidden="false" outlineLevel="0" max="16140" min="16140" style="374" width="9.11"/>
    <col collapsed="false" customWidth="true" hidden="false" outlineLevel="0" max="16141" min="16141" style="374" width="11.55"/>
    <col collapsed="false" customWidth="false" hidden="false" outlineLevel="0" max="16384" min="16142" style="374" width="8.89"/>
  </cols>
  <sheetData>
    <row r="2" customFormat="false" ht="12.75" hidden="false" customHeight="false" outlineLevel="0" collapsed="false">
      <c r="A2" s="376"/>
      <c r="B2" s="377"/>
      <c r="C2" s="378"/>
      <c r="D2" s="378"/>
      <c r="E2" s="378"/>
      <c r="F2" s="378"/>
      <c r="G2" s="378"/>
      <c r="H2" s="378"/>
      <c r="I2" s="378"/>
      <c r="J2" s="378"/>
      <c r="K2" s="378"/>
      <c r="L2" s="378"/>
      <c r="M2" s="378"/>
      <c r="N2" s="379"/>
    </row>
    <row r="3" customFormat="false" ht="12.75" hidden="false" customHeight="false" outlineLevel="0" collapsed="false">
      <c r="A3" s="380"/>
      <c r="N3" s="381"/>
    </row>
    <row r="4" customFormat="false" ht="12.75" hidden="false" customHeight="false" outlineLevel="0" collapsed="false">
      <c r="A4" s="380"/>
      <c r="N4" s="381"/>
    </row>
    <row r="5" customFormat="false" ht="12.75" hidden="false" customHeight="false" outlineLevel="0" collapsed="false">
      <c r="A5" s="380"/>
      <c r="N5" s="381"/>
    </row>
    <row r="6" customFormat="false" ht="12.75" hidden="false" customHeight="false" outlineLevel="0" collapsed="false">
      <c r="A6" s="380"/>
      <c r="N6" s="381"/>
    </row>
    <row r="7" customFormat="false" ht="12.75" hidden="false" customHeight="false" outlineLevel="0" collapsed="false">
      <c r="A7" s="380"/>
      <c r="N7" s="381"/>
    </row>
    <row r="8" customFormat="false" ht="19.5" hidden="false" customHeight="true" outlineLevel="0" collapsed="false">
      <c r="A8" s="380"/>
      <c r="L8" s="382"/>
      <c r="M8" s="382"/>
      <c r="N8" s="381"/>
    </row>
    <row r="9" customFormat="false" ht="12.75" hidden="false" customHeight="false" outlineLevel="0" collapsed="false">
      <c r="A9" s="380"/>
      <c r="N9" s="381"/>
    </row>
    <row r="10" customFormat="false" ht="12.75" hidden="false" customHeight="false" outlineLevel="0" collapsed="false">
      <c r="A10" s="380"/>
      <c r="N10" s="381"/>
    </row>
    <row r="11" customFormat="false" ht="12.75" hidden="false" customHeight="false" outlineLevel="0" collapsed="false">
      <c r="A11" s="380"/>
      <c r="N11" s="381"/>
    </row>
    <row r="12" customFormat="false" ht="12.75" hidden="false" customHeight="false" outlineLevel="0" collapsed="false">
      <c r="A12" s="380"/>
      <c r="N12" s="381"/>
    </row>
    <row r="13" customFormat="false" ht="12.75" hidden="false" customHeight="false" outlineLevel="0" collapsed="false">
      <c r="A13" s="380"/>
      <c r="N13" s="381"/>
    </row>
    <row r="14" customFormat="false" ht="24" hidden="false" customHeight="true" outlineLevel="0" collapsed="false">
      <c r="A14" s="380"/>
      <c r="B14" s="383" t="s">
        <v>318</v>
      </c>
      <c r="C14" s="383"/>
      <c r="D14" s="383"/>
      <c r="E14" s="383"/>
      <c r="F14" s="383"/>
      <c r="G14" s="383"/>
      <c r="H14" s="383"/>
      <c r="I14" s="383"/>
      <c r="J14" s="383"/>
      <c r="K14" s="383"/>
      <c r="L14" s="383"/>
      <c r="M14" s="383"/>
      <c r="N14" s="384"/>
      <c r="O14" s="385"/>
      <c r="P14" s="385"/>
      <c r="Q14" s="385"/>
      <c r="R14" s="385"/>
      <c r="S14" s="385"/>
      <c r="T14" s="385"/>
    </row>
    <row r="15" customFormat="false" ht="24" hidden="false" customHeight="true" outlineLevel="0" collapsed="false">
      <c r="A15" s="380"/>
      <c r="B15" s="383"/>
      <c r="C15" s="383"/>
      <c r="D15" s="383"/>
      <c r="E15" s="383"/>
      <c r="F15" s="383"/>
      <c r="G15" s="383"/>
      <c r="H15" s="383"/>
      <c r="I15" s="383"/>
      <c r="J15" s="383"/>
      <c r="K15" s="383"/>
      <c r="L15" s="383"/>
      <c r="M15" s="383"/>
      <c r="N15" s="384"/>
      <c r="O15" s="385"/>
      <c r="P15" s="385"/>
      <c r="Q15" s="385"/>
      <c r="R15" s="385"/>
      <c r="S15" s="385"/>
      <c r="T15" s="385"/>
    </row>
    <row r="16" customFormat="false" ht="24" hidden="false" customHeight="true" outlineLevel="0" collapsed="false">
      <c r="A16" s="380"/>
      <c r="B16" s="383"/>
      <c r="C16" s="383"/>
      <c r="D16" s="383"/>
      <c r="E16" s="383"/>
      <c r="F16" s="383"/>
      <c r="G16" s="383"/>
      <c r="H16" s="383"/>
      <c r="I16" s="383"/>
      <c r="J16" s="383"/>
      <c r="K16" s="383"/>
      <c r="L16" s="383"/>
      <c r="M16" s="383"/>
      <c r="N16" s="384"/>
      <c r="O16" s="385"/>
      <c r="P16" s="385"/>
      <c r="Q16" s="385"/>
      <c r="R16" s="385"/>
      <c r="S16" s="385"/>
      <c r="T16" s="385"/>
    </row>
    <row r="17" customFormat="false" ht="24" hidden="false" customHeight="true" outlineLevel="0" collapsed="false">
      <c r="A17" s="380"/>
      <c r="B17" s="383"/>
      <c r="C17" s="383"/>
      <c r="D17" s="383"/>
      <c r="E17" s="383"/>
      <c r="F17" s="383"/>
      <c r="G17" s="383"/>
      <c r="H17" s="383"/>
      <c r="I17" s="383"/>
      <c r="J17" s="383"/>
      <c r="K17" s="383"/>
      <c r="L17" s="383"/>
      <c r="M17" s="383"/>
      <c r="N17" s="384"/>
      <c r="O17" s="385"/>
      <c r="P17" s="385"/>
      <c r="Q17" s="385"/>
      <c r="R17" s="385"/>
      <c r="S17" s="385"/>
      <c r="T17" s="385"/>
    </row>
    <row r="18" customFormat="false" ht="30" hidden="false" customHeight="true" outlineLevel="0" collapsed="false">
      <c r="A18" s="380"/>
      <c r="B18" s="383"/>
      <c r="C18" s="383"/>
      <c r="D18" s="383"/>
      <c r="E18" s="383"/>
      <c r="F18" s="383"/>
      <c r="G18" s="383"/>
      <c r="H18" s="383"/>
      <c r="I18" s="383"/>
      <c r="J18" s="383"/>
      <c r="K18" s="383"/>
      <c r="L18" s="383"/>
      <c r="M18" s="383"/>
      <c r="N18" s="384"/>
      <c r="O18" s="385"/>
      <c r="P18" s="385"/>
      <c r="Q18" s="385"/>
      <c r="R18" s="385"/>
      <c r="S18" s="385"/>
      <c r="T18" s="385"/>
    </row>
    <row r="19" customFormat="false" ht="30" hidden="false" customHeight="true" outlineLevel="0" collapsed="false">
      <c r="A19" s="380"/>
      <c r="B19" s="383"/>
      <c r="C19" s="383"/>
      <c r="D19" s="383"/>
      <c r="E19" s="383"/>
      <c r="F19" s="383"/>
      <c r="G19" s="383"/>
      <c r="H19" s="383"/>
      <c r="I19" s="383"/>
      <c r="J19" s="383"/>
      <c r="K19" s="383"/>
      <c r="L19" s="383"/>
      <c r="M19" s="383"/>
      <c r="N19" s="384"/>
      <c r="O19" s="385"/>
      <c r="P19" s="385"/>
      <c r="Q19" s="385"/>
      <c r="R19" s="385"/>
      <c r="S19" s="385"/>
      <c r="T19" s="385"/>
    </row>
    <row r="20" customFormat="false" ht="30" hidden="false" customHeight="true" outlineLevel="0" collapsed="false">
      <c r="A20" s="380"/>
      <c r="B20" s="383"/>
      <c r="C20" s="383"/>
      <c r="D20" s="383"/>
      <c r="E20" s="383"/>
      <c r="F20" s="383"/>
      <c r="G20" s="383"/>
      <c r="H20" s="383"/>
      <c r="I20" s="383"/>
      <c r="J20" s="383"/>
      <c r="K20" s="383"/>
      <c r="L20" s="383"/>
      <c r="M20" s="383"/>
      <c r="N20" s="384"/>
      <c r="O20" s="385"/>
      <c r="P20" s="385"/>
      <c r="Q20" s="385"/>
      <c r="R20" s="385"/>
      <c r="S20" s="385"/>
      <c r="T20" s="385"/>
    </row>
    <row r="21" customFormat="false" ht="25.5" hidden="false" customHeight="true" outlineLevel="0" collapsed="false">
      <c r="A21" s="380"/>
      <c r="B21" s="386"/>
      <c r="C21" s="386"/>
      <c r="D21" s="386"/>
      <c r="E21" s="386"/>
      <c r="F21" s="386"/>
      <c r="G21" s="386"/>
      <c r="H21" s="386"/>
      <c r="I21" s="386"/>
      <c r="J21" s="386"/>
      <c r="K21" s="386"/>
      <c r="L21" s="386"/>
      <c r="M21" s="386"/>
      <c r="N21" s="384"/>
      <c r="O21" s="385"/>
      <c r="P21" s="385"/>
      <c r="Q21" s="385"/>
      <c r="R21" s="385"/>
      <c r="S21" s="385"/>
      <c r="T21" s="385"/>
    </row>
    <row r="22" customFormat="false" ht="17.25" hidden="false" customHeight="false" outlineLevel="0" collapsed="false">
      <c r="A22" s="380"/>
      <c r="B22" s="387"/>
      <c r="C22" s="387"/>
      <c r="D22" s="388"/>
      <c r="E22" s="389"/>
      <c r="F22" s="389"/>
      <c r="G22" s="389"/>
      <c r="H22" s="389"/>
      <c r="I22" s="389"/>
      <c r="J22" s="389"/>
      <c r="K22" s="389"/>
      <c r="L22" s="389"/>
      <c r="M22" s="389"/>
      <c r="N22" s="390"/>
      <c r="O22" s="388"/>
      <c r="P22" s="388"/>
    </row>
    <row r="23" customFormat="false" ht="28.5" hidden="false" customHeight="true" outlineLevel="0" collapsed="false">
      <c r="A23" s="380"/>
      <c r="B23" s="388"/>
      <c r="C23" s="388"/>
      <c r="D23" s="388"/>
      <c r="E23" s="388"/>
      <c r="F23" s="388"/>
      <c r="G23" s="391" t="s">
        <v>319</v>
      </c>
      <c r="H23" s="392"/>
      <c r="I23" s="393" t="str">
        <f aca="false">_xlfn.CONCAT('MS2'!C2:D2)</f>
        <v>ADNOC ONSHORE</v>
      </c>
      <c r="J23" s="393"/>
      <c r="K23" s="393"/>
      <c r="L23" s="393"/>
      <c r="M23" s="393"/>
      <c r="N23" s="390"/>
      <c r="O23" s="388"/>
      <c r="P23" s="388"/>
    </row>
    <row r="24" customFormat="false" ht="28.5" hidden="false" customHeight="true" outlineLevel="0" collapsed="false">
      <c r="A24" s="380"/>
      <c r="B24" s="394"/>
      <c r="C24" s="388"/>
      <c r="D24" s="388"/>
      <c r="E24" s="388"/>
      <c r="F24" s="388"/>
      <c r="G24" s="392"/>
      <c r="H24" s="392"/>
      <c r="I24" s="395"/>
      <c r="J24" s="395"/>
      <c r="K24" s="395"/>
      <c r="L24" s="395"/>
      <c r="M24" s="395"/>
      <c r="N24" s="390"/>
      <c r="O24" s="388"/>
      <c r="P24" s="388"/>
    </row>
    <row r="25" customFormat="false" ht="28.5" hidden="false" customHeight="true" outlineLevel="0" collapsed="false">
      <c r="A25" s="380"/>
      <c r="B25" s="394"/>
      <c r="C25" s="388"/>
      <c r="D25" s="388"/>
      <c r="E25" s="388"/>
      <c r="F25" s="388"/>
      <c r="G25" s="391" t="s">
        <v>320</v>
      </c>
      <c r="H25" s="392"/>
      <c r="I25" s="393" t="s">
        <v>63</v>
      </c>
      <c r="J25" s="393"/>
      <c r="K25" s="393"/>
      <c r="L25" s="393"/>
      <c r="M25" s="393"/>
      <c r="N25" s="390"/>
      <c r="O25" s="388"/>
      <c r="P25" s="388"/>
    </row>
    <row r="26" customFormat="false" ht="28.5" hidden="false" customHeight="true" outlineLevel="0" collapsed="false">
      <c r="A26" s="380"/>
      <c r="B26" s="394"/>
      <c r="C26" s="388"/>
      <c r="D26" s="388"/>
      <c r="E26" s="388"/>
      <c r="F26" s="388"/>
      <c r="G26" s="392"/>
      <c r="H26" s="392"/>
      <c r="I26" s="395"/>
      <c r="J26" s="395"/>
      <c r="K26" s="395"/>
      <c r="L26" s="395"/>
      <c r="M26" s="395"/>
      <c r="N26" s="390"/>
      <c r="O26" s="388"/>
      <c r="P26" s="388"/>
    </row>
    <row r="27" customFormat="false" ht="28.5" hidden="false" customHeight="true" outlineLevel="0" collapsed="false">
      <c r="A27" s="380"/>
      <c r="B27" s="388"/>
      <c r="C27" s="388"/>
      <c r="D27" s="388"/>
      <c r="E27" s="388"/>
      <c r="F27" s="388"/>
      <c r="G27" s="391" t="s">
        <v>321</v>
      </c>
      <c r="H27" s="392"/>
      <c r="I27" s="393" t="str">
        <f aca="false">'MS2'!I9</f>
        <v>BB-1309</v>
      </c>
      <c r="J27" s="393"/>
      <c r="K27" s="393"/>
      <c r="L27" s="393"/>
      <c r="M27" s="393"/>
      <c r="N27" s="390"/>
      <c r="O27" s="388"/>
      <c r="P27" s="388"/>
    </row>
    <row r="28" customFormat="false" ht="28.5" hidden="false" customHeight="true" outlineLevel="0" collapsed="false">
      <c r="A28" s="380"/>
      <c r="B28" s="394"/>
      <c r="C28" s="388"/>
      <c r="D28" s="388"/>
      <c r="E28" s="388"/>
      <c r="F28" s="388"/>
      <c r="G28" s="392"/>
      <c r="H28" s="392"/>
      <c r="I28" s="395"/>
      <c r="J28" s="395"/>
      <c r="K28" s="395"/>
      <c r="L28" s="395"/>
      <c r="M28" s="395"/>
      <c r="N28" s="390"/>
      <c r="O28" s="388"/>
      <c r="P28" s="388"/>
    </row>
    <row r="29" customFormat="false" ht="120" hidden="false" customHeight="true" outlineLevel="0" collapsed="false">
      <c r="A29" s="380"/>
      <c r="B29" s="388"/>
      <c r="C29" s="388"/>
      <c r="D29" s="388"/>
      <c r="E29" s="388"/>
      <c r="F29" s="388"/>
      <c r="G29" s="396" t="s">
        <v>322</v>
      </c>
      <c r="H29" s="392"/>
      <c r="I29" s="397" t="s">
        <v>323</v>
      </c>
      <c r="J29" s="397"/>
      <c r="K29" s="397"/>
      <c r="L29" s="397"/>
      <c r="M29" s="397"/>
      <c r="N29" s="390"/>
      <c r="O29" s="388"/>
      <c r="P29" s="388"/>
    </row>
    <row r="30" customFormat="false" ht="28.5" hidden="false" customHeight="true" outlineLevel="0" collapsed="false">
      <c r="A30" s="380"/>
      <c r="B30" s="388"/>
      <c r="C30" s="388"/>
      <c r="D30" s="388"/>
      <c r="E30" s="388"/>
      <c r="F30" s="388"/>
      <c r="G30" s="391"/>
      <c r="H30" s="392"/>
      <c r="I30" s="395"/>
      <c r="J30" s="395"/>
      <c r="K30" s="395"/>
      <c r="L30" s="395"/>
      <c r="M30" s="395"/>
      <c r="N30" s="390"/>
      <c r="O30" s="388"/>
      <c r="P30" s="388"/>
    </row>
    <row r="31" customFormat="false" ht="28.5" hidden="false" customHeight="true" outlineLevel="0" collapsed="false">
      <c r="A31" s="380"/>
      <c r="B31" s="388"/>
      <c r="C31" s="388"/>
      <c r="D31" s="388"/>
      <c r="E31" s="388"/>
      <c r="F31" s="388"/>
      <c r="G31" s="391" t="s">
        <v>324</v>
      </c>
      <c r="H31" s="392"/>
      <c r="I31" s="393" t="str">
        <f aca="false">_xlfn.CONCAT('MS2'!C5:D5)</f>
        <v>24-Jul-26</v>
      </c>
      <c r="J31" s="393"/>
      <c r="K31" s="393"/>
      <c r="L31" s="393"/>
      <c r="M31" s="393"/>
      <c r="N31" s="390"/>
      <c r="O31" s="388"/>
      <c r="P31" s="388"/>
    </row>
    <row r="32" customFormat="false" ht="28.5" hidden="false" customHeight="true" outlineLevel="0" collapsed="false">
      <c r="A32" s="380"/>
      <c r="B32" s="388"/>
      <c r="C32" s="388"/>
      <c r="D32" s="388"/>
      <c r="E32" s="388"/>
      <c r="F32" s="388"/>
      <c r="G32" s="391"/>
      <c r="H32" s="392"/>
      <c r="I32" s="393"/>
      <c r="J32" s="393"/>
      <c r="K32" s="393"/>
      <c r="L32" s="393"/>
      <c r="M32" s="393"/>
      <c r="N32" s="390"/>
      <c r="O32" s="388"/>
      <c r="P32" s="388"/>
    </row>
    <row r="33" customFormat="false" ht="28.5" hidden="false" customHeight="true" outlineLevel="0" collapsed="false">
      <c r="A33" s="380"/>
      <c r="B33" s="388"/>
      <c r="C33" s="388"/>
      <c r="D33" s="388"/>
      <c r="E33" s="388"/>
      <c r="F33" s="388"/>
      <c r="G33" s="391" t="s">
        <v>325</v>
      </c>
      <c r="H33" s="392"/>
      <c r="I33" s="393" t="s">
        <v>326</v>
      </c>
      <c r="J33" s="393"/>
      <c r="K33" s="393"/>
      <c r="L33" s="393"/>
      <c r="M33" s="393"/>
      <c r="N33" s="390"/>
      <c r="O33" s="388"/>
      <c r="P33" s="388"/>
    </row>
    <row r="34" customFormat="false" ht="28.5" hidden="false" customHeight="true" outlineLevel="0" collapsed="false">
      <c r="A34" s="380"/>
      <c r="B34" s="388"/>
      <c r="C34" s="388"/>
      <c r="D34" s="388"/>
      <c r="E34" s="388"/>
      <c r="F34" s="388"/>
      <c r="G34" s="391"/>
      <c r="H34" s="392"/>
      <c r="I34" s="395"/>
      <c r="J34" s="395"/>
      <c r="K34" s="395"/>
      <c r="L34" s="395"/>
      <c r="M34" s="395"/>
      <c r="N34" s="390"/>
      <c r="O34" s="388"/>
      <c r="P34" s="388"/>
    </row>
    <row r="35" customFormat="false" ht="28.5" hidden="false" customHeight="true" outlineLevel="0" collapsed="false">
      <c r="A35" s="380"/>
      <c r="B35" s="388"/>
      <c r="C35" s="388"/>
      <c r="D35" s="388"/>
      <c r="E35" s="388"/>
      <c r="F35" s="388"/>
      <c r="G35" s="391" t="s">
        <v>327</v>
      </c>
      <c r="H35" s="392"/>
      <c r="I35" s="393" t="str">
        <f aca="false">'MS2'!I8</f>
        <v>AD-237</v>
      </c>
      <c r="J35" s="393"/>
      <c r="K35" s="393"/>
      <c r="L35" s="393"/>
      <c r="M35" s="393"/>
      <c r="N35" s="390"/>
      <c r="O35" s="388"/>
      <c r="P35" s="388"/>
    </row>
    <row r="36" customFormat="false" ht="28.5" hidden="false" customHeight="true" outlineLevel="0" collapsed="false">
      <c r="A36" s="380"/>
      <c r="B36" s="388"/>
      <c r="C36" s="388"/>
      <c r="D36" s="388"/>
      <c r="E36" s="388"/>
      <c r="F36" s="388"/>
      <c r="G36" s="391"/>
      <c r="H36" s="392"/>
      <c r="I36" s="395"/>
      <c r="J36" s="395"/>
      <c r="K36" s="395"/>
      <c r="L36" s="395"/>
      <c r="M36" s="395"/>
      <c r="N36" s="390"/>
      <c r="O36" s="388"/>
      <c r="P36" s="388"/>
    </row>
    <row r="37" customFormat="false" ht="28.5" hidden="false" customHeight="true" outlineLevel="0" collapsed="false">
      <c r="A37" s="380"/>
      <c r="B37" s="388"/>
      <c r="C37" s="388"/>
      <c r="D37" s="388"/>
      <c r="E37" s="388"/>
      <c r="F37" s="388"/>
      <c r="G37" s="391" t="s">
        <v>328</v>
      </c>
      <c r="H37" s="392"/>
      <c r="I37" s="393" t="s">
        <v>329</v>
      </c>
      <c r="J37" s="393"/>
      <c r="K37" s="393"/>
      <c r="L37" s="393"/>
      <c r="M37" s="393"/>
      <c r="N37" s="390"/>
      <c r="O37" s="388"/>
      <c r="P37" s="388"/>
    </row>
    <row r="38" customFormat="false" ht="28.5" hidden="false" customHeight="true" outlineLevel="0" collapsed="false">
      <c r="A38" s="380"/>
      <c r="B38" s="388"/>
      <c r="C38" s="388"/>
      <c r="D38" s="388"/>
      <c r="E38" s="388"/>
      <c r="F38" s="388"/>
      <c r="G38" s="391"/>
      <c r="H38" s="392"/>
      <c r="I38" s="395"/>
      <c r="J38" s="395"/>
      <c r="K38" s="395"/>
      <c r="L38" s="395"/>
      <c r="M38" s="395"/>
      <c r="N38" s="390"/>
      <c r="O38" s="388"/>
      <c r="P38" s="388"/>
    </row>
    <row r="39" customFormat="false" ht="28.5" hidden="false" customHeight="true" outlineLevel="0" collapsed="false">
      <c r="A39" s="380"/>
      <c r="B39" s="388"/>
      <c r="C39" s="388"/>
      <c r="D39" s="388"/>
      <c r="E39" s="388"/>
      <c r="F39" s="388"/>
      <c r="G39" s="391" t="s">
        <v>330</v>
      </c>
      <c r="H39" s="392"/>
      <c r="I39" s="393" t="s">
        <v>331</v>
      </c>
      <c r="J39" s="393"/>
      <c r="K39" s="393"/>
      <c r="L39" s="393"/>
      <c r="M39" s="393"/>
      <c r="N39" s="390"/>
      <c r="O39" s="388"/>
      <c r="P39" s="388"/>
    </row>
    <row r="40" customFormat="false" ht="28.5" hidden="false" customHeight="true" outlineLevel="0" collapsed="false">
      <c r="A40" s="380"/>
      <c r="B40" s="388"/>
      <c r="C40" s="388"/>
      <c r="D40" s="388"/>
      <c r="E40" s="388"/>
      <c r="F40" s="388"/>
      <c r="G40" s="398"/>
      <c r="H40" s="392"/>
      <c r="I40" s="395"/>
      <c r="J40" s="395"/>
      <c r="K40" s="395"/>
      <c r="L40" s="395"/>
      <c r="M40" s="395"/>
      <c r="N40" s="390"/>
      <c r="O40" s="388"/>
      <c r="P40" s="388"/>
    </row>
    <row r="41" customFormat="false" ht="28.5" hidden="false" customHeight="true" outlineLevel="0" collapsed="false">
      <c r="A41" s="380"/>
      <c r="B41" s="388"/>
      <c r="C41" s="388"/>
      <c r="D41" s="399"/>
      <c r="E41" s="388"/>
      <c r="F41" s="388"/>
      <c r="G41" s="391" t="s">
        <v>332</v>
      </c>
      <c r="H41" s="392"/>
      <c r="I41" s="393" t="s">
        <v>333</v>
      </c>
      <c r="J41" s="393"/>
      <c r="K41" s="393"/>
      <c r="L41" s="393"/>
      <c r="M41" s="393"/>
      <c r="N41" s="390"/>
      <c r="O41" s="388"/>
      <c r="P41" s="388"/>
    </row>
    <row r="42" customFormat="false" ht="28.5" hidden="false" customHeight="true" outlineLevel="0" collapsed="false">
      <c r="A42" s="380"/>
      <c r="B42" s="400"/>
      <c r="C42" s="388"/>
      <c r="D42" s="388"/>
      <c r="E42" s="388"/>
      <c r="F42" s="388"/>
      <c r="G42" s="401"/>
      <c r="H42" s="401"/>
      <c r="I42" s="402"/>
      <c r="J42" s="403"/>
      <c r="K42" s="403"/>
      <c r="L42" s="403"/>
      <c r="M42" s="403"/>
      <c r="N42" s="390"/>
      <c r="O42" s="388"/>
      <c r="P42" s="388"/>
    </row>
    <row r="43" customFormat="false" ht="28.5" hidden="false" customHeight="true" outlineLevel="0" collapsed="false">
      <c r="A43" s="380"/>
      <c r="B43" s="400"/>
      <c r="C43" s="388"/>
      <c r="D43" s="388"/>
      <c r="E43" s="388"/>
      <c r="F43" s="388"/>
      <c r="G43" s="391" t="s">
        <v>334</v>
      </c>
      <c r="H43" s="392"/>
      <c r="I43" s="404" t="s">
        <v>335</v>
      </c>
      <c r="J43" s="404"/>
      <c r="K43" s="404"/>
      <c r="L43" s="404"/>
      <c r="M43" s="404"/>
      <c r="N43" s="404"/>
      <c r="O43" s="404"/>
      <c r="P43" s="404"/>
    </row>
    <row r="44" customFormat="false" ht="17.35" hidden="false" customHeight="false" outlineLevel="0" collapsed="false">
      <c r="A44" s="380"/>
      <c r="B44" s="400"/>
      <c r="C44" s="388"/>
      <c r="D44" s="388"/>
      <c r="E44" s="403"/>
      <c r="F44" s="403"/>
      <c r="G44" s="403"/>
      <c r="H44" s="403"/>
      <c r="I44" s="404"/>
      <c r="J44" s="404"/>
      <c r="K44" s="404"/>
      <c r="L44" s="404"/>
      <c r="M44" s="404"/>
      <c r="N44" s="404"/>
      <c r="O44" s="404"/>
      <c r="P44" s="404"/>
    </row>
    <row r="45" customFormat="false" ht="17.35" hidden="false" customHeight="false" outlineLevel="0" collapsed="false">
      <c r="A45" s="380"/>
      <c r="B45" s="400"/>
      <c r="C45" s="388"/>
      <c r="D45" s="388"/>
      <c r="E45" s="403"/>
      <c r="F45" s="403"/>
      <c r="G45" s="403"/>
      <c r="H45" s="403"/>
      <c r="I45" s="403"/>
      <c r="J45" s="403"/>
      <c r="K45" s="403"/>
      <c r="L45" s="403"/>
      <c r="M45" s="403"/>
      <c r="N45" s="390"/>
      <c r="O45" s="388"/>
      <c r="P45" s="388"/>
    </row>
    <row r="46" customFormat="false" ht="12.75" hidden="false" customHeight="false" outlineLevel="0" collapsed="false">
      <c r="A46" s="405"/>
      <c r="B46" s="406"/>
      <c r="C46" s="407"/>
      <c r="D46" s="407"/>
      <c r="E46" s="407"/>
      <c r="F46" s="407"/>
      <c r="G46" s="407"/>
      <c r="H46" s="407"/>
      <c r="I46" s="407"/>
      <c r="J46" s="407"/>
      <c r="K46" s="407"/>
      <c r="L46" s="407"/>
      <c r="M46" s="407"/>
      <c r="N46" s="408"/>
    </row>
  </sheetData>
  <mergeCells count="14">
    <mergeCell ref="L8:M8"/>
    <mergeCell ref="B14:M20"/>
    <mergeCell ref="I23:M23"/>
    <mergeCell ref="I25:M25"/>
    <mergeCell ref="I27:M27"/>
    <mergeCell ref="I29:M29"/>
    <mergeCell ref="I31:M31"/>
    <mergeCell ref="I32:M32"/>
    <mergeCell ref="I33:M33"/>
    <mergeCell ref="I35:M35"/>
    <mergeCell ref="I37:M37"/>
    <mergeCell ref="I39:M39"/>
    <mergeCell ref="I41:M41"/>
    <mergeCell ref="I43:P44"/>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true"/>
  </sheetPr>
  <dimension ref="A1:V117"/>
  <sheetViews>
    <sheetView showFormulas="false" showGridLines="false" showRowColHeaders="true" showZeros="true" rightToLeft="false" tabSelected="false" showOutlineSymbols="true" defaultGridColor="true" view="pageBreakPreview" topLeftCell="A79" colorId="64" zoomScale="140" zoomScaleNormal="145" zoomScalePageLayoutView="140" workbookViewId="0">
      <selection pane="topLeft" activeCell="D95" activeCellId="0" sqref="D95"/>
    </sheetView>
  </sheetViews>
  <sheetFormatPr defaultColWidth="8.59765625" defaultRowHeight="14.25" customHeight="false" zeroHeight="false" outlineLevelRow="0" outlineLevelCol="0"/>
  <cols>
    <col collapsed="false" customWidth="true" hidden="false" outlineLevel="0" max="1" min="1" style="409" width="5.66"/>
    <col collapsed="false" customWidth="true" hidden="false" outlineLevel="0" max="2" min="2" style="37" width="1.44"/>
    <col collapsed="false" customWidth="true" hidden="false" outlineLevel="0" max="3" min="3" style="37" width="12.55"/>
    <col collapsed="false" customWidth="true" hidden="false" outlineLevel="0" max="4" min="4" style="37" width="14.11"/>
    <col collapsed="false" customWidth="true" hidden="false" outlineLevel="0" max="5" min="5" style="37" width="16"/>
    <col collapsed="false" customWidth="true" hidden="false" outlineLevel="0" max="6" min="6" style="37" width="11.78"/>
    <col collapsed="false" customWidth="true" hidden="false" outlineLevel="0" max="7" min="7" style="37" width="8.89"/>
    <col collapsed="false" customWidth="true" hidden="false" outlineLevel="0" max="8" min="8" style="37" width="9.56"/>
    <col collapsed="false" customWidth="true" hidden="false" outlineLevel="0" max="10" min="9" style="37" width="10.22"/>
    <col collapsed="false" customWidth="true" hidden="false" outlineLevel="0" max="11" min="11" style="37" width="15.33"/>
    <col collapsed="false" customWidth="true" hidden="false" outlineLevel="0" max="12" min="12" style="37" width="50"/>
  </cols>
  <sheetData>
    <row r="1" s="413" customFormat="true" ht="15" hidden="false" customHeight="false" outlineLevel="0" collapsed="false">
      <c r="A1" s="410"/>
      <c r="B1" s="411" t="s">
        <v>336</v>
      </c>
      <c r="C1" s="412"/>
      <c r="D1" s="412"/>
      <c r="F1" s="414"/>
      <c r="G1" s="414"/>
      <c r="H1" s="414"/>
      <c r="I1" s="414"/>
      <c r="J1" s="414"/>
      <c r="K1" s="415"/>
      <c r="M1" s="416"/>
      <c r="N1" s="416"/>
      <c r="O1" s="416"/>
      <c r="P1" s="416"/>
      <c r="Q1" s="416"/>
      <c r="R1" s="416"/>
      <c r="S1" s="416"/>
      <c r="T1" s="416"/>
      <c r="U1" s="416"/>
    </row>
    <row r="2" s="413" customFormat="true" ht="24.45" hidden="false" customHeight="false" outlineLevel="0" collapsed="false">
      <c r="A2" s="410"/>
      <c r="B2" s="417"/>
      <c r="C2" s="418" t="s">
        <v>337</v>
      </c>
      <c r="D2" s="419" t="str">
        <f aca="false">'MS2'!I9</f>
        <v>BB-1309</v>
      </c>
      <c r="E2" s="418" t="s">
        <v>338</v>
      </c>
      <c r="F2" s="420" t="str">
        <f aca="false">'MS2'!I8</f>
        <v>AD-237</v>
      </c>
      <c r="G2" s="421"/>
      <c r="H2" s="421"/>
      <c r="I2" s="421"/>
      <c r="J2" s="421"/>
      <c r="M2" s="422" t="s">
        <v>339</v>
      </c>
      <c r="N2" s="422" t="s">
        <v>340</v>
      </c>
      <c r="O2" s="422" t="s">
        <v>341</v>
      </c>
      <c r="P2" s="423"/>
      <c r="Q2" s="423" t="s">
        <v>342</v>
      </c>
      <c r="R2" s="423" t="s">
        <v>343</v>
      </c>
      <c r="S2" s="423" t="s">
        <v>344</v>
      </c>
      <c r="T2" s="423"/>
      <c r="U2" s="423"/>
      <c r="V2" s="424"/>
    </row>
    <row r="3" s="413" customFormat="true" ht="28.5" hidden="false" customHeight="true" outlineLevel="0" collapsed="false">
      <c r="A3" s="410"/>
      <c r="B3" s="417"/>
      <c r="C3" s="418" t="s">
        <v>345</v>
      </c>
      <c r="D3" s="411" t="s">
        <v>346</v>
      </c>
      <c r="E3" s="418" t="s">
        <v>347</v>
      </c>
      <c r="F3" s="420"/>
      <c r="G3" s="417"/>
      <c r="H3" s="417"/>
      <c r="I3" s="417"/>
      <c r="J3" s="417"/>
      <c r="M3" s="422" t="s">
        <v>348</v>
      </c>
      <c r="N3" s="422" t="s">
        <v>349</v>
      </c>
      <c r="O3" s="422" t="s">
        <v>349</v>
      </c>
      <c r="P3" s="423"/>
      <c r="Q3" s="423" t="s">
        <v>350</v>
      </c>
      <c r="R3" s="423" t="s">
        <v>351</v>
      </c>
      <c r="S3" s="423"/>
      <c r="T3" s="423"/>
      <c r="U3" s="423"/>
      <c r="V3" s="424"/>
    </row>
    <row r="4" s="413" customFormat="true" ht="14.25" hidden="false" customHeight="false" outlineLevel="0" collapsed="false">
      <c r="A4" s="410"/>
      <c r="C4" s="425"/>
      <c r="D4" s="426"/>
      <c r="E4" s="427"/>
      <c r="F4" s="428"/>
      <c r="G4" s="428"/>
      <c r="H4" s="428"/>
      <c r="I4" s="428"/>
      <c r="J4" s="428"/>
      <c r="K4" s="428"/>
      <c r="M4" s="423"/>
      <c r="N4" s="423"/>
      <c r="O4" s="423"/>
      <c r="P4" s="423"/>
      <c r="Q4" s="423"/>
      <c r="R4" s="423"/>
      <c r="S4" s="423"/>
      <c r="T4" s="423"/>
      <c r="U4" s="423"/>
      <c r="V4" s="424"/>
    </row>
    <row r="5" s="413" customFormat="true" ht="17.35" hidden="false" customHeight="false" outlineLevel="0" collapsed="false">
      <c r="A5" s="429"/>
      <c r="B5" s="430"/>
      <c r="C5" s="431" t="s">
        <v>352</v>
      </c>
      <c r="D5" s="430"/>
      <c r="E5" s="430"/>
      <c r="F5" s="430"/>
      <c r="G5" s="430"/>
      <c r="H5" s="430"/>
      <c r="I5" s="430"/>
      <c r="J5" s="430"/>
      <c r="K5" s="430"/>
      <c r="L5" s="430"/>
      <c r="M5" s="416"/>
      <c r="N5" s="416"/>
      <c r="O5" s="416"/>
      <c r="P5" s="416"/>
      <c r="Q5" s="416"/>
      <c r="R5" s="416"/>
      <c r="S5" s="416"/>
      <c r="T5" s="416"/>
      <c r="U5" s="416"/>
    </row>
    <row r="6" s="413" customFormat="true" ht="17.35" hidden="false" customHeight="false" outlineLevel="0" collapsed="false">
      <c r="A6" s="432" t="n">
        <v>1</v>
      </c>
      <c r="B6" s="433" t="s">
        <v>353</v>
      </c>
      <c r="C6" s="433"/>
      <c r="D6" s="433"/>
      <c r="E6" s="433"/>
      <c r="F6" s="433"/>
      <c r="G6" s="433"/>
      <c r="H6" s="433"/>
      <c r="I6" s="433"/>
      <c r="J6" s="433"/>
      <c r="K6" s="433"/>
      <c r="L6" s="433"/>
      <c r="M6" s="434"/>
      <c r="N6" s="416"/>
      <c r="O6" s="416"/>
      <c r="P6" s="416"/>
      <c r="Q6" s="416"/>
      <c r="R6" s="416"/>
      <c r="S6" s="416"/>
      <c r="T6" s="416"/>
      <c r="U6" s="416"/>
    </row>
    <row r="7" s="413" customFormat="true" ht="17.35" hidden="false" customHeight="false" outlineLevel="0" collapsed="false">
      <c r="A7" s="432" t="n">
        <v>2</v>
      </c>
      <c r="B7" s="433" t="s">
        <v>354</v>
      </c>
      <c r="C7" s="433"/>
      <c r="D7" s="433"/>
      <c r="E7" s="433"/>
      <c r="F7" s="433"/>
      <c r="G7" s="433"/>
      <c r="H7" s="433"/>
      <c r="I7" s="433"/>
      <c r="J7" s="433"/>
      <c r="K7" s="433"/>
      <c r="L7" s="433"/>
      <c r="M7" s="434"/>
      <c r="N7" s="416"/>
      <c r="O7" s="416"/>
      <c r="P7" s="416"/>
      <c r="Q7" s="416"/>
      <c r="R7" s="416"/>
      <c r="S7" s="416"/>
      <c r="T7" s="416"/>
      <c r="U7" s="416"/>
    </row>
    <row r="8" s="413" customFormat="true" ht="17.35" hidden="false" customHeight="false" outlineLevel="0" collapsed="false">
      <c r="A8" s="432" t="n">
        <v>3</v>
      </c>
      <c r="B8" s="433" t="s">
        <v>355</v>
      </c>
      <c r="C8" s="433"/>
      <c r="D8" s="433"/>
      <c r="E8" s="433"/>
      <c r="F8" s="433"/>
      <c r="G8" s="433"/>
      <c r="H8" s="433"/>
      <c r="I8" s="433"/>
      <c r="J8" s="433"/>
      <c r="K8" s="433"/>
      <c r="L8" s="433"/>
      <c r="M8" s="434"/>
      <c r="N8" s="416"/>
      <c r="O8" s="416"/>
      <c r="P8" s="416"/>
      <c r="Q8" s="416"/>
      <c r="R8" s="416"/>
      <c r="S8" s="416"/>
      <c r="T8" s="416"/>
      <c r="U8" s="416"/>
    </row>
    <row r="9" s="413" customFormat="true" ht="17.35" hidden="false" customHeight="false" outlineLevel="0" collapsed="false">
      <c r="A9" s="432" t="n">
        <v>4</v>
      </c>
      <c r="B9" s="433" t="s">
        <v>356</v>
      </c>
      <c r="C9" s="433"/>
      <c r="D9" s="433"/>
      <c r="E9" s="433"/>
      <c r="F9" s="433"/>
      <c r="G9" s="433"/>
      <c r="H9" s="433"/>
      <c r="I9" s="433"/>
      <c r="J9" s="433"/>
      <c r="K9" s="433"/>
      <c r="L9" s="433"/>
      <c r="M9" s="434"/>
      <c r="N9" s="416"/>
      <c r="O9" s="416"/>
      <c r="P9" s="416"/>
      <c r="Q9" s="416"/>
      <c r="R9" s="416"/>
      <c r="S9" s="416"/>
      <c r="T9" s="416"/>
      <c r="U9" s="416"/>
    </row>
    <row r="10" s="413" customFormat="true" ht="17.35" hidden="false" customHeight="false" outlineLevel="0" collapsed="false">
      <c r="A10" s="432" t="n">
        <v>5</v>
      </c>
      <c r="B10" s="433" t="s">
        <v>357</v>
      </c>
      <c r="C10" s="433"/>
      <c r="D10" s="433"/>
      <c r="E10" s="433"/>
      <c r="F10" s="433"/>
      <c r="G10" s="433"/>
      <c r="H10" s="433"/>
      <c r="I10" s="433"/>
      <c r="J10" s="433"/>
      <c r="K10" s="433"/>
      <c r="L10" s="433"/>
      <c r="M10" s="434"/>
      <c r="N10" s="416"/>
      <c r="O10" s="416"/>
      <c r="P10" s="416"/>
      <c r="Q10" s="416"/>
      <c r="R10" s="416"/>
      <c r="S10" s="416"/>
      <c r="T10" s="416"/>
      <c r="U10" s="416"/>
    </row>
    <row r="11" s="413" customFormat="true" ht="17.35" hidden="false" customHeight="false" outlineLevel="0" collapsed="false">
      <c r="A11" s="432" t="n">
        <v>6</v>
      </c>
      <c r="B11" s="433" t="s">
        <v>358</v>
      </c>
      <c r="C11" s="433"/>
      <c r="D11" s="433"/>
      <c r="E11" s="433"/>
      <c r="F11" s="433"/>
      <c r="G11" s="433"/>
      <c r="H11" s="433"/>
      <c r="I11" s="433"/>
      <c r="J11" s="433"/>
      <c r="K11" s="433"/>
      <c r="L11" s="433"/>
      <c r="M11" s="434"/>
      <c r="N11" s="416"/>
      <c r="O11" s="416"/>
      <c r="P11" s="416"/>
      <c r="Q11" s="416"/>
      <c r="R11" s="416"/>
      <c r="S11" s="416"/>
      <c r="T11" s="416"/>
      <c r="U11" s="416"/>
    </row>
    <row r="12" s="413" customFormat="true" ht="17.35" hidden="false" customHeight="false" outlineLevel="0" collapsed="false">
      <c r="A12" s="432" t="n">
        <v>7</v>
      </c>
      <c r="B12" s="433" t="s">
        <v>359</v>
      </c>
      <c r="C12" s="433"/>
      <c r="D12" s="433"/>
      <c r="E12" s="433"/>
      <c r="F12" s="433"/>
      <c r="G12" s="433"/>
      <c r="H12" s="433"/>
      <c r="I12" s="433"/>
      <c r="J12" s="433"/>
      <c r="K12" s="433"/>
      <c r="L12" s="433"/>
      <c r="M12" s="434"/>
      <c r="N12" s="416"/>
      <c r="O12" s="416"/>
      <c r="P12" s="416"/>
      <c r="Q12" s="416"/>
      <c r="R12" s="416"/>
      <c r="S12" s="416"/>
      <c r="T12" s="416"/>
      <c r="U12" s="416"/>
    </row>
    <row r="13" s="413" customFormat="true" ht="17.35" hidden="false" customHeight="false" outlineLevel="0" collapsed="false">
      <c r="A13" s="432" t="n">
        <v>8</v>
      </c>
      <c r="B13" s="433" t="s">
        <v>360</v>
      </c>
      <c r="C13" s="433"/>
      <c r="D13" s="433"/>
      <c r="E13" s="433"/>
      <c r="F13" s="433"/>
      <c r="G13" s="433"/>
      <c r="H13" s="433"/>
      <c r="I13" s="433"/>
      <c r="J13" s="433"/>
      <c r="K13" s="433"/>
      <c r="L13" s="433"/>
      <c r="M13" s="434"/>
      <c r="N13" s="416"/>
      <c r="O13" s="416"/>
      <c r="P13" s="416"/>
      <c r="Q13" s="416"/>
      <c r="R13" s="416"/>
      <c r="S13" s="416"/>
      <c r="T13" s="416"/>
      <c r="U13" s="416"/>
    </row>
    <row r="14" s="413" customFormat="true" ht="17.35" hidden="false" customHeight="false" outlineLevel="0" collapsed="false">
      <c r="A14" s="432" t="n">
        <v>9</v>
      </c>
      <c r="B14" s="433" t="s">
        <v>361</v>
      </c>
      <c r="C14" s="433"/>
      <c r="D14" s="433"/>
      <c r="E14" s="433"/>
      <c r="F14" s="433"/>
      <c r="G14" s="433"/>
      <c r="H14" s="433"/>
      <c r="I14" s="433"/>
      <c r="J14" s="433"/>
      <c r="K14" s="433"/>
      <c r="L14" s="433"/>
      <c r="M14" s="434"/>
      <c r="N14" s="416"/>
      <c r="O14" s="416"/>
      <c r="P14" s="416"/>
      <c r="Q14" s="416"/>
      <c r="R14" s="416"/>
      <c r="S14" s="416"/>
      <c r="T14" s="416"/>
      <c r="U14" s="416"/>
    </row>
    <row r="15" s="413" customFormat="true" ht="14.25" hidden="false" customHeight="true" outlineLevel="0" collapsed="false">
      <c r="A15" s="435" t="s">
        <v>362</v>
      </c>
      <c r="B15" s="435"/>
      <c r="C15" s="435"/>
      <c r="D15" s="435"/>
      <c r="E15" s="435"/>
      <c r="F15" s="435"/>
      <c r="G15" s="435"/>
      <c r="H15" s="435"/>
      <c r="I15" s="435"/>
      <c r="J15" s="435"/>
      <c r="K15" s="435"/>
      <c r="L15" s="435"/>
      <c r="M15" s="434"/>
      <c r="N15" s="416"/>
      <c r="O15" s="416"/>
      <c r="P15" s="416"/>
      <c r="Q15" s="416"/>
      <c r="R15" s="416"/>
      <c r="S15" s="416"/>
      <c r="T15" s="416"/>
      <c r="U15" s="416"/>
    </row>
    <row r="16" s="413" customFormat="true" ht="10.5" hidden="false" customHeight="true" outlineLevel="0" collapsed="false">
      <c r="A16" s="435"/>
      <c r="B16" s="435"/>
      <c r="C16" s="435"/>
      <c r="D16" s="435"/>
      <c r="E16" s="435"/>
      <c r="F16" s="435"/>
      <c r="G16" s="435"/>
      <c r="H16" s="435"/>
      <c r="I16" s="435"/>
      <c r="J16" s="435"/>
      <c r="K16" s="435"/>
      <c r="L16" s="435"/>
      <c r="M16" s="434"/>
      <c r="N16" s="416"/>
      <c r="O16" s="416"/>
      <c r="P16" s="416"/>
      <c r="Q16" s="416"/>
      <c r="R16" s="416"/>
      <c r="S16" s="416"/>
      <c r="T16" s="416"/>
      <c r="U16" s="416"/>
    </row>
    <row r="17" s="413" customFormat="true" ht="82.5" hidden="false" customHeight="true" outlineLevel="0" collapsed="false">
      <c r="A17" s="436" t="s">
        <v>363</v>
      </c>
      <c r="B17" s="436"/>
      <c r="C17" s="436"/>
      <c r="D17" s="436"/>
      <c r="E17" s="436"/>
      <c r="F17" s="436"/>
      <c r="G17" s="436"/>
      <c r="H17" s="436"/>
      <c r="I17" s="436"/>
      <c r="J17" s="436"/>
      <c r="K17" s="436"/>
      <c r="L17" s="436"/>
      <c r="M17" s="437"/>
      <c r="N17" s="416"/>
      <c r="O17" s="416"/>
      <c r="P17" s="416"/>
      <c r="Q17" s="416"/>
      <c r="R17" s="416"/>
      <c r="S17" s="416"/>
      <c r="T17" s="416"/>
      <c r="U17" s="416"/>
    </row>
    <row r="18" s="413" customFormat="true" ht="21" hidden="false" customHeight="true" outlineLevel="0" collapsed="false">
      <c r="A18" s="438" t="s">
        <v>364</v>
      </c>
      <c r="B18" s="438"/>
      <c r="C18" s="438"/>
      <c r="D18" s="438"/>
      <c r="E18" s="438"/>
      <c r="F18" s="438"/>
      <c r="G18" s="438"/>
      <c r="H18" s="438"/>
      <c r="I18" s="438"/>
      <c r="J18" s="438"/>
      <c r="K18" s="438"/>
      <c r="L18" s="438"/>
      <c r="M18" s="437"/>
      <c r="N18" s="416"/>
      <c r="O18" s="416"/>
      <c r="P18" s="416"/>
      <c r="Q18" s="416"/>
      <c r="R18" s="416"/>
      <c r="S18" s="416"/>
      <c r="T18" s="416"/>
      <c r="U18" s="416"/>
    </row>
    <row r="19" s="413" customFormat="true" ht="27" hidden="false" customHeight="true" outlineLevel="0" collapsed="false">
      <c r="A19" s="439" t="s">
        <v>365</v>
      </c>
      <c r="B19" s="439"/>
      <c r="C19" s="439"/>
      <c r="D19" s="439"/>
      <c r="E19" s="439"/>
      <c r="F19" s="439"/>
      <c r="G19" s="439"/>
      <c r="H19" s="439"/>
      <c r="I19" s="439"/>
      <c r="J19" s="439"/>
      <c r="K19" s="439"/>
      <c r="L19" s="439"/>
      <c r="M19" s="437"/>
      <c r="N19" s="416"/>
      <c r="O19" s="416"/>
      <c r="P19" s="416"/>
      <c r="Q19" s="416"/>
      <c r="R19" s="416"/>
      <c r="S19" s="416"/>
      <c r="T19" s="416"/>
      <c r="U19" s="416"/>
    </row>
    <row r="20" s="413" customFormat="true" ht="19.5" hidden="false" customHeight="true" outlineLevel="0" collapsed="false">
      <c r="A20" s="439" t="s">
        <v>366</v>
      </c>
      <c r="B20" s="439"/>
      <c r="C20" s="439"/>
      <c r="D20" s="439"/>
      <c r="E20" s="439"/>
      <c r="F20" s="439"/>
      <c r="G20" s="439"/>
      <c r="H20" s="439"/>
      <c r="I20" s="439"/>
      <c r="J20" s="439"/>
      <c r="K20" s="439"/>
      <c r="L20" s="439"/>
      <c r="M20" s="437"/>
      <c r="N20" s="416"/>
      <c r="O20" s="416"/>
      <c r="P20" s="416"/>
      <c r="Q20" s="416"/>
      <c r="R20" s="416"/>
      <c r="S20" s="416"/>
      <c r="T20" s="416"/>
      <c r="U20" s="416"/>
    </row>
    <row r="21" s="413" customFormat="true" ht="30.75" hidden="false" customHeight="true" outlineLevel="0" collapsed="false">
      <c r="A21" s="439" t="s">
        <v>367</v>
      </c>
      <c r="B21" s="439"/>
      <c r="C21" s="439"/>
      <c r="D21" s="439"/>
      <c r="E21" s="439"/>
      <c r="F21" s="439"/>
      <c r="G21" s="439"/>
      <c r="H21" s="439"/>
      <c r="I21" s="439"/>
      <c r="J21" s="439"/>
      <c r="K21" s="439"/>
      <c r="L21" s="439"/>
      <c r="M21" s="437"/>
      <c r="N21" s="416"/>
      <c r="O21" s="416"/>
      <c r="P21" s="416"/>
      <c r="Q21" s="416"/>
      <c r="R21" s="416"/>
      <c r="S21" s="416"/>
      <c r="T21" s="416"/>
      <c r="U21" s="416"/>
    </row>
    <row r="22" s="413" customFormat="true" ht="17.25" hidden="false" customHeight="true" outlineLevel="0" collapsed="false">
      <c r="A22" s="440" t="s">
        <v>368</v>
      </c>
      <c r="B22" s="440"/>
      <c r="C22" s="440"/>
      <c r="D22" s="440"/>
      <c r="E22" s="440"/>
      <c r="F22" s="440"/>
      <c r="G22" s="440"/>
      <c r="H22" s="440"/>
      <c r="I22" s="440"/>
      <c r="J22" s="440"/>
      <c r="K22" s="440"/>
      <c r="L22" s="440"/>
      <c r="M22" s="437"/>
      <c r="N22" s="416"/>
      <c r="O22" s="416"/>
      <c r="P22" s="416"/>
      <c r="Q22" s="416"/>
      <c r="R22" s="416"/>
      <c r="S22" s="416"/>
      <c r="T22" s="416"/>
      <c r="U22" s="416"/>
    </row>
    <row r="23" s="413" customFormat="true" ht="31.5" hidden="false" customHeight="true" outlineLevel="0" collapsed="false">
      <c r="A23" s="441" t="s">
        <v>369</v>
      </c>
      <c r="B23" s="441"/>
      <c r="C23" s="441"/>
      <c r="D23" s="441"/>
      <c r="E23" s="441"/>
      <c r="F23" s="441"/>
      <c r="G23" s="441"/>
      <c r="H23" s="441"/>
      <c r="I23" s="441"/>
      <c r="J23" s="441"/>
      <c r="K23" s="441"/>
      <c r="L23" s="441"/>
      <c r="M23" s="437"/>
      <c r="N23" s="416"/>
      <c r="O23" s="416"/>
      <c r="P23" s="416"/>
      <c r="Q23" s="416"/>
      <c r="R23" s="416"/>
      <c r="S23" s="416"/>
      <c r="T23" s="416"/>
      <c r="U23" s="416"/>
    </row>
    <row r="24" s="413" customFormat="true" ht="18" hidden="false" customHeight="true" outlineLevel="0" collapsed="false">
      <c r="A24" s="442"/>
      <c r="B24" s="442"/>
      <c r="C24" s="442"/>
      <c r="D24" s="442"/>
      <c r="E24" s="442"/>
      <c r="F24" s="442"/>
      <c r="G24" s="442"/>
      <c r="H24" s="442"/>
      <c r="I24" s="442"/>
      <c r="J24" s="442"/>
      <c r="K24" s="442"/>
      <c r="L24" s="442"/>
      <c r="M24" s="437"/>
      <c r="N24" s="416"/>
      <c r="O24" s="416"/>
      <c r="P24" s="416"/>
      <c r="Q24" s="416"/>
      <c r="R24" s="416"/>
      <c r="S24" s="416"/>
      <c r="T24" s="416"/>
      <c r="U24" s="416"/>
    </row>
    <row r="25" s="413" customFormat="true" ht="18" hidden="false" customHeight="true" outlineLevel="0" collapsed="false">
      <c r="A25" s="443" t="s">
        <v>370</v>
      </c>
      <c r="B25" s="443"/>
      <c r="C25" s="443"/>
      <c r="D25" s="443"/>
      <c r="E25" s="443"/>
      <c r="F25" s="443"/>
      <c r="G25" s="443"/>
      <c r="H25" s="443"/>
      <c r="I25" s="443"/>
      <c r="J25" s="443"/>
      <c r="K25" s="443"/>
      <c r="L25" s="443"/>
      <c r="M25" s="437"/>
      <c r="N25" s="416"/>
      <c r="O25" s="416"/>
      <c r="P25" s="416"/>
      <c r="Q25" s="416"/>
      <c r="R25" s="416"/>
      <c r="S25" s="416"/>
      <c r="T25" s="416"/>
      <c r="U25" s="416"/>
    </row>
    <row r="26" s="413" customFormat="true" ht="18" hidden="false" customHeight="true" outlineLevel="0" collapsed="false">
      <c r="A26" s="444" t="s">
        <v>371</v>
      </c>
      <c r="B26" s="444"/>
      <c r="C26" s="444"/>
      <c r="D26" s="444"/>
      <c r="E26" s="444"/>
      <c r="F26" s="444"/>
      <c r="G26" s="444"/>
      <c r="H26" s="444"/>
      <c r="I26" s="444"/>
      <c r="J26" s="444"/>
      <c r="K26" s="444"/>
      <c r="L26" s="444"/>
      <c r="M26" s="437"/>
      <c r="N26" s="416"/>
      <c r="O26" s="416"/>
      <c r="P26" s="416"/>
      <c r="Q26" s="416"/>
      <c r="R26" s="416"/>
      <c r="S26" s="416"/>
      <c r="T26" s="416"/>
      <c r="U26" s="416"/>
    </row>
    <row r="27" s="413" customFormat="true" ht="15" hidden="false" customHeight="true" outlineLevel="0" collapsed="false">
      <c r="A27" s="444" t="s">
        <v>372</v>
      </c>
      <c r="B27" s="444"/>
      <c r="C27" s="444"/>
      <c r="D27" s="444"/>
      <c r="E27" s="444"/>
      <c r="F27" s="444"/>
      <c r="G27" s="444"/>
      <c r="H27" s="444"/>
      <c r="I27" s="444"/>
      <c r="J27" s="444"/>
      <c r="K27" s="444"/>
      <c r="L27" s="444"/>
      <c r="M27" s="437"/>
      <c r="N27" s="416"/>
      <c r="O27" s="416"/>
      <c r="P27" s="416"/>
      <c r="Q27" s="416"/>
      <c r="R27" s="416"/>
      <c r="S27" s="416"/>
      <c r="T27" s="416"/>
      <c r="U27" s="416"/>
    </row>
    <row r="28" s="450" customFormat="true" ht="15" hidden="false" customHeight="false" outlineLevel="0" collapsed="false">
      <c r="A28" s="445"/>
      <c r="B28" s="446"/>
      <c r="C28" s="447"/>
      <c r="D28" s="448"/>
      <c r="E28" s="448"/>
      <c r="F28" s="448"/>
      <c r="G28" s="448"/>
      <c r="H28" s="448"/>
      <c r="I28" s="448"/>
      <c r="J28" s="448"/>
      <c r="K28" s="448"/>
      <c r="L28" s="448"/>
      <c r="M28" s="449"/>
      <c r="N28" s="449"/>
      <c r="O28" s="449"/>
      <c r="P28" s="449"/>
      <c r="Q28" s="449"/>
      <c r="R28" s="449"/>
      <c r="S28" s="449"/>
      <c r="T28" s="449"/>
      <c r="U28" s="449"/>
    </row>
    <row r="29" s="457" customFormat="true" ht="15" hidden="false" customHeight="false" outlineLevel="0" collapsed="false">
      <c r="A29" s="451" t="s">
        <v>373</v>
      </c>
      <c r="B29" s="452"/>
      <c r="C29" s="453" t="s">
        <v>374</v>
      </c>
      <c r="D29" s="454" t="s">
        <v>375</v>
      </c>
      <c r="E29" s="453"/>
      <c r="F29" s="455" t="s">
        <v>376</v>
      </c>
      <c r="G29" s="455"/>
      <c r="H29" s="455"/>
      <c r="I29" s="455"/>
      <c r="J29" s="456"/>
      <c r="K29" s="456"/>
      <c r="L29" s="456"/>
    </row>
    <row r="30" s="450" customFormat="true" ht="11.25" hidden="false" customHeight="true" outlineLevel="0" collapsed="false">
      <c r="A30" s="445"/>
      <c r="B30" s="446"/>
      <c r="C30" s="447"/>
      <c r="D30" s="458"/>
      <c r="E30" s="447"/>
      <c r="F30" s="459"/>
      <c r="G30" s="459"/>
      <c r="H30" s="459"/>
      <c r="I30" s="459"/>
      <c r="J30" s="448"/>
      <c r="K30" s="448"/>
      <c r="L30" s="448"/>
      <c r="M30" s="449"/>
    </row>
    <row r="31" s="450" customFormat="true" ht="15" hidden="false" customHeight="false" outlineLevel="0" collapsed="false">
      <c r="A31" s="445" t="s">
        <v>377</v>
      </c>
      <c r="B31" s="446"/>
      <c r="C31" s="447" t="s">
        <v>378</v>
      </c>
      <c r="D31" s="460" t="n">
        <v>5</v>
      </c>
      <c r="E31" s="447"/>
      <c r="F31" s="448"/>
      <c r="G31" s="461" t="s">
        <v>379</v>
      </c>
      <c r="H31" s="462" t="n">
        <f aca="false">G31-D31+1</f>
        <v>62</v>
      </c>
      <c r="I31" s="463" t="s">
        <v>380</v>
      </c>
      <c r="J31" s="463"/>
      <c r="K31" s="463"/>
      <c r="L31" s="448"/>
      <c r="M31" s="449"/>
    </row>
    <row r="32" s="450" customFormat="true" ht="15" hidden="false" customHeight="false" outlineLevel="0" collapsed="false">
      <c r="A32" s="445"/>
      <c r="B32" s="446"/>
      <c r="C32" s="447"/>
      <c r="D32" s="464"/>
      <c r="E32" s="447"/>
      <c r="F32" s="448"/>
      <c r="G32" s="465"/>
      <c r="H32" s="466"/>
      <c r="I32" s="458"/>
      <c r="J32" s="467"/>
      <c r="K32" s="468"/>
      <c r="L32" s="468"/>
      <c r="M32" s="449"/>
    </row>
    <row r="33" s="450" customFormat="true" ht="15" hidden="false" customHeight="false" outlineLevel="0" collapsed="false">
      <c r="A33" s="445" t="s">
        <v>381</v>
      </c>
      <c r="B33" s="446"/>
      <c r="C33" s="447" t="s">
        <v>374</v>
      </c>
      <c r="D33" s="469" t="s">
        <v>382</v>
      </c>
      <c r="E33" s="447" t="s">
        <v>383</v>
      </c>
      <c r="F33" s="470" t="s">
        <v>384</v>
      </c>
      <c r="G33" s="470"/>
      <c r="H33" s="470"/>
      <c r="I33" s="470"/>
      <c r="J33" s="471"/>
      <c r="K33" s="468"/>
      <c r="L33" s="468"/>
      <c r="M33" s="449"/>
    </row>
    <row r="34" s="450" customFormat="true" ht="15" hidden="false" customHeight="false" outlineLevel="0" collapsed="false">
      <c r="A34" s="445"/>
      <c r="B34" s="446"/>
      <c r="C34" s="447"/>
      <c r="D34" s="458"/>
      <c r="E34" s="447"/>
      <c r="F34" s="458"/>
      <c r="G34" s="458"/>
      <c r="H34" s="458"/>
      <c r="I34" s="458"/>
      <c r="J34" s="472"/>
      <c r="K34" s="468"/>
      <c r="L34" s="468"/>
      <c r="M34" s="449"/>
    </row>
    <row r="35" s="450" customFormat="true" ht="15" hidden="false" customHeight="false" outlineLevel="0" collapsed="false">
      <c r="A35" s="445" t="s">
        <v>385</v>
      </c>
      <c r="B35" s="446"/>
      <c r="C35" s="447" t="s">
        <v>378</v>
      </c>
      <c r="D35" s="460" t="n">
        <v>67</v>
      </c>
      <c r="E35" s="447"/>
      <c r="F35" s="448"/>
      <c r="G35" s="461" t="s">
        <v>386</v>
      </c>
      <c r="H35" s="462" t="n">
        <f aca="false">G35-D35+1</f>
        <v>79</v>
      </c>
      <c r="I35" s="463" t="s">
        <v>380</v>
      </c>
      <c r="J35" s="463"/>
      <c r="K35" s="463"/>
      <c r="L35" s="448"/>
      <c r="M35" s="449"/>
    </row>
    <row r="36" s="450" customFormat="true" ht="15" hidden="false" customHeight="false" outlineLevel="0" collapsed="false">
      <c r="A36" s="473"/>
      <c r="B36" s="448"/>
      <c r="C36" s="474"/>
      <c r="D36" s="474"/>
      <c r="E36" s="474"/>
      <c r="F36" s="474"/>
      <c r="G36" s="474"/>
      <c r="H36" s="474"/>
      <c r="I36" s="474"/>
      <c r="J36" s="474"/>
      <c r="K36" s="474"/>
      <c r="L36" s="448"/>
      <c r="M36" s="475"/>
    </row>
    <row r="37" s="450" customFormat="true" ht="18" hidden="false" customHeight="true" outlineLevel="0" collapsed="false">
      <c r="A37" s="445" t="s">
        <v>387</v>
      </c>
      <c r="B37" s="446"/>
      <c r="C37" s="447" t="s">
        <v>374</v>
      </c>
      <c r="D37" s="469" t="s">
        <v>388</v>
      </c>
      <c r="E37" s="447" t="s">
        <v>383</v>
      </c>
      <c r="F37" s="476" t="s">
        <v>389</v>
      </c>
      <c r="G37" s="476"/>
      <c r="H37" s="476"/>
      <c r="I37" s="476"/>
      <c r="J37" s="467"/>
      <c r="K37" s="468" t="s">
        <v>390</v>
      </c>
      <c r="L37" s="468"/>
      <c r="M37" s="449"/>
    </row>
    <row r="38" s="450" customFormat="true" ht="20.25" hidden="false" customHeight="true" outlineLevel="0" collapsed="false">
      <c r="A38" s="473"/>
      <c r="B38" s="448"/>
      <c r="C38" s="474"/>
      <c r="D38" s="474"/>
      <c r="E38" s="474"/>
      <c r="F38" s="477"/>
      <c r="G38" s="477"/>
      <c r="H38" s="477"/>
      <c r="I38" s="477"/>
      <c r="J38" s="471" t="s">
        <v>391</v>
      </c>
      <c r="K38" s="468"/>
      <c r="L38" s="468"/>
      <c r="M38" s="475"/>
    </row>
    <row r="39" s="450" customFormat="true" ht="14.25" hidden="false" customHeight="true" outlineLevel="0" collapsed="false">
      <c r="A39" s="473"/>
      <c r="B39" s="448"/>
      <c r="C39" s="474"/>
      <c r="D39" s="474"/>
      <c r="E39" s="474"/>
      <c r="F39" s="478"/>
      <c r="G39" s="474"/>
      <c r="H39" s="474"/>
      <c r="I39" s="474"/>
      <c r="J39" s="472"/>
      <c r="K39" s="468"/>
      <c r="L39" s="468"/>
      <c r="M39" s="475"/>
    </row>
    <row r="40" s="450" customFormat="true" ht="1.5" hidden="false" customHeight="true" outlineLevel="0" collapsed="false">
      <c r="A40" s="473"/>
      <c r="B40" s="448"/>
      <c r="C40" s="479"/>
      <c r="D40" s="480"/>
      <c r="E40" s="480"/>
      <c r="F40" s="478"/>
      <c r="G40" s="480"/>
      <c r="H40" s="480"/>
      <c r="I40" s="480"/>
      <c r="J40" s="480"/>
      <c r="K40" s="480"/>
      <c r="L40" s="448"/>
      <c r="M40" s="475"/>
    </row>
    <row r="41" s="450" customFormat="true" ht="15" hidden="false" customHeight="false" outlineLevel="0" collapsed="false">
      <c r="A41" s="473"/>
      <c r="B41" s="448"/>
      <c r="C41" s="481" t="s">
        <v>392</v>
      </c>
      <c r="D41" s="481"/>
      <c r="E41" s="481"/>
      <c r="F41" s="481"/>
      <c r="G41" s="481"/>
      <c r="H41" s="481"/>
      <c r="I41" s="481"/>
      <c r="J41" s="481"/>
      <c r="K41" s="481"/>
      <c r="L41" s="448"/>
      <c r="M41" s="475"/>
    </row>
    <row r="42" s="450" customFormat="true" ht="9.75" hidden="false" customHeight="true" outlineLevel="0" collapsed="false">
      <c r="A42" s="473"/>
      <c r="B42" s="448"/>
      <c r="C42" s="481"/>
      <c r="D42" s="481"/>
      <c r="E42" s="481"/>
      <c r="F42" s="481"/>
      <c r="G42" s="481"/>
      <c r="H42" s="481"/>
      <c r="I42" s="481"/>
      <c r="J42" s="481"/>
      <c r="K42" s="481"/>
      <c r="L42" s="448"/>
      <c r="M42" s="475"/>
    </row>
    <row r="43" s="450" customFormat="true" ht="15" hidden="false" customHeight="false" outlineLevel="0" collapsed="false">
      <c r="A43" s="445" t="s">
        <v>393</v>
      </c>
      <c r="B43" s="446"/>
      <c r="C43" s="447" t="s">
        <v>378</v>
      </c>
      <c r="D43" s="460" t="n">
        <v>146</v>
      </c>
      <c r="E43" s="447"/>
      <c r="F43" s="448"/>
      <c r="G43" s="461" t="s">
        <v>394</v>
      </c>
      <c r="H43" s="462" t="n">
        <f aca="false">G43-D43+1</f>
        <v>2</v>
      </c>
      <c r="I43" s="463" t="s">
        <v>380</v>
      </c>
      <c r="J43" s="463"/>
      <c r="K43" s="463"/>
      <c r="L43" s="448"/>
      <c r="M43" s="449"/>
    </row>
    <row r="44" s="486" customFormat="true" ht="15" hidden="false" customHeight="false" outlineLevel="0" collapsed="false">
      <c r="A44" s="482"/>
      <c r="B44" s="483"/>
      <c r="C44" s="484" t="s">
        <v>395</v>
      </c>
      <c r="D44" s="484"/>
      <c r="E44" s="484"/>
      <c r="F44" s="484"/>
      <c r="G44" s="484"/>
      <c r="H44" s="484"/>
      <c r="I44" s="484"/>
      <c r="J44" s="484"/>
      <c r="K44" s="484"/>
      <c r="L44" s="485"/>
    </row>
    <row r="45" s="450" customFormat="true" ht="83.25" hidden="false" customHeight="true" outlineLevel="0" collapsed="false">
      <c r="A45" s="445" t="s">
        <v>396</v>
      </c>
      <c r="B45" s="446"/>
      <c r="C45" s="447" t="s">
        <v>374</v>
      </c>
      <c r="D45" s="487" t="s">
        <v>397</v>
      </c>
      <c r="E45" s="447" t="s">
        <v>383</v>
      </c>
      <c r="F45" s="488" t="s">
        <v>398</v>
      </c>
      <c r="G45" s="488"/>
      <c r="H45" s="488"/>
      <c r="I45" s="488"/>
      <c r="J45" s="488"/>
      <c r="K45" s="488"/>
      <c r="L45" s="488"/>
      <c r="M45" s="475"/>
    </row>
    <row r="46" s="494" customFormat="true" ht="17.25" hidden="false" customHeight="true" outlineLevel="0" collapsed="false">
      <c r="A46" s="489"/>
      <c r="B46" s="490"/>
      <c r="C46" s="491"/>
      <c r="D46" s="491"/>
      <c r="E46" s="491"/>
      <c r="F46" s="492" t="s">
        <v>399</v>
      </c>
      <c r="G46" s="491"/>
      <c r="H46" s="491"/>
      <c r="I46" s="491"/>
      <c r="J46" s="491"/>
      <c r="K46" s="491"/>
      <c r="L46" s="493"/>
    </row>
    <row r="47" s="499" customFormat="true" ht="15" hidden="false" customHeight="false" outlineLevel="0" collapsed="false">
      <c r="A47" s="495" t="s">
        <v>400</v>
      </c>
      <c r="B47" s="496"/>
      <c r="C47" s="497" t="s">
        <v>378</v>
      </c>
      <c r="D47" s="498" t="n">
        <v>148</v>
      </c>
      <c r="E47" s="497" t="s">
        <v>401</v>
      </c>
      <c r="F47" s="478"/>
      <c r="G47" s="498" t="n">
        <v>192</v>
      </c>
      <c r="H47" s="462" t="n">
        <f aca="false">G47-D47+1</f>
        <v>45</v>
      </c>
      <c r="I47" s="463" t="s">
        <v>380</v>
      </c>
      <c r="J47" s="463"/>
      <c r="K47" s="463"/>
      <c r="L47" s="497"/>
    </row>
    <row r="48" s="494" customFormat="true" ht="17.25" hidden="false" customHeight="true" outlineLevel="0" collapsed="false">
      <c r="A48" s="489"/>
      <c r="B48" s="490"/>
      <c r="C48" s="491"/>
      <c r="D48" s="491"/>
      <c r="E48" s="491"/>
      <c r="F48" s="491"/>
      <c r="G48" s="491"/>
      <c r="H48" s="491"/>
      <c r="I48" s="491"/>
      <c r="J48" s="491"/>
      <c r="K48" s="491"/>
      <c r="L48" s="493"/>
    </row>
    <row r="49" s="450" customFormat="true" ht="46.5" hidden="false" customHeight="true" outlineLevel="0" collapsed="false">
      <c r="A49" s="445" t="s">
        <v>402</v>
      </c>
      <c r="B49" s="446"/>
      <c r="C49" s="447" t="s">
        <v>374</v>
      </c>
      <c r="D49" s="487" t="s">
        <v>403</v>
      </c>
      <c r="E49" s="447" t="s">
        <v>383</v>
      </c>
      <c r="F49" s="500" t="s">
        <v>404</v>
      </c>
      <c r="G49" s="500"/>
      <c r="H49" s="500"/>
      <c r="I49" s="500"/>
      <c r="J49" s="500"/>
      <c r="K49" s="500"/>
      <c r="L49" s="500"/>
      <c r="M49" s="475"/>
    </row>
    <row r="50" s="450" customFormat="true" ht="15" hidden="false" customHeight="false" outlineLevel="0" collapsed="false">
      <c r="A50" s="445" t="s">
        <v>405</v>
      </c>
      <c r="B50" s="446"/>
      <c r="C50" s="447" t="s">
        <v>378</v>
      </c>
      <c r="D50" s="460" t="n">
        <v>193</v>
      </c>
      <c r="E50" s="447"/>
      <c r="F50" s="448"/>
      <c r="G50" s="461" t="s">
        <v>406</v>
      </c>
      <c r="H50" s="462" t="n">
        <f aca="false">G50-D50+1</f>
        <v>15</v>
      </c>
      <c r="I50" s="463" t="s">
        <v>380</v>
      </c>
      <c r="J50" s="463"/>
      <c r="K50" s="463"/>
      <c r="L50" s="448"/>
      <c r="M50" s="449"/>
    </row>
    <row r="51" s="450" customFormat="true" ht="15" hidden="false" customHeight="false" outlineLevel="0" collapsed="false">
      <c r="A51" s="473"/>
      <c r="B51" s="448"/>
      <c r="C51" s="474"/>
      <c r="D51" s="474"/>
      <c r="E51" s="474"/>
      <c r="F51" s="474"/>
      <c r="G51" s="474"/>
      <c r="H51" s="474"/>
      <c r="I51" s="474"/>
      <c r="J51" s="474"/>
      <c r="K51" s="474"/>
      <c r="L51" s="448"/>
      <c r="M51" s="475"/>
    </row>
    <row r="52" s="450" customFormat="true" ht="15" hidden="false" customHeight="true" outlineLevel="0" collapsed="false">
      <c r="A52" s="445" t="s">
        <v>407</v>
      </c>
      <c r="B52" s="446"/>
      <c r="C52" s="447" t="s">
        <v>374</v>
      </c>
      <c r="D52" s="469" t="s">
        <v>408</v>
      </c>
      <c r="E52" s="447" t="s">
        <v>383</v>
      </c>
      <c r="F52" s="500" t="s">
        <v>404</v>
      </c>
      <c r="G52" s="500"/>
      <c r="H52" s="500"/>
      <c r="I52" s="500"/>
      <c r="J52" s="500"/>
      <c r="K52" s="500"/>
      <c r="L52" s="500"/>
      <c r="M52" s="449"/>
    </row>
    <row r="53" s="450" customFormat="true" ht="20.25" hidden="false" customHeight="true" outlineLevel="0" collapsed="false">
      <c r="A53" s="473"/>
      <c r="B53" s="448"/>
      <c r="C53" s="474"/>
      <c r="D53" s="474"/>
      <c r="E53" s="474"/>
      <c r="F53" s="500"/>
      <c r="G53" s="500"/>
      <c r="H53" s="500"/>
      <c r="I53" s="500"/>
      <c r="J53" s="500"/>
      <c r="K53" s="500"/>
      <c r="L53" s="500"/>
      <c r="M53" s="475"/>
    </row>
    <row r="54" s="450" customFormat="true" ht="14.25" hidden="false" customHeight="true" outlineLevel="0" collapsed="false">
      <c r="A54" s="473"/>
      <c r="B54" s="448"/>
      <c r="C54" s="474"/>
      <c r="D54" s="474"/>
      <c r="E54" s="474"/>
      <c r="F54" s="478"/>
      <c r="G54" s="474"/>
      <c r="H54" s="474"/>
      <c r="I54" s="474"/>
      <c r="J54" s="474"/>
      <c r="K54" s="474"/>
      <c r="L54" s="448"/>
      <c r="M54" s="475"/>
    </row>
    <row r="55" s="450" customFormat="true" ht="1.5" hidden="false" customHeight="true" outlineLevel="0" collapsed="false">
      <c r="A55" s="473"/>
      <c r="B55" s="448"/>
      <c r="C55" s="479"/>
      <c r="D55" s="480"/>
      <c r="E55" s="480"/>
      <c r="F55" s="478"/>
      <c r="G55" s="480"/>
      <c r="H55" s="480"/>
      <c r="I55" s="480"/>
      <c r="J55" s="480"/>
      <c r="K55" s="480"/>
      <c r="L55" s="448"/>
      <c r="M55" s="475"/>
    </row>
    <row r="56" s="450" customFormat="true" ht="15" hidden="false" customHeight="false" outlineLevel="0" collapsed="false">
      <c r="A56" s="473"/>
      <c r="B56" s="448"/>
      <c r="C56" s="481" t="s">
        <v>392</v>
      </c>
      <c r="D56" s="481"/>
      <c r="E56" s="481"/>
      <c r="F56" s="481"/>
      <c r="G56" s="481"/>
      <c r="H56" s="481"/>
      <c r="I56" s="481"/>
      <c r="J56" s="481"/>
      <c r="K56" s="481"/>
      <c r="L56" s="448"/>
      <c r="M56" s="475"/>
    </row>
    <row r="57" s="450" customFormat="true" ht="9.75" hidden="false" customHeight="true" outlineLevel="0" collapsed="false">
      <c r="A57" s="473"/>
      <c r="B57" s="448"/>
      <c r="C57" s="481"/>
      <c r="D57" s="481"/>
      <c r="E57" s="481"/>
      <c r="F57" s="481"/>
      <c r="G57" s="481"/>
      <c r="H57" s="481"/>
      <c r="I57" s="481"/>
      <c r="J57" s="481"/>
      <c r="K57" s="481"/>
      <c r="L57" s="448"/>
      <c r="M57" s="475"/>
    </row>
    <row r="58" s="450" customFormat="true" ht="15" hidden="false" customHeight="false" outlineLevel="0" collapsed="false">
      <c r="A58" s="445" t="s">
        <v>409</v>
      </c>
      <c r="B58" s="446"/>
      <c r="C58" s="447" t="s">
        <v>378</v>
      </c>
      <c r="D58" s="460" t="n">
        <v>208</v>
      </c>
      <c r="E58" s="447"/>
      <c r="F58" s="448"/>
      <c r="G58" s="461" t="s">
        <v>410</v>
      </c>
      <c r="H58" s="462" t="n">
        <f aca="false">G58-D58+1</f>
        <v>28</v>
      </c>
      <c r="I58" s="463" t="s">
        <v>380</v>
      </c>
      <c r="J58" s="463"/>
      <c r="K58" s="463"/>
      <c r="L58" s="448"/>
      <c r="M58" s="449"/>
    </row>
    <row r="59" s="486" customFormat="true" ht="15" hidden="false" customHeight="false" outlineLevel="0" collapsed="false">
      <c r="A59" s="482"/>
      <c r="B59" s="483"/>
      <c r="C59" s="484" t="s">
        <v>395</v>
      </c>
      <c r="D59" s="484"/>
      <c r="E59" s="484"/>
      <c r="F59" s="484"/>
      <c r="G59" s="484"/>
      <c r="H59" s="484"/>
      <c r="I59" s="484"/>
      <c r="J59" s="484"/>
      <c r="K59" s="484"/>
      <c r="L59" s="485"/>
    </row>
    <row r="60" s="450" customFormat="true" ht="35.25" hidden="false" customHeight="true" outlineLevel="0" collapsed="false">
      <c r="A60" s="445" t="s">
        <v>411</v>
      </c>
      <c r="B60" s="446"/>
      <c r="C60" s="447" t="s">
        <v>374</v>
      </c>
      <c r="D60" s="487" t="s">
        <v>412</v>
      </c>
      <c r="E60" s="447" t="s">
        <v>383</v>
      </c>
      <c r="F60" s="500" t="s">
        <v>404</v>
      </c>
      <c r="G60" s="500"/>
      <c r="H60" s="500"/>
      <c r="I60" s="500"/>
      <c r="J60" s="500"/>
      <c r="K60" s="500"/>
      <c r="L60" s="500"/>
      <c r="M60" s="475"/>
    </row>
    <row r="61" s="494" customFormat="true" ht="17.25" hidden="false" customHeight="true" outlineLevel="0" collapsed="false">
      <c r="A61" s="489"/>
      <c r="B61" s="490"/>
      <c r="C61" s="491"/>
      <c r="D61" s="491"/>
      <c r="E61" s="491"/>
      <c r="F61" s="491"/>
      <c r="G61" s="491"/>
      <c r="H61" s="491"/>
      <c r="I61" s="491"/>
      <c r="J61" s="491"/>
      <c r="K61" s="491"/>
      <c r="L61" s="493"/>
    </row>
    <row r="62" s="499" customFormat="true" ht="15" hidden="false" customHeight="false" outlineLevel="0" collapsed="false">
      <c r="A62" s="495" t="s">
        <v>413</v>
      </c>
      <c r="B62" s="496"/>
      <c r="C62" s="497" t="s">
        <v>378</v>
      </c>
      <c r="D62" s="498" t="n">
        <v>236</v>
      </c>
      <c r="E62" s="497" t="s">
        <v>401</v>
      </c>
      <c r="F62" s="478"/>
      <c r="G62" s="498" t="n">
        <v>284</v>
      </c>
      <c r="H62" s="462" t="n">
        <f aca="false">G62-D62+1</f>
        <v>49</v>
      </c>
      <c r="I62" s="463" t="s">
        <v>380</v>
      </c>
      <c r="J62" s="463"/>
      <c r="K62" s="463"/>
      <c r="L62" s="497"/>
    </row>
    <row r="63" s="494" customFormat="true" ht="17.25" hidden="false" customHeight="true" outlineLevel="0" collapsed="false">
      <c r="A63" s="489"/>
      <c r="B63" s="490"/>
      <c r="C63" s="491"/>
      <c r="D63" s="491"/>
      <c r="E63" s="491"/>
      <c r="F63" s="491"/>
      <c r="G63" s="491"/>
      <c r="H63" s="491"/>
      <c r="I63" s="491"/>
      <c r="J63" s="491"/>
      <c r="K63" s="491"/>
      <c r="L63" s="493"/>
    </row>
    <row r="64" s="450" customFormat="true" ht="46.5" hidden="false" customHeight="true" outlineLevel="0" collapsed="false">
      <c r="A64" s="445" t="s">
        <v>414</v>
      </c>
      <c r="B64" s="446"/>
      <c r="C64" s="447" t="s">
        <v>374</v>
      </c>
      <c r="D64" s="487" t="s">
        <v>415</v>
      </c>
      <c r="E64" s="447" t="s">
        <v>383</v>
      </c>
      <c r="F64" s="500" t="s">
        <v>416</v>
      </c>
      <c r="G64" s="500"/>
      <c r="H64" s="500"/>
      <c r="I64" s="500"/>
      <c r="J64" s="500"/>
      <c r="K64" s="500"/>
      <c r="L64" s="500"/>
      <c r="M64" s="475"/>
    </row>
    <row r="65" s="494" customFormat="true" ht="17.25" hidden="false" customHeight="true" outlineLevel="0" collapsed="false">
      <c r="A65" s="489"/>
      <c r="B65" s="490"/>
      <c r="C65" s="491"/>
      <c r="D65" s="491"/>
      <c r="E65" s="491"/>
      <c r="F65" s="491"/>
      <c r="G65" s="491"/>
      <c r="H65" s="491"/>
      <c r="I65" s="491"/>
      <c r="J65" s="491"/>
      <c r="K65" s="491"/>
      <c r="L65" s="493"/>
    </row>
    <row r="66" s="499" customFormat="true" ht="15" hidden="false" customHeight="false" outlineLevel="0" collapsed="false">
      <c r="A66" s="495" t="s">
        <v>417</v>
      </c>
      <c r="B66" s="496"/>
      <c r="C66" s="497" t="s">
        <v>378</v>
      </c>
      <c r="D66" s="498" t="n">
        <v>285</v>
      </c>
      <c r="E66" s="497" t="s">
        <v>401</v>
      </c>
      <c r="F66" s="478"/>
      <c r="G66" s="498" t="n">
        <v>359</v>
      </c>
      <c r="H66" s="462" t="n">
        <f aca="false">G66-D66+1</f>
        <v>75</v>
      </c>
      <c r="I66" s="463" t="s">
        <v>380</v>
      </c>
      <c r="J66" s="463"/>
      <c r="K66" s="463"/>
      <c r="L66" s="497"/>
    </row>
    <row r="67" s="494" customFormat="true" ht="17.25" hidden="false" customHeight="true" outlineLevel="0" collapsed="false">
      <c r="A67" s="489"/>
      <c r="B67" s="490"/>
      <c r="C67" s="491"/>
      <c r="D67" s="491"/>
      <c r="E67" s="491"/>
      <c r="F67" s="491"/>
      <c r="G67" s="491"/>
      <c r="H67" s="491"/>
      <c r="I67" s="491"/>
      <c r="J67" s="491"/>
      <c r="K67" s="491"/>
      <c r="L67" s="493"/>
    </row>
    <row r="68" s="450" customFormat="true" ht="65.25" hidden="false" customHeight="true" outlineLevel="0" collapsed="false">
      <c r="A68" s="445" t="s">
        <v>418</v>
      </c>
      <c r="B68" s="446"/>
      <c r="C68" s="447" t="s">
        <v>374</v>
      </c>
      <c r="D68" s="487" t="s">
        <v>419</v>
      </c>
      <c r="E68" s="447" t="s">
        <v>383</v>
      </c>
      <c r="F68" s="488" t="s">
        <v>420</v>
      </c>
      <c r="G68" s="488"/>
      <c r="H68" s="488"/>
      <c r="I68" s="488"/>
      <c r="J68" s="488"/>
      <c r="K68" s="488"/>
      <c r="L68" s="488"/>
      <c r="M68" s="475"/>
    </row>
    <row r="69" s="494" customFormat="true" ht="17.25" hidden="false" customHeight="true" outlineLevel="0" collapsed="false">
      <c r="A69" s="489"/>
      <c r="B69" s="490"/>
      <c r="C69" s="491"/>
      <c r="D69" s="491"/>
      <c r="E69" s="491"/>
      <c r="F69" s="491"/>
      <c r="G69" s="491"/>
      <c r="H69" s="491"/>
      <c r="I69" s="491"/>
      <c r="J69" s="491"/>
      <c r="K69" s="491"/>
      <c r="L69" s="493"/>
    </row>
    <row r="70" s="499" customFormat="true" ht="15" hidden="false" customHeight="false" outlineLevel="0" collapsed="false">
      <c r="A70" s="495" t="s">
        <v>421</v>
      </c>
      <c r="B70" s="496"/>
      <c r="C70" s="497" t="s">
        <v>422</v>
      </c>
      <c r="D70" s="498" t="n">
        <v>360</v>
      </c>
      <c r="E70" s="497" t="s">
        <v>401</v>
      </c>
      <c r="F70" s="478"/>
      <c r="G70" s="498" t="n">
        <v>364</v>
      </c>
      <c r="H70" s="462" t="n">
        <f aca="false">G70-D70+1</f>
        <v>5</v>
      </c>
      <c r="I70" s="463" t="s">
        <v>380</v>
      </c>
      <c r="J70" s="463"/>
      <c r="K70" s="463"/>
      <c r="L70" s="497"/>
    </row>
    <row r="71" s="499" customFormat="true" ht="35.25" hidden="false" customHeight="true" outlineLevel="0" collapsed="false">
      <c r="A71" s="495" t="n">
        <v>19</v>
      </c>
      <c r="B71" s="496"/>
      <c r="C71" s="497" t="s">
        <v>423</v>
      </c>
      <c r="D71" s="501"/>
      <c r="E71" s="497"/>
      <c r="F71" s="478"/>
      <c r="G71" s="501"/>
      <c r="H71" s="502"/>
      <c r="I71" s="503"/>
      <c r="J71" s="503"/>
      <c r="K71" s="503"/>
      <c r="L71" s="503"/>
    </row>
    <row r="72" s="494" customFormat="true" ht="17.25" hidden="false" customHeight="true" outlineLevel="0" collapsed="false">
      <c r="A72" s="489"/>
      <c r="B72" s="490"/>
      <c r="C72" s="491"/>
      <c r="D72" s="491"/>
      <c r="E72" s="491"/>
      <c r="F72" s="491"/>
      <c r="G72" s="491"/>
      <c r="H72" s="491"/>
      <c r="I72" s="491"/>
      <c r="J72" s="491"/>
      <c r="K72" s="491"/>
      <c r="L72" s="493"/>
    </row>
    <row r="73" s="494" customFormat="true" ht="17.25" hidden="false" customHeight="true" outlineLevel="0" collapsed="false">
      <c r="A73" s="489"/>
      <c r="B73" s="490"/>
      <c r="C73" s="491"/>
      <c r="D73" s="491"/>
      <c r="E73" s="491"/>
      <c r="F73" s="491"/>
      <c r="G73" s="491"/>
      <c r="H73" s="491"/>
      <c r="I73" s="491"/>
      <c r="J73" s="491"/>
      <c r="K73" s="491"/>
      <c r="L73" s="493"/>
    </row>
    <row r="74" s="499" customFormat="true" ht="15.75" hidden="false" customHeight="true" outlineLevel="0" collapsed="false">
      <c r="A74" s="504" t="n">
        <v>20</v>
      </c>
      <c r="B74" s="497"/>
      <c r="C74" s="497" t="s">
        <v>374</v>
      </c>
      <c r="D74" s="505" t="s">
        <v>424</v>
      </c>
      <c r="E74" s="497"/>
      <c r="F74" s="505" t="s">
        <v>425</v>
      </c>
      <c r="G74" s="505"/>
      <c r="H74" s="505"/>
      <c r="I74" s="505"/>
      <c r="J74" s="505"/>
      <c r="K74" s="505"/>
      <c r="L74" s="497"/>
    </row>
    <row r="75" s="42" customFormat="true" ht="111" hidden="false" customHeight="true" outlineLevel="0" collapsed="false">
      <c r="A75" s="506"/>
      <c r="B75" s="507"/>
      <c r="C75" s="508" t="s">
        <v>426</v>
      </c>
      <c r="D75" s="508"/>
      <c r="E75" s="508"/>
      <c r="F75" s="508"/>
      <c r="G75" s="508"/>
      <c r="H75" s="508"/>
      <c r="I75" s="508"/>
      <c r="J75" s="508"/>
      <c r="K75" s="508"/>
      <c r="L75" s="508"/>
    </row>
    <row r="76" s="42" customFormat="true" ht="28.5" hidden="false" customHeight="true" outlineLevel="0" collapsed="false">
      <c r="A76" s="509" t="n">
        <v>21</v>
      </c>
      <c r="B76" s="510"/>
      <c r="C76" s="511" t="s">
        <v>427</v>
      </c>
      <c r="D76" s="511"/>
      <c r="E76" s="511"/>
      <c r="F76" s="511"/>
      <c r="G76" s="511"/>
      <c r="H76" s="511"/>
      <c r="I76" s="511"/>
      <c r="J76" s="511"/>
      <c r="K76" s="511"/>
      <c r="L76" s="510"/>
    </row>
    <row r="77" s="515" customFormat="true" ht="15" hidden="false" customHeight="false" outlineLevel="0" collapsed="false">
      <c r="A77" s="512"/>
      <c r="B77" s="513"/>
      <c r="C77" s="514" t="s">
        <v>428</v>
      </c>
      <c r="D77" s="514"/>
      <c r="E77" s="514"/>
      <c r="F77" s="514"/>
      <c r="G77" s="514"/>
      <c r="H77" s="514"/>
      <c r="I77" s="514"/>
      <c r="J77" s="514"/>
      <c r="K77" s="514"/>
      <c r="L77" s="513"/>
    </row>
    <row r="78" s="519" customFormat="true" ht="15" hidden="false" customHeight="false" outlineLevel="0" collapsed="false">
      <c r="A78" s="516"/>
      <c r="B78" s="517"/>
      <c r="C78" s="518" t="s">
        <v>429</v>
      </c>
      <c r="D78" s="518"/>
      <c r="E78" s="518"/>
      <c r="F78" s="518"/>
      <c r="G78" s="518"/>
      <c r="H78" s="518"/>
      <c r="I78" s="518"/>
      <c r="J78" s="518"/>
      <c r="K78" s="518"/>
      <c r="L78" s="517"/>
    </row>
    <row r="79" s="519" customFormat="true" ht="15" hidden="false" customHeight="false" outlineLevel="0" collapsed="false">
      <c r="A79" s="520"/>
      <c r="B79" s="517"/>
      <c r="C79" s="518" t="s">
        <v>430</v>
      </c>
      <c r="D79" s="518"/>
      <c r="E79" s="518"/>
      <c r="F79" s="518"/>
      <c r="G79" s="518"/>
      <c r="H79" s="518"/>
      <c r="I79" s="518"/>
      <c r="J79" s="518"/>
      <c r="K79" s="518"/>
      <c r="L79" s="517"/>
    </row>
    <row r="80" s="519" customFormat="true" ht="15" hidden="false" customHeight="false" outlineLevel="0" collapsed="false">
      <c r="A80" s="509"/>
      <c r="B80" s="517"/>
      <c r="C80" s="518" t="s">
        <v>431</v>
      </c>
      <c r="D80" s="518"/>
      <c r="E80" s="518"/>
      <c r="F80" s="518"/>
      <c r="G80" s="518"/>
      <c r="H80" s="518"/>
      <c r="I80" s="518"/>
      <c r="J80" s="518"/>
      <c r="K80" s="518"/>
      <c r="L80" s="521"/>
    </row>
    <row r="81" customFormat="false" ht="15" hidden="false" customHeight="false" outlineLevel="0" collapsed="false">
      <c r="A81" s="509" t="n">
        <v>22</v>
      </c>
      <c r="B81" s="522"/>
      <c r="C81" s="523" t="s">
        <v>432</v>
      </c>
      <c r="D81" s="523"/>
      <c r="E81" s="523"/>
      <c r="F81" s="523"/>
      <c r="G81" s="523"/>
      <c r="H81" s="523"/>
      <c r="I81" s="523"/>
      <c r="J81" s="523"/>
      <c r="K81" s="523"/>
      <c r="L81" s="522"/>
    </row>
    <row r="82" customFormat="false" ht="62.25" hidden="false" customHeight="true" outlineLevel="0" collapsed="false">
      <c r="A82" s="509" t="n">
        <v>23</v>
      </c>
      <c r="B82" s="522"/>
      <c r="C82" s="511" t="s">
        <v>433</v>
      </c>
      <c r="D82" s="511"/>
      <c r="E82" s="511"/>
      <c r="F82" s="511"/>
      <c r="G82" s="511"/>
      <c r="H82" s="511"/>
      <c r="I82" s="511"/>
      <c r="J82" s="511"/>
      <c r="K82" s="511"/>
      <c r="L82" s="511"/>
    </row>
    <row r="83" customFormat="false" ht="15" hidden="false" customHeight="false" outlineLevel="0" collapsed="false">
      <c r="A83" s="509" t="n">
        <v>24</v>
      </c>
      <c r="B83" s="522"/>
      <c r="C83" s="522" t="s">
        <v>434</v>
      </c>
      <c r="D83" s="522"/>
      <c r="E83" s="522"/>
      <c r="F83" s="522"/>
      <c r="G83" s="522"/>
      <c r="H83" s="522"/>
      <c r="I83" s="522"/>
      <c r="J83" s="522"/>
      <c r="K83" s="522"/>
      <c r="L83" s="523"/>
    </row>
    <row r="84" customFormat="false" ht="15" hidden="false" customHeight="false" outlineLevel="0" collapsed="false">
      <c r="A84" s="509" t="n">
        <v>25</v>
      </c>
      <c r="B84" s="522"/>
      <c r="C84" s="522" t="s">
        <v>435</v>
      </c>
      <c r="D84" s="522"/>
      <c r="E84" s="522"/>
      <c r="F84" s="522"/>
      <c r="G84" s="522"/>
      <c r="H84" s="522"/>
      <c r="I84" s="522"/>
      <c r="J84" s="522"/>
      <c r="K84" s="522"/>
      <c r="L84" s="523"/>
    </row>
    <row r="85" customFormat="false" ht="15" hidden="false" customHeight="false" outlineLevel="0" collapsed="false">
      <c r="A85" s="509" t="n">
        <v>26</v>
      </c>
      <c r="B85" s="522"/>
      <c r="C85" s="522" t="s">
        <v>436</v>
      </c>
      <c r="D85" s="522"/>
      <c r="E85" s="522"/>
      <c r="F85" s="522"/>
      <c r="G85" s="522"/>
      <c r="H85" s="522"/>
      <c r="I85" s="522"/>
      <c r="J85" s="522"/>
      <c r="K85" s="522"/>
      <c r="L85" s="523"/>
    </row>
    <row r="86" customFormat="false" ht="15" hidden="false" customHeight="false" outlineLevel="0" collapsed="false">
      <c r="A86" s="509" t="n">
        <v>27</v>
      </c>
      <c r="B86" s="522"/>
      <c r="C86" s="522" t="s">
        <v>437</v>
      </c>
      <c r="D86" s="522"/>
      <c r="E86" s="522"/>
      <c r="F86" s="522"/>
      <c r="G86" s="522"/>
      <c r="H86" s="522"/>
      <c r="I86" s="522"/>
      <c r="J86" s="522"/>
      <c r="K86" s="522"/>
      <c r="L86" s="523"/>
    </row>
    <row r="87" customFormat="false" ht="15" hidden="false" customHeight="false" outlineLevel="0" collapsed="false">
      <c r="A87" s="509" t="n">
        <v>28</v>
      </c>
      <c r="B87" s="522"/>
      <c r="C87" s="524" t="s">
        <v>438</v>
      </c>
      <c r="D87" s="522"/>
      <c r="E87" s="522"/>
      <c r="F87" s="522"/>
      <c r="G87" s="522"/>
      <c r="H87" s="522"/>
      <c r="I87" s="522"/>
      <c r="J87" s="522"/>
      <c r="K87" s="522"/>
      <c r="L87" s="523"/>
    </row>
    <row r="88" customFormat="false" ht="15" hidden="false" customHeight="false" outlineLevel="0" collapsed="false">
      <c r="A88" s="509" t="n">
        <v>29</v>
      </c>
      <c r="B88" s="522"/>
      <c r="C88" s="522" t="s">
        <v>439</v>
      </c>
      <c r="D88" s="522"/>
      <c r="E88" s="522"/>
      <c r="F88" s="522"/>
      <c r="G88" s="522"/>
      <c r="H88" s="522"/>
      <c r="I88" s="522"/>
      <c r="J88" s="522"/>
      <c r="K88" s="522"/>
      <c r="L88" s="523"/>
    </row>
    <row r="89" customFormat="false" ht="15" hidden="false" customHeight="false" outlineLevel="0" collapsed="false">
      <c r="A89" s="509"/>
      <c r="B89" s="522"/>
      <c r="C89" s="523" t="s">
        <v>440</v>
      </c>
      <c r="D89" s="523"/>
      <c r="E89" s="523"/>
      <c r="F89" s="523"/>
      <c r="G89" s="523"/>
      <c r="H89" s="523"/>
      <c r="I89" s="523"/>
      <c r="J89" s="523"/>
      <c r="K89" s="523"/>
      <c r="L89" s="523"/>
    </row>
    <row r="90" customFormat="false" ht="15" hidden="false" customHeight="false" outlineLevel="0" collapsed="false">
      <c r="A90" s="509"/>
      <c r="B90" s="522"/>
      <c r="C90" s="523" t="s">
        <v>441</v>
      </c>
      <c r="D90" s="523"/>
      <c r="E90" s="523"/>
      <c r="F90" s="523"/>
      <c r="G90" s="523"/>
      <c r="H90" s="523"/>
      <c r="I90" s="523"/>
      <c r="J90" s="523"/>
      <c r="K90" s="523"/>
      <c r="L90" s="523"/>
    </row>
    <row r="91" customFormat="false" ht="15" hidden="false" customHeight="false" outlineLevel="0" collapsed="false">
      <c r="A91" s="509"/>
      <c r="B91" s="522"/>
      <c r="C91" s="525" t="s">
        <v>442</v>
      </c>
      <c r="D91" s="523"/>
      <c r="E91" s="523"/>
      <c r="F91" s="523"/>
      <c r="G91" s="523"/>
      <c r="H91" s="523"/>
      <c r="I91" s="523"/>
      <c r="J91" s="523"/>
      <c r="K91" s="523"/>
      <c r="L91" s="523"/>
    </row>
    <row r="92" customFormat="false" ht="15" hidden="false" customHeight="false" outlineLevel="0" collapsed="false">
      <c r="A92" s="509"/>
      <c r="B92" s="522"/>
      <c r="C92" s="526" t="s">
        <v>443</v>
      </c>
      <c r="D92" s="523"/>
      <c r="E92" s="523"/>
      <c r="F92" s="523"/>
      <c r="G92" s="523"/>
      <c r="H92" s="523"/>
      <c r="I92" s="523"/>
      <c r="J92" s="523"/>
      <c r="K92" s="523"/>
      <c r="L92" s="523"/>
    </row>
    <row r="93" customFormat="false" ht="15" hidden="false" customHeight="false" outlineLevel="0" collapsed="false">
      <c r="A93" s="509" t="n">
        <v>30</v>
      </c>
      <c r="B93" s="522"/>
      <c r="C93" s="517" t="s">
        <v>444</v>
      </c>
      <c r="D93" s="522"/>
      <c r="E93" s="522"/>
      <c r="F93" s="522"/>
      <c r="G93" s="522"/>
      <c r="H93" s="522"/>
      <c r="I93" s="522"/>
      <c r="J93" s="522"/>
      <c r="K93" s="522"/>
      <c r="L93" s="523"/>
    </row>
    <row r="94" s="519" customFormat="true" ht="15" hidden="false" customHeight="false" outlineLevel="0" collapsed="false">
      <c r="A94" s="509"/>
      <c r="B94" s="517"/>
      <c r="C94" s="518" t="s">
        <v>445</v>
      </c>
      <c r="D94" s="518"/>
      <c r="E94" s="518"/>
      <c r="F94" s="518"/>
      <c r="G94" s="518"/>
      <c r="H94" s="518"/>
      <c r="I94" s="518"/>
      <c r="J94" s="518"/>
      <c r="K94" s="518"/>
      <c r="L94" s="518"/>
    </row>
    <row r="95" customFormat="false" ht="15" hidden="false" customHeight="false" outlineLevel="0" collapsed="false">
      <c r="A95" s="509" t="n">
        <v>31</v>
      </c>
      <c r="B95" s="522"/>
      <c r="C95" s="518" t="s">
        <v>446</v>
      </c>
      <c r="D95" s="518"/>
      <c r="E95" s="518"/>
      <c r="F95" s="518"/>
      <c r="G95" s="523"/>
      <c r="H95" s="523"/>
      <c r="I95" s="523"/>
      <c r="J95" s="523"/>
      <c r="K95" s="523"/>
      <c r="L95" s="523"/>
    </row>
    <row r="96" s="519" customFormat="true" ht="15" hidden="false" customHeight="false" outlineLevel="0" collapsed="false">
      <c r="A96" s="509"/>
      <c r="B96" s="517"/>
      <c r="C96" s="518" t="s">
        <v>447</v>
      </c>
      <c r="D96" s="518"/>
      <c r="E96" s="518"/>
      <c r="F96" s="518"/>
      <c r="G96" s="518"/>
      <c r="H96" s="518"/>
      <c r="I96" s="518"/>
      <c r="J96" s="518"/>
      <c r="K96" s="518"/>
      <c r="L96" s="518"/>
    </row>
    <row r="97" customFormat="false" ht="15" hidden="false" customHeight="false" outlineLevel="0" collapsed="false">
      <c r="A97" s="509" t="n">
        <v>32</v>
      </c>
      <c r="B97" s="522"/>
      <c r="C97" s="523" t="s">
        <v>448</v>
      </c>
      <c r="D97" s="523"/>
      <c r="E97" s="523"/>
      <c r="F97" s="523"/>
      <c r="G97" s="523"/>
      <c r="H97" s="523"/>
      <c r="I97" s="523"/>
      <c r="J97" s="523"/>
      <c r="K97" s="523"/>
      <c r="L97" s="523"/>
    </row>
    <row r="98" s="519" customFormat="true" ht="15" hidden="false" customHeight="false" outlineLevel="0" collapsed="false">
      <c r="A98" s="509"/>
      <c r="B98" s="517"/>
      <c r="C98" s="518" t="s">
        <v>449</v>
      </c>
      <c r="D98" s="518"/>
      <c r="E98" s="518"/>
      <c r="F98" s="518"/>
      <c r="G98" s="518"/>
      <c r="H98" s="518"/>
      <c r="I98" s="518"/>
      <c r="J98" s="518"/>
      <c r="K98" s="518"/>
      <c r="L98" s="518"/>
    </row>
    <row r="99" customFormat="false" ht="15" hidden="false" customHeight="false" outlineLevel="0" collapsed="false">
      <c r="A99" s="509" t="n">
        <v>33</v>
      </c>
      <c r="B99" s="522"/>
      <c r="C99" s="523" t="s">
        <v>450</v>
      </c>
      <c r="D99" s="523"/>
      <c r="E99" s="523"/>
      <c r="F99" s="523"/>
      <c r="G99" s="523"/>
      <c r="H99" s="523"/>
      <c r="I99" s="523"/>
      <c r="J99" s="523"/>
      <c r="K99" s="523"/>
      <c r="L99" s="522"/>
    </row>
    <row r="100" customFormat="false" ht="15" hidden="false" customHeight="false" outlineLevel="0" collapsed="false">
      <c r="A100" s="509" t="n">
        <v>34</v>
      </c>
      <c r="B100" s="522"/>
      <c r="C100" s="523" t="s">
        <v>451</v>
      </c>
      <c r="D100" s="523"/>
      <c r="E100" s="523"/>
      <c r="F100" s="523"/>
      <c r="G100" s="523"/>
      <c r="H100" s="523"/>
      <c r="I100" s="523"/>
      <c r="J100" s="523"/>
      <c r="K100" s="523"/>
      <c r="L100" s="518"/>
    </row>
    <row r="101" customFormat="false" ht="15" hidden="false" customHeight="true" outlineLevel="0" collapsed="false">
      <c r="A101" s="509"/>
      <c r="B101" s="522"/>
      <c r="C101" s="527" t="s">
        <v>452</v>
      </c>
      <c r="D101" s="527"/>
      <c r="E101" s="527"/>
      <c r="F101" s="527"/>
      <c r="G101" s="527"/>
      <c r="H101" s="527"/>
      <c r="I101" s="527"/>
      <c r="J101" s="527"/>
      <c r="K101" s="527"/>
      <c r="L101" s="518"/>
    </row>
    <row r="102" customFormat="false" ht="15" hidden="false" customHeight="false" outlineLevel="0" collapsed="false">
      <c r="A102" s="509"/>
      <c r="B102" s="522"/>
      <c r="C102" s="527"/>
      <c r="D102" s="527"/>
      <c r="E102" s="527"/>
      <c r="F102" s="527"/>
      <c r="G102" s="527"/>
      <c r="H102" s="527"/>
      <c r="I102" s="527"/>
      <c r="J102" s="527"/>
      <c r="K102" s="527"/>
      <c r="L102" s="518"/>
    </row>
    <row r="103" customFormat="false" ht="19.5" hidden="false" customHeight="true" outlineLevel="0" collapsed="false">
      <c r="A103" s="509"/>
      <c r="B103" s="522"/>
      <c r="C103" s="527" t="s">
        <v>453</v>
      </c>
      <c r="D103" s="527"/>
      <c r="E103" s="527"/>
      <c r="F103" s="527"/>
      <c r="G103" s="527"/>
      <c r="H103" s="527"/>
      <c r="I103" s="527"/>
      <c r="J103" s="527"/>
      <c r="K103" s="527"/>
      <c r="L103" s="518"/>
    </row>
    <row r="104" customFormat="false" ht="15" hidden="false" customHeight="false" outlineLevel="0" collapsed="false">
      <c r="A104" s="509"/>
      <c r="B104" s="522"/>
      <c r="C104" s="527"/>
      <c r="D104" s="527"/>
      <c r="E104" s="527"/>
      <c r="F104" s="527"/>
      <c r="G104" s="527"/>
      <c r="H104" s="527"/>
      <c r="I104" s="527"/>
      <c r="J104" s="527"/>
      <c r="K104" s="527"/>
      <c r="L104" s="518"/>
    </row>
    <row r="105" customFormat="false" ht="15" hidden="false" customHeight="false" outlineLevel="0" collapsed="false">
      <c r="A105" s="509"/>
      <c r="B105" s="522"/>
      <c r="C105" s="518" t="s">
        <v>454</v>
      </c>
      <c r="D105" s="518"/>
      <c r="E105" s="518"/>
      <c r="F105" s="518"/>
      <c r="G105" s="518"/>
      <c r="H105" s="518"/>
      <c r="I105" s="518"/>
      <c r="J105" s="518"/>
      <c r="K105" s="518"/>
      <c r="L105" s="528"/>
    </row>
    <row r="106" customFormat="false" ht="15" hidden="false" customHeight="false" outlineLevel="0" collapsed="false">
      <c r="A106" s="509"/>
      <c r="B106" s="529"/>
      <c r="C106" s="528" t="s">
        <v>455</v>
      </c>
      <c r="D106" s="528"/>
      <c r="E106" s="528"/>
      <c r="F106" s="528"/>
      <c r="G106" s="528"/>
      <c r="H106" s="528"/>
      <c r="I106" s="528"/>
      <c r="J106" s="528"/>
      <c r="K106" s="528"/>
      <c r="L106" s="529"/>
    </row>
    <row r="107" s="531" customFormat="true" ht="15" hidden="false" customHeight="false" outlineLevel="0" collapsed="false">
      <c r="A107" s="509" t="n">
        <v>35</v>
      </c>
      <c r="B107" s="530"/>
      <c r="C107" s="530" t="s">
        <v>456</v>
      </c>
      <c r="D107" s="530"/>
      <c r="E107" s="530"/>
      <c r="F107" s="530"/>
      <c r="G107" s="530"/>
      <c r="H107" s="530"/>
      <c r="I107" s="530"/>
      <c r="J107" s="530"/>
      <c r="K107" s="530"/>
      <c r="L107" s="530"/>
    </row>
    <row r="108" s="531" customFormat="true" ht="15" hidden="false" customHeight="false" outlineLevel="0" collapsed="false">
      <c r="A108" s="509" t="n">
        <v>36</v>
      </c>
      <c r="B108" s="530"/>
      <c r="C108" s="530" t="s">
        <v>457</v>
      </c>
      <c r="D108" s="530"/>
      <c r="E108" s="530"/>
      <c r="F108" s="530"/>
      <c r="G108" s="530"/>
      <c r="H108" s="530"/>
      <c r="I108" s="530"/>
      <c r="J108" s="530"/>
      <c r="K108" s="530"/>
      <c r="L108" s="530"/>
    </row>
    <row r="109" customFormat="false" ht="15" hidden="false" customHeight="false" outlineLevel="0" collapsed="false">
      <c r="A109" s="532"/>
      <c r="B109" s="529"/>
      <c r="C109" s="529"/>
      <c r="D109" s="529"/>
      <c r="E109" s="529"/>
      <c r="F109" s="529"/>
      <c r="G109" s="529"/>
      <c r="H109" s="529"/>
      <c r="I109" s="529"/>
      <c r="J109" s="529"/>
      <c r="K109" s="529"/>
      <c r="L109" s="529"/>
    </row>
    <row r="110" customFormat="false" ht="14.25" hidden="false" customHeight="false" outlineLevel="0" collapsed="false">
      <c r="A110" s="533"/>
      <c r="B110" s="534"/>
      <c r="C110" s="535"/>
      <c r="D110" s="535"/>
      <c r="E110" s="535"/>
      <c r="F110" s="535"/>
      <c r="G110" s="535"/>
      <c r="H110" s="535"/>
      <c r="I110" s="535"/>
      <c r="J110" s="534"/>
      <c r="K110" s="534"/>
    </row>
    <row r="111" customFormat="false" ht="14.25" hidden="false" customHeight="false" outlineLevel="0" collapsed="false">
      <c r="A111" s="533"/>
      <c r="B111" s="534"/>
      <c r="C111" s="534"/>
      <c r="D111" s="534"/>
      <c r="E111" s="534"/>
      <c r="F111" s="534"/>
      <c r="G111" s="534"/>
      <c r="H111" s="534"/>
      <c r="I111" s="534"/>
      <c r="J111" s="534"/>
      <c r="K111" s="534"/>
    </row>
    <row r="112" customFormat="false" ht="14.25" hidden="false" customHeight="false" outlineLevel="0" collapsed="false">
      <c r="A112" s="533"/>
      <c r="B112" s="534"/>
      <c r="C112" s="534"/>
      <c r="D112" s="534"/>
      <c r="E112" s="534"/>
      <c r="F112" s="534"/>
      <c r="G112" s="534"/>
      <c r="H112" s="534"/>
      <c r="I112" s="534"/>
      <c r="J112" s="534"/>
      <c r="K112" s="534"/>
    </row>
    <row r="117" customFormat="false" ht="14.25" hidden="false" customHeight="false" outlineLevel="0" collapsed="false">
      <c r="A117" s="533"/>
      <c r="B117" s="534"/>
      <c r="C117" s="534"/>
      <c r="D117" s="534"/>
      <c r="E117" s="534"/>
      <c r="F117" s="534"/>
      <c r="G117" s="534"/>
      <c r="H117" s="534"/>
      <c r="I117" s="534"/>
      <c r="J117" s="534"/>
      <c r="K117" s="534"/>
    </row>
  </sheetData>
  <mergeCells count="51">
    <mergeCell ref="B6:L6"/>
    <mergeCell ref="B7:L7"/>
    <mergeCell ref="B8:L8"/>
    <mergeCell ref="B9:L9"/>
    <mergeCell ref="B10:L10"/>
    <mergeCell ref="B11:L11"/>
    <mergeCell ref="B12:L12"/>
    <mergeCell ref="B13:L13"/>
    <mergeCell ref="B14:L14"/>
    <mergeCell ref="A15:L16"/>
    <mergeCell ref="A17:L17"/>
    <mergeCell ref="A18:L18"/>
    <mergeCell ref="A19:L19"/>
    <mergeCell ref="A20:L20"/>
    <mergeCell ref="A21:L21"/>
    <mergeCell ref="A22:L22"/>
    <mergeCell ref="A23:L23"/>
    <mergeCell ref="A24:L24"/>
    <mergeCell ref="A25:L25"/>
    <mergeCell ref="A26:L26"/>
    <mergeCell ref="A27:L27"/>
    <mergeCell ref="I31:K31"/>
    <mergeCell ref="K32:L34"/>
    <mergeCell ref="F33:I33"/>
    <mergeCell ref="I35:K35"/>
    <mergeCell ref="F37:I37"/>
    <mergeCell ref="K37:L39"/>
    <mergeCell ref="C41:K42"/>
    <mergeCell ref="I43:K43"/>
    <mergeCell ref="C44:K44"/>
    <mergeCell ref="F45:L45"/>
    <mergeCell ref="I47:K47"/>
    <mergeCell ref="F49:L49"/>
    <mergeCell ref="I50:K50"/>
    <mergeCell ref="F52:L53"/>
    <mergeCell ref="C56:K57"/>
    <mergeCell ref="I58:K58"/>
    <mergeCell ref="C59:K59"/>
    <mergeCell ref="F60:L60"/>
    <mergeCell ref="I62:K62"/>
    <mergeCell ref="F64:L64"/>
    <mergeCell ref="I66:K66"/>
    <mergeCell ref="F68:L68"/>
    <mergeCell ref="I70:K70"/>
    <mergeCell ref="F74:K74"/>
    <mergeCell ref="C75:L75"/>
    <mergeCell ref="C76:K76"/>
    <mergeCell ref="C82:L82"/>
    <mergeCell ref="C101:K102"/>
    <mergeCell ref="C103:K104"/>
    <mergeCell ref="C110:I110"/>
  </mergeCells>
  <printOptions headings="false" gridLines="false" gridLinesSet="true" horizontalCentered="false" verticalCentered="false"/>
  <pageMargins left="0" right="0.2" top="0.5" bottom="0" header="0" footer="0.511811023622047"/>
  <pageSetup paperSize="9" scale="100" fitToWidth="1" fitToHeight="4" pageOrder="downThenOver" orientation="portrait" blackAndWhite="false" draft="false" cellComments="none" horizontalDpi="300" verticalDpi="300" copies="1"/>
  <headerFooter differentFirst="false" differentOddEven="false">
    <oddHeader>&amp;L&amp;"arial,Regular"&amp;10&amp;K737373ADNOC Classification: Internal&amp;1#</oddHeader>
    <oddFooter/>
  </headerFooter>
  <rowBreaks count="1" manualBreakCount="1">
    <brk id="110" man="true" max="16383" min="0"/>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954"/>
  <sheetViews>
    <sheetView showFormulas="false" showGridLines="false" showRowColHeaders="true" showZeros="true" rightToLeft="false" tabSelected="false" showOutlineSymbols="true" defaultGridColor="true" view="pageBreakPreview" topLeftCell="A14" colorId="64" zoomScale="140" zoomScaleNormal="55" zoomScalePageLayoutView="140" workbookViewId="0">
      <selection pane="topLeft" activeCell="A16" activeCellId="0" sqref="A16"/>
    </sheetView>
  </sheetViews>
  <sheetFormatPr defaultColWidth="8.78125" defaultRowHeight="12.75" customHeight="false" zeroHeight="false" outlineLevelRow="0" outlineLevelCol="0"/>
  <cols>
    <col collapsed="false" customWidth="true" hidden="false" outlineLevel="0" max="1" min="1" style="536" width="29.33"/>
    <col collapsed="false" customWidth="true" hidden="false" outlineLevel="0" max="2" min="2" style="537" width="78.22"/>
    <col collapsed="false" customWidth="true" hidden="false" outlineLevel="0" max="3" min="3" style="536" width="20.22"/>
    <col collapsed="false" customWidth="true" hidden="false" outlineLevel="0" max="4" min="4" style="538" width="27.11"/>
    <col collapsed="false" customWidth="true" hidden="false" outlineLevel="0" max="5" min="5" style="538" width="26.67"/>
    <col collapsed="false" customWidth="true" hidden="false" outlineLevel="0" max="6" min="6" style="538" width="33.22"/>
    <col collapsed="false" customWidth="true" hidden="false" outlineLevel="0" max="7" min="7" style="538" width="33.44"/>
    <col collapsed="false" customWidth="true" hidden="false" outlineLevel="0" max="8" min="8" style="538" width="35.78"/>
    <col collapsed="false" customWidth="true" hidden="false" outlineLevel="0" max="9" min="9" style="538" width="18.78"/>
    <col collapsed="false" customWidth="true" hidden="false" outlineLevel="0" max="10" min="10" style="538" width="19.67"/>
    <col collapsed="false" customWidth="true" hidden="false" outlineLevel="0" max="11" min="11" style="538" width="6.67"/>
    <col collapsed="false" customWidth="false" hidden="true" outlineLevel="0" max="13" min="12" style="538" width="8.78"/>
    <col collapsed="false" customWidth="true" hidden="true" outlineLevel="0" max="14" min="14" style="538" width="10.16"/>
    <col collapsed="false" customWidth="true" hidden="false" outlineLevel="0" max="15" min="15" style="538" width="47.45"/>
    <col collapsed="false" customWidth="true" hidden="false" outlineLevel="0" max="16" min="16" style="538" width="17.66"/>
    <col collapsed="false" customWidth="false" hidden="false" outlineLevel="0" max="16384" min="17" style="538" width="8.78"/>
  </cols>
  <sheetData>
    <row r="1" customFormat="false" ht="39.75" hidden="false" customHeight="true" outlineLevel="0" collapsed="false">
      <c r="A1" s="539"/>
      <c r="B1" s="540" t="s">
        <v>458</v>
      </c>
      <c r="C1" s="541" t="s">
        <v>459</v>
      </c>
      <c r="D1" s="541"/>
      <c r="E1" s="541"/>
      <c r="F1" s="541"/>
      <c r="G1" s="541"/>
      <c r="H1" s="542"/>
      <c r="I1" s="543"/>
    </row>
    <row r="2" customFormat="false" ht="39.75" hidden="false" customHeight="true" outlineLevel="0" collapsed="false">
      <c r="A2" s="544"/>
      <c r="B2" s="540"/>
      <c r="C2" s="544" t="s">
        <v>97</v>
      </c>
      <c r="D2" s="545" t="s">
        <v>98</v>
      </c>
      <c r="E2" s="546" t="s">
        <v>99</v>
      </c>
      <c r="F2" s="546" t="s">
        <v>100</v>
      </c>
      <c r="G2" s="546" t="s">
        <v>101</v>
      </c>
      <c r="H2" s="547" t="s">
        <v>102</v>
      </c>
      <c r="I2" s="543"/>
    </row>
    <row r="3" customFormat="false" ht="39.75" hidden="false" customHeight="true" outlineLevel="0" collapsed="false">
      <c r="A3" s="548" t="s">
        <v>460</v>
      </c>
      <c r="B3" s="540"/>
      <c r="C3" s="539" t="s">
        <v>104</v>
      </c>
      <c r="D3" s="549" t="s">
        <v>105</v>
      </c>
      <c r="E3" s="550" t="s">
        <v>461</v>
      </c>
      <c r="F3" s="551" t="n">
        <v>43382</v>
      </c>
      <c r="G3" s="550" t="s">
        <v>462</v>
      </c>
      <c r="H3" s="552" t="s">
        <v>107</v>
      </c>
      <c r="I3" s="543"/>
      <c r="K3" s="553"/>
    </row>
    <row r="4" customFormat="false" ht="39.75" hidden="false" customHeight="true" outlineLevel="0" collapsed="false">
      <c r="A4" s="554"/>
      <c r="B4" s="554"/>
      <c r="C4" s="554"/>
      <c r="D4" s="554"/>
      <c r="E4" s="554"/>
      <c r="F4" s="554"/>
      <c r="G4" s="554"/>
      <c r="H4" s="554"/>
      <c r="I4" s="555"/>
      <c r="O4" s="556"/>
    </row>
    <row r="5" customFormat="false" ht="97.5" hidden="false" customHeight="true" outlineLevel="0" collapsed="false">
      <c r="A5" s="557" t="s">
        <v>463</v>
      </c>
      <c r="B5" s="558" t="str">
        <f aca="false">_xlfn.CONCAT('MS2'!C2:D2)</f>
        <v>ADNOC ONSHORE</v>
      </c>
      <c r="C5" s="557" t="s">
        <v>464</v>
      </c>
      <c r="D5" s="559" t="n">
        <v>46183</v>
      </c>
      <c r="E5" s="560" t="s">
        <v>465</v>
      </c>
      <c r="F5" s="561" t="s">
        <v>466</v>
      </c>
      <c r="G5" s="560" t="s">
        <v>467</v>
      </c>
      <c r="H5" s="562" t="s">
        <v>331</v>
      </c>
      <c r="I5" s="555"/>
    </row>
    <row r="6" customFormat="false" ht="39.75" hidden="false" customHeight="true" outlineLevel="0" collapsed="false">
      <c r="A6" s="557" t="s">
        <v>468</v>
      </c>
      <c r="B6" s="558" t="str">
        <f aca="false">'MS2'!I8</f>
        <v>AD-237</v>
      </c>
      <c r="C6" s="557" t="s">
        <v>469</v>
      </c>
      <c r="D6" s="563" t="s">
        <v>63</v>
      </c>
      <c r="E6" s="557" t="s">
        <v>470</v>
      </c>
      <c r="F6" s="564" t="s">
        <v>471</v>
      </c>
      <c r="G6" s="565" t="s">
        <v>472</v>
      </c>
      <c r="H6" s="566" t="s">
        <v>329</v>
      </c>
      <c r="I6" s="555"/>
      <c r="O6" s="567"/>
      <c r="P6" s="567"/>
    </row>
    <row r="7" customFormat="false" ht="39.75" hidden="false" customHeight="true" outlineLevel="0" collapsed="false">
      <c r="A7" s="557" t="s">
        <v>473</v>
      </c>
      <c r="B7" s="558" t="str">
        <f aca="false">'MS2'!I9</f>
        <v>BB-1309</v>
      </c>
      <c r="C7" s="557" t="s">
        <v>474</v>
      </c>
      <c r="D7" s="568" t="s">
        <v>475</v>
      </c>
      <c r="E7" s="569" t="s">
        <v>476</v>
      </c>
      <c r="F7" s="570"/>
      <c r="G7" s="571" t="s">
        <v>477</v>
      </c>
      <c r="H7" s="572" t="str">
        <f aca="false" t="array" ref="H7:K7">'MS2'!F6:I6</f>
        <v>Mahmoud Ali</v>
      </c>
      <c r="I7" s="573" t="n">
        <v>0</v>
      </c>
      <c r="J7" s="538" t="n">
        <v>0</v>
      </c>
      <c r="K7" s="538" t="n">
        <v>0</v>
      </c>
      <c r="O7" s="567"/>
      <c r="P7" s="567"/>
    </row>
    <row r="8" s="581" customFormat="true" ht="39.75" hidden="false" customHeight="true" outlineLevel="0" collapsed="false">
      <c r="A8" s="574" t="s">
        <v>478</v>
      </c>
      <c r="B8" s="575" t="n">
        <f aca="false">G175</f>
        <v>7433.34099999996</v>
      </c>
      <c r="C8" s="576"/>
      <c r="D8" s="577"/>
      <c r="E8" s="578"/>
      <c r="F8" s="577"/>
      <c r="G8" s="579"/>
      <c r="H8" s="580"/>
      <c r="O8" s="582"/>
      <c r="P8" s="582"/>
    </row>
    <row r="9" customFormat="false" ht="39.75" hidden="false" customHeight="true" outlineLevel="0" collapsed="false">
      <c r="A9" s="574" t="s">
        <v>479</v>
      </c>
      <c r="B9" s="583" t="n">
        <f aca="false">B8+2.75</f>
        <v>7436.09099999996</v>
      </c>
      <c r="C9" s="584" t="s">
        <v>480</v>
      </c>
      <c r="D9" s="585" t="s">
        <v>481</v>
      </c>
      <c r="E9" s="586" t="s">
        <v>482</v>
      </c>
      <c r="F9" s="587"/>
      <c r="G9" s="588" t="s">
        <v>483</v>
      </c>
      <c r="H9" s="589" t="s">
        <v>380</v>
      </c>
      <c r="O9" s="590"/>
      <c r="P9" s="567"/>
    </row>
    <row r="10" customFormat="false" ht="39.75" hidden="false" customHeight="true" outlineLevel="0" collapsed="false">
      <c r="A10" s="574" t="s">
        <v>484</v>
      </c>
      <c r="B10" s="591" t="n">
        <f aca="false">B9+5.98</f>
        <v>7442.07099999996</v>
      </c>
      <c r="C10" s="584" t="s">
        <v>485</v>
      </c>
      <c r="D10" s="592" t="s">
        <v>486</v>
      </c>
      <c r="E10" s="584" t="s">
        <v>487</v>
      </c>
      <c r="F10" s="593"/>
      <c r="G10" s="594" t="s">
        <v>488</v>
      </c>
      <c r="H10" s="595" t="s">
        <v>489</v>
      </c>
      <c r="I10" s="556"/>
      <c r="O10" s="590"/>
      <c r="P10" s="567"/>
    </row>
    <row r="11" customFormat="false" ht="39.75" hidden="false" customHeight="true" outlineLevel="0" collapsed="false">
      <c r="A11" s="596" t="s">
        <v>490</v>
      </c>
      <c r="B11" s="597" t="n">
        <f aca="false">B10+2</f>
        <v>7444.07099999996</v>
      </c>
      <c r="C11" s="598" t="s">
        <v>491</v>
      </c>
      <c r="D11" s="598"/>
      <c r="E11" s="599" t="n">
        <f aca="false">I2-B9</f>
        <v>-7436.09099999996</v>
      </c>
      <c r="F11" s="600"/>
      <c r="G11" s="601" t="s">
        <v>492</v>
      </c>
      <c r="H11" s="602" t="n">
        <v>0.301</v>
      </c>
      <c r="I11" s="603"/>
      <c r="O11" s="555"/>
    </row>
    <row r="12" customFormat="false" ht="39.75" hidden="false" customHeight="true" outlineLevel="0" collapsed="false">
      <c r="A12" s="596" t="s">
        <v>493</v>
      </c>
      <c r="B12" s="597" t="n">
        <f aca="false">B8+8.68</f>
        <v>7442.02099999996</v>
      </c>
      <c r="C12" s="604"/>
      <c r="D12" s="605"/>
      <c r="E12" s="605"/>
      <c r="F12" s="605"/>
      <c r="G12" s="601" t="s">
        <v>494</v>
      </c>
      <c r="H12" s="602" t="s">
        <v>495</v>
      </c>
      <c r="O12" s="555"/>
    </row>
    <row r="13" s="611" customFormat="true" ht="72.75" hidden="false" customHeight="true" outlineLevel="0" collapsed="false">
      <c r="A13" s="606" t="s">
        <v>496</v>
      </c>
      <c r="B13" s="606"/>
      <c r="C13" s="606" t="s">
        <v>497</v>
      </c>
      <c r="D13" s="607" t="s">
        <v>498</v>
      </c>
      <c r="E13" s="608" t="s">
        <v>499</v>
      </c>
      <c r="F13" s="608" t="s">
        <v>500</v>
      </c>
      <c r="G13" s="608" t="s">
        <v>501</v>
      </c>
      <c r="H13" s="609" t="s">
        <v>502</v>
      </c>
      <c r="I13" s="610"/>
    </row>
    <row r="14" s="621" customFormat="true" ht="123" hidden="false" customHeight="true" outlineLevel="0" collapsed="false">
      <c r="A14" s="612" t="s">
        <v>375</v>
      </c>
      <c r="B14" s="613" t="s">
        <v>503</v>
      </c>
      <c r="C14" s="614" t="n">
        <v>0.6</v>
      </c>
      <c r="D14" s="615" t="n">
        <f aca="false">C14</f>
        <v>0.6</v>
      </c>
      <c r="E14" s="616" t="n">
        <f aca="false">D14</f>
        <v>0.6</v>
      </c>
      <c r="F14" s="617" t="n">
        <v>11538.89</v>
      </c>
      <c r="G14" s="617" t="n">
        <f aca="false">F14-D14</f>
        <v>11538.29</v>
      </c>
      <c r="H14" s="618" t="n">
        <f aca="false">F423</f>
        <v>595.453999999986</v>
      </c>
      <c r="I14" s="619"/>
      <c r="J14" s="620"/>
      <c r="K14" s="620"/>
      <c r="L14" s="620"/>
      <c r="O14" s="622"/>
    </row>
    <row r="15" s="621" customFormat="true" ht="91.5" hidden="false" customHeight="true" outlineLevel="0" collapsed="false">
      <c r="A15" s="612"/>
      <c r="B15" s="613" t="s">
        <v>504</v>
      </c>
      <c r="C15" s="614" t="n">
        <v>4.96</v>
      </c>
      <c r="D15" s="623" t="n">
        <f aca="false">C15</f>
        <v>4.96</v>
      </c>
      <c r="E15" s="624" t="n">
        <f aca="false">E14+D15</f>
        <v>5.56</v>
      </c>
      <c r="F15" s="624" t="n">
        <f aca="false">F14-D14</f>
        <v>11538.29</v>
      </c>
      <c r="G15" s="625" t="n">
        <f aca="false">G14-D15</f>
        <v>11533.33</v>
      </c>
      <c r="H15" s="626" t="n">
        <f aca="false">F14-H14</f>
        <v>10943.436</v>
      </c>
      <c r="I15" s="627"/>
      <c r="J15" s="628"/>
      <c r="K15" s="629"/>
      <c r="L15" s="629"/>
      <c r="O15" s="630"/>
      <c r="P15" s="631"/>
      <c r="Q15" s="631"/>
      <c r="R15" s="631"/>
      <c r="S15" s="631"/>
      <c r="T15" s="631"/>
    </row>
    <row r="16" s="621" customFormat="true" ht="39" hidden="false" customHeight="true" outlineLevel="0" collapsed="false">
      <c r="A16" s="632" t="s">
        <v>505</v>
      </c>
      <c r="B16" s="632" t="s">
        <v>506</v>
      </c>
      <c r="C16" s="633" t="n">
        <v>31</v>
      </c>
      <c r="D16" s="634" t="n">
        <f aca="false">C16-0.301</f>
        <v>30.699</v>
      </c>
      <c r="E16" s="635" t="n">
        <f aca="false">E15+D16</f>
        <v>36.259</v>
      </c>
      <c r="F16" s="635" t="n">
        <f aca="false">F15-D15</f>
        <v>11533.33</v>
      </c>
      <c r="G16" s="636" t="n">
        <f aca="false">G15-D16</f>
        <v>11502.631</v>
      </c>
      <c r="H16" s="637"/>
      <c r="O16" s="630"/>
      <c r="P16" s="631"/>
      <c r="Q16" s="631"/>
      <c r="R16" s="631"/>
      <c r="S16" s="631"/>
      <c r="T16" s="631"/>
    </row>
    <row r="17" s="621" customFormat="true" ht="39.75" hidden="false" customHeight="true" outlineLevel="0" collapsed="false">
      <c r="A17" s="632" t="s">
        <v>507</v>
      </c>
      <c r="B17" s="632" t="s">
        <v>506</v>
      </c>
      <c r="C17" s="633" t="n">
        <v>31</v>
      </c>
      <c r="D17" s="634" t="n">
        <f aca="false">C17-0.301</f>
        <v>30.699</v>
      </c>
      <c r="E17" s="635" t="n">
        <f aca="false">E16+D17</f>
        <v>66.958</v>
      </c>
      <c r="F17" s="635" t="n">
        <f aca="false">F16-D16</f>
        <v>11502.631</v>
      </c>
      <c r="G17" s="636" t="n">
        <f aca="false">G16-D17</f>
        <v>11471.932</v>
      </c>
      <c r="H17" s="638"/>
      <c r="O17" s="630"/>
      <c r="P17" s="631"/>
      <c r="Q17" s="631"/>
      <c r="R17" s="631"/>
      <c r="S17" s="631"/>
      <c r="T17" s="631"/>
    </row>
    <row r="18" s="621" customFormat="true" ht="39.75" hidden="false" customHeight="true" outlineLevel="0" collapsed="false">
      <c r="A18" s="632" t="s">
        <v>508</v>
      </c>
      <c r="B18" s="632" t="s">
        <v>506</v>
      </c>
      <c r="C18" s="633" t="n">
        <v>31</v>
      </c>
      <c r="D18" s="634" t="n">
        <f aca="false">C18-0.301</f>
        <v>30.699</v>
      </c>
      <c r="E18" s="635" t="n">
        <f aca="false">E17+D18</f>
        <v>97.657</v>
      </c>
      <c r="F18" s="635" t="n">
        <f aca="false">F17-D17</f>
        <v>11471.932</v>
      </c>
      <c r="G18" s="636" t="n">
        <f aca="false">G17-D18</f>
        <v>11441.233</v>
      </c>
      <c r="H18" s="637"/>
      <c r="I18" s="639"/>
      <c r="O18" s="630"/>
      <c r="P18" s="631"/>
      <c r="Q18" s="631"/>
      <c r="R18" s="631"/>
      <c r="S18" s="631"/>
      <c r="T18" s="631"/>
    </row>
    <row r="19" s="621" customFormat="true" ht="39.75" hidden="false" customHeight="true" outlineLevel="0" collapsed="false">
      <c r="A19" s="632" t="s">
        <v>509</v>
      </c>
      <c r="B19" s="632" t="s">
        <v>506</v>
      </c>
      <c r="C19" s="633" t="n">
        <v>31</v>
      </c>
      <c r="D19" s="634" t="n">
        <f aca="false">C19-0.301</f>
        <v>30.699</v>
      </c>
      <c r="E19" s="635" t="n">
        <f aca="false">E18+D19</f>
        <v>128.356</v>
      </c>
      <c r="F19" s="635" t="n">
        <f aca="false">F18-D18</f>
        <v>11441.233</v>
      </c>
      <c r="G19" s="636" t="n">
        <f aca="false">G18-D19</f>
        <v>11410.534</v>
      </c>
      <c r="H19" s="638"/>
      <c r="O19" s="630"/>
      <c r="P19" s="631"/>
      <c r="Q19" s="631"/>
      <c r="R19" s="631"/>
      <c r="S19" s="631"/>
      <c r="T19" s="631"/>
    </row>
    <row r="20" s="621" customFormat="true" ht="39.75" hidden="false" customHeight="true" outlineLevel="0" collapsed="false">
      <c r="A20" s="632" t="s">
        <v>510</v>
      </c>
      <c r="B20" s="632" t="s">
        <v>506</v>
      </c>
      <c r="C20" s="633" t="n">
        <v>31</v>
      </c>
      <c r="D20" s="634" t="n">
        <f aca="false">C20-0.301</f>
        <v>30.699</v>
      </c>
      <c r="E20" s="635" t="n">
        <f aca="false">E19+D20</f>
        <v>159.055</v>
      </c>
      <c r="F20" s="635" t="n">
        <f aca="false">F19-D19</f>
        <v>11410.534</v>
      </c>
      <c r="G20" s="636" t="n">
        <f aca="false">G19-D20</f>
        <v>11379.835</v>
      </c>
      <c r="H20" s="640"/>
      <c r="I20" s="641"/>
      <c r="K20" s="642"/>
      <c r="O20" s="630"/>
      <c r="P20" s="631"/>
      <c r="Q20" s="631"/>
      <c r="R20" s="631"/>
      <c r="S20" s="631"/>
      <c r="T20" s="631"/>
    </row>
    <row r="21" s="621" customFormat="true" ht="39.75" hidden="false" customHeight="true" outlineLevel="0" collapsed="false">
      <c r="A21" s="643" t="s">
        <v>511</v>
      </c>
      <c r="B21" s="644" t="s">
        <v>512</v>
      </c>
      <c r="C21" s="645" t="n">
        <v>5.18</v>
      </c>
      <c r="D21" s="634" t="n">
        <f aca="false">C21-0.301</f>
        <v>4.879</v>
      </c>
      <c r="E21" s="635" t="n">
        <f aca="false">E20+D21</f>
        <v>163.934</v>
      </c>
      <c r="F21" s="635" t="n">
        <f aca="false">F20-D20</f>
        <v>11379.835</v>
      </c>
      <c r="G21" s="636" t="n">
        <f aca="false">G20-D21</f>
        <v>11374.956</v>
      </c>
      <c r="H21" s="640"/>
      <c r="I21" s="641"/>
      <c r="K21" s="642"/>
      <c r="O21" s="630"/>
      <c r="P21" s="631"/>
      <c r="Q21" s="631"/>
      <c r="R21" s="631"/>
      <c r="S21" s="631"/>
      <c r="T21" s="631"/>
    </row>
    <row r="22" s="621" customFormat="true" ht="39.75" hidden="false" customHeight="true" outlineLevel="0" collapsed="false">
      <c r="A22" s="643"/>
      <c r="B22" s="644" t="s">
        <v>513</v>
      </c>
      <c r="C22" s="645" t="n">
        <v>30.88</v>
      </c>
      <c r="D22" s="634" t="n">
        <f aca="false">C22-0.301</f>
        <v>30.579</v>
      </c>
      <c r="E22" s="635" t="n">
        <f aca="false">E21+D22</f>
        <v>194.513</v>
      </c>
      <c r="F22" s="635" t="n">
        <f aca="false">F21-D21</f>
        <v>11374.956</v>
      </c>
      <c r="G22" s="636" t="n">
        <f aca="false">G21-D22</f>
        <v>11344.377</v>
      </c>
      <c r="H22" s="640"/>
      <c r="I22" s="641"/>
      <c r="K22" s="642"/>
      <c r="O22" s="630"/>
      <c r="P22" s="631"/>
      <c r="Q22" s="631"/>
      <c r="R22" s="631"/>
      <c r="S22" s="631"/>
      <c r="T22" s="631"/>
    </row>
    <row r="23" s="621" customFormat="true" ht="39.75" hidden="false" customHeight="true" outlineLevel="0" collapsed="false">
      <c r="A23" s="643"/>
      <c r="B23" s="644" t="s">
        <v>514</v>
      </c>
      <c r="C23" s="645" t="n">
        <v>2.78</v>
      </c>
      <c r="D23" s="634" t="n">
        <f aca="false">C23-0.301</f>
        <v>2.479</v>
      </c>
      <c r="E23" s="635" t="n">
        <f aca="false">E22+D23</f>
        <v>196.992</v>
      </c>
      <c r="F23" s="635" t="n">
        <f aca="false">F22-D22</f>
        <v>11344.377</v>
      </c>
      <c r="G23" s="636" t="n">
        <f aca="false">G22-D23</f>
        <v>11341.898</v>
      </c>
      <c r="H23" s="640"/>
      <c r="I23" s="641"/>
      <c r="K23" s="642"/>
      <c r="O23" s="630"/>
      <c r="P23" s="631"/>
      <c r="Q23" s="631"/>
      <c r="R23" s="631"/>
      <c r="S23" s="631"/>
      <c r="T23" s="631"/>
    </row>
    <row r="24" s="621" customFormat="true" ht="39.75" hidden="false" customHeight="true" outlineLevel="0" collapsed="false">
      <c r="A24" s="632" t="s">
        <v>515</v>
      </c>
      <c r="B24" s="632" t="s">
        <v>506</v>
      </c>
      <c r="C24" s="633" t="n">
        <v>31</v>
      </c>
      <c r="D24" s="634" t="n">
        <f aca="false">C24-0.301</f>
        <v>30.699</v>
      </c>
      <c r="E24" s="635" t="n">
        <f aca="false">E23+D24</f>
        <v>227.691</v>
      </c>
      <c r="F24" s="635" t="n">
        <f aca="false">F23-D23</f>
        <v>11341.898</v>
      </c>
      <c r="G24" s="636" t="n">
        <f aca="false">G23-D24</f>
        <v>11311.199</v>
      </c>
      <c r="H24" s="637"/>
      <c r="O24" s="630"/>
      <c r="P24" s="631"/>
      <c r="Q24" s="631"/>
      <c r="R24" s="631"/>
      <c r="S24" s="631"/>
      <c r="T24" s="631"/>
    </row>
    <row r="25" s="621" customFormat="true" ht="39.75" hidden="false" customHeight="true" outlineLevel="0" collapsed="false">
      <c r="A25" s="632" t="s">
        <v>516</v>
      </c>
      <c r="B25" s="632" t="s">
        <v>506</v>
      </c>
      <c r="C25" s="633" t="n">
        <v>31</v>
      </c>
      <c r="D25" s="634" t="n">
        <f aca="false">C25-0.301</f>
        <v>30.699</v>
      </c>
      <c r="E25" s="635" t="n">
        <f aca="false">E24+D25</f>
        <v>258.39</v>
      </c>
      <c r="F25" s="635" t="n">
        <f aca="false">F24-D24</f>
        <v>11311.199</v>
      </c>
      <c r="G25" s="636" t="n">
        <f aca="false">G24-D25</f>
        <v>11280.5</v>
      </c>
      <c r="H25" s="637"/>
      <c r="O25" s="630"/>
      <c r="P25" s="631"/>
      <c r="Q25" s="631"/>
      <c r="R25" s="631"/>
      <c r="S25" s="631"/>
      <c r="T25" s="631"/>
    </row>
    <row r="26" s="621" customFormat="true" ht="39.75" hidden="false" customHeight="true" outlineLevel="0" collapsed="false">
      <c r="A26" s="632" t="s">
        <v>517</v>
      </c>
      <c r="B26" s="632" t="s">
        <v>506</v>
      </c>
      <c r="C26" s="633" t="n">
        <v>31</v>
      </c>
      <c r="D26" s="634" t="n">
        <f aca="false">C26-0.301</f>
        <v>30.699</v>
      </c>
      <c r="E26" s="635" t="n">
        <f aca="false">E25+D26</f>
        <v>289.089</v>
      </c>
      <c r="F26" s="635" t="n">
        <f aca="false">F25-D25</f>
        <v>11280.5</v>
      </c>
      <c r="G26" s="636" t="n">
        <f aca="false">G25-D26</f>
        <v>11249.801</v>
      </c>
      <c r="H26" s="637"/>
      <c r="O26" s="630"/>
      <c r="P26" s="631"/>
      <c r="Q26" s="631"/>
      <c r="R26" s="631"/>
      <c r="S26" s="631"/>
      <c r="T26" s="631"/>
    </row>
    <row r="27" s="621" customFormat="true" ht="39" hidden="false" customHeight="true" outlineLevel="0" collapsed="false">
      <c r="A27" s="632" t="s">
        <v>518</v>
      </c>
      <c r="B27" s="632" t="s">
        <v>506</v>
      </c>
      <c r="C27" s="633" t="n">
        <v>31</v>
      </c>
      <c r="D27" s="634" t="n">
        <f aca="false">C27-0.301</f>
        <v>30.699</v>
      </c>
      <c r="E27" s="635" t="n">
        <f aca="false">E26+D27</f>
        <v>319.788</v>
      </c>
      <c r="F27" s="635" t="n">
        <f aca="false">F26-D26</f>
        <v>11249.801</v>
      </c>
      <c r="G27" s="636" t="n">
        <f aca="false">G26-D27</f>
        <v>11219.102</v>
      </c>
      <c r="H27" s="637"/>
      <c r="O27" s="630"/>
      <c r="P27" s="631"/>
      <c r="Q27" s="631"/>
      <c r="R27" s="631"/>
      <c r="S27" s="631"/>
      <c r="T27" s="631"/>
    </row>
    <row r="28" s="621" customFormat="true" ht="39.75" hidden="false" customHeight="true" outlineLevel="0" collapsed="false">
      <c r="A28" s="632" t="s">
        <v>519</v>
      </c>
      <c r="B28" s="632" t="s">
        <v>506</v>
      </c>
      <c r="C28" s="633" t="n">
        <v>31</v>
      </c>
      <c r="D28" s="634" t="n">
        <f aca="false">C28-0.301</f>
        <v>30.699</v>
      </c>
      <c r="E28" s="635" t="n">
        <f aca="false">E27+D28</f>
        <v>350.487</v>
      </c>
      <c r="F28" s="635" t="n">
        <f aca="false">F27-D27</f>
        <v>11219.102</v>
      </c>
      <c r="G28" s="636" t="n">
        <f aca="false">G27-D28</f>
        <v>11188.403</v>
      </c>
      <c r="H28" s="637"/>
      <c r="O28" s="630"/>
      <c r="P28" s="631"/>
      <c r="Q28" s="631"/>
      <c r="R28" s="631"/>
      <c r="S28" s="631"/>
      <c r="T28" s="631"/>
    </row>
    <row r="29" s="621" customFormat="true" ht="39.75" hidden="false" customHeight="true" outlineLevel="0" collapsed="false">
      <c r="A29" s="632" t="s">
        <v>520</v>
      </c>
      <c r="B29" s="632" t="s">
        <v>506</v>
      </c>
      <c r="C29" s="633" t="n">
        <v>31</v>
      </c>
      <c r="D29" s="634" t="n">
        <f aca="false">C29-0.301</f>
        <v>30.699</v>
      </c>
      <c r="E29" s="635" t="n">
        <f aca="false">E28+D29</f>
        <v>381.186</v>
      </c>
      <c r="F29" s="635" t="n">
        <f aca="false">F28-D28</f>
        <v>11188.403</v>
      </c>
      <c r="G29" s="636" t="n">
        <f aca="false">G28-D29</f>
        <v>11157.704</v>
      </c>
      <c r="H29" s="637"/>
      <c r="O29" s="630"/>
    </row>
    <row r="30" s="621" customFormat="true" ht="39.75" hidden="false" customHeight="true" outlineLevel="0" collapsed="false">
      <c r="A30" s="632" t="s">
        <v>521</v>
      </c>
      <c r="B30" s="632" t="s">
        <v>506</v>
      </c>
      <c r="C30" s="633" t="n">
        <v>31</v>
      </c>
      <c r="D30" s="634" t="n">
        <f aca="false">C30-0.301</f>
        <v>30.699</v>
      </c>
      <c r="E30" s="635" t="n">
        <f aca="false">E29+D30</f>
        <v>411.885</v>
      </c>
      <c r="F30" s="635" t="n">
        <f aca="false">F29-D29</f>
        <v>11157.704</v>
      </c>
      <c r="G30" s="636" t="n">
        <f aca="false">G29-D30</f>
        <v>11127.005</v>
      </c>
      <c r="H30" s="637"/>
      <c r="O30" s="630"/>
    </row>
    <row r="31" s="621" customFormat="true" ht="39.75" hidden="false" customHeight="true" outlineLevel="0" collapsed="false">
      <c r="A31" s="632" t="s">
        <v>522</v>
      </c>
      <c r="B31" s="632" t="s">
        <v>506</v>
      </c>
      <c r="C31" s="633" t="n">
        <v>31</v>
      </c>
      <c r="D31" s="634" t="n">
        <f aca="false">C31-0.301</f>
        <v>30.699</v>
      </c>
      <c r="E31" s="635" t="n">
        <f aca="false">E30+D31</f>
        <v>442.584</v>
      </c>
      <c r="F31" s="635" t="n">
        <f aca="false">F30-D30</f>
        <v>11127.005</v>
      </c>
      <c r="G31" s="636" t="n">
        <f aca="false">G30-D31</f>
        <v>11096.306</v>
      </c>
      <c r="H31" s="637"/>
      <c r="O31" s="630"/>
    </row>
    <row r="32" s="621" customFormat="true" ht="39.75" hidden="false" customHeight="true" outlineLevel="0" collapsed="false">
      <c r="A32" s="632" t="s">
        <v>523</v>
      </c>
      <c r="B32" s="632" t="s">
        <v>506</v>
      </c>
      <c r="C32" s="633" t="n">
        <v>31</v>
      </c>
      <c r="D32" s="634" t="n">
        <f aca="false">C32-0.301</f>
        <v>30.699</v>
      </c>
      <c r="E32" s="635" t="n">
        <f aca="false">E31+D32</f>
        <v>473.283</v>
      </c>
      <c r="F32" s="635" t="n">
        <f aca="false">F31-D31</f>
        <v>11096.306</v>
      </c>
      <c r="G32" s="636" t="n">
        <f aca="false">G31-D32</f>
        <v>11065.607</v>
      </c>
      <c r="H32" s="637"/>
    </row>
    <row r="33" s="621" customFormat="true" ht="39.75" hidden="false" customHeight="true" outlineLevel="0" collapsed="false">
      <c r="A33" s="632" t="s">
        <v>524</v>
      </c>
      <c r="B33" s="632" t="s">
        <v>506</v>
      </c>
      <c r="C33" s="633" t="n">
        <v>31</v>
      </c>
      <c r="D33" s="634" t="n">
        <f aca="false">C33-0.301</f>
        <v>30.699</v>
      </c>
      <c r="E33" s="635" t="n">
        <f aca="false">E32+D33</f>
        <v>503.982</v>
      </c>
      <c r="F33" s="635" t="n">
        <f aca="false">F32-D32</f>
        <v>11065.607</v>
      </c>
      <c r="G33" s="636" t="n">
        <f aca="false">G32-D33</f>
        <v>11034.908</v>
      </c>
      <c r="H33" s="637"/>
    </row>
    <row r="34" s="621" customFormat="true" ht="39.75" hidden="false" customHeight="true" outlineLevel="0" collapsed="false">
      <c r="A34" s="646" t="s">
        <v>388</v>
      </c>
      <c r="B34" s="647" t="s">
        <v>525</v>
      </c>
      <c r="C34" s="648" t="n">
        <v>5.18</v>
      </c>
      <c r="D34" s="634" t="n">
        <f aca="false">C34-0.301</f>
        <v>4.879</v>
      </c>
      <c r="E34" s="635" t="n">
        <f aca="false">E33+D34</f>
        <v>508.861</v>
      </c>
      <c r="F34" s="635" t="n">
        <f aca="false">F33-D33</f>
        <v>11034.908</v>
      </c>
      <c r="G34" s="636" t="n">
        <f aca="false">G33-D34</f>
        <v>11030.029</v>
      </c>
      <c r="H34" s="637"/>
    </row>
    <row r="35" s="621" customFormat="true" ht="39.75" hidden="false" customHeight="true" outlineLevel="0" collapsed="false">
      <c r="A35" s="646"/>
      <c r="B35" s="647" t="s">
        <v>526</v>
      </c>
      <c r="C35" s="648" t="n">
        <v>4.91</v>
      </c>
      <c r="D35" s="634" t="n">
        <f aca="false">C35-0.301</f>
        <v>4.609</v>
      </c>
      <c r="E35" s="635" t="n">
        <f aca="false">E34+D35</f>
        <v>513.47</v>
      </c>
      <c r="F35" s="635" t="n">
        <f aca="false">F34-D34</f>
        <v>11030.029</v>
      </c>
      <c r="G35" s="636" t="n">
        <f aca="false">G34-D35</f>
        <v>11025.42</v>
      </c>
      <c r="H35" s="637"/>
    </row>
    <row r="36" s="621" customFormat="true" ht="39.75" hidden="false" customHeight="true" outlineLevel="0" collapsed="false">
      <c r="A36" s="646"/>
      <c r="B36" s="647" t="s">
        <v>527</v>
      </c>
      <c r="C36" s="648" t="n">
        <v>5.22</v>
      </c>
      <c r="D36" s="634" t="n">
        <f aca="false">C36-0.301</f>
        <v>4.919</v>
      </c>
      <c r="E36" s="635" t="n">
        <f aca="false">E35+D36</f>
        <v>518.389</v>
      </c>
      <c r="F36" s="635" t="n">
        <f aca="false">F35-D35</f>
        <v>11025.42</v>
      </c>
      <c r="G36" s="636" t="n">
        <f aca="false">G35-D36</f>
        <v>11020.501</v>
      </c>
      <c r="H36" s="637"/>
    </row>
    <row r="37" s="621" customFormat="true" ht="39.75" hidden="false" customHeight="true" outlineLevel="0" collapsed="false">
      <c r="A37" s="646"/>
      <c r="B37" s="647" t="s">
        <v>528</v>
      </c>
      <c r="C37" s="648" t="n">
        <v>4.8</v>
      </c>
      <c r="D37" s="634" t="n">
        <f aca="false">C37-0.301</f>
        <v>4.499</v>
      </c>
      <c r="E37" s="635" t="n">
        <f aca="false">E36+D37</f>
        <v>522.888</v>
      </c>
      <c r="F37" s="635" t="n">
        <f aca="false">F36-D36</f>
        <v>11020.501</v>
      </c>
      <c r="G37" s="636" t="n">
        <f aca="false">G36-D37</f>
        <v>11016.002</v>
      </c>
      <c r="H37" s="637"/>
    </row>
    <row r="38" s="621" customFormat="true" ht="39.75" hidden="false" customHeight="true" outlineLevel="0" collapsed="false">
      <c r="A38" s="646"/>
      <c r="B38" s="647" t="s">
        <v>529</v>
      </c>
      <c r="C38" s="648" t="n">
        <v>9.83</v>
      </c>
      <c r="D38" s="634" t="n">
        <f aca="false">C38-0.301</f>
        <v>9.529</v>
      </c>
      <c r="E38" s="635" t="n">
        <f aca="false">E37+D38</f>
        <v>532.417</v>
      </c>
      <c r="F38" s="635" t="n">
        <f aca="false">F37-D37</f>
        <v>11016.002</v>
      </c>
      <c r="G38" s="636" t="n">
        <f aca="false">G37-D38</f>
        <v>11006.473</v>
      </c>
      <c r="H38" s="637"/>
    </row>
    <row r="39" s="621" customFormat="true" ht="39.75" hidden="false" customHeight="true" outlineLevel="0" collapsed="false">
      <c r="A39" s="632" t="s">
        <v>530</v>
      </c>
      <c r="B39" s="632" t="s">
        <v>506</v>
      </c>
      <c r="C39" s="633" t="n">
        <v>31</v>
      </c>
      <c r="D39" s="634" t="n">
        <f aca="false">C39-0.301</f>
        <v>30.699</v>
      </c>
      <c r="E39" s="635" t="n">
        <f aca="false">E38+D39</f>
        <v>563.116</v>
      </c>
      <c r="F39" s="635" t="n">
        <f aca="false">F38-D38</f>
        <v>11006.473</v>
      </c>
      <c r="G39" s="636" t="n">
        <f aca="false">G38-D39</f>
        <v>10975.774</v>
      </c>
      <c r="H39" s="637"/>
    </row>
    <row r="40" s="621" customFormat="true" ht="39.75" hidden="false" customHeight="true" outlineLevel="0" collapsed="false">
      <c r="A40" s="632" t="s">
        <v>531</v>
      </c>
      <c r="B40" s="632" t="s">
        <v>506</v>
      </c>
      <c r="C40" s="633" t="n">
        <v>31</v>
      </c>
      <c r="D40" s="634" t="n">
        <f aca="false">C40-0.301</f>
        <v>30.699</v>
      </c>
      <c r="E40" s="635" t="n">
        <f aca="false">E39+D40</f>
        <v>593.815</v>
      </c>
      <c r="F40" s="635" t="n">
        <f aca="false">F39-D39</f>
        <v>10975.774</v>
      </c>
      <c r="G40" s="636" t="n">
        <f aca="false">G39-D40</f>
        <v>10945.075</v>
      </c>
      <c r="H40" s="637"/>
    </row>
    <row r="41" s="621" customFormat="true" ht="39.75" hidden="false" customHeight="true" outlineLevel="0" collapsed="false">
      <c r="A41" s="632" t="s">
        <v>532</v>
      </c>
      <c r="B41" s="632" t="s">
        <v>506</v>
      </c>
      <c r="C41" s="633" t="n">
        <v>31</v>
      </c>
      <c r="D41" s="634" t="n">
        <f aca="false">C41-0.301</f>
        <v>30.699</v>
      </c>
      <c r="E41" s="635" t="n">
        <f aca="false">E40+D41</f>
        <v>624.514</v>
      </c>
      <c r="F41" s="635" t="n">
        <f aca="false">F40-D40</f>
        <v>10945.075</v>
      </c>
      <c r="G41" s="636" t="n">
        <f aca="false">G40-D41</f>
        <v>10914.376</v>
      </c>
      <c r="H41" s="637"/>
    </row>
    <row r="42" s="621" customFormat="true" ht="39.75" hidden="false" customHeight="true" outlineLevel="0" collapsed="false">
      <c r="A42" s="632" t="s">
        <v>533</v>
      </c>
      <c r="B42" s="632" t="s">
        <v>506</v>
      </c>
      <c r="C42" s="633" t="n">
        <v>31</v>
      </c>
      <c r="D42" s="634" t="n">
        <f aca="false">C42-0.301</f>
        <v>30.699</v>
      </c>
      <c r="E42" s="635" t="n">
        <f aca="false">E41+D42</f>
        <v>655.213</v>
      </c>
      <c r="F42" s="635" t="n">
        <f aca="false">F41-D41</f>
        <v>10914.376</v>
      </c>
      <c r="G42" s="636" t="n">
        <f aca="false">G41-D42</f>
        <v>10883.677</v>
      </c>
      <c r="H42" s="637"/>
    </row>
    <row r="43" s="621" customFormat="true" ht="39.75" hidden="false" customHeight="true" outlineLevel="0" collapsed="false">
      <c r="A43" s="632" t="s">
        <v>534</v>
      </c>
      <c r="B43" s="632" t="s">
        <v>506</v>
      </c>
      <c r="C43" s="633" t="n">
        <v>31</v>
      </c>
      <c r="D43" s="634" t="n">
        <f aca="false">C43-0.301</f>
        <v>30.699</v>
      </c>
      <c r="E43" s="635" t="n">
        <f aca="false">E42+D43</f>
        <v>685.912</v>
      </c>
      <c r="F43" s="635" t="n">
        <f aca="false">F42-D42</f>
        <v>10883.677</v>
      </c>
      <c r="G43" s="636" t="n">
        <f aca="false">G42-D43</f>
        <v>10852.978</v>
      </c>
      <c r="H43" s="637"/>
    </row>
    <row r="44" s="621" customFormat="true" ht="39.75" hidden="false" customHeight="true" outlineLevel="0" collapsed="false">
      <c r="A44" s="632" t="s">
        <v>535</v>
      </c>
      <c r="B44" s="632" t="s">
        <v>506</v>
      </c>
      <c r="C44" s="633" t="n">
        <v>31</v>
      </c>
      <c r="D44" s="634" t="n">
        <f aca="false">C44-0.301</f>
        <v>30.699</v>
      </c>
      <c r="E44" s="635" t="n">
        <f aca="false">E43+D44</f>
        <v>716.611</v>
      </c>
      <c r="F44" s="635" t="n">
        <f aca="false">F43-D43</f>
        <v>10852.978</v>
      </c>
      <c r="G44" s="636" t="n">
        <f aca="false">G43-D44</f>
        <v>10822.279</v>
      </c>
      <c r="H44" s="637"/>
    </row>
    <row r="45" s="621" customFormat="true" ht="39.75" hidden="false" customHeight="true" outlineLevel="0" collapsed="false">
      <c r="A45" s="632" t="s">
        <v>536</v>
      </c>
      <c r="B45" s="632" t="s">
        <v>506</v>
      </c>
      <c r="C45" s="633" t="n">
        <v>31</v>
      </c>
      <c r="D45" s="634" t="n">
        <f aca="false">C45-0.301</f>
        <v>30.699</v>
      </c>
      <c r="E45" s="635" t="n">
        <f aca="false">E44+D45</f>
        <v>747.31</v>
      </c>
      <c r="F45" s="635" t="n">
        <f aca="false">F44-D44</f>
        <v>10822.279</v>
      </c>
      <c r="G45" s="636" t="n">
        <f aca="false">G44-D45</f>
        <v>10791.58</v>
      </c>
      <c r="H45" s="637"/>
    </row>
    <row r="46" s="621" customFormat="true" ht="39.75" hidden="false" customHeight="true" outlineLevel="0" collapsed="false">
      <c r="A46" s="632" t="s">
        <v>537</v>
      </c>
      <c r="B46" s="632" t="s">
        <v>506</v>
      </c>
      <c r="C46" s="633" t="n">
        <v>31</v>
      </c>
      <c r="D46" s="634" t="n">
        <f aca="false">C46-0.301</f>
        <v>30.699</v>
      </c>
      <c r="E46" s="635" t="n">
        <f aca="false">E45+D46</f>
        <v>778.009</v>
      </c>
      <c r="F46" s="635" t="n">
        <f aca="false">F45-D45</f>
        <v>10791.58</v>
      </c>
      <c r="G46" s="636" t="n">
        <f aca="false">G45-D46</f>
        <v>10760.881</v>
      </c>
      <c r="H46" s="637"/>
    </row>
    <row r="47" s="621" customFormat="true" ht="39.75" hidden="false" customHeight="true" outlineLevel="0" collapsed="false">
      <c r="A47" s="632" t="s">
        <v>538</v>
      </c>
      <c r="B47" s="632" t="s">
        <v>506</v>
      </c>
      <c r="C47" s="633" t="n">
        <v>31</v>
      </c>
      <c r="D47" s="634" t="n">
        <f aca="false">C47-0.301</f>
        <v>30.699</v>
      </c>
      <c r="E47" s="635" t="n">
        <f aca="false">E46+D47</f>
        <v>808.708</v>
      </c>
      <c r="F47" s="635" t="n">
        <f aca="false">F46-D46</f>
        <v>10760.881</v>
      </c>
      <c r="G47" s="636" t="n">
        <f aca="false">G46-D47</f>
        <v>10730.182</v>
      </c>
      <c r="H47" s="637"/>
    </row>
    <row r="48" s="621" customFormat="true" ht="39.75" hidden="false" customHeight="true" outlineLevel="0" collapsed="false">
      <c r="A48" s="632" t="s">
        <v>539</v>
      </c>
      <c r="B48" s="632" t="s">
        <v>506</v>
      </c>
      <c r="C48" s="633" t="n">
        <v>31</v>
      </c>
      <c r="D48" s="634" t="n">
        <f aca="false">C48-0.301</f>
        <v>30.699</v>
      </c>
      <c r="E48" s="635" t="n">
        <f aca="false">E47+D48</f>
        <v>839.407</v>
      </c>
      <c r="F48" s="635" t="n">
        <f aca="false">F47-D47</f>
        <v>10730.182</v>
      </c>
      <c r="G48" s="636" t="n">
        <f aca="false">G47-D48</f>
        <v>10699.483</v>
      </c>
      <c r="H48" s="637"/>
    </row>
    <row r="49" s="621" customFormat="true" ht="39.75" hidden="false" customHeight="true" outlineLevel="0" collapsed="false">
      <c r="A49" s="632" t="s">
        <v>540</v>
      </c>
      <c r="B49" s="632" t="s">
        <v>506</v>
      </c>
      <c r="C49" s="633" t="n">
        <v>31</v>
      </c>
      <c r="D49" s="634" t="n">
        <f aca="false">C49-0.301</f>
        <v>30.699</v>
      </c>
      <c r="E49" s="635" t="n">
        <f aca="false">E48+D49</f>
        <v>870.106</v>
      </c>
      <c r="F49" s="635" t="n">
        <f aca="false">F48-D48</f>
        <v>10699.483</v>
      </c>
      <c r="G49" s="636" t="n">
        <f aca="false">G48-D49</f>
        <v>10668.784</v>
      </c>
      <c r="H49" s="637"/>
    </row>
    <row r="50" s="621" customFormat="true" ht="39.75" hidden="false" customHeight="true" outlineLevel="0" collapsed="false">
      <c r="A50" s="632" t="s">
        <v>541</v>
      </c>
      <c r="B50" s="632" t="s">
        <v>506</v>
      </c>
      <c r="C50" s="633" t="n">
        <v>31</v>
      </c>
      <c r="D50" s="634" t="n">
        <f aca="false">C50-0.301</f>
        <v>30.699</v>
      </c>
      <c r="E50" s="635" t="n">
        <f aca="false">E49+D50</f>
        <v>900.805</v>
      </c>
      <c r="F50" s="635" t="n">
        <f aca="false">F49-D49</f>
        <v>10668.784</v>
      </c>
      <c r="G50" s="636" t="n">
        <f aca="false">G49-D50</f>
        <v>10638.085</v>
      </c>
      <c r="H50" s="637"/>
    </row>
    <row r="51" s="621" customFormat="true" ht="39.75" hidden="false" customHeight="true" outlineLevel="0" collapsed="false">
      <c r="A51" s="632" t="s">
        <v>542</v>
      </c>
      <c r="B51" s="632" t="s">
        <v>506</v>
      </c>
      <c r="C51" s="633" t="n">
        <v>31</v>
      </c>
      <c r="D51" s="634" t="n">
        <f aca="false">C51-0.301</f>
        <v>30.699</v>
      </c>
      <c r="E51" s="635" t="n">
        <f aca="false">E50+D51</f>
        <v>931.504</v>
      </c>
      <c r="F51" s="635" t="n">
        <f aca="false">F50-D50</f>
        <v>10638.085</v>
      </c>
      <c r="G51" s="636" t="n">
        <f aca="false">G50-D51</f>
        <v>10607.386</v>
      </c>
      <c r="H51" s="637"/>
    </row>
    <row r="52" s="621" customFormat="true" ht="39.75" hidden="false" customHeight="true" outlineLevel="0" collapsed="false">
      <c r="A52" s="632" t="s">
        <v>543</v>
      </c>
      <c r="B52" s="632" t="s">
        <v>506</v>
      </c>
      <c r="C52" s="633" t="n">
        <v>31</v>
      </c>
      <c r="D52" s="634" t="n">
        <f aca="false">C52-0.301</f>
        <v>30.699</v>
      </c>
      <c r="E52" s="635" t="n">
        <f aca="false">E51+D52</f>
        <v>962.203</v>
      </c>
      <c r="F52" s="635" t="n">
        <f aca="false">F51-D51</f>
        <v>10607.386</v>
      </c>
      <c r="G52" s="636" t="n">
        <f aca="false">G51-D52</f>
        <v>10576.687</v>
      </c>
      <c r="H52" s="637"/>
    </row>
    <row r="53" s="621" customFormat="true" ht="39.75" hidden="false" customHeight="true" outlineLevel="0" collapsed="false">
      <c r="A53" s="632" t="s">
        <v>544</v>
      </c>
      <c r="B53" s="632" t="s">
        <v>506</v>
      </c>
      <c r="C53" s="633" t="n">
        <v>31</v>
      </c>
      <c r="D53" s="634" t="n">
        <f aca="false">C53-0.301</f>
        <v>30.699</v>
      </c>
      <c r="E53" s="635" t="n">
        <f aca="false">E52+D53</f>
        <v>992.902</v>
      </c>
      <c r="F53" s="635" t="n">
        <f aca="false">F52-D52</f>
        <v>10576.687</v>
      </c>
      <c r="G53" s="636" t="n">
        <f aca="false">G52-D53</f>
        <v>10545.988</v>
      </c>
      <c r="H53" s="637"/>
    </row>
    <row r="54" s="621" customFormat="true" ht="39.75" hidden="false" customHeight="true" outlineLevel="0" collapsed="false">
      <c r="A54" s="632" t="s">
        <v>545</v>
      </c>
      <c r="B54" s="632" t="s">
        <v>506</v>
      </c>
      <c r="C54" s="633" t="n">
        <v>31</v>
      </c>
      <c r="D54" s="634" t="n">
        <f aca="false">C54-0.301</f>
        <v>30.699</v>
      </c>
      <c r="E54" s="635" t="n">
        <f aca="false">E53+D54</f>
        <v>1023.601</v>
      </c>
      <c r="F54" s="635" t="n">
        <f aca="false">F53-D53</f>
        <v>10545.988</v>
      </c>
      <c r="G54" s="636" t="n">
        <f aca="false">G53-D54</f>
        <v>10515.289</v>
      </c>
      <c r="H54" s="637"/>
    </row>
    <row r="55" s="621" customFormat="true" ht="39.75" hidden="false" customHeight="true" outlineLevel="0" collapsed="false">
      <c r="A55" s="632" t="s">
        <v>546</v>
      </c>
      <c r="B55" s="632" t="s">
        <v>506</v>
      </c>
      <c r="C55" s="633" t="n">
        <v>31</v>
      </c>
      <c r="D55" s="634" t="n">
        <f aca="false">C55-0.301</f>
        <v>30.699</v>
      </c>
      <c r="E55" s="635" t="n">
        <f aca="false">E54+D55</f>
        <v>1054.3</v>
      </c>
      <c r="F55" s="635" t="n">
        <f aca="false">F54-D54</f>
        <v>10515.289</v>
      </c>
      <c r="G55" s="636" t="n">
        <f aca="false">G54-D55</f>
        <v>10484.59</v>
      </c>
      <c r="H55" s="637"/>
    </row>
    <row r="56" s="621" customFormat="true" ht="39.75" hidden="false" customHeight="true" outlineLevel="0" collapsed="false">
      <c r="A56" s="632" t="s">
        <v>547</v>
      </c>
      <c r="B56" s="632" t="s">
        <v>506</v>
      </c>
      <c r="C56" s="633" t="n">
        <v>31</v>
      </c>
      <c r="D56" s="634" t="n">
        <f aca="false">C56-0.301</f>
        <v>30.699</v>
      </c>
      <c r="E56" s="635" t="n">
        <f aca="false">E55+D56</f>
        <v>1084.999</v>
      </c>
      <c r="F56" s="635" t="n">
        <f aca="false">F55-D55</f>
        <v>10484.59</v>
      </c>
      <c r="G56" s="636" t="n">
        <f aca="false">G55-D56</f>
        <v>10453.891</v>
      </c>
      <c r="H56" s="637"/>
    </row>
    <row r="57" s="621" customFormat="true" ht="39.75" hidden="false" customHeight="true" outlineLevel="0" collapsed="false">
      <c r="A57" s="632" t="s">
        <v>548</v>
      </c>
      <c r="B57" s="632" t="s">
        <v>506</v>
      </c>
      <c r="C57" s="633" t="n">
        <v>31</v>
      </c>
      <c r="D57" s="634" t="n">
        <f aca="false">C57-0.301</f>
        <v>30.699</v>
      </c>
      <c r="E57" s="635" t="n">
        <f aca="false">E56+D57</f>
        <v>1115.698</v>
      </c>
      <c r="F57" s="635" t="n">
        <f aca="false">F56-D56</f>
        <v>10453.891</v>
      </c>
      <c r="G57" s="636" t="n">
        <f aca="false">G56-D57</f>
        <v>10423.192</v>
      </c>
      <c r="H57" s="637"/>
    </row>
    <row r="58" s="621" customFormat="true" ht="39.75" hidden="false" customHeight="true" outlineLevel="0" collapsed="false">
      <c r="A58" s="632" t="s">
        <v>549</v>
      </c>
      <c r="B58" s="632" t="s">
        <v>506</v>
      </c>
      <c r="C58" s="633" t="n">
        <v>31</v>
      </c>
      <c r="D58" s="634" t="n">
        <f aca="false">C58-0.301</f>
        <v>30.699</v>
      </c>
      <c r="E58" s="635" t="n">
        <f aca="false">E57+D58</f>
        <v>1146.397</v>
      </c>
      <c r="F58" s="635" t="n">
        <f aca="false">F57-D57</f>
        <v>10423.192</v>
      </c>
      <c r="G58" s="636" t="n">
        <f aca="false">G57-D58</f>
        <v>10392.493</v>
      </c>
      <c r="H58" s="637"/>
    </row>
    <row r="59" s="621" customFormat="true" ht="39.75" hidden="false" customHeight="true" outlineLevel="0" collapsed="false">
      <c r="A59" s="632" t="s">
        <v>550</v>
      </c>
      <c r="B59" s="632" t="s">
        <v>506</v>
      </c>
      <c r="C59" s="633" t="n">
        <v>31</v>
      </c>
      <c r="D59" s="634" t="n">
        <f aca="false">C59-0.301</f>
        <v>30.699</v>
      </c>
      <c r="E59" s="635" t="n">
        <f aca="false">E58+D59</f>
        <v>1177.096</v>
      </c>
      <c r="F59" s="635" t="n">
        <f aca="false">F58-D58</f>
        <v>10392.493</v>
      </c>
      <c r="G59" s="636" t="n">
        <f aca="false">G58-D59</f>
        <v>10361.794</v>
      </c>
      <c r="H59" s="637"/>
    </row>
    <row r="60" s="621" customFormat="true" ht="39.75" hidden="false" customHeight="true" outlineLevel="0" collapsed="false">
      <c r="A60" s="632" t="s">
        <v>551</v>
      </c>
      <c r="B60" s="632" t="s">
        <v>506</v>
      </c>
      <c r="C60" s="633" t="n">
        <v>31</v>
      </c>
      <c r="D60" s="634" t="n">
        <f aca="false">C60-0.301</f>
        <v>30.699</v>
      </c>
      <c r="E60" s="635" t="n">
        <f aca="false">E59+D60</f>
        <v>1207.795</v>
      </c>
      <c r="F60" s="635" t="n">
        <f aca="false">F59-D59</f>
        <v>10361.794</v>
      </c>
      <c r="G60" s="636" t="n">
        <f aca="false">G59-D60</f>
        <v>10331.095</v>
      </c>
      <c r="H60" s="637"/>
    </row>
    <row r="61" s="621" customFormat="true" ht="39.75" hidden="false" customHeight="true" outlineLevel="0" collapsed="false">
      <c r="A61" s="649" t="s">
        <v>397</v>
      </c>
      <c r="B61" s="650" t="s">
        <v>525</v>
      </c>
      <c r="C61" s="651" t="n">
        <v>5.16</v>
      </c>
      <c r="D61" s="634" t="n">
        <f aca="false">C61-0.301</f>
        <v>4.859</v>
      </c>
      <c r="E61" s="635" t="n">
        <f aca="false">E60+D61</f>
        <v>1212.654</v>
      </c>
      <c r="F61" s="635" t="n">
        <f aca="false">F60-D60</f>
        <v>10331.095</v>
      </c>
      <c r="G61" s="636" t="n">
        <f aca="false">G60-D61</f>
        <v>10326.236</v>
      </c>
      <c r="H61" s="637"/>
    </row>
    <row r="62" s="621" customFormat="true" ht="39.75" hidden="false" customHeight="true" outlineLevel="0" collapsed="false">
      <c r="A62" s="649"/>
      <c r="B62" s="650" t="s">
        <v>552</v>
      </c>
      <c r="C62" s="651" t="n">
        <v>1.15</v>
      </c>
      <c r="D62" s="634" t="n">
        <f aca="false">C62-0.301</f>
        <v>0.849</v>
      </c>
      <c r="E62" s="635" t="n">
        <f aca="false">E61+D62</f>
        <v>1213.503</v>
      </c>
      <c r="F62" s="635" t="n">
        <f aca="false">F61-D61</f>
        <v>10326.236</v>
      </c>
      <c r="G62" s="636" t="n">
        <f aca="false">G61-D62</f>
        <v>10325.387</v>
      </c>
      <c r="H62" s="637"/>
    </row>
    <row r="63" s="621" customFormat="true" ht="39.75" hidden="false" customHeight="true" outlineLevel="0" collapsed="false">
      <c r="A63" s="649"/>
      <c r="B63" s="650" t="s">
        <v>553</v>
      </c>
      <c r="C63" s="651" t="n">
        <v>4.92</v>
      </c>
      <c r="D63" s="652" t="n">
        <f aca="false">C63-0.301</f>
        <v>4.619</v>
      </c>
      <c r="E63" s="635" t="n">
        <f aca="false">E62+D63</f>
        <v>1218.122</v>
      </c>
      <c r="F63" s="635" t="n">
        <f aca="false">F62-D62</f>
        <v>10325.387</v>
      </c>
      <c r="G63" s="636" t="n">
        <f aca="false">G62-D63</f>
        <v>10320.768</v>
      </c>
      <c r="H63" s="653"/>
    </row>
    <row r="64" s="621" customFormat="true" ht="39.75" hidden="false" customHeight="true" outlineLevel="0" collapsed="false">
      <c r="A64" s="649"/>
      <c r="B64" s="650" t="s">
        <v>554</v>
      </c>
      <c r="C64" s="651" t="n">
        <v>9.92</v>
      </c>
      <c r="D64" s="634" t="n">
        <f aca="false">C64-0.301</f>
        <v>9.619</v>
      </c>
      <c r="E64" s="635" t="n">
        <f aca="false">E63+D64</f>
        <v>1227.741</v>
      </c>
      <c r="F64" s="635" t="n">
        <f aca="false">F63-D63</f>
        <v>10320.768</v>
      </c>
      <c r="G64" s="636" t="n">
        <f aca="false">G63-D64</f>
        <v>10311.149</v>
      </c>
      <c r="H64" s="654"/>
      <c r="K64" s="642"/>
    </row>
    <row r="65" s="621" customFormat="true" ht="39.75" hidden="false" customHeight="true" outlineLevel="0" collapsed="false">
      <c r="A65" s="649"/>
      <c r="B65" s="650" t="s">
        <v>555</v>
      </c>
      <c r="C65" s="651" t="n">
        <v>9.71</v>
      </c>
      <c r="D65" s="634" t="n">
        <f aca="false">C65-0.301</f>
        <v>9.409</v>
      </c>
      <c r="E65" s="635" t="n">
        <f aca="false">E64+D65</f>
        <v>1237.15</v>
      </c>
      <c r="F65" s="635" t="n">
        <f aca="false">F64-D64</f>
        <v>10311.149</v>
      </c>
      <c r="G65" s="636" t="n">
        <f aca="false">G64-D65</f>
        <v>10301.74</v>
      </c>
      <c r="H65" s="654"/>
      <c r="K65" s="642"/>
    </row>
    <row r="66" s="621" customFormat="true" ht="39.75" hidden="false" customHeight="true" outlineLevel="0" collapsed="false">
      <c r="A66" s="649"/>
      <c r="B66" s="650" t="s">
        <v>556</v>
      </c>
      <c r="C66" s="651" t="n">
        <v>4.99</v>
      </c>
      <c r="D66" s="652" t="n">
        <f aca="false">C66-0.301</f>
        <v>4.689</v>
      </c>
      <c r="E66" s="635" t="n">
        <f aca="false">E65+D66</f>
        <v>1241.839</v>
      </c>
      <c r="F66" s="635" t="n">
        <f aca="false">F65-D65</f>
        <v>10301.74</v>
      </c>
      <c r="G66" s="636" t="n">
        <f aca="false">G65-D66</f>
        <v>10297.051</v>
      </c>
      <c r="H66" s="655"/>
      <c r="K66" s="642"/>
    </row>
    <row r="67" s="621" customFormat="true" ht="39.75" hidden="false" customHeight="true" outlineLevel="0" collapsed="false">
      <c r="A67" s="632" t="s">
        <v>557</v>
      </c>
      <c r="B67" s="632" t="s">
        <v>506</v>
      </c>
      <c r="C67" s="633" t="n">
        <v>31</v>
      </c>
      <c r="D67" s="634" t="n">
        <f aca="false">C67-0.301</f>
        <v>30.699</v>
      </c>
      <c r="E67" s="635" t="n">
        <f aca="false">E66+D67</f>
        <v>1272.538</v>
      </c>
      <c r="F67" s="635" t="n">
        <f aca="false">F66-D66</f>
        <v>10297.051</v>
      </c>
      <c r="G67" s="636" t="n">
        <f aca="false">G66-D67</f>
        <v>10266.352</v>
      </c>
      <c r="H67" s="640"/>
      <c r="K67" s="642"/>
    </row>
    <row r="68" s="621" customFormat="true" ht="39.75" hidden="false" customHeight="true" outlineLevel="0" collapsed="false">
      <c r="A68" s="632" t="s">
        <v>558</v>
      </c>
      <c r="B68" s="632" t="s">
        <v>506</v>
      </c>
      <c r="C68" s="633" t="n">
        <v>31</v>
      </c>
      <c r="D68" s="634" t="n">
        <f aca="false">C68-0.301</f>
        <v>30.699</v>
      </c>
      <c r="E68" s="635" t="n">
        <f aca="false">E67+D68</f>
        <v>1303.237</v>
      </c>
      <c r="F68" s="635" t="n">
        <f aca="false">F67-D67</f>
        <v>10266.352</v>
      </c>
      <c r="G68" s="636" t="n">
        <f aca="false">G67-D68</f>
        <v>10235.653</v>
      </c>
      <c r="H68" s="640"/>
      <c r="K68" s="642"/>
    </row>
    <row r="69" s="621" customFormat="true" ht="39.75" hidden="false" customHeight="true" outlineLevel="0" collapsed="false">
      <c r="A69" s="632" t="s">
        <v>559</v>
      </c>
      <c r="B69" s="632" t="s">
        <v>506</v>
      </c>
      <c r="C69" s="633" t="n">
        <v>31</v>
      </c>
      <c r="D69" s="634" t="n">
        <f aca="false">C69-0.301</f>
        <v>30.699</v>
      </c>
      <c r="E69" s="635" t="n">
        <f aca="false">E68+D69</f>
        <v>1333.936</v>
      </c>
      <c r="F69" s="635" t="n">
        <f aca="false">F68-D68</f>
        <v>10235.653</v>
      </c>
      <c r="G69" s="636" t="n">
        <f aca="false">G68-D69</f>
        <v>10204.954</v>
      </c>
      <c r="H69" s="640"/>
      <c r="K69" s="642"/>
    </row>
    <row r="70" s="621" customFormat="true" ht="39.75" hidden="false" customHeight="true" outlineLevel="0" collapsed="false">
      <c r="A70" s="632" t="s">
        <v>560</v>
      </c>
      <c r="B70" s="632" t="s">
        <v>506</v>
      </c>
      <c r="C70" s="633" t="n">
        <v>31</v>
      </c>
      <c r="D70" s="634" t="n">
        <f aca="false">C70-0.301</f>
        <v>30.699</v>
      </c>
      <c r="E70" s="635" t="n">
        <f aca="false">E69+D70</f>
        <v>1364.635</v>
      </c>
      <c r="F70" s="635" t="n">
        <f aca="false">F69-D69</f>
        <v>10204.954</v>
      </c>
      <c r="G70" s="636" t="n">
        <f aca="false">G69-D70</f>
        <v>10174.255</v>
      </c>
      <c r="H70" s="640"/>
      <c r="K70" s="642"/>
    </row>
    <row r="71" s="621" customFormat="true" ht="39.75" hidden="false" customHeight="true" outlineLevel="0" collapsed="false">
      <c r="A71" s="632" t="s">
        <v>561</v>
      </c>
      <c r="B71" s="632" t="s">
        <v>506</v>
      </c>
      <c r="C71" s="633" t="n">
        <v>31</v>
      </c>
      <c r="D71" s="634" t="n">
        <f aca="false">C71-0.301</f>
        <v>30.699</v>
      </c>
      <c r="E71" s="635" t="n">
        <f aca="false">E70+D71</f>
        <v>1395.334</v>
      </c>
      <c r="F71" s="635" t="n">
        <f aca="false">F70-D70</f>
        <v>10174.255</v>
      </c>
      <c r="G71" s="636" t="n">
        <f aca="false">G70-D71</f>
        <v>10143.556</v>
      </c>
      <c r="H71" s="640"/>
      <c r="K71" s="642"/>
    </row>
    <row r="72" s="621" customFormat="true" ht="39.75" hidden="false" customHeight="true" outlineLevel="0" collapsed="false">
      <c r="A72" s="632" t="s">
        <v>562</v>
      </c>
      <c r="B72" s="632" t="s">
        <v>506</v>
      </c>
      <c r="C72" s="633" t="n">
        <v>31</v>
      </c>
      <c r="D72" s="634" t="n">
        <f aca="false">C72-0.301</f>
        <v>30.699</v>
      </c>
      <c r="E72" s="635" t="n">
        <f aca="false">E71+D72</f>
        <v>1426.033</v>
      </c>
      <c r="F72" s="635" t="n">
        <f aca="false">F71-D71</f>
        <v>10143.556</v>
      </c>
      <c r="G72" s="636" t="n">
        <f aca="false">G71-D72</f>
        <v>10112.857</v>
      </c>
      <c r="H72" s="640"/>
      <c r="K72" s="642"/>
    </row>
    <row r="73" s="621" customFormat="true" ht="39.75" hidden="false" customHeight="true" outlineLevel="0" collapsed="false">
      <c r="A73" s="632" t="s">
        <v>563</v>
      </c>
      <c r="B73" s="632" t="s">
        <v>506</v>
      </c>
      <c r="C73" s="633" t="n">
        <v>31</v>
      </c>
      <c r="D73" s="634" t="n">
        <f aca="false">C73-0.301</f>
        <v>30.699</v>
      </c>
      <c r="E73" s="635" t="n">
        <f aca="false">E72+D73</f>
        <v>1456.732</v>
      </c>
      <c r="F73" s="635" t="n">
        <f aca="false">F72-D72</f>
        <v>10112.857</v>
      </c>
      <c r="G73" s="636" t="n">
        <f aca="false">G72-D73</f>
        <v>10082.158</v>
      </c>
      <c r="H73" s="640"/>
      <c r="K73" s="642"/>
    </row>
    <row r="74" s="621" customFormat="true" ht="39.75" hidden="false" customHeight="true" outlineLevel="0" collapsed="false">
      <c r="A74" s="632" t="s">
        <v>564</v>
      </c>
      <c r="B74" s="632" t="s">
        <v>506</v>
      </c>
      <c r="C74" s="633" t="n">
        <v>31</v>
      </c>
      <c r="D74" s="634" t="n">
        <f aca="false">C74-0.301</f>
        <v>30.699</v>
      </c>
      <c r="E74" s="635" t="n">
        <f aca="false">E73+D74</f>
        <v>1487.431</v>
      </c>
      <c r="F74" s="635" t="n">
        <f aca="false">F73-D73</f>
        <v>10082.158</v>
      </c>
      <c r="G74" s="636" t="n">
        <f aca="false">G73-D74</f>
        <v>10051.459</v>
      </c>
      <c r="H74" s="656"/>
      <c r="K74" s="642"/>
    </row>
    <row r="75" s="621" customFormat="true" ht="39.75" hidden="false" customHeight="true" outlineLevel="0" collapsed="false">
      <c r="A75" s="632" t="s">
        <v>565</v>
      </c>
      <c r="B75" s="632" t="s">
        <v>506</v>
      </c>
      <c r="C75" s="633" t="n">
        <v>31</v>
      </c>
      <c r="D75" s="634" t="n">
        <f aca="false">C75-0.301</f>
        <v>30.699</v>
      </c>
      <c r="E75" s="635" t="n">
        <f aca="false">E74+D75</f>
        <v>1518.13</v>
      </c>
      <c r="F75" s="635" t="n">
        <f aca="false">F74-D74</f>
        <v>10051.459</v>
      </c>
      <c r="G75" s="636" t="n">
        <f aca="false">G74-D75</f>
        <v>10020.76</v>
      </c>
      <c r="H75" s="640"/>
      <c r="K75" s="642"/>
    </row>
    <row r="76" s="621" customFormat="true" ht="39.75" hidden="false" customHeight="true" outlineLevel="0" collapsed="false">
      <c r="A76" s="632" t="s">
        <v>566</v>
      </c>
      <c r="B76" s="632" t="s">
        <v>506</v>
      </c>
      <c r="C76" s="633" t="n">
        <v>31</v>
      </c>
      <c r="D76" s="634" t="n">
        <f aca="false">C76-0.301</f>
        <v>30.699</v>
      </c>
      <c r="E76" s="635" t="n">
        <f aca="false">E75+D76</f>
        <v>1548.829</v>
      </c>
      <c r="F76" s="635" t="n">
        <f aca="false">F75-D75</f>
        <v>10020.76</v>
      </c>
      <c r="G76" s="636" t="n">
        <f aca="false">G75-D76</f>
        <v>9990.06099999997</v>
      </c>
      <c r="H76" s="640"/>
      <c r="K76" s="642"/>
    </row>
    <row r="77" s="621" customFormat="true" ht="39.75" hidden="false" customHeight="true" outlineLevel="0" collapsed="false">
      <c r="A77" s="632" t="s">
        <v>567</v>
      </c>
      <c r="B77" s="632" t="s">
        <v>506</v>
      </c>
      <c r="C77" s="633" t="n">
        <v>31</v>
      </c>
      <c r="D77" s="634" t="n">
        <f aca="false">C77-0.301</f>
        <v>30.699</v>
      </c>
      <c r="E77" s="635" t="n">
        <f aca="false">E76+D77</f>
        <v>1579.528</v>
      </c>
      <c r="F77" s="635" t="n">
        <f aca="false">F76-D76</f>
        <v>9990.06099999997</v>
      </c>
      <c r="G77" s="636" t="n">
        <f aca="false">G76-D77</f>
        <v>9959.36199999997</v>
      </c>
      <c r="H77" s="640"/>
      <c r="K77" s="642"/>
    </row>
    <row r="78" s="621" customFormat="true" ht="39.75" hidden="false" customHeight="true" outlineLevel="0" collapsed="false">
      <c r="A78" s="632" t="s">
        <v>568</v>
      </c>
      <c r="B78" s="632" t="s">
        <v>506</v>
      </c>
      <c r="C78" s="633" t="n">
        <v>31</v>
      </c>
      <c r="D78" s="634" t="n">
        <f aca="false">C78-0.301</f>
        <v>30.699</v>
      </c>
      <c r="E78" s="635" t="n">
        <f aca="false">E77+D78</f>
        <v>1610.227</v>
      </c>
      <c r="F78" s="635" t="n">
        <f aca="false">F77-D77</f>
        <v>9959.36199999997</v>
      </c>
      <c r="G78" s="636" t="n">
        <f aca="false">G77-D78</f>
        <v>9928.66299999997</v>
      </c>
      <c r="H78" s="640"/>
      <c r="K78" s="642"/>
    </row>
    <row r="79" s="621" customFormat="true" ht="39.75" hidden="false" customHeight="true" outlineLevel="0" collapsed="false">
      <c r="A79" s="632" t="s">
        <v>569</v>
      </c>
      <c r="B79" s="632" t="s">
        <v>506</v>
      </c>
      <c r="C79" s="633" t="n">
        <v>31</v>
      </c>
      <c r="D79" s="634" t="n">
        <f aca="false">C79-0.301</f>
        <v>30.699</v>
      </c>
      <c r="E79" s="635" t="n">
        <f aca="false">E78+D79</f>
        <v>1640.926</v>
      </c>
      <c r="F79" s="635" t="n">
        <f aca="false">F78-D78</f>
        <v>9928.66299999997</v>
      </c>
      <c r="G79" s="636" t="n">
        <f aca="false">G78-D79</f>
        <v>9897.96399999997</v>
      </c>
      <c r="H79" s="657"/>
      <c r="K79" s="642"/>
    </row>
    <row r="80" s="621" customFormat="true" ht="39.75" hidden="false" customHeight="true" outlineLevel="0" collapsed="false">
      <c r="A80" s="632" t="s">
        <v>570</v>
      </c>
      <c r="B80" s="632" t="s">
        <v>506</v>
      </c>
      <c r="C80" s="633" t="n">
        <v>31</v>
      </c>
      <c r="D80" s="652" t="n">
        <f aca="false">C80-0.301</f>
        <v>30.699</v>
      </c>
      <c r="E80" s="635" t="n">
        <f aca="false">E79+D80</f>
        <v>1671.625</v>
      </c>
      <c r="F80" s="635" t="n">
        <f aca="false">F79-D79</f>
        <v>9897.96399999997</v>
      </c>
      <c r="G80" s="636" t="n">
        <f aca="false">G79-D80</f>
        <v>9867.26499999997</v>
      </c>
      <c r="H80" s="657"/>
      <c r="K80" s="642"/>
    </row>
    <row r="81" s="621" customFormat="true" ht="39.75" hidden="false" customHeight="true" outlineLevel="0" collapsed="false">
      <c r="A81" s="632" t="s">
        <v>571</v>
      </c>
      <c r="B81" s="632" t="s">
        <v>506</v>
      </c>
      <c r="C81" s="633" t="n">
        <v>31</v>
      </c>
      <c r="D81" s="634" t="n">
        <f aca="false">C81-0.301</f>
        <v>30.699</v>
      </c>
      <c r="E81" s="635" t="n">
        <f aca="false">E80+D81</f>
        <v>1702.324</v>
      </c>
      <c r="F81" s="635" t="n">
        <f aca="false">F80-D80</f>
        <v>9867.26499999997</v>
      </c>
      <c r="G81" s="636" t="n">
        <f aca="false">G80-D81</f>
        <v>9836.56599999997</v>
      </c>
      <c r="H81" s="657"/>
      <c r="K81" s="642"/>
    </row>
    <row r="82" s="621" customFormat="true" ht="141.75" hidden="false" customHeight="true" outlineLevel="0" collapsed="false">
      <c r="A82" s="632" t="s">
        <v>572</v>
      </c>
      <c r="B82" s="632" t="s">
        <v>506</v>
      </c>
      <c r="C82" s="633" t="n">
        <v>31</v>
      </c>
      <c r="D82" s="658" t="n">
        <f aca="false">C82-0.301</f>
        <v>30.699</v>
      </c>
      <c r="E82" s="635" t="n">
        <f aca="false">E81+D82</f>
        <v>1733.023</v>
      </c>
      <c r="F82" s="635" t="n">
        <f aca="false">F81-D81</f>
        <v>9836.56599999997</v>
      </c>
      <c r="G82" s="636" t="n">
        <f aca="false">G81-D82</f>
        <v>9805.86699999997</v>
      </c>
      <c r="H82" s="659"/>
      <c r="I82" s="639"/>
      <c r="J82" s="620"/>
      <c r="K82" s="620"/>
      <c r="L82" s="620"/>
      <c r="O82" s="631"/>
      <c r="P82" s="631"/>
      <c r="Q82" s="631"/>
      <c r="R82" s="631"/>
      <c r="S82" s="631"/>
      <c r="T82" s="631"/>
    </row>
    <row r="83" s="621" customFormat="true" ht="208.5" hidden="false" customHeight="true" outlineLevel="0" collapsed="false">
      <c r="A83" s="632" t="s">
        <v>573</v>
      </c>
      <c r="B83" s="632" t="s">
        <v>506</v>
      </c>
      <c r="C83" s="633" t="n">
        <v>31</v>
      </c>
      <c r="D83" s="660" t="n">
        <f aca="false">C83</f>
        <v>31</v>
      </c>
      <c r="E83" s="635" t="n">
        <f aca="false">E82+D83</f>
        <v>1764.023</v>
      </c>
      <c r="F83" s="635" t="n">
        <f aca="false">F82-D82</f>
        <v>9805.86699999997</v>
      </c>
      <c r="G83" s="636" t="n">
        <f aca="false">G82-D83</f>
        <v>9774.86699999997</v>
      </c>
      <c r="H83" s="661"/>
      <c r="J83" s="628"/>
      <c r="K83" s="629"/>
      <c r="L83" s="629"/>
      <c r="O83" s="631"/>
      <c r="P83" s="631"/>
      <c r="Q83" s="631"/>
      <c r="R83" s="631"/>
      <c r="S83" s="631"/>
      <c r="T83" s="631"/>
    </row>
    <row r="84" s="621" customFormat="true" ht="102.75" hidden="false" customHeight="true" outlineLevel="0" collapsed="false">
      <c r="A84" s="632" t="s">
        <v>574</v>
      </c>
      <c r="B84" s="632" t="s">
        <v>506</v>
      </c>
      <c r="C84" s="633" t="n">
        <v>31</v>
      </c>
      <c r="D84" s="660" t="n">
        <f aca="false">C84</f>
        <v>31</v>
      </c>
      <c r="E84" s="635" t="n">
        <f aca="false">E83+D84</f>
        <v>1795.023</v>
      </c>
      <c r="F84" s="635" t="n">
        <f aca="false">F83-D83</f>
        <v>9774.86699999997</v>
      </c>
      <c r="G84" s="636" t="n">
        <f aca="false">G83-D84</f>
        <v>9743.86699999997</v>
      </c>
      <c r="H84" s="662"/>
      <c r="J84" s="628"/>
      <c r="K84" s="629"/>
      <c r="L84" s="629"/>
      <c r="O84" s="631"/>
      <c r="P84" s="631"/>
      <c r="Q84" s="631"/>
      <c r="R84" s="631"/>
      <c r="S84" s="631"/>
      <c r="T84" s="631"/>
    </row>
    <row r="85" s="621" customFormat="true" ht="39.75" hidden="false" customHeight="true" outlineLevel="0" collapsed="false">
      <c r="A85" s="632" t="s">
        <v>575</v>
      </c>
      <c r="B85" s="632" t="s">
        <v>506</v>
      </c>
      <c r="C85" s="633" t="n">
        <v>31</v>
      </c>
      <c r="D85" s="634" t="n">
        <f aca="false">C85-0.301</f>
        <v>30.699</v>
      </c>
      <c r="E85" s="635" t="n">
        <f aca="false">E84+D85</f>
        <v>1825.722</v>
      </c>
      <c r="F85" s="635" t="n">
        <f aca="false">F84-D84</f>
        <v>9743.86699999997</v>
      </c>
      <c r="G85" s="636" t="n">
        <f aca="false">G84-D85</f>
        <v>9713.16799999997</v>
      </c>
      <c r="H85" s="640"/>
      <c r="K85" s="642"/>
    </row>
    <row r="86" s="621" customFormat="true" ht="39.75" hidden="false" customHeight="true" outlineLevel="0" collapsed="false">
      <c r="A86" s="632" t="s">
        <v>576</v>
      </c>
      <c r="B86" s="632" t="s">
        <v>506</v>
      </c>
      <c r="C86" s="633" t="n">
        <v>31</v>
      </c>
      <c r="D86" s="634" t="n">
        <f aca="false">C86-0.301</f>
        <v>30.699</v>
      </c>
      <c r="E86" s="635" t="n">
        <f aca="false">E85+D86</f>
        <v>1856.421</v>
      </c>
      <c r="F86" s="635" t="n">
        <f aca="false">F85-D85</f>
        <v>9713.16799999997</v>
      </c>
      <c r="G86" s="636" t="n">
        <f aca="false">G85-D86</f>
        <v>9682.46899999997</v>
      </c>
      <c r="H86" s="640"/>
      <c r="K86" s="642"/>
    </row>
    <row r="87" s="621" customFormat="true" ht="39.75" hidden="false" customHeight="true" outlineLevel="0" collapsed="false">
      <c r="A87" s="663" t="s">
        <v>403</v>
      </c>
      <c r="B87" s="664" t="s">
        <v>525</v>
      </c>
      <c r="C87" s="665" t="n">
        <v>5.2</v>
      </c>
      <c r="D87" s="634" t="n">
        <f aca="false">C87-0.301</f>
        <v>4.899</v>
      </c>
      <c r="E87" s="635" t="n">
        <f aca="false">E86+D87</f>
        <v>1861.32</v>
      </c>
      <c r="F87" s="635" t="n">
        <f aca="false">F86-D86</f>
        <v>9682.46899999997</v>
      </c>
      <c r="G87" s="636" t="n">
        <f aca="false">G86-D87</f>
        <v>9677.56999999997</v>
      </c>
      <c r="H87" s="640"/>
      <c r="K87" s="642"/>
    </row>
    <row r="88" s="621" customFormat="true" ht="39.75" hidden="false" customHeight="true" outlineLevel="0" collapsed="false">
      <c r="A88" s="663"/>
      <c r="B88" s="664" t="s">
        <v>577</v>
      </c>
      <c r="C88" s="665" t="n">
        <v>4.96</v>
      </c>
      <c r="D88" s="634" t="n">
        <f aca="false">C88-0.301</f>
        <v>4.659</v>
      </c>
      <c r="E88" s="635" t="n">
        <f aca="false">E87+D88</f>
        <v>1865.979</v>
      </c>
      <c r="F88" s="635" t="n">
        <f aca="false">F87-D87</f>
        <v>9677.56999999997</v>
      </c>
      <c r="G88" s="636" t="n">
        <f aca="false">G87-D88</f>
        <v>9672.91099999997</v>
      </c>
      <c r="H88" s="640"/>
      <c r="K88" s="642"/>
    </row>
    <row r="89" s="621" customFormat="true" ht="39.75" hidden="false" customHeight="true" outlineLevel="0" collapsed="false">
      <c r="A89" s="663"/>
      <c r="B89" s="664" t="s">
        <v>578</v>
      </c>
      <c r="C89" s="665" t="n">
        <v>8.69</v>
      </c>
      <c r="D89" s="634" t="n">
        <f aca="false">C89-0.301</f>
        <v>8.389</v>
      </c>
      <c r="E89" s="635" t="n">
        <f aca="false">E88+D89</f>
        <v>1874.368</v>
      </c>
      <c r="F89" s="635" t="n">
        <f aca="false">F88-D88</f>
        <v>9672.91099999997</v>
      </c>
      <c r="G89" s="636" t="n">
        <f aca="false">G88-D89</f>
        <v>9664.52199999997</v>
      </c>
      <c r="H89" s="656"/>
      <c r="K89" s="642"/>
    </row>
    <row r="90" s="621" customFormat="true" ht="39.75" hidden="false" customHeight="true" outlineLevel="0" collapsed="false">
      <c r="A90" s="663"/>
      <c r="B90" s="664" t="s">
        <v>528</v>
      </c>
      <c r="C90" s="665" t="n">
        <v>4.85</v>
      </c>
      <c r="D90" s="634" t="n">
        <f aca="false">C90-0.301</f>
        <v>4.549</v>
      </c>
      <c r="E90" s="635" t="n">
        <f aca="false">E89+D90</f>
        <v>1878.917</v>
      </c>
      <c r="F90" s="635" t="n">
        <f aca="false">F89-D89</f>
        <v>9664.52199999997</v>
      </c>
      <c r="G90" s="636" t="n">
        <f aca="false">G89-D90</f>
        <v>9659.97299999997</v>
      </c>
      <c r="H90" s="640"/>
      <c r="K90" s="642"/>
    </row>
    <row r="91" s="621" customFormat="true" ht="39.75" hidden="false" customHeight="true" outlineLevel="0" collapsed="false">
      <c r="A91" s="663"/>
      <c r="B91" s="664" t="s">
        <v>579</v>
      </c>
      <c r="C91" s="665" t="n">
        <v>9.95</v>
      </c>
      <c r="D91" s="634" t="n">
        <f aca="false">C91-0.301</f>
        <v>9.649</v>
      </c>
      <c r="E91" s="635" t="n">
        <f aca="false">E90+D91</f>
        <v>1888.566</v>
      </c>
      <c r="F91" s="635" t="n">
        <f aca="false">F90-D90</f>
        <v>9659.97299999997</v>
      </c>
      <c r="G91" s="636" t="n">
        <f aca="false">G90-D91</f>
        <v>9650.32399999997</v>
      </c>
      <c r="H91" s="640"/>
      <c r="K91" s="642"/>
    </row>
    <row r="92" s="621" customFormat="true" ht="39.75" hidden="false" customHeight="true" outlineLevel="0" collapsed="false">
      <c r="A92" s="632" t="s">
        <v>580</v>
      </c>
      <c r="B92" s="632" t="s">
        <v>506</v>
      </c>
      <c r="C92" s="633" t="n">
        <v>31</v>
      </c>
      <c r="D92" s="634" t="n">
        <f aca="false">C92-0.301</f>
        <v>30.699</v>
      </c>
      <c r="E92" s="635" t="n">
        <f aca="false">E91+D92</f>
        <v>1919.265</v>
      </c>
      <c r="F92" s="635" t="n">
        <f aca="false">F91-D91</f>
        <v>9650.32399999997</v>
      </c>
      <c r="G92" s="636" t="n">
        <f aca="false">G91-D92</f>
        <v>9619.62499999997</v>
      </c>
      <c r="H92" s="640"/>
      <c r="K92" s="642"/>
    </row>
    <row r="93" s="621" customFormat="true" ht="39.75" hidden="false" customHeight="true" outlineLevel="0" collapsed="false">
      <c r="A93" s="632" t="s">
        <v>581</v>
      </c>
      <c r="B93" s="632" t="s">
        <v>506</v>
      </c>
      <c r="C93" s="633" t="n">
        <v>31</v>
      </c>
      <c r="D93" s="634" t="n">
        <f aca="false">C93-0.301</f>
        <v>30.699</v>
      </c>
      <c r="E93" s="635" t="n">
        <f aca="false">E92+D93</f>
        <v>1949.964</v>
      </c>
      <c r="F93" s="635" t="n">
        <f aca="false">F92-D92</f>
        <v>9619.62499999997</v>
      </c>
      <c r="G93" s="636" t="n">
        <f aca="false">G92-D93</f>
        <v>9588.92599999997</v>
      </c>
      <c r="H93" s="640"/>
      <c r="K93" s="642"/>
    </row>
    <row r="94" s="621" customFormat="true" ht="39.75" hidden="false" customHeight="true" outlineLevel="0" collapsed="false">
      <c r="A94" s="632" t="s">
        <v>582</v>
      </c>
      <c r="B94" s="632" t="s">
        <v>506</v>
      </c>
      <c r="C94" s="633" t="n">
        <v>31</v>
      </c>
      <c r="D94" s="634" t="n">
        <f aca="false">C94-0.301</f>
        <v>30.699</v>
      </c>
      <c r="E94" s="635" t="n">
        <f aca="false">E93+D94</f>
        <v>1980.663</v>
      </c>
      <c r="F94" s="635" t="n">
        <f aca="false">F93-D93</f>
        <v>9588.92599999997</v>
      </c>
      <c r="G94" s="636" t="n">
        <f aca="false">G93-D94</f>
        <v>9558.22699999997</v>
      </c>
      <c r="H94" s="640"/>
      <c r="K94" s="642"/>
    </row>
    <row r="95" s="621" customFormat="true" ht="39.75" hidden="false" customHeight="true" outlineLevel="0" collapsed="false">
      <c r="A95" s="632" t="s">
        <v>583</v>
      </c>
      <c r="B95" s="632" t="s">
        <v>506</v>
      </c>
      <c r="C95" s="633" t="n">
        <v>31</v>
      </c>
      <c r="D95" s="634" t="n">
        <f aca="false">C95-0.301</f>
        <v>30.699</v>
      </c>
      <c r="E95" s="635" t="n">
        <f aca="false">E94+D95</f>
        <v>2011.362</v>
      </c>
      <c r="F95" s="635" t="n">
        <f aca="false">F94-D94</f>
        <v>9558.22699999997</v>
      </c>
      <c r="G95" s="636" t="n">
        <f aca="false">G94-D95</f>
        <v>9527.52799999997</v>
      </c>
      <c r="H95" s="656"/>
      <c r="K95" s="642"/>
    </row>
    <row r="96" s="621" customFormat="true" ht="39.75" hidden="false" customHeight="true" outlineLevel="0" collapsed="false">
      <c r="A96" s="632" t="s">
        <v>584</v>
      </c>
      <c r="B96" s="632" t="s">
        <v>506</v>
      </c>
      <c r="C96" s="633" t="n">
        <v>31</v>
      </c>
      <c r="D96" s="634" t="n">
        <f aca="false">C96-0.301</f>
        <v>30.699</v>
      </c>
      <c r="E96" s="635" t="n">
        <f aca="false">E95+D96</f>
        <v>2042.061</v>
      </c>
      <c r="F96" s="635" t="n">
        <f aca="false">F95-D95</f>
        <v>9527.52799999997</v>
      </c>
      <c r="G96" s="636" t="n">
        <f aca="false">G95-D96</f>
        <v>9496.82899999997</v>
      </c>
      <c r="H96" s="640"/>
      <c r="I96" s="666"/>
      <c r="K96" s="642"/>
    </row>
    <row r="97" s="621" customFormat="true" ht="39.75" hidden="false" customHeight="true" outlineLevel="0" collapsed="false">
      <c r="A97" s="632" t="s">
        <v>585</v>
      </c>
      <c r="B97" s="632" t="s">
        <v>506</v>
      </c>
      <c r="C97" s="633" t="n">
        <v>31</v>
      </c>
      <c r="D97" s="634" t="n">
        <f aca="false">C97-0.301</f>
        <v>30.699</v>
      </c>
      <c r="E97" s="635" t="n">
        <f aca="false">E96+D97</f>
        <v>2072.76</v>
      </c>
      <c r="F97" s="635" t="n">
        <f aca="false">F96-D96</f>
        <v>9496.82899999997</v>
      </c>
      <c r="G97" s="636" t="n">
        <f aca="false">G96-D97</f>
        <v>9466.12999999997</v>
      </c>
      <c r="H97" s="640"/>
      <c r="I97" s="666"/>
      <c r="K97" s="642"/>
    </row>
    <row r="98" s="621" customFormat="true" ht="39.75" hidden="false" customHeight="true" outlineLevel="0" collapsed="false">
      <c r="A98" s="632" t="s">
        <v>586</v>
      </c>
      <c r="B98" s="632" t="s">
        <v>506</v>
      </c>
      <c r="C98" s="633" t="n">
        <v>31</v>
      </c>
      <c r="D98" s="634" t="n">
        <f aca="false">C98-0.301</f>
        <v>30.699</v>
      </c>
      <c r="E98" s="635" t="n">
        <f aca="false">E97+D98</f>
        <v>2103.459</v>
      </c>
      <c r="F98" s="635" t="n">
        <f aca="false">F97-D97</f>
        <v>9466.12999999997</v>
      </c>
      <c r="G98" s="636" t="n">
        <f aca="false">G97-D98</f>
        <v>9435.43099999997</v>
      </c>
      <c r="H98" s="640"/>
      <c r="I98" s="666"/>
      <c r="K98" s="642"/>
    </row>
    <row r="99" s="621" customFormat="true" ht="39.75" hidden="false" customHeight="true" outlineLevel="0" collapsed="false">
      <c r="A99" s="632" t="s">
        <v>587</v>
      </c>
      <c r="B99" s="632" t="s">
        <v>506</v>
      </c>
      <c r="C99" s="633" t="n">
        <v>31</v>
      </c>
      <c r="D99" s="634" t="n">
        <f aca="false">C99-0.301</f>
        <v>30.699</v>
      </c>
      <c r="E99" s="635" t="n">
        <f aca="false">E98+D99</f>
        <v>2134.158</v>
      </c>
      <c r="F99" s="635" t="n">
        <f aca="false">F98-D98</f>
        <v>9435.43099999997</v>
      </c>
      <c r="G99" s="636" t="n">
        <f aca="false">G98-D99</f>
        <v>9404.73199999997</v>
      </c>
      <c r="H99" s="640"/>
      <c r="I99" s="666"/>
      <c r="K99" s="642"/>
    </row>
    <row r="100" s="621" customFormat="true" ht="39.75" hidden="false" customHeight="true" outlineLevel="0" collapsed="false">
      <c r="A100" s="632" t="s">
        <v>588</v>
      </c>
      <c r="B100" s="632" t="s">
        <v>506</v>
      </c>
      <c r="C100" s="633" t="n">
        <v>31</v>
      </c>
      <c r="D100" s="634" t="n">
        <f aca="false">C100-0.301</f>
        <v>30.699</v>
      </c>
      <c r="E100" s="635" t="n">
        <f aca="false">E99+D100</f>
        <v>2164.857</v>
      </c>
      <c r="F100" s="635" t="n">
        <f aca="false">F99-D99</f>
        <v>9404.73199999997</v>
      </c>
      <c r="G100" s="636" t="n">
        <f aca="false">G99-D100</f>
        <v>9374.03299999997</v>
      </c>
      <c r="H100" s="640"/>
      <c r="I100" s="666"/>
      <c r="K100" s="642"/>
    </row>
    <row r="101" s="621" customFormat="true" ht="39.75" hidden="false" customHeight="true" outlineLevel="0" collapsed="false">
      <c r="A101" s="632" t="s">
        <v>589</v>
      </c>
      <c r="B101" s="632" t="s">
        <v>506</v>
      </c>
      <c r="C101" s="633" t="n">
        <v>31</v>
      </c>
      <c r="D101" s="634" t="n">
        <f aca="false">C101-0.301</f>
        <v>30.699</v>
      </c>
      <c r="E101" s="635" t="n">
        <f aca="false">E100+D101</f>
        <v>2195.556</v>
      </c>
      <c r="F101" s="635" t="n">
        <f aca="false">F100-D100</f>
        <v>9374.03299999997</v>
      </c>
      <c r="G101" s="636" t="n">
        <f aca="false">G100-D101</f>
        <v>9343.33399999996</v>
      </c>
      <c r="H101" s="640"/>
      <c r="K101" s="642"/>
    </row>
    <row r="102" s="621" customFormat="true" ht="39.75" hidden="false" customHeight="true" outlineLevel="0" collapsed="false">
      <c r="A102" s="632" t="s">
        <v>590</v>
      </c>
      <c r="B102" s="632" t="s">
        <v>506</v>
      </c>
      <c r="C102" s="633" t="n">
        <v>31</v>
      </c>
      <c r="D102" s="634" t="n">
        <f aca="false">C102-0.301</f>
        <v>30.699</v>
      </c>
      <c r="E102" s="635" t="n">
        <f aca="false">E101+D102</f>
        <v>2226.255</v>
      </c>
      <c r="F102" s="635" t="n">
        <f aca="false">F101-D101</f>
        <v>9343.33399999996</v>
      </c>
      <c r="G102" s="636" t="n">
        <f aca="false">G101-D102</f>
        <v>9312.63499999996</v>
      </c>
      <c r="H102" s="640"/>
      <c r="K102" s="642"/>
    </row>
    <row r="103" s="621" customFormat="true" ht="39.75" hidden="false" customHeight="true" outlineLevel="0" collapsed="false">
      <c r="A103" s="632" t="s">
        <v>591</v>
      </c>
      <c r="B103" s="632" t="s">
        <v>506</v>
      </c>
      <c r="C103" s="633" t="n">
        <v>31</v>
      </c>
      <c r="D103" s="634" t="n">
        <f aca="false">C103-0.301</f>
        <v>30.699</v>
      </c>
      <c r="E103" s="635" t="n">
        <f aca="false">E102+D103</f>
        <v>2256.954</v>
      </c>
      <c r="F103" s="635" t="n">
        <f aca="false">F102-D102</f>
        <v>9312.63499999996</v>
      </c>
      <c r="G103" s="636" t="n">
        <f aca="false">G102-D103</f>
        <v>9281.93599999996</v>
      </c>
      <c r="H103" s="656"/>
      <c r="K103" s="642"/>
    </row>
    <row r="104" s="621" customFormat="true" ht="39.75" hidden="false" customHeight="true" outlineLevel="0" collapsed="false">
      <c r="A104" s="632" t="s">
        <v>592</v>
      </c>
      <c r="B104" s="632" t="s">
        <v>506</v>
      </c>
      <c r="C104" s="633" t="n">
        <v>31</v>
      </c>
      <c r="D104" s="634" t="n">
        <f aca="false">C104-0.301</f>
        <v>30.699</v>
      </c>
      <c r="E104" s="635" t="n">
        <f aca="false">E103+D104</f>
        <v>2287.653</v>
      </c>
      <c r="F104" s="635" t="n">
        <f aca="false">F103-D103</f>
        <v>9281.93599999996</v>
      </c>
      <c r="G104" s="636" t="n">
        <f aca="false">G103-D104</f>
        <v>9251.23699999996</v>
      </c>
      <c r="H104" s="640"/>
      <c r="K104" s="642"/>
    </row>
    <row r="105" s="621" customFormat="true" ht="39.75" hidden="false" customHeight="true" outlineLevel="0" collapsed="false">
      <c r="A105" s="632" t="s">
        <v>593</v>
      </c>
      <c r="B105" s="632" t="s">
        <v>506</v>
      </c>
      <c r="C105" s="633" t="n">
        <v>31</v>
      </c>
      <c r="D105" s="634" t="n">
        <f aca="false">C105-0.301</f>
        <v>30.699</v>
      </c>
      <c r="E105" s="635" t="n">
        <f aca="false">E104+D105</f>
        <v>2318.352</v>
      </c>
      <c r="F105" s="635" t="n">
        <f aca="false">F104-D104</f>
        <v>9251.23699999996</v>
      </c>
      <c r="G105" s="636" t="n">
        <f aca="false">G104-D105</f>
        <v>9220.53799999996</v>
      </c>
      <c r="H105" s="640"/>
      <c r="K105" s="642"/>
    </row>
    <row r="106" s="621" customFormat="true" ht="39.75" hidden="false" customHeight="true" outlineLevel="0" collapsed="false">
      <c r="A106" s="632" t="s">
        <v>594</v>
      </c>
      <c r="B106" s="632" t="s">
        <v>506</v>
      </c>
      <c r="C106" s="633" t="n">
        <v>31</v>
      </c>
      <c r="D106" s="634" t="n">
        <f aca="false">C106-0.301</f>
        <v>30.699</v>
      </c>
      <c r="E106" s="635" t="n">
        <f aca="false">E105+D106</f>
        <v>2349.051</v>
      </c>
      <c r="F106" s="635" t="n">
        <f aca="false">F105-D105</f>
        <v>9220.53799999996</v>
      </c>
      <c r="G106" s="636" t="n">
        <f aca="false">G105-D106</f>
        <v>9189.83899999996</v>
      </c>
      <c r="H106" s="640"/>
      <c r="K106" s="642"/>
    </row>
    <row r="107" s="621" customFormat="true" ht="39.75" hidden="false" customHeight="true" outlineLevel="0" collapsed="false">
      <c r="A107" s="632" t="s">
        <v>595</v>
      </c>
      <c r="B107" s="632" t="s">
        <v>506</v>
      </c>
      <c r="C107" s="633" t="n">
        <v>31</v>
      </c>
      <c r="D107" s="634" t="n">
        <f aca="false">C107-0.301</f>
        <v>30.699</v>
      </c>
      <c r="E107" s="635" t="n">
        <f aca="false">E106+D107</f>
        <v>2379.75</v>
      </c>
      <c r="F107" s="635" t="n">
        <f aca="false">F106-D106</f>
        <v>9189.83899999996</v>
      </c>
      <c r="G107" s="636" t="n">
        <f aca="false">G106-D107</f>
        <v>9159.13999999996</v>
      </c>
      <c r="H107" s="640"/>
      <c r="K107" s="642"/>
    </row>
    <row r="108" s="621" customFormat="true" ht="39.75" hidden="false" customHeight="true" outlineLevel="0" collapsed="false">
      <c r="A108" s="632" t="s">
        <v>596</v>
      </c>
      <c r="B108" s="632" t="s">
        <v>506</v>
      </c>
      <c r="C108" s="633" t="n">
        <v>31</v>
      </c>
      <c r="D108" s="634" t="n">
        <f aca="false">C108-0.301</f>
        <v>30.699</v>
      </c>
      <c r="E108" s="635" t="n">
        <f aca="false">E107+D108</f>
        <v>2410.449</v>
      </c>
      <c r="F108" s="635" t="n">
        <f aca="false">F107-D107</f>
        <v>9159.13999999996</v>
      </c>
      <c r="G108" s="636" t="n">
        <f aca="false">G107-D108</f>
        <v>9128.44099999996</v>
      </c>
      <c r="H108" s="640"/>
      <c r="K108" s="642"/>
    </row>
    <row r="109" s="621" customFormat="true" ht="39.75" hidden="false" customHeight="true" outlineLevel="0" collapsed="false">
      <c r="A109" s="632" t="s">
        <v>597</v>
      </c>
      <c r="B109" s="632" t="s">
        <v>506</v>
      </c>
      <c r="C109" s="633" t="n">
        <v>31</v>
      </c>
      <c r="D109" s="634" t="n">
        <f aca="false">C109-0.301</f>
        <v>30.699</v>
      </c>
      <c r="E109" s="635" t="n">
        <f aca="false">E108+D109</f>
        <v>2441.148</v>
      </c>
      <c r="F109" s="635" t="n">
        <f aca="false">F108-D108</f>
        <v>9128.44099999996</v>
      </c>
      <c r="G109" s="636" t="n">
        <f aca="false">G108-D109</f>
        <v>9097.74199999996</v>
      </c>
      <c r="H109" s="640"/>
      <c r="K109" s="642"/>
    </row>
    <row r="110" s="621" customFormat="true" ht="39.75" hidden="false" customHeight="true" outlineLevel="0" collapsed="false">
      <c r="A110" s="632" t="s">
        <v>598</v>
      </c>
      <c r="B110" s="632" t="s">
        <v>506</v>
      </c>
      <c r="C110" s="633" t="n">
        <v>31</v>
      </c>
      <c r="D110" s="634" t="n">
        <f aca="false">C110-0.301</f>
        <v>30.699</v>
      </c>
      <c r="E110" s="635" t="n">
        <f aca="false">E109+D110</f>
        <v>2471.847</v>
      </c>
      <c r="F110" s="635" t="n">
        <f aca="false">F109-D109</f>
        <v>9097.74199999996</v>
      </c>
      <c r="G110" s="636" t="n">
        <f aca="false">G109-D110</f>
        <v>9067.04299999996</v>
      </c>
      <c r="H110" s="640"/>
      <c r="K110" s="642"/>
    </row>
    <row r="111" s="621" customFormat="true" ht="39.75" hidden="false" customHeight="true" outlineLevel="0" collapsed="false">
      <c r="A111" s="632" t="s">
        <v>599</v>
      </c>
      <c r="B111" s="632" t="s">
        <v>506</v>
      </c>
      <c r="C111" s="633" t="n">
        <v>31</v>
      </c>
      <c r="D111" s="634" t="n">
        <f aca="false">C111-0.301</f>
        <v>30.699</v>
      </c>
      <c r="E111" s="635" t="n">
        <f aca="false">E110+D111</f>
        <v>2502.546</v>
      </c>
      <c r="F111" s="635" t="n">
        <f aca="false">F110-D110</f>
        <v>9067.04299999996</v>
      </c>
      <c r="G111" s="636" t="n">
        <f aca="false">G110-D111</f>
        <v>9036.34399999996</v>
      </c>
      <c r="H111" s="640"/>
      <c r="K111" s="642"/>
    </row>
    <row r="112" s="621" customFormat="true" ht="39" hidden="false" customHeight="true" outlineLevel="0" collapsed="false">
      <c r="A112" s="667" t="s">
        <v>408</v>
      </c>
      <c r="B112" s="668" t="s">
        <v>525</v>
      </c>
      <c r="C112" s="669" t="n">
        <v>5.18</v>
      </c>
      <c r="D112" s="634" t="n">
        <f aca="false">C112-0.301</f>
        <v>4.879</v>
      </c>
      <c r="E112" s="635" t="n">
        <f aca="false">E111+D112</f>
        <v>2507.425</v>
      </c>
      <c r="F112" s="635" t="n">
        <f aca="false">F111-D111</f>
        <v>9036.34399999996</v>
      </c>
      <c r="G112" s="636" t="n">
        <f aca="false">G111-D112</f>
        <v>9031.46499999996</v>
      </c>
      <c r="H112" s="640"/>
      <c r="K112" s="642"/>
    </row>
    <row r="113" s="621" customFormat="true" ht="39.75" hidden="false" customHeight="true" outlineLevel="0" collapsed="false">
      <c r="A113" s="667"/>
      <c r="B113" s="668" t="s">
        <v>600</v>
      </c>
      <c r="C113" s="669" t="n">
        <v>4.97</v>
      </c>
      <c r="D113" s="634" t="n">
        <f aca="false">C113-0.301</f>
        <v>4.669</v>
      </c>
      <c r="E113" s="635" t="n">
        <f aca="false">E112+D113</f>
        <v>2512.094</v>
      </c>
      <c r="F113" s="635" t="n">
        <f aca="false">F112-D112</f>
        <v>9031.46499999996</v>
      </c>
      <c r="G113" s="636" t="n">
        <f aca="false">G112-D113</f>
        <v>9026.79599999996</v>
      </c>
      <c r="H113" s="656"/>
      <c r="K113" s="642"/>
    </row>
    <row r="114" s="621" customFormat="true" ht="39.75" hidden="false" customHeight="true" outlineLevel="0" collapsed="false">
      <c r="A114" s="667"/>
      <c r="B114" s="668" t="s">
        <v>601</v>
      </c>
      <c r="C114" s="669" t="n">
        <v>8.69</v>
      </c>
      <c r="D114" s="634" t="n">
        <f aca="false">C114-0.301</f>
        <v>8.389</v>
      </c>
      <c r="E114" s="635" t="n">
        <f aca="false">E113+D114</f>
        <v>2520.483</v>
      </c>
      <c r="F114" s="635" t="n">
        <f aca="false">F113-D113</f>
        <v>9026.79599999996</v>
      </c>
      <c r="G114" s="636" t="n">
        <f aca="false">G113-D114</f>
        <v>9018.40699999996</v>
      </c>
      <c r="H114" s="640"/>
      <c r="K114" s="642"/>
    </row>
    <row r="115" s="621" customFormat="true" ht="39.75" hidden="false" customHeight="true" outlineLevel="0" collapsed="false">
      <c r="A115" s="667"/>
      <c r="B115" s="668" t="s">
        <v>528</v>
      </c>
      <c r="C115" s="669" t="n">
        <v>4.8</v>
      </c>
      <c r="D115" s="634" t="n">
        <f aca="false">C115-0.301</f>
        <v>4.499</v>
      </c>
      <c r="E115" s="635" t="n">
        <f aca="false">E114+D115</f>
        <v>2524.982</v>
      </c>
      <c r="F115" s="635" t="n">
        <f aca="false">F114-D114</f>
        <v>9018.40699999996</v>
      </c>
      <c r="G115" s="636" t="n">
        <f aca="false">G114-D115</f>
        <v>9013.90799999996</v>
      </c>
      <c r="H115" s="640"/>
      <c r="K115" s="642"/>
    </row>
    <row r="116" s="621" customFormat="true" ht="39.75" hidden="false" customHeight="true" outlineLevel="0" collapsed="false">
      <c r="A116" s="667"/>
      <c r="B116" s="668" t="s">
        <v>579</v>
      </c>
      <c r="C116" s="669" t="n">
        <v>9.95</v>
      </c>
      <c r="D116" s="634" t="n">
        <f aca="false">C116-0.301</f>
        <v>9.649</v>
      </c>
      <c r="E116" s="635" t="n">
        <f aca="false">E115+D116</f>
        <v>2534.631</v>
      </c>
      <c r="F116" s="635" t="n">
        <f aca="false">F115-D115</f>
        <v>9013.90799999996</v>
      </c>
      <c r="G116" s="636" t="n">
        <f aca="false">G115-D116</f>
        <v>9004.25899999996</v>
      </c>
      <c r="H116" s="640"/>
      <c r="K116" s="642"/>
    </row>
    <row r="117" s="621" customFormat="true" ht="39.75" hidden="false" customHeight="true" outlineLevel="0" collapsed="false">
      <c r="A117" s="632" t="s">
        <v>602</v>
      </c>
      <c r="B117" s="632" t="s">
        <v>506</v>
      </c>
      <c r="C117" s="633" t="n">
        <v>31</v>
      </c>
      <c r="D117" s="634" t="n">
        <f aca="false">C117-0.301</f>
        <v>30.699</v>
      </c>
      <c r="E117" s="635" t="n">
        <f aca="false">E116+D117</f>
        <v>2565.33</v>
      </c>
      <c r="F117" s="635" t="n">
        <f aca="false">F116-D116</f>
        <v>9004.25899999996</v>
      </c>
      <c r="G117" s="636" t="n">
        <f aca="false">G116-D117</f>
        <v>8973.55999999996</v>
      </c>
      <c r="H117" s="640"/>
      <c r="K117" s="642"/>
    </row>
    <row r="118" s="621" customFormat="true" ht="39.75" hidden="false" customHeight="true" outlineLevel="0" collapsed="false">
      <c r="A118" s="632" t="s">
        <v>603</v>
      </c>
      <c r="B118" s="632" t="s">
        <v>506</v>
      </c>
      <c r="C118" s="633" t="n">
        <v>31</v>
      </c>
      <c r="D118" s="670" t="n">
        <f aca="false">C118-0.301</f>
        <v>30.699</v>
      </c>
      <c r="E118" s="635" t="n">
        <f aca="false">E117+D118</f>
        <v>2596.029</v>
      </c>
      <c r="F118" s="635" t="n">
        <f aca="false">F117-D117</f>
        <v>8973.55999999996</v>
      </c>
      <c r="G118" s="636" t="n">
        <f aca="false">G117-D118</f>
        <v>8942.86099999996</v>
      </c>
      <c r="H118" s="655"/>
      <c r="K118" s="642"/>
    </row>
    <row r="119" s="621" customFormat="true" ht="39.75" hidden="false" customHeight="true" outlineLevel="0" collapsed="false">
      <c r="A119" s="632" t="s">
        <v>604</v>
      </c>
      <c r="B119" s="632" t="s">
        <v>506</v>
      </c>
      <c r="C119" s="633" t="n">
        <v>31</v>
      </c>
      <c r="D119" s="670" t="n">
        <f aca="false">C119-0.301</f>
        <v>30.699</v>
      </c>
      <c r="E119" s="635" t="n">
        <f aca="false">E118+D119</f>
        <v>2626.728</v>
      </c>
      <c r="F119" s="635" t="n">
        <f aca="false">F118-D118</f>
        <v>8942.86099999996</v>
      </c>
      <c r="G119" s="636" t="n">
        <f aca="false">G118-D119</f>
        <v>8912.16199999996</v>
      </c>
      <c r="H119" s="640"/>
      <c r="K119" s="642"/>
    </row>
    <row r="120" s="621" customFormat="true" ht="39.75" hidden="false" customHeight="true" outlineLevel="0" collapsed="false">
      <c r="A120" s="632" t="s">
        <v>605</v>
      </c>
      <c r="B120" s="632" t="s">
        <v>506</v>
      </c>
      <c r="C120" s="633" t="n">
        <v>31</v>
      </c>
      <c r="D120" s="634" t="n">
        <f aca="false">C120-0.301</f>
        <v>30.699</v>
      </c>
      <c r="E120" s="635" t="n">
        <f aca="false">E119+D120</f>
        <v>2657.427</v>
      </c>
      <c r="F120" s="635" t="n">
        <f aca="false">F119-D119</f>
        <v>8912.16199999996</v>
      </c>
      <c r="G120" s="636" t="n">
        <f aca="false">G119-D120</f>
        <v>8881.46299999996</v>
      </c>
      <c r="H120" s="640"/>
      <c r="K120" s="642"/>
    </row>
    <row r="121" s="621" customFormat="true" ht="39.75" hidden="false" customHeight="true" outlineLevel="0" collapsed="false">
      <c r="A121" s="632" t="s">
        <v>606</v>
      </c>
      <c r="B121" s="632" t="s">
        <v>506</v>
      </c>
      <c r="C121" s="633" t="n">
        <v>31</v>
      </c>
      <c r="D121" s="634" t="n">
        <f aca="false">C121-0.301</f>
        <v>30.699</v>
      </c>
      <c r="E121" s="635" t="n">
        <f aca="false">E120+D121</f>
        <v>2688.126</v>
      </c>
      <c r="F121" s="635" t="n">
        <f aca="false">F120-D120</f>
        <v>8881.46299999996</v>
      </c>
      <c r="G121" s="636" t="n">
        <f aca="false">G120-D121</f>
        <v>8850.76399999996</v>
      </c>
      <c r="H121" s="640"/>
      <c r="K121" s="642"/>
    </row>
    <row r="122" s="621" customFormat="true" ht="39.75" hidden="false" customHeight="true" outlineLevel="0" collapsed="false">
      <c r="A122" s="632" t="s">
        <v>607</v>
      </c>
      <c r="B122" s="632" t="s">
        <v>506</v>
      </c>
      <c r="C122" s="633" t="n">
        <v>31</v>
      </c>
      <c r="D122" s="634" t="n">
        <f aca="false">C122-0.301</f>
        <v>30.699</v>
      </c>
      <c r="E122" s="635" t="n">
        <f aca="false">E121+D122</f>
        <v>2718.825</v>
      </c>
      <c r="F122" s="635" t="n">
        <f aca="false">F121-D121</f>
        <v>8850.76399999996</v>
      </c>
      <c r="G122" s="636" t="n">
        <f aca="false">G121-D122</f>
        <v>8820.06499999996</v>
      </c>
      <c r="H122" s="640"/>
      <c r="K122" s="642"/>
    </row>
    <row r="123" s="621" customFormat="true" ht="39.75" hidden="false" customHeight="true" outlineLevel="0" collapsed="false">
      <c r="A123" s="632" t="s">
        <v>608</v>
      </c>
      <c r="B123" s="632" t="s">
        <v>506</v>
      </c>
      <c r="C123" s="633" t="n">
        <v>31</v>
      </c>
      <c r="D123" s="634" t="n">
        <f aca="false">C123-0.301</f>
        <v>30.699</v>
      </c>
      <c r="E123" s="635" t="n">
        <f aca="false">E122+D123</f>
        <v>2749.524</v>
      </c>
      <c r="F123" s="635" t="n">
        <f aca="false">F122-D122</f>
        <v>8820.06499999996</v>
      </c>
      <c r="G123" s="636" t="n">
        <f aca="false">G122-D123</f>
        <v>8789.36599999996</v>
      </c>
      <c r="H123" s="640"/>
      <c r="K123" s="642"/>
    </row>
    <row r="124" s="621" customFormat="true" ht="39.75" hidden="false" customHeight="true" outlineLevel="0" collapsed="false">
      <c r="A124" s="632" t="s">
        <v>609</v>
      </c>
      <c r="B124" s="632" t="s">
        <v>506</v>
      </c>
      <c r="C124" s="633" t="n">
        <v>31</v>
      </c>
      <c r="D124" s="634" t="n">
        <f aca="false">C124-0.301</f>
        <v>30.699</v>
      </c>
      <c r="E124" s="635" t="n">
        <f aca="false">E123+D124</f>
        <v>2780.223</v>
      </c>
      <c r="F124" s="635" t="n">
        <f aca="false">F123-D123</f>
        <v>8789.36599999996</v>
      </c>
      <c r="G124" s="636" t="n">
        <f aca="false">G123-D124</f>
        <v>8758.66699999996</v>
      </c>
      <c r="H124" s="656"/>
      <c r="K124" s="642"/>
    </row>
    <row r="125" s="621" customFormat="true" ht="39.75" hidden="false" customHeight="true" outlineLevel="0" collapsed="false">
      <c r="A125" s="632" t="s">
        <v>610</v>
      </c>
      <c r="B125" s="632" t="s">
        <v>506</v>
      </c>
      <c r="C125" s="633" t="n">
        <v>31</v>
      </c>
      <c r="D125" s="634" t="n">
        <f aca="false">C125-0.301</f>
        <v>30.699</v>
      </c>
      <c r="E125" s="635" t="n">
        <f aca="false">E124+D125</f>
        <v>2810.922</v>
      </c>
      <c r="F125" s="635" t="n">
        <f aca="false">F124-D124</f>
        <v>8758.66699999996</v>
      </c>
      <c r="G125" s="636" t="n">
        <f aca="false">G124-D125</f>
        <v>8727.96799999996</v>
      </c>
      <c r="H125" s="640"/>
      <c r="K125" s="642"/>
    </row>
    <row r="126" s="621" customFormat="true" ht="39.75" hidden="false" customHeight="true" outlineLevel="0" collapsed="false">
      <c r="A126" s="632" t="s">
        <v>611</v>
      </c>
      <c r="B126" s="632" t="s">
        <v>506</v>
      </c>
      <c r="C126" s="633" t="n">
        <v>31</v>
      </c>
      <c r="D126" s="634" t="n">
        <f aca="false">C126-0.301</f>
        <v>30.699</v>
      </c>
      <c r="E126" s="635" t="n">
        <f aca="false">E125+D126</f>
        <v>2841.621</v>
      </c>
      <c r="F126" s="635" t="n">
        <f aca="false">F125-D125</f>
        <v>8727.96799999996</v>
      </c>
      <c r="G126" s="636" t="n">
        <f aca="false">G125-D126</f>
        <v>8697.26899999996</v>
      </c>
      <c r="H126" s="640"/>
      <c r="K126" s="642"/>
    </row>
    <row r="127" s="621" customFormat="true" ht="39.75" hidden="false" customHeight="true" outlineLevel="0" collapsed="false">
      <c r="A127" s="632" t="s">
        <v>612</v>
      </c>
      <c r="B127" s="632" t="s">
        <v>506</v>
      </c>
      <c r="C127" s="633" t="n">
        <v>31</v>
      </c>
      <c r="D127" s="634" t="n">
        <f aca="false">C127-0.301</f>
        <v>30.699</v>
      </c>
      <c r="E127" s="635" t="n">
        <f aca="false">E126+D127</f>
        <v>2872.32</v>
      </c>
      <c r="F127" s="635" t="n">
        <f aca="false">F126-D126</f>
        <v>8697.26899999996</v>
      </c>
      <c r="G127" s="636" t="n">
        <f aca="false">G126-D127</f>
        <v>8666.56999999995</v>
      </c>
      <c r="H127" s="640"/>
      <c r="K127" s="642"/>
    </row>
    <row r="128" s="621" customFormat="true" ht="39.75" hidden="false" customHeight="true" outlineLevel="0" collapsed="false">
      <c r="A128" s="632" t="s">
        <v>613</v>
      </c>
      <c r="B128" s="632" t="s">
        <v>506</v>
      </c>
      <c r="C128" s="633" t="n">
        <v>31</v>
      </c>
      <c r="D128" s="634" t="n">
        <f aca="false">C128-0.301</f>
        <v>30.699</v>
      </c>
      <c r="E128" s="635" t="n">
        <f aca="false">E127+D128</f>
        <v>2903.019</v>
      </c>
      <c r="F128" s="635" t="n">
        <f aca="false">F127-D127</f>
        <v>8666.56999999995</v>
      </c>
      <c r="G128" s="636" t="n">
        <f aca="false">G127-D128</f>
        <v>8635.87099999995</v>
      </c>
      <c r="H128" s="640"/>
      <c r="K128" s="642"/>
    </row>
    <row r="129" s="621" customFormat="true" ht="39.75" hidden="false" customHeight="true" outlineLevel="0" collapsed="false">
      <c r="A129" s="632" t="s">
        <v>614</v>
      </c>
      <c r="B129" s="632" t="s">
        <v>506</v>
      </c>
      <c r="C129" s="633" t="n">
        <v>31</v>
      </c>
      <c r="D129" s="634" t="n">
        <f aca="false">C129-0.301</f>
        <v>30.699</v>
      </c>
      <c r="E129" s="635" t="n">
        <f aca="false">E128+D129</f>
        <v>2933.718</v>
      </c>
      <c r="F129" s="635" t="n">
        <f aca="false">F128-D128</f>
        <v>8635.87099999995</v>
      </c>
      <c r="G129" s="636" t="n">
        <f aca="false">G128-D129</f>
        <v>8605.17199999995</v>
      </c>
      <c r="H129" s="640"/>
      <c r="K129" s="642"/>
    </row>
    <row r="130" s="621" customFormat="true" ht="39.75" hidden="false" customHeight="true" outlineLevel="0" collapsed="false">
      <c r="A130" s="632" t="s">
        <v>615</v>
      </c>
      <c r="B130" s="632" t="s">
        <v>506</v>
      </c>
      <c r="C130" s="633" t="n">
        <v>31</v>
      </c>
      <c r="D130" s="634" t="n">
        <f aca="false">C130-0.301</f>
        <v>30.699</v>
      </c>
      <c r="E130" s="635" t="n">
        <f aca="false">E129+D130</f>
        <v>2964.417</v>
      </c>
      <c r="F130" s="635" t="n">
        <f aca="false">F129-D129</f>
        <v>8605.17199999995</v>
      </c>
      <c r="G130" s="636" t="n">
        <f aca="false">G129-D130</f>
        <v>8574.47299999995</v>
      </c>
      <c r="H130" s="640"/>
      <c r="K130" s="642"/>
    </row>
    <row r="131" s="621" customFormat="true" ht="39.75" hidden="false" customHeight="true" outlineLevel="0" collapsed="false">
      <c r="A131" s="632" t="s">
        <v>616</v>
      </c>
      <c r="B131" s="632" t="s">
        <v>506</v>
      </c>
      <c r="C131" s="633" t="n">
        <v>31</v>
      </c>
      <c r="D131" s="634" t="n">
        <f aca="false">C131-0.301</f>
        <v>30.699</v>
      </c>
      <c r="E131" s="635" t="n">
        <f aca="false">E130+D131</f>
        <v>2995.116</v>
      </c>
      <c r="F131" s="635" t="n">
        <f aca="false">F130-D130</f>
        <v>8574.47299999995</v>
      </c>
      <c r="G131" s="636" t="n">
        <f aca="false">G130-D131</f>
        <v>8543.77399999995</v>
      </c>
      <c r="H131" s="640"/>
      <c r="K131" s="642"/>
    </row>
    <row r="132" s="621" customFormat="true" ht="39.75" hidden="false" customHeight="true" outlineLevel="0" collapsed="false">
      <c r="A132" s="632" t="s">
        <v>617</v>
      </c>
      <c r="B132" s="632" t="s">
        <v>506</v>
      </c>
      <c r="C132" s="633" t="n">
        <v>31</v>
      </c>
      <c r="D132" s="634" t="n">
        <f aca="false">C132-0.301</f>
        <v>30.699</v>
      </c>
      <c r="E132" s="635" t="n">
        <f aca="false">E131+D132</f>
        <v>3025.815</v>
      </c>
      <c r="F132" s="635" t="n">
        <f aca="false">F131-D131</f>
        <v>8543.77399999995</v>
      </c>
      <c r="G132" s="636" t="n">
        <f aca="false">G131-D132</f>
        <v>8513.07499999995</v>
      </c>
      <c r="H132" s="640"/>
      <c r="K132" s="642"/>
    </row>
    <row r="133" s="621" customFormat="true" ht="39.75" hidden="false" customHeight="true" outlineLevel="0" collapsed="false">
      <c r="A133" s="632" t="s">
        <v>618</v>
      </c>
      <c r="B133" s="632" t="s">
        <v>506</v>
      </c>
      <c r="C133" s="633" t="n">
        <v>31</v>
      </c>
      <c r="D133" s="634" t="n">
        <f aca="false">C133-0.301</f>
        <v>30.699</v>
      </c>
      <c r="E133" s="635" t="n">
        <f aca="false">E132+D133</f>
        <v>3056.514</v>
      </c>
      <c r="F133" s="635" t="n">
        <f aca="false">F132-D132</f>
        <v>8513.07499999995</v>
      </c>
      <c r="G133" s="636" t="n">
        <f aca="false">G132-D133</f>
        <v>8482.37599999995</v>
      </c>
      <c r="H133" s="656"/>
      <c r="K133" s="642"/>
    </row>
    <row r="134" s="621" customFormat="true" ht="39.75" hidden="false" customHeight="true" outlineLevel="0" collapsed="false">
      <c r="A134" s="632" t="s">
        <v>619</v>
      </c>
      <c r="B134" s="632" t="s">
        <v>506</v>
      </c>
      <c r="C134" s="633" t="n">
        <v>31</v>
      </c>
      <c r="D134" s="634" t="n">
        <f aca="false">C134-0.301</f>
        <v>30.699</v>
      </c>
      <c r="E134" s="635" t="n">
        <f aca="false">E133+D134</f>
        <v>3087.213</v>
      </c>
      <c r="F134" s="635" t="n">
        <f aca="false">F133-D133</f>
        <v>8482.37599999995</v>
      </c>
      <c r="G134" s="636" t="n">
        <f aca="false">G133-D134</f>
        <v>8451.67699999995</v>
      </c>
      <c r="H134" s="640"/>
      <c r="K134" s="642"/>
    </row>
    <row r="135" s="621" customFormat="true" ht="39.75" hidden="false" customHeight="true" outlineLevel="0" collapsed="false">
      <c r="A135" s="632" t="s">
        <v>620</v>
      </c>
      <c r="B135" s="632" t="s">
        <v>506</v>
      </c>
      <c r="C135" s="633" t="n">
        <v>31</v>
      </c>
      <c r="D135" s="634" t="n">
        <f aca="false">C135-0.301</f>
        <v>30.699</v>
      </c>
      <c r="E135" s="635" t="n">
        <f aca="false">E134+D135</f>
        <v>3117.912</v>
      </c>
      <c r="F135" s="635" t="n">
        <f aca="false">F134-D134</f>
        <v>8451.67699999995</v>
      </c>
      <c r="G135" s="636" t="n">
        <f aca="false">G134-D135</f>
        <v>8420.97799999995</v>
      </c>
      <c r="H135" s="640"/>
      <c r="K135" s="642"/>
    </row>
    <row r="136" s="621" customFormat="true" ht="39.75" hidden="false" customHeight="true" outlineLevel="0" collapsed="false">
      <c r="A136" s="632" t="s">
        <v>621</v>
      </c>
      <c r="B136" s="632" t="s">
        <v>506</v>
      </c>
      <c r="C136" s="633" t="n">
        <v>31</v>
      </c>
      <c r="D136" s="634" t="n">
        <f aca="false">C136-0.301</f>
        <v>30.699</v>
      </c>
      <c r="E136" s="635" t="n">
        <f aca="false">E135+D136</f>
        <v>3148.611</v>
      </c>
      <c r="F136" s="635" t="n">
        <f aca="false">F135-D135</f>
        <v>8420.97799999995</v>
      </c>
      <c r="G136" s="636" t="n">
        <f aca="false">G135-D136</f>
        <v>8390.27899999995</v>
      </c>
      <c r="H136" s="640"/>
      <c r="K136" s="642"/>
    </row>
    <row r="137" s="621" customFormat="true" ht="39.75" hidden="false" customHeight="true" outlineLevel="0" collapsed="false">
      <c r="A137" s="671" t="s">
        <v>412</v>
      </c>
      <c r="B137" s="672" t="s">
        <v>525</v>
      </c>
      <c r="C137" s="673" t="n">
        <v>5.19</v>
      </c>
      <c r="D137" s="634" t="n">
        <f aca="false">C137-0.301</f>
        <v>4.889</v>
      </c>
      <c r="E137" s="635" t="n">
        <f aca="false">E136+D137</f>
        <v>3153.5</v>
      </c>
      <c r="F137" s="635" t="n">
        <f aca="false">F136-D136</f>
        <v>8390.27899999995</v>
      </c>
      <c r="G137" s="636" t="n">
        <f aca="false">G136-D137</f>
        <v>8385.38999999995</v>
      </c>
      <c r="H137" s="640"/>
      <c r="K137" s="642"/>
    </row>
    <row r="138" s="621" customFormat="true" ht="39.75" hidden="false" customHeight="true" outlineLevel="0" collapsed="false">
      <c r="A138" s="671"/>
      <c r="B138" s="672" t="s">
        <v>577</v>
      </c>
      <c r="C138" s="673" t="n">
        <v>4.96</v>
      </c>
      <c r="D138" s="634" t="n">
        <f aca="false">C138-0.301</f>
        <v>4.659</v>
      </c>
      <c r="E138" s="635" t="n">
        <f aca="false">E137+D138</f>
        <v>3158.159</v>
      </c>
      <c r="F138" s="635" t="n">
        <f aca="false">F137-D137</f>
        <v>8385.38999999995</v>
      </c>
      <c r="G138" s="636" t="n">
        <f aca="false">G137-D138</f>
        <v>8380.73099999995</v>
      </c>
      <c r="H138" s="640"/>
      <c r="K138" s="642"/>
    </row>
    <row r="139" s="621" customFormat="true" ht="39.75" hidden="false" customHeight="true" outlineLevel="0" collapsed="false">
      <c r="A139" s="671"/>
      <c r="B139" s="672" t="s">
        <v>622</v>
      </c>
      <c r="C139" s="673" t="n">
        <v>8.69</v>
      </c>
      <c r="D139" s="634" t="n">
        <f aca="false">C139-0.301</f>
        <v>8.389</v>
      </c>
      <c r="E139" s="635" t="n">
        <f aca="false">E138+D139</f>
        <v>3166.548</v>
      </c>
      <c r="F139" s="635" t="n">
        <f aca="false">F138-D138</f>
        <v>8380.73099999995</v>
      </c>
      <c r="G139" s="636" t="n">
        <f aca="false">G138-D139</f>
        <v>8372.34199999995</v>
      </c>
      <c r="H139" s="640"/>
      <c r="K139" s="642"/>
    </row>
    <row r="140" s="621" customFormat="true" ht="39.75" hidden="false" customHeight="true" outlineLevel="0" collapsed="false">
      <c r="A140" s="671"/>
      <c r="B140" s="672" t="s">
        <v>528</v>
      </c>
      <c r="C140" s="673" t="n">
        <v>4.88</v>
      </c>
      <c r="D140" s="634" t="n">
        <f aca="false">C140-0.301</f>
        <v>4.579</v>
      </c>
      <c r="E140" s="635" t="n">
        <f aca="false">E139+D140</f>
        <v>3171.127</v>
      </c>
      <c r="F140" s="635" t="n">
        <f aca="false">F139-D139</f>
        <v>8372.34199999995</v>
      </c>
      <c r="G140" s="636" t="n">
        <f aca="false">G139-D140</f>
        <v>8367.76299999995</v>
      </c>
      <c r="H140" s="640"/>
      <c r="K140" s="642"/>
    </row>
    <row r="141" s="621" customFormat="true" ht="39.75" hidden="false" customHeight="true" outlineLevel="0" collapsed="false">
      <c r="A141" s="671"/>
      <c r="B141" s="672" t="s">
        <v>579</v>
      </c>
      <c r="C141" s="673" t="n">
        <v>9.93</v>
      </c>
      <c r="D141" s="634" t="n">
        <f aca="false">C141-0.301</f>
        <v>9.629</v>
      </c>
      <c r="E141" s="635" t="n">
        <f aca="false">E140+D141</f>
        <v>3180.756</v>
      </c>
      <c r="F141" s="635" t="n">
        <f aca="false">F140-D140</f>
        <v>8367.76299999995</v>
      </c>
      <c r="G141" s="636" t="n">
        <f aca="false">G140-D141</f>
        <v>8358.13399999995</v>
      </c>
      <c r="H141" s="640"/>
      <c r="K141" s="642"/>
    </row>
    <row r="142" s="621" customFormat="true" ht="39.75" hidden="false" customHeight="true" outlineLevel="0" collapsed="false">
      <c r="A142" s="632" t="s">
        <v>623</v>
      </c>
      <c r="B142" s="632" t="s">
        <v>506</v>
      </c>
      <c r="C142" s="633" t="n">
        <v>31</v>
      </c>
      <c r="D142" s="634" t="n">
        <f aca="false">C142-0.301</f>
        <v>30.699</v>
      </c>
      <c r="E142" s="635" t="n">
        <f aca="false">E141+D142</f>
        <v>3211.455</v>
      </c>
      <c r="F142" s="635" t="n">
        <f aca="false">F141-D141</f>
        <v>8358.13399999995</v>
      </c>
      <c r="G142" s="636" t="n">
        <f aca="false">G141-D142</f>
        <v>8327.43499999995</v>
      </c>
      <c r="H142" s="640"/>
      <c r="K142" s="642"/>
    </row>
    <row r="143" s="621" customFormat="true" ht="39.75" hidden="false" customHeight="true" outlineLevel="0" collapsed="false">
      <c r="A143" s="632" t="s">
        <v>624</v>
      </c>
      <c r="B143" s="632" t="s">
        <v>506</v>
      </c>
      <c r="C143" s="633" t="n">
        <v>31</v>
      </c>
      <c r="D143" s="634" t="n">
        <f aca="false">C143-0.301</f>
        <v>30.699</v>
      </c>
      <c r="E143" s="635" t="n">
        <f aca="false">E142+D143</f>
        <v>3242.154</v>
      </c>
      <c r="F143" s="635" t="n">
        <f aca="false">F142-D142</f>
        <v>8327.43499999995</v>
      </c>
      <c r="G143" s="636" t="n">
        <f aca="false">G142-D143</f>
        <v>8296.73599999995</v>
      </c>
      <c r="H143" s="656"/>
      <c r="K143" s="642"/>
    </row>
    <row r="144" s="621" customFormat="true" ht="39.75" hidden="false" customHeight="true" outlineLevel="0" collapsed="false">
      <c r="A144" s="632" t="s">
        <v>625</v>
      </c>
      <c r="B144" s="632" t="s">
        <v>506</v>
      </c>
      <c r="C144" s="633" t="n">
        <v>31</v>
      </c>
      <c r="D144" s="634" t="n">
        <f aca="false">C144-0.301</f>
        <v>30.699</v>
      </c>
      <c r="E144" s="635" t="n">
        <f aca="false">E143+D144</f>
        <v>3272.853</v>
      </c>
      <c r="F144" s="635" t="n">
        <f aca="false">F143-D143</f>
        <v>8296.73599999995</v>
      </c>
      <c r="G144" s="636" t="n">
        <f aca="false">G143-D144</f>
        <v>8266.03699999995</v>
      </c>
      <c r="H144" s="640"/>
      <c r="K144" s="642"/>
    </row>
    <row r="145" s="621" customFormat="true" ht="39.75" hidden="false" customHeight="true" outlineLevel="0" collapsed="false">
      <c r="A145" s="632" t="s">
        <v>626</v>
      </c>
      <c r="B145" s="632" t="s">
        <v>506</v>
      </c>
      <c r="C145" s="633" t="n">
        <v>31</v>
      </c>
      <c r="D145" s="634" t="n">
        <f aca="false">C145-0.301</f>
        <v>30.699</v>
      </c>
      <c r="E145" s="635" t="n">
        <f aca="false">E144+D145</f>
        <v>3303.552</v>
      </c>
      <c r="F145" s="635" t="n">
        <f aca="false">F144-D144</f>
        <v>8266.03699999995</v>
      </c>
      <c r="G145" s="636" t="n">
        <f aca="false">G144-D145</f>
        <v>8235.33799999995</v>
      </c>
      <c r="H145" s="640"/>
      <c r="K145" s="642"/>
    </row>
    <row r="146" s="621" customFormat="true" ht="39.75" hidden="false" customHeight="true" outlineLevel="0" collapsed="false">
      <c r="A146" s="632" t="s">
        <v>627</v>
      </c>
      <c r="B146" s="632" t="s">
        <v>506</v>
      </c>
      <c r="C146" s="633" t="n">
        <v>31</v>
      </c>
      <c r="D146" s="634" t="n">
        <f aca="false">C146-0.301</f>
        <v>30.699</v>
      </c>
      <c r="E146" s="635" t="n">
        <f aca="false">E145+D146</f>
        <v>3334.251</v>
      </c>
      <c r="F146" s="635" t="n">
        <f aca="false">F145-D145</f>
        <v>8235.33799999995</v>
      </c>
      <c r="G146" s="636" t="n">
        <f aca="false">G145-D146</f>
        <v>8204.63899999995</v>
      </c>
      <c r="H146" s="640"/>
      <c r="K146" s="642"/>
    </row>
    <row r="147" s="621" customFormat="true" ht="39.75" hidden="false" customHeight="true" outlineLevel="0" collapsed="false">
      <c r="A147" s="632" t="s">
        <v>628</v>
      </c>
      <c r="B147" s="632" t="s">
        <v>506</v>
      </c>
      <c r="C147" s="633" t="n">
        <v>31</v>
      </c>
      <c r="D147" s="634" t="n">
        <f aca="false">C147-0.301</f>
        <v>30.699</v>
      </c>
      <c r="E147" s="635" t="n">
        <f aca="false">E146+D147</f>
        <v>3364.95</v>
      </c>
      <c r="F147" s="635" t="n">
        <f aca="false">F146-D146</f>
        <v>8204.63899999995</v>
      </c>
      <c r="G147" s="636" t="n">
        <f aca="false">G146-D147</f>
        <v>8173.93999999995</v>
      </c>
      <c r="H147" s="640"/>
      <c r="K147" s="642"/>
    </row>
    <row r="148" s="621" customFormat="true" ht="39.75" hidden="false" customHeight="true" outlineLevel="0" collapsed="false">
      <c r="A148" s="632" t="s">
        <v>629</v>
      </c>
      <c r="B148" s="632" t="s">
        <v>506</v>
      </c>
      <c r="C148" s="633" t="n">
        <v>31</v>
      </c>
      <c r="D148" s="670" t="n">
        <f aca="false">C148-0.301</f>
        <v>30.699</v>
      </c>
      <c r="E148" s="635" t="n">
        <f aca="false">E147+D148</f>
        <v>3395.649</v>
      </c>
      <c r="F148" s="635" t="n">
        <f aca="false">F147-D147</f>
        <v>8173.93999999995</v>
      </c>
      <c r="G148" s="636" t="n">
        <f aca="false">G147-D148</f>
        <v>8143.24099999995</v>
      </c>
      <c r="H148" s="655"/>
      <c r="K148" s="642"/>
    </row>
    <row r="149" s="621" customFormat="true" ht="39.75" hidden="false" customHeight="true" outlineLevel="0" collapsed="false">
      <c r="A149" s="632" t="s">
        <v>630</v>
      </c>
      <c r="B149" s="632" t="s">
        <v>506</v>
      </c>
      <c r="C149" s="633" t="n">
        <v>31</v>
      </c>
      <c r="D149" s="670" t="n">
        <f aca="false">C149-0.301</f>
        <v>30.699</v>
      </c>
      <c r="E149" s="635" t="n">
        <f aca="false">E148+D149</f>
        <v>3426.348</v>
      </c>
      <c r="F149" s="635" t="n">
        <f aca="false">F148-D148</f>
        <v>8143.24099999995</v>
      </c>
      <c r="G149" s="636" t="n">
        <f aca="false">G148-D149</f>
        <v>8112.54199999995</v>
      </c>
      <c r="H149" s="674"/>
      <c r="K149" s="642"/>
    </row>
    <row r="150" s="621" customFormat="true" ht="39.75" hidden="false" customHeight="true" outlineLevel="0" collapsed="false">
      <c r="A150" s="632" t="s">
        <v>631</v>
      </c>
      <c r="B150" s="632" t="s">
        <v>506</v>
      </c>
      <c r="C150" s="633" t="n">
        <v>31</v>
      </c>
      <c r="D150" s="634" t="n">
        <f aca="false">C150-0.301</f>
        <v>30.699</v>
      </c>
      <c r="E150" s="635" t="n">
        <f aca="false">E149+D150</f>
        <v>3457.047</v>
      </c>
      <c r="F150" s="635" t="n">
        <f aca="false">F149-D149</f>
        <v>8112.54199999995</v>
      </c>
      <c r="G150" s="636" t="n">
        <f aca="false">G149-D150</f>
        <v>8081.84299999995</v>
      </c>
      <c r="H150" s="640"/>
      <c r="K150" s="642"/>
    </row>
    <row r="151" s="621" customFormat="true" ht="39.75" hidden="false" customHeight="true" outlineLevel="0" collapsed="false">
      <c r="A151" s="632" t="s">
        <v>632</v>
      </c>
      <c r="B151" s="632" t="s">
        <v>506</v>
      </c>
      <c r="C151" s="633" t="n">
        <v>31</v>
      </c>
      <c r="D151" s="634" t="n">
        <f aca="false">C151-0.301</f>
        <v>30.699</v>
      </c>
      <c r="E151" s="635" t="n">
        <f aca="false">E150+D151</f>
        <v>3487.746</v>
      </c>
      <c r="F151" s="635" t="n">
        <f aca="false">F150-D150</f>
        <v>8081.84299999995</v>
      </c>
      <c r="G151" s="636" t="n">
        <f aca="false">G150-D151</f>
        <v>8051.14399999995</v>
      </c>
      <c r="H151" s="640"/>
      <c r="K151" s="642"/>
    </row>
    <row r="152" s="621" customFormat="true" ht="39.75" hidden="false" customHeight="true" outlineLevel="0" collapsed="false">
      <c r="A152" s="632" t="s">
        <v>633</v>
      </c>
      <c r="B152" s="632" t="s">
        <v>506</v>
      </c>
      <c r="C152" s="633" t="n">
        <v>31</v>
      </c>
      <c r="D152" s="634" t="n">
        <f aca="false">C152-0.301</f>
        <v>30.699</v>
      </c>
      <c r="E152" s="635" t="n">
        <f aca="false">E151+D152</f>
        <v>3518.445</v>
      </c>
      <c r="F152" s="635" t="n">
        <f aca="false">F151-D151</f>
        <v>8051.14399999995</v>
      </c>
      <c r="G152" s="636" t="n">
        <f aca="false">G151-D152</f>
        <v>8020.44499999995</v>
      </c>
      <c r="H152" s="640"/>
      <c r="K152" s="642"/>
    </row>
    <row r="153" s="621" customFormat="true" ht="39.75" hidden="false" customHeight="true" outlineLevel="0" collapsed="false">
      <c r="A153" s="632" t="s">
        <v>634</v>
      </c>
      <c r="B153" s="632" t="s">
        <v>506</v>
      </c>
      <c r="C153" s="633" t="n">
        <v>31</v>
      </c>
      <c r="D153" s="634" t="n">
        <f aca="false">C153-0.301</f>
        <v>30.699</v>
      </c>
      <c r="E153" s="635" t="n">
        <f aca="false">E152+D153</f>
        <v>3549.144</v>
      </c>
      <c r="F153" s="635" t="n">
        <f aca="false">F152-D152</f>
        <v>8020.44499999995</v>
      </c>
      <c r="G153" s="636" t="n">
        <f aca="false">G152-D153</f>
        <v>7989.74599999995</v>
      </c>
      <c r="H153" s="656"/>
      <c r="K153" s="642"/>
    </row>
    <row r="154" s="621" customFormat="true" ht="39.75" hidden="false" customHeight="true" outlineLevel="0" collapsed="false">
      <c r="A154" s="632" t="s">
        <v>635</v>
      </c>
      <c r="B154" s="632" t="s">
        <v>506</v>
      </c>
      <c r="C154" s="633" t="n">
        <v>31</v>
      </c>
      <c r="D154" s="634" t="n">
        <f aca="false">C154-0.301</f>
        <v>30.699</v>
      </c>
      <c r="E154" s="635" t="n">
        <f aca="false">E153+D154</f>
        <v>3579.843</v>
      </c>
      <c r="F154" s="635" t="n">
        <f aca="false">F153-D153</f>
        <v>7989.74599999995</v>
      </c>
      <c r="G154" s="636" t="n">
        <f aca="false">G153-D154</f>
        <v>7959.04699999995</v>
      </c>
      <c r="H154" s="640"/>
      <c r="K154" s="642"/>
    </row>
    <row r="155" s="621" customFormat="true" ht="39.75" hidden="false" customHeight="true" outlineLevel="0" collapsed="false">
      <c r="A155" s="632" t="s">
        <v>636</v>
      </c>
      <c r="B155" s="632" t="s">
        <v>506</v>
      </c>
      <c r="C155" s="633" t="n">
        <v>31</v>
      </c>
      <c r="D155" s="634" t="n">
        <f aca="false">C155-0.301</f>
        <v>30.699</v>
      </c>
      <c r="E155" s="635" t="n">
        <f aca="false">E154+D155</f>
        <v>3610.542</v>
      </c>
      <c r="F155" s="635" t="n">
        <f aca="false">F154-D154</f>
        <v>7959.04699999995</v>
      </c>
      <c r="G155" s="636" t="n">
        <f aca="false">G154-D155</f>
        <v>7928.34799999995</v>
      </c>
      <c r="H155" s="640"/>
      <c r="K155" s="642"/>
    </row>
    <row r="156" s="621" customFormat="true" ht="39.75" hidden="false" customHeight="true" outlineLevel="0" collapsed="false">
      <c r="A156" s="632" t="s">
        <v>637</v>
      </c>
      <c r="B156" s="632" t="s">
        <v>506</v>
      </c>
      <c r="C156" s="633" t="n">
        <v>31</v>
      </c>
      <c r="D156" s="634" t="n">
        <f aca="false">C156-0.301</f>
        <v>30.699</v>
      </c>
      <c r="E156" s="635" t="n">
        <f aca="false">E155+D156</f>
        <v>3641.241</v>
      </c>
      <c r="F156" s="635" t="n">
        <f aca="false">F155-D155</f>
        <v>7928.34799999995</v>
      </c>
      <c r="G156" s="636" t="n">
        <f aca="false">G155-D156</f>
        <v>7897.64899999995</v>
      </c>
      <c r="H156" s="640"/>
      <c r="K156" s="642"/>
    </row>
    <row r="157" s="621" customFormat="true" ht="39.75" hidden="false" customHeight="true" outlineLevel="0" collapsed="false">
      <c r="A157" s="632" t="s">
        <v>638</v>
      </c>
      <c r="B157" s="632" t="s">
        <v>506</v>
      </c>
      <c r="C157" s="633" t="n">
        <v>31</v>
      </c>
      <c r="D157" s="634" t="n">
        <f aca="false">C157-0.301</f>
        <v>30.699</v>
      </c>
      <c r="E157" s="635" t="n">
        <f aca="false">E156+D157</f>
        <v>3671.94</v>
      </c>
      <c r="F157" s="635" t="n">
        <f aca="false">F156-D156</f>
        <v>7897.64899999995</v>
      </c>
      <c r="G157" s="636" t="n">
        <f aca="false">G156-D157</f>
        <v>7866.94999999995</v>
      </c>
      <c r="H157" s="640"/>
      <c r="K157" s="642"/>
    </row>
    <row r="158" s="621" customFormat="true" ht="39.75" hidden="false" customHeight="true" outlineLevel="0" collapsed="false">
      <c r="A158" s="632" t="s">
        <v>639</v>
      </c>
      <c r="B158" s="632" t="s">
        <v>506</v>
      </c>
      <c r="C158" s="633" t="n">
        <v>31</v>
      </c>
      <c r="D158" s="634" t="n">
        <f aca="false">C158-0.301</f>
        <v>30.699</v>
      </c>
      <c r="E158" s="635" t="n">
        <f aca="false">E157+D158</f>
        <v>3702.639</v>
      </c>
      <c r="F158" s="635" t="n">
        <f aca="false">F157-D157</f>
        <v>7866.94999999995</v>
      </c>
      <c r="G158" s="636" t="n">
        <f aca="false">G157-D158</f>
        <v>7836.25099999995</v>
      </c>
      <c r="H158" s="640"/>
      <c r="K158" s="642"/>
    </row>
    <row r="159" s="621" customFormat="true" ht="39.75" hidden="false" customHeight="true" outlineLevel="0" collapsed="false">
      <c r="A159" s="632" t="s">
        <v>640</v>
      </c>
      <c r="B159" s="632" t="s">
        <v>506</v>
      </c>
      <c r="C159" s="633" t="n">
        <v>31</v>
      </c>
      <c r="D159" s="634" t="n">
        <f aca="false">C159-0.301</f>
        <v>30.699</v>
      </c>
      <c r="E159" s="635" t="n">
        <f aca="false">E158+D159</f>
        <v>3733.338</v>
      </c>
      <c r="F159" s="635" t="n">
        <f aca="false">F158-D158</f>
        <v>7836.25099999995</v>
      </c>
      <c r="G159" s="636" t="n">
        <f aca="false">G158-D159</f>
        <v>7805.55199999995</v>
      </c>
      <c r="H159" s="640"/>
      <c r="K159" s="642"/>
    </row>
    <row r="160" s="621" customFormat="true" ht="39.75" hidden="false" customHeight="true" outlineLevel="0" collapsed="false">
      <c r="A160" s="632" t="s">
        <v>641</v>
      </c>
      <c r="B160" s="632" t="s">
        <v>506</v>
      </c>
      <c r="C160" s="633" t="n">
        <v>31</v>
      </c>
      <c r="D160" s="634" t="n">
        <f aca="false">C160-0.301</f>
        <v>30.699</v>
      </c>
      <c r="E160" s="635" t="n">
        <f aca="false">E159+D160</f>
        <v>3764.03700000001</v>
      </c>
      <c r="F160" s="635" t="n">
        <f aca="false">F159-D159</f>
        <v>7805.55199999995</v>
      </c>
      <c r="G160" s="636" t="n">
        <f aca="false">G159-D160</f>
        <v>7774.85299999995</v>
      </c>
      <c r="H160" s="640"/>
      <c r="K160" s="642"/>
    </row>
    <row r="161" s="621" customFormat="true" ht="39.75" hidden="false" customHeight="true" outlineLevel="0" collapsed="false">
      <c r="A161" s="632" t="s">
        <v>642</v>
      </c>
      <c r="B161" s="632" t="s">
        <v>506</v>
      </c>
      <c r="C161" s="633" t="n">
        <v>31</v>
      </c>
      <c r="D161" s="634" t="n">
        <f aca="false">C161-0.301</f>
        <v>30.699</v>
      </c>
      <c r="E161" s="635" t="n">
        <f aca="false">E160+D161</f>
        <v>3794.73600000001</v>
      </c>
      <c r="F161" s="635" t="n">
        <f aca="false">F160-D160</f>
        <v>7774.85299999995</v>
      </c>
      <c r="G161" s="636" t="n">
        <f aca="false">G160-D161</f>
        <v>7744.15399999995</v>
      </c>
      <c r="H161" s="640"/>
      <c r="K161" s="642"/>
    </row>
    <row r="162" s="621" customFormat="true" ht="39.75" hidden="false" customHeight="true" outlineLevel="0" collapsed="false">
      <c r="A162" s="675" t="s">
        <v>415</v>
      </c>
      <c r="B162" s="676" t="s">
        <v>525</v>
      </c>
      <c r="C162" s="677" t="n">
        <v>5.18</v>
      </c>
      <c r="D162" s="634" t="n">
        <f aca="false">C162-0.301</f>
        <v>4.879</v>
      </c>
      <c r="E162" s="635" t="n">
        <f aca="false">E161+D162</f>
        <v>3799.61500000001</v>
      </c>
      <c r="F162" s="635" t="n">
        <f aca="false">F161-D161</f>
        <v>7744.15399999995</v>
      </c>
      <c r="G162" s="636" t="n">
        <f aca="false">G161-D162</f>
        <v>7739.27499999995</v>
      </c>
      <c r="H162" s="640"/>
      <c r="K162" s="642"/>
    </row>
    <row r="163" s="621" customFormat="true" ht="39.75" hidden="false" customHeight="true" outlineLevel="0" collapsed="false">
      <c r="A163" s="675"/>
      <c r="B163" s="676" t="s">
        <v>577</v>
      </c>
      <c r="C163" s="677" t="n">
        <v>4.96</v>
      </c>
      <c r="D163" s="634" t="n">
        <f aca="false">C163-0.301</f>
        <v>4.659</v>
      </c>
      <c r="E163" s="635" t="n">
        <f aca="false">E162+D163</f>
        <v>3804.27400000001</v>
      </c>
      <c r="F163" s="635" t="n">
        <f aca="false">F162-D162</f>
        <v>7739.27499999995</v>
      </c>
      <c r="G163" s="636" t="n">
        <f aca="false">G162-D163</f>
        <v>7734.61599999995</v>
      </c>
      <c r="K163" s="642"/>
    </row>
    <row r="164" s="621" customFormat="true" ht="129" hidden="false" customHeight="true" outlineLevel="0" collapsed="false">
      <c r="A164" s="675"/>
      <c r="B164" s="676" t="s">
        <v>643</v>
      </c>
      <c r="C164" s="677" t="n">
        <v>8.69</v>
      </c>
      <c r="D164" s="678" t="n">
        <f aca="false">C164-0.301</f>
        <v>8.389</v>
      </c>
      <c r="E164" s="635" t="n">
        <f aca="false">E163+D164</f>
        <v>3812.66300000001</v>
      </c>
      <c r="F164" s="635" t="n">
        <f aca="false">F163-D163</f>
        <v>7734.61599999995</v>
      </c>
      <c r="G164" s="636" t="n">
        <f aca="false">G163-D164</f>
        <v>7726.22699999995</v>
      </c>
      <c r="H164" s="679"/>
    </row>
    <row r="165" s="621" customFormat="true" ht="129" hidden="false" customHeight="true" outlineLevel="0" collapsed="false">
      <c r="A165" s="675"/>
      <c r="B165" s="676" t="s">
        <v>644</v>
      </c>
      <c r="C165" s="677" t="n">
        <v>9.78</v>
      </c>
      <c r="D165" s="678" t="n">
        <f aca="false">C165</f>
        <v>9.78</v>
      </c>
      <c r="E165" s="635" t="n">
        <f aca="false">E164+D165</f>
        <v>3822.44300000001</v>
      </c>
      <c r="F165" s="635" t="n">
        <f aca="false">F164-D164</f>
        <v>7726.22699999995</v>
      </c>
      <c r="G165" s="636" t="n">
        <f aca="false">G164-D165</f>
        <v>7716.44699999996</v>
      </c>
      <c r="H165" s="679"/>
    </row>
    <row r="166" s="621" customFormat="true" ht="204" hidden="false" customHeight="true" outlineLevel="0" collapsed="false">
      <c r="A166" s="675"/>
      <c r="B166" s="676" t="s">
        <v>504</v>
      </c>
      <c r="C166" s="677" t="n">
        <v>4.96</v>
      </c>
      <c r="D166" s="680" t="n">
        <f aca="false">C166</f>
        <v>4.96</v>
      </c>
      <c r="E166" s="635" t="n">
        <f aca="false">E165+D166</f>
        <v>3827.40300000001</v>
      </c>
      <c r="F166" s="635" t="n">
        <f aca="false">F165-D165</f>
        <v>7716.44699999996</v>
      </c>
      <c r="G166" s="636" t="n">
        <f aca="false">G165-D166</f>
        <v>7711.48699999996</v>
      </c>
      <c r="H166" s="681"/>
    </row>
    <row r="167" s="621" customFormat="true" ht="141.75" hidden="false" customHeight="true" outlineLevel="0" collapsed="false">
      <c r="A167" s="632" t="s">
        <v>645</v>
      </c>
      <c r="B167" s="632" t="s">
        <v>506</v>
      </c>
      <c r="C167" s="633" t="n">
        <v>31</v>
      </c>
      <c r="D167" s="682" t="n">
        <f aca="false">C167</f>
        <v>31</v>
      </c>
      <c r="E167" s="635" t="n">
        <f aca="false">E166+D167</f>
        <v>3858.40300000001</v>
      </c>
      <c r="F167" s="635" t="n">
        <f aca="false">F166-D166</f>
        <v>7711.48699999996</v>
      </c>
      <c r="G167" s="636" t="n">
        <f aca="false">G166-D167</f>
        <v>7680.48699999996</v>
      </c>
      <c r="H167" s="683"/>
      <c r="I167" s="621" t="n">
        <f aca="false">364-146</f>
        <v>218</v>
      </c>
    </row>
    <row r="168" s="621" customFormat="true" ht="141.75" hidden="false" customHeight="true" outlineLevel="0" collapsed="false">
      <c r="A168" s="632" t="s">
        <v>646</v>
      </c>
      <c r="B168" s="632" t="s">
        <v>506</v>
      </c>
      <c r="C168" s="633" t="n">
        <v>31</v>
      </c>
      <c r="D168" s="682" t="n">
        <f aca="false">C168</f>
        <v>31</v>
      </c>
      <c r="E168" s="635" t="n">
        <f aca="false">E167+D168</f>
        <v>3889.40300000001</v>
      </c>
      <c r="F168" s="635" t="n">
        <f aca="false">F167-D167</f>
        <v>7680.48699999996</v>
      </c>
      <c r="G168" s="636" t="n">
        <f aca="false">G167-D168</f>
        <v>7649.48699999996</v>
      </c>
      <c r="H168" s="684"/>
      <c r="J168" s="685" t="n">
        <f aca="false">I167/10</f>
        <v>21.8</v>
      </c>
      <c r="O168" s="621" t="n">
        <f aca="false">J167/10</f>
        <v>0</v>
      </c>
    </row>
    <row r="169" s="621" customFormat="true" ht="39.75" hidden="false" customHeight="true" outlineLevel="0" collapsed="false">
      <c r="A169" s="632" t="s">
        <v>647</v>
      </c>
      <c r="B169" s="632" t="s">
        <v>506</v>
      </c>
      <c r="C169" s="633" t="n">
        <v>31</v>
      </c>
      <c r="D169" s="634" t="n">
        <f aca="false">C169-0.301</f>
        <v>30.699</v>
      </c>
      <c r="E169" s="635" t="n">
        <f aca="false">E168+D169</f>
        <v>3920.10200000001</v>
      </c>
      <c r="F169" s="635" t="n">
        <f aca="false">F168-D168</f>
        <v>7649.48699999996</v>
      </c>
      <c r="G169" s="636" t="n">
        <f aca="false">G168-D169</f>
        <v>7618.78799999996</v>
      </c>
      <c r="H169" s="640"/>
      <c r="K169" s="642"/>
    </row>
    <row r="170" s="621" customFormat="true" ht="39" hidden="false" customHeight="true" outlineLevel="0" collapsed="false">
      <c r="A170" s="632" t="s">
        <v>648</v>
      </c>
      <c r="B170" s="632" t="s">
        <v>506</v>
      </c>
      <c r="C170" s="633" t="n">
        <v>31</v>
      </c>
      <c r="D170" s="634" t="n">
        <f aca="false">C170-0.301</f>
        <v>30.699</v>
      </c>
      <c r="E170" s="635" t="n">
        <f aca="false">E169+D170</f>
        <v>3950.80100000001</v>
      </c>
      <c r="F170" s="635" t="n">
        <f aca="false">F169-D169</f>
        <v>7618.78799999996</v>
      </c>
      <c r="G170" s="636" t="n">
        <f aca="false">G169-D170</f>
        <v>7588.08899999996</v>
      </c>
      <c r="H170" s="657" t="s">
        <v>649</v>
      </c>
      <c r="K170" s="642"/>
    </row>
    <row r="171" s="621" customFormat="true" ht="123" hidden="false" customHeight="true" outlineLevel="0" collapsed="false">
      <c r="A171" s="632" t="s">
        <v>650</v>
      </c>
      <c r="B171" s="632" t="s">
        <v>506</v>
      </c>
      <c r="C171" s="633" t="n">
        <v>31</v>
      </c>
      <c r="D171" s="678" t="n">
        <f aca="false">C171-0.252</f>
        <v>30.748</v>
      </c>
      <c r="E171" s="635" t="n">
        <f aca="false">E170+D171</f>
        <v>3981.54900000001</v>
      </c>
      <c r="F171" s="635" t="n">
        <f aca="false">F170-D170</f>
        <v>7588.08899999996</v>
      </c>
      <c r="G171" s="636" t="n">
        <f aca="false">G170-D171</f>
        <v>7557.34099999996</v>
      </c>
      <c r="H171" s="686"/>
      <c r="J171" s="621" t="n">
        <f aca="false">J168*4</f>
        <v>87.2</v>
      </c>
    </row>
    <row r="172" s="621" customFormat="true" ht="163.5" hidden="false" customHeight="true" outlineLevel="0" collapsed="false">
      <c r="A172" s="632" t="s">
        <v>651</v>
      </c>
      <c r="B172" s="632" t="s">
        <v>506</v>
      </c>
      <c r="C172" s="633" t="n">
        <v>31</v>
      </c>
      <c r="D172" s="680" t="n">
        <f aca="false">C172</f>
        <v>31</v>
      </c>
      <c r="E172" s="635" t="n">
        <f aca="false">E171+D172</f>
        <v>4012.54900000001</v>
      </c>
      <c r="F172" s="635" t="n">
        <f aca="false">F171-D171</f>
        <v>7557.34099999996</v>
      </c>
      <c r="G172" s="636" t="n">
        <f aca="false">G171-D172</f>
        <v>7526.34099999996</v>
      </c>
      <c r="H172" s="681"/>
      <c r="J172" s="621" t="n">
        <f aca="false">J171/60</f>
        <v>1.45333333333333</v>
      </c>
    </row>
    <row r="173" s="621" customFormat="true" ht="180.75" hidden="false" customHeight="true" outlineLevel="0" collapsed="false">
      <c r="A173" s="632" t="s">
        <v>652</v>
      </c>
      <c r="B173" s="632" t="s">
        <v>506</v>
      </c>
      <c r="C173" s="633" t="n">
        <v>31</v>
      </c>
      <c r="D173" s="680" t="n">
        <f aca="false">C173</f>
        <v>31</v>
      </c>
      <c r="E173" s="635" t="n">
        <f aca="false">E172+D173</f>
        <v>4043.54900000001</v>
      </c>
      <c r="F173" s="635" t="n">
        <f aca="false">F172-D172</f>
        <v>7526.34099999996</v>
      </c>
      <c r="G173" s="636" t="n">
        <f aca="false">G172-D173</f>
        <v>7495.34099999996</v>
      </c>
      <c r="H173" s="687"/>
    </row>
    <row r="174" s="621" customFormat="true" ht="135" hidden="false" customHeight="true" outlineLevel="0" collapsed="false">
      <c r="A174" s="632" t="s">
        <v>653</v>
      </c>
      <c r="B174" s="632" t="s">
        <v>506</v>
      </c>
      <c r="C174" s="633" t="n">
        <v>31</v>
      </c>
      <c r="D174" s="680" t="n">
        <f aca="false">C174</f>
        <v>31</v>
      </c>
      <c r="E174" s="635" t="n">
        <f aca="false">E173+D174</f>
        <v>4074.54900000001</v>
      </c>
      <c r="F174" s="635" t="n">
        <f aca="false">F173-D173</f>
        <v>7495.34099999996</v>
      </c>
      <c r="G174" s="636" t="n">
        <f aca="false">G173-D174</f>
        <v>7464.34099999996</v>
      </c>
      <c r="H174" s="688"/>
    </row>
    <row r="175" s="621" customFormat="true" ht="333" hidden="false" customHeight="true" outlineLevel="0" collapsed="false">
      <c r="A175" s="632" t="s">
        <v>654</v>
      </c>
      <c r="B175" s="632" t="s">
        <v>506</v>
      </c>
      <c r="C175" s="633" t="n">
        <v>31</v>
      </c>
      <c r="D175" s="680" t="n">
        <f aca="false">C175</f>
        <v>31</v>
      </c>
      <c r="E175" s="635" t="n">
        <f aca="false">E174+D175</f>
        <v>4105.54900000001</v>
      </c>
      <c r="F175" s="635" t="n">
        <f aca="false">F174-D174</f>
        <v>7464.34099999996</v>
      </c>
      <c r="G175" s="636" t="n">
        <f aca="false">G174-D175</f>
        <v>7433.34099999996</v>
      </c>
      <c r="H175" s="689" t="s">
        <v>655</v>
      </c>
      <c r="I175" s="690"/>
      <c r="J175" s="691"/>
    </row>
    <row r="176" s="621" customFormat="true" ht="141.75" hidden="false" customHeight="true" outlineLevel="0" collapsed="false">
      <c r="A176" s="632" t="s">
        <v>656</v>
      </c>
      <c r="B176" s="632" t="s">
        <v>506</v>
      </c>
      <c r="C176" s="633" t="n">
        <v>31</v>
      </c>
      <c r="D176" s="682" t="n">
        <f aca="false">C176</f>
        <v>31</v>
      </c>
      <c r="E176" s="635" t="n">
        <f aca="false">E175+D176</f>
        <v>4136.54900000001</v>
      </c>
      <c r="F176" s="635" t="n">
        <f aca="false">F175-D175</f>
        <v>7433.34099999996</v>
      </c>
      <c r="G176" s="636" t="n">
        <f aca="false">G175-D176</f>
        <v>7402.34099999996</v>
      </c>
      <c r="H176" s="692"/>
      <c r="I176" s="639"/>
    </row>
    <row r="177" s="621" customFormat="true" ht="39.75" hidden="false" customHeight="true" outlineLevel="0" collapsed="false">
      <c r="A177" s="632" t="s">
        <v>657</v>
      </c>
      <c r="B177" s="632" t="s">
        <v>506</v>
      </c>
      <c r="C177" s="633" t="n">
        <v>31</v>
      </c>
      <c r="D177" s="634" t="n">
        <f aca="false">C177-0.301</f>
        <v>30.699</v>
      </c>
      <c r="E177" s="635" t="n">
        <f aca="false">E176+D177</f>
        <v>4167.24800000001</v>
      </c>
      <c r="F177" s="635" t="n">
        <f aca="false">F176-D176</f>
        <v>7402.34099999996</v>
      </c>
      <c r="G177" s="636" t="n">
        <f aca="false">G176-D177</f>
        <v>7371.64199999996</v>
      </c>
      <c r="H177" s="657" t="s">
        <v>649</v>
      </c>
      <c r="K177" s="642"/>
    </row>
    <row r="178" s="621" customFormat="true" ht="39.75" hidden="false" customHeight="true" outlineLevel="0" collapsed="false">
      <c r="A178" s="632" t="s">
        <v>658</v>
      </c>
      <c r="B178" s="632" t="s">
        <v>506</v>
      </c>
      <c r="C178" s="633" t="n">
        <v>31</v>
      </c>
      <c r="D178" s="634" t="n">
        <f aca="false">C178-0.301</f>
        <v>30.699</v>
      </c>
      <c r="E178" s="635" t="n">
        <f aca="false">E177+D178</f>
        <v>4197.94700000001</v>
      </c>
      <c r="F178" s="635" t="n">
        <f aca="false">F177-D177</f>
        <v>7371.64199999996</v>
      </c>
      <c r="G178" s="636" t="n">
        <f aca="false">G177-D178</f>
        <v>7340.94299999996</v>
      </c>
      <c r="H178" s="640"/>
      <c r="K178" s="642"/>
    </row>
    <row r="179" s="621" customFormat="true" ht="39.75" hidden="false" customHeight="true" outlineLevel="0" collapsed="false">
      <c r="A179" s="632" t="s">
        <v>659</v>
      </c>
      <c r="B179" s="632" t="s">
        <v>506</v>
      </c>
      <c r="C179" s="633" t="n">
        <v>31</v>
      </c>
      <c r="D179" s="634" t="n">
        <f aca="false">C179-0.301</f>
        <v>30.699</v>
      </c>
      <c r="E179" s="635" t="n">
        <f aca="false">E178+D179</f>
        <v>4228.646</v>
      </c>
      <c r="F179" s="635" t="n">
        <f aca="false">F178-D178</f>
        <v>7340.94299999996</v>
      </c>
      <c r="G179" s="636" t="n">
        <f aca="false">G178-D179</f>
        <v>7310.24399999996</v>
      </c>
      <c r="H179" s="640"/>
      <c r="K179" s="642"/>
    </row>
    <row r="180" s="621" customFormat="true" ht="39.75" hidden="false" customHeight="true" outlineLevel="0" collapsed="false">
      <c r="A180" s="632" t="s">
        <v>660</v>
      </c>
      <c r="B180" s="632" t="s">
        <v>506</v>
      </c>
      <c r="C180" s="633" t="n">
        <v>31</v>
      </c>
      <c r="D180" s="634" t="n">
        <f aca="false">C180-0.301</f>
        <v>30.699</v>
      </c>
      <c r="E180" s="635" t="n">
        <f aca="false">E179+D180</f>
        <v>4259.345</v>
      </c>
      <c r="F180" s="635" t="n">
        <f aca="false">F179-D179</f>
        <v>7310.24399999996</v>
      </c>
      <c r="G180" s="636" t="n">
        <f aca="false">G179-D180</f>
        <v>7279.54499999996</v>
      </c>
      <c r="H180" s="640"/>
      <c r="K180" s="642"/>
    </row>
    <row r="181" s="621" customFormat="true" ht="39.75" hidden="false" customHeight="true" outlineLevel="0" collapsed="false">
      <c r="A181" s="632" t="s">
        <v>661</v>
      </c>
      <c r="B181" s="632" t="s">
        <v>506</v>
      </c>
      <c r="C181" s="633" t="n">
        <v>31</v>
      </c>
      <c r="D181" s="634" t="n">
        <f aca="false">C181-0.301</f>
        <v>30.699</v>
      </c>
      <c r="E181" s="635" t="n">
        <f aca="false">E180+D181</f>
        <v>4290.044</v>
      </c>
      <c r="F181" s="635" t="n">
        <f aca="false">F180-D180</f>
        <v>7279.54499999996</v>
      </c>
      <c r="G181" s="636" t="n">
        <f aca="false">G180-D181</f>
        <v>7248.84599999996</v>
      </c>
      <c r="H181" s="640"/>
      <c r="K181" s="642"/>
    </row>
    <row r="182" s="621" customFormat="true" ht="39.75" hidden="false" customHeight="true" outlineLevel="0" collapsed="false">
      <c r="A182" s="632" t="s">
        <v>662</v>
      </c>
      <c r="B182" s="632" t="s">
        <v>506</v>
      </c>
      <c r="C182" s="633" t="n">
        <v>31</v>
      </c>
      <c r="D182" s="634" t="n">
        <f aca="false">C182-0.301</f>
        <v>30.699</v>
      </c>
      <c r="E182" s="635" t="n">
        <f aca="false">E181+D182</f>
        <v>4320.743</v>
      </c>
      <c r="F182" s="635" t="n">
        <f aca="false">F181-D181</f>
        <v>7248.84599999996</v>
      </c>
      <c r="G182" s="636" t="n">
        <f aca="false">G181-D182</f>
        <v>7218.14699999996</v>
      </c>
      <c r="H182" s="640"/>
      <c r="K182" s="642"/>
    </row>
    <row r="183" s="621" customFormat="true" ht="39.75" hidden="false" customHeight="true" outlineLevel="0" collapsed="false">
      <c r="A183" s="632" t="s">
        <v>663</v>
      </c>
      <c r="B183" s="632" t="s">
        <v>506</v>
      </c>
      <c r="C183" s="633" t="n">
        <v>31</v>
      </c>
      <c r="D183" s="634" t="n">
        <f aca="false">C183-0.301</f>
        <v>30.699</v>
      </c>
      <c r="E183" s="635" t="n">
        <f aca="false">E182+D183</f>
        <v>4351.442</v>
      </c>
      <c r="F183" s="635" t="n">
        <f aca="false">F182-D182</f>
        <v>7218.14699999996</v>
      </c>
      <c r="G183" s="636" t="n">
        <f aca="false">G182-D183</f>
        <v>7187.44799999996</v>
      </c>
      <c r="H183" s="640"/>
      <c r="K183" s="642"/>
    </row>
    <row r="184" s="621" customFormat="true" ht="39.75" hidden="false" customHeight="true" outlineLevel="0" collapsed="false">
      <c r="A184" s="632" t="s">
        <v>664</v>
      </c>
      <c r="B184" s="632" t="s">
        <v>506</v>
      </c>
      <c r="C184" s="633" t="n">
        <v>31</v>
      </c>
      <c r="D184" s="634" t="n">
        <f aca="false">C184-0.301</f>
        <v>30.699</v>
      </c>
      <c r="E184" s="635" t="n">
        <f aca="false">E183+D184</f>
        <v>4382.141</v>
      </c>
      <c r="F184" s="635" t="n">
        <f aca="false">F183-D183</f>
        <v>7187.44799999996</v>
      </c>
      <c r="G184" s="636" t="n">
        <f aca="false">G183-D184</f>
        <v>7156.74899999996</v>
      </c>
      <c r="H184" s="640"/>
      <c r="K184" s="642"/>
    </row>
    <row r="185" s="621" customFormat="true" ht="39.75" hidden="false" customHeight="true" outlineLevel="0" collapsed="false">
      <c r="A185" s="632" t="s">
        <v>665</v>
      </c>
      <c r="B185" s="632" t="s">
        <v>506</v>
      </c>
      <c r="C185" s="633" t="n">
        <v>31</v>
      </c>
      <c r="D185" s="634" t="n">
        <f aca="false">C185-0.301</f>
        <v>30.699</v>
      </c>
      <c r="E185" s="635" t="n">
        <f aca="false">E184+D185</f>
        <v>4412.84</v>
      </c>
      <c r="F185" s="635" t="n">
        <f aca="false">F184-D184</f>
        <v>7156.74899999996</v>
      </c>
      <c r="G185" s="636" t="n">
        <f aca="false">G184-D185</f>
        <v>7126.04999999996</v>
      </c>
      <c r="H185" s="656"/>
      <c r="K185" s="642"/>
    </row>
    <row r="186" s="621" customFormat="true" ht="39.75" hidden="false" customHeight="true" outlineLevel="0" collapsed="false">
      <c r="A186" s="632" t="s">
        <v>666</v>
      </c>
      <c r="B186" s="632" t="s">
        <v>506</v>
      </c>
      <c r="C186" s="633" t="n">
        <v>31</v>
      </c>
      <c r="D186" s="634" t="n">
        <f aca="false">C186-0.301</f>
        <v>30.699</v>
      </c>
      <c r="E186" s="635" t="n">
        <f aca="false">E185+D186</f>
        <v>4443.539</v>
      </c>
      <c r="F186" s="635" t="n">
        <f aca="false">F185-D185</f>
        <v>7126.04999999996</v>
      </c>
      <c r="G186" s="636" t="n">
        <f aca="false">G185-D186</f>
        <v>7095.35099999996</v>
      </c>
      <c r="H186" s="640"/>
      <c r="K186" s="642"/>
    </row>
    <row r="187" s="621" customFormat="true" ht="39.75" hidden="false" customHeight="true" outlineLevel="0" collapsed="false">
      <c r="A187" s="693" t="s">
        <v>419</v>
      </c>
      <c r="B187" s="694" t="s">
        <v>512</v>
      </c>
      <c r="C187" s="695" t="n">
        <v>5.02</v>
      </c>
      <c r="D187" s="634" t="n">
        <f aca="false">C187-0.301</f>
        <v>4.719</v>
      </c>
      <c r="E187" s="635" t="n">
        <f aca="false">E186+D187</f>
        <v>4448.258</v>
      </c>
      <c r="F187" s="635" t="n">
        <f aca="false">F186-D186</f>
        <v>7095.35099999996</v>
      </c>
      <c r="G187" s="636" t="n">
        <f aca="false">G186-D187</f>
        <v>7090.63199999996</v>
      </c>
      <c r="H187" s="657" t="s">
        <v>649</v>
      </c>
      <c r="K187" s="642"/>
    </row>
    <row r="188" s="621" customFormat="true" ht="39.75" hidden="false" customHeight="true" outlineLevel="0" collapsed="false">
      <c r="A188" s="693"/>
      <c r="B188" s="694" t="s">
        <v>667</v>
      </c>
      <c r="C188" s="695" t="n">
        <v>5.75</v>
      </c>
      <c r="D188" s="634" t="n">
        <f aca="false">C188-0.301</f>
        <v>5.449</v>
      </c>
      <c r="E188" s="635" t="n">
        <f aca="false">E187+D188</f>
        <v>4453.707</v>
      </c>
      <c r="F188" s="635" t="n">
        <f aca="false">F187-D187</f>
        <v>7090.63199999996</v>
      </c>
      <c r="G188" s="636" t="n">
        <f aca="false">G187-D188</f>
        <v>7085.18299999996</v>
      </c>
      <c r="H188" s="640"/>
      <c r="K188" s="642"/>
    </row>
    <row r="189" s="621" customFormat="true" ht="39.75" hidden="false" customHeight="true" outlineLevel="0" collapsed="false">
      <c r="A189" s="693"/>
      <c r="B189" s="694" t="s">
        <v>668</v>
      </c>
      <c r="C189" s="695" t="n">
        <v>4.44</v>
      </c>
      <c r="D189" s="634" t="n">
        <f aca="false">C189-0.301</f>
        <v>4.139</v>
      </c>
      <c r="E189" s="635" t="n">
        <f aca="false">E188+D189</f>
        <v>4457.846</v>
      </c>
      <c r="F189" s="635" t="n">
        <f aca="false">F188-D188</f>
        <v>7085.18299999996</v>
      </c>
      <c r="G189" s="636" t="n">
        <f aca="false">G188-D189</f>
        <v>7081.04399999996</v>
      </c>
      <c r="H189" s="640"/>
      <c r="K189" s="642"/>
    </row>
    <row r="190" s="621" customFormat="true" ht="39.75" hidden="false" customHeight="true" outlineLevel="0" collapsed="false">
      <c r="A190" s="693"/>
      <c r="B190" s="694" t="s">
        <v>669</v>
      </c>
      <c r="C190" s="695" t="n">
        <v>5.75</v>
      </c>
      <c r="D190" s="634" t="n">
        <f aca="false">C190-0.301</f>
        <v>5.449</v>
      </c>
      <c r="E190" s="635" t="n">
        <f aca="false">E189+D190</f>
        <v>4463.295</v>
      </c>
      <c r="F190" s="635" t="n">
        <f aca="false">F189-D189</f>
        <v>7081.04399999996</v>
      </c>
      <c r="G190" s="636" t="n">
        <f aca="false">G189-D190</f>
        <v>7075.59499999996</v>
      </c>
      <c r="H190" s="640"/>
      <c r="K190" s="642"/>
    </row>
    <row r="191" s="621" customFormat="true" ht="39.75" hidden="false" customHeight="true" outlineLevel="0" collapsed="false">
      <c r="A191" s="693"/>
      <c r="B191" s="694" t="s">
        <v>579</v>
      </c>
      <c r="C191" s="695" t="n">
        <v>9.93</v>
      </c>
      <c r="D191" s="634" t="n">
        <f aca="false">C191-0.301</f>
        <v>9.629</v>
      </c>
      <c r="E191" s="635" t="n">
        <f aca="false">E190+D191</f>
        <v>4472.924</v>
      </c>
      <c r="F191" s="635" t="n">
        <f aca="false">F190-D190</f>
        <v>7075.59499999996</v>
      </c>
      <c r="G191" s="636" t="n">
        <f aca="false">G190-D191</f>
        <v>7065.96599999996</v>
      </c>
      <c r="H191" s="640"/>
      <c r="K191" s="642"/>
    </row>
    <row r="192" s="621" customFormat="true" ht="39.75" hidden="false" customHeight="true" outlineLevel="0" collapsed="false">
      <c r="A192" s="632" t="s">
        <v>670</v>
      </c>
      <c r="B192" s="632" t="s">
        <v>506</v>
      </c>
      <c r="C192" s="633" t="n">
        <v>31</v>
      </c>
      <c r="D192" s="634" t="n">
        <f aca="false">C192-0.301</f>
        <v>30.699</v>
      </c>
      <c r="E192" s="635" t="n">
        <f aca="false">E191+D192</f>
        <v>4503.623</v>
      </c>
      <c r="F192" s="635" t="n">
        <f aca="false">F191-D191</f>
        <v>7065.96599999996</v>
      </c>
      <c r="G192" s="636" t="n">
        <f aca="false">G191-D192</f>
        <v>7035.26699999996</v>
      </c>
      <c r="H192" s="640"/>
      <c r="K192" s="642"/>
    </row>
    <row r="193" s="621" customFormat="true" ht="39.75" hidden="false" customHeight="true" outlineLevel="0" collapsed="false">
      <c r="A193" s="632" t="s">
        <v>671</v>
      </c>
      <c r="B193" s="632" t="s">
        <v>506</v>
      </c>
      <c r="C193" s="633" t="n">
        <v>31</v>
      </c>
      <c r="D193" s="634" t="n">
        <f aca="false">C193-0.301</f>
        <v>30.699</v>
      </c>
      <c r="E193" s="635" t="n">
        <f aca="false">E192+D193</f>
        <v>4534.322</v>
      </c>
      <c r="F193" s="635" t="n">
        <f aca="false">F192-D192</f>
        <v>7035.26699999996</v>
      </c>
      <c r="G193" s="636" t="n">
        <f aca="false">G192-D193</f>
        <v>7004.56799999996</v>
      </c>
      <c r="H193" s="640"/>
      <c r="K193" s="642"/>
    </row>
    <row r="194" s="621" customFormat="true" ht="39.75" hidden="false" customHeight="true" outlineLevel="0" collapsed="false">
      <c r="A194" s="632" t="s">
        <v>672</v>
      </c>
      <c r="B194" s="632" t="s">
        <v>506</v>
      </c>
      <c r="C194" s="633" t="n">
        <v>31</v>
      </c>
      <c r="D194" s="634" t="n">
        <f aca="false">C194-0.301</f>
        <v>30.699</v>
      </c>
      <c r="E194" s="635" t="n">
        <f aca="false">E193+D194</f>
        <v>4565.021</v>
      </c>
      <c r="F194" s="635" t="n">
        <f aca="false">F193-D193</f>
        <v>7004.56799999996</v>
      </c>
      <c r="G194" s="636" t="n">
        <f aca="false">G193-D194</f>
        <v>6973.86899999996</v>
      </c>
      <c r="H194" s="640"/>
      <c r="K194" s="642"/>
    </row>
    <row r="195" s="621" customFormat="true" ht="39.75" hidden="false" customHeight="true" outlineLevel="0" collapsed="false">
      <c r="A195" s="632" t="s">
        <v>673</v>
      </c>
      <c r="B195" s="632" t="s">
        <v>506</v>
      </c>
      <c r="C195" s="633" t="n">
        <v>31</v>
      </c>
      <c r="D195" s="634" t="n">
        <f aca="false">C195-0.301</f>
        <v>30.699</v>
      </c>
      <c r="E195" s="635" t="n">
        <f aca="false">E194+D195</f>
        <v>4595.72</v>
      </c>
      <c r="F195" s="635" t="n">
        <f aca="false">F194-D194</f>
        <v>6973.86899999996</v>
      </c>
      <c r="G195" s="636" t="n">
        <f aca="false">G194-D195</f>
        <v>6943.16999999996</v>
      </c>
      <c r="H195" s="656"/>
      <c r="K195" s="642"/>
    </row>
    <row r="196" s="621" customFormat="true" ht="39.75" hidden="false" customHeight="true" outlineLevel="0" collapsed="false">
      <c r="A196" s="632" t="s">
        <v>674</v>
      </c>
      <c r="B196" s="632" t="s">
        <v>506</v>
      </c>
      <c r="C196" s="633" t="n">
        <v>31</v>
      </c>
      <c r="D196" s="634" t="n">
        <f aca="false">C196-0.301</f>
        <v>30.699</v>
      </c>
      <c r="E196" s="635" t="n">
        <f aca="false">E195+D196</f>
        <v>4626.419</v>
      </c>
      <c r="F196" s="635" t="n">
        <f aca="false">F195-D195</f>
        <v>6943.16999999996</v>
      </c>
      <c r="G196" s="636" t="n">
        <f aca="false">G195-D196</f>
        <v>6912.47099999996</v>
      </c>
      <c r="H196" s="640"/>
      <c r="K196" s="642"/>
    </row>
    <row r="197" s="621" customFormat="true" ht="39.75" hidden="false" customHeight="true" outlineLevel="0" collapsed="false">
      <c r="A197" s="696" t="s">
        <v>675</v>
      </c>
      <c r="B197" s="697" t="s">
        <v>676</v>
      </c>
      <c r="C197" s="698" t="n">
        <v>5.08</v>
      </c>
      <c r="D197" s="634" t="n">
        <f aca="false">C197-0.301</f>
        <v>4.779</v>
      </c>
      <c r="E197" s="635" t="n">
        <f aca="false">E196+D197</f>
        <v>4631.198</v>
      </c>
      <c r="F197" s="635" t="n">
        <f aca="false">F196-D196</f>
        <v>6912.47099999996</v>
      </c>
      <c r="G197" s="636" t="n">
        <f aca="false">G196-D197</f>
        <v>6907.69199999996</v>
      </c>
      <c r="H197" s="657" t="s">
        <v>649</v>
      </c>
      <c r="K197" s="642"/>
    </row>
    <row r="198" s="621" customFormat="true" ht="39.75" hidden="false" customHeight="true" outlineLevel="0" collapsed="false">
      <c r="A198" s="696"/>
      <c r="B198" s="697" t="s">
        <v>677</v>
      </c>
      <c r="C198" s="698" t="n">
        <v>2.48</v>
      </c>
      <c r="D198" s="634" t="n">
        <f aca="false">C198-0.301</f>
        <v>2.179</v>
      </c>
      <c r="E198" s="635" t="n">
        <f aca="false">E197+D198</f>
        <v>4633.377</v>
      </c>
      <c r="F198" s="635" t="n">
        <f aca="false">F197-D197</f>
        <v>6907.69199999996</v>
      </c>
      <c r="G198" s="636" t="n">
        <f aca="false">G197-D198</f>
        <v>6905.51299999996</v>
      </c>
      <c r="H198" s="640"/>
      <c r="K198" s="642"/>
    </row>
    <row r="199" s="621" customFormat="true" ht="39.75" hidden="false" customHeight="true" outlineLevel="0" collapsed="false">
      <c r="A199" s="696"/>
      <c r="B199" s="697" t="s">
        <v>678</v>
      </c>
      <c r="C199" s="698" t="n">
        <v>1.9</v>
      </c>
      <c r="D199" s="634" t="n">
        <f aca="false">C199-0.301</f>
        <v>1.599</v>
      </c>
      <c r="E199" s="635" t="n">
        <f aca="false">E198+D199</f>
        <v>4634.976</v>
      </c>
      <c r="F199" s="635" t="n">
        <f aca="false">F198-D198</f>
        <v>6905.51299999996</v>
      </c>
      <c r="G199" s="636" t="n">
        <f aca="false">G198-D199</f>
        <v>6903.91399999996</v>
      </c>
      <c r="H199" s="640"/>
      <c r="K199" s="642"/>
    </row>
    <row r="200" s="621" customFormat="true" ht="39.75" hidden="false" customHeight="true" outlineLevel="0" collapsed="false">
      <c r="A200" s="696"/>
      <c r="B200" s="697" t="s">
        <v>679</v>
      </c>
      <c r="C200" s="698" t="n">
        <v>24.82</v>
      </c>
      <c r="D200" s="634" t="n">
        <f aca="false">C200-0.301</f>
        <v>24.519</v>
      </c>
      <c r="E200" s="635" t="n">
        <f aca="false">E199+D200</f>
        <v>4659.495</v>
      </c>
      <c r="F200" s="635" t="n">
        <f aca="false">F199-D199</f>
        <v>6903.91399999996</v>
      </c>
      <c r="G200" s="636" t="n">
        <f aca="false">G199-D200</f>
        <v>6879.39499999996</v>
      </c>
      <c r="H200" s="640"/>
      <c r="K200" s="642"/>
    </row>
    <row r="201" s="621" customFormat="true" ht="39.75" hidden="false" customHeight="true" outlineLevel="0" collapsed="false">
      <c r="A201" s="632"/>
      <c r="B201" s="632"/>
      <c r="C201" s="632"/>
      <c r="D201" s="634" t="n">
        <f aca="false">C201-0.301</f>
        <v>-0.301</v>
      </c>
      <c r="E201" s="635" t="n">
        <f aca="false">E200+D201</f>
        <v>4659.194</v>
      </c>
      <c r="F201" s="635" t="n">
        <f aca="false">F200-D200</f>
        <v>6879.39499999996</v>
      </c>
      <c r="G201" s="636" t="n">
        <f aca="false">G200-D201</f>
        <v>6879.69599999996</v>
      </c>
      <c r="H201" s="640"/>
      <c r="K201" s="642"/>
    </row>
    <row r="202" s="621" customFormat="true" ht="39.75" hidden="false" customHeight="true" outlineLevel="0" collapsed="false">
      <c r="A202" s="699" t="s">
        <v>375</v>
      </c>
      <c r="B202" s="700" t="s">
        <v>503</v>
      </c>
      <c r="C202" s="701" t="n">
        <v>0.6</v>
      </c>
      <c r="D202" s="634" t="n">
        <f aca="false">C202-0.301</f>
        <v>0.299</v>
      </c>
      <c r="E202" s="635" t="n">
        <f aca="false">E201+D202</f>
        <v>4659.493</v>
      </c>
      <c r="F202" s="635" t="n">
        <f aca="false">F201-D201</f>
        <v>6879.69599999996</v>
      </c>
      <c r="G202" s="636" t="n">
        <f aca="false">G201-D202</f>
        <v>6879.39699999996</v>
      </c>
      <c r="H202" s="640"/>
      <c r="K202" s="642"/>
    </row>
    <row r="203" s="621" customFormat="true" ht="39.75" hidden="false" customHeight="true" outlineLevel="0" collapsed="false">
      <c r="A203" s="699"/>
      <c r="B203" s="700" t="s">
        <v>504</v>
      </c>
      <c r="C203" s="701" t="n">
        <v>4.96</v>
      </c>
      <c r="D203" s="634" t="n">
        <f aca="false">C203-0.301</f>
        <v>4.659</v>
      </c>
      <c r="E203" s="635" t="n">
        <f aca="false">E202+D203</f>
        <v>4664.152</v>
      </c>
      <c r="F203" s="635" t="n">
        <f aca="false">F202-D202</f>
        <v>6879.39699999996</v>
      </c>
      <c r="G203" s="636" t="n">
        <f aca="false">G202-D203</f>
        <v>6874.73799999996</v>
      </c>
      <c r="H203" s="640"/>
      <c r="K203" s="642"/>
    </row>
    <row r="204" s="621" customFormat="true" ht="39.75" hidden="false" customHeight="true" outlineLevel="0" collapsed="false">
      <c r="A204" s="632" t="s">
        <v>505</v>
      </c>
      <c r="B204" s="632" t="s">
        <v>380</v>
      </c>
      <c r="C204" s="633" t="n">
        <v>31</v>
      </c>
      <c r="D204" s="634" t="n">
        <f aca="false">C204-0.301</f>
        <v>30.699</v>
      </c>
      <c r="E204" s="635" t="n">
        <f aca="false">E203+D204</f>
        <v>4694.851</v>
      </c>
      <c r="F204" s="635" t="n">
        <f aca="false">F203-D203</f>
        <v>6874.73799999996</v>
      </c>
      <c r="G204" s="636" t="n">
        <f aca="false">G203-D204</f>
        <v>6844.03899999996</v>
      </c>
      <c r="H204" s="640"/>
      <c r="K204" s="642"/>
    </row>
    <row r="205" s="621" customFormat="true" ht="39.75" hidden="false" customHeight="true" outlineLevel="0" collapsed="false">
      <c r="A205" s="632" t="s">
        <v>507</v>
      </c>
      <c r="B205" s="632" t="s">
        <v>380</v>
      </c>
      <c r="C205" s="633" t="n">
        <v>31</v>
      </c>
      <c r="D205" s="634" t="n">
        <f aca="false">C205-0.301</f>
        <v>30.699</v>
      </c>
      <c r="E205" s="635" t="n">
        <f aca="false">E204+D205</f>
        <v>4725.55</v>
      </c>
      <c r="F205" s="635" t="n">
        <f aca="false">F204-D204</f>
        <v>6844.03899999996</v>
      </c>
      <c r="G205" s="636" t="n">
        <f aca="false">G204-D205</f>
        <v>6813.33999999996</v>
      </c>
      <c r="H205" s="656"/>
      <c r="K205" s="642"/>
    </row>
    <row r="206" s="621" customFormat="true" ht="39.75" hidden="false" customHeight="true" outlineLevel="0" collapsed="false">
      <c r="A206" s="632" t="s">
        <v>508</v>
      </c>
      <c r="B206" s="632" t="s">
        <v>380</v>
      </c>
      <c r="C206" s="633" t="n">
        <v>31</v>
      </c>
      <c r="D206" s="634" t="n">
        <f aca="false">C206-0.301</f>
        <v>30.699</v>
      </c>
      <c r="E206" s="635" t="n">
        <f aca="false">E205+D206</f>
        <v>4756.249</v>
      </c>
      <c r="F206" s="635" t="n">
        <f aca="false">F205-D205</f>
        <v>6813.33999999996</v>
      </c>
      <c r="G206" s="636" t="n">
        <f aca="false">G205-D206</f>
        <v>6782.64099999996</v>
      </c>
      <c r="H206" s="657" t="s">
        <v>649</v>
      </c>
      <c r="K206" s="642"/>
    </row>
    <row r="207" s="621" customFormat="true" ht="39.75" hidden="false" customHeight="true" outlineLevel="0" collapsed="false">
      <c r="A207" s="632" t="s">
        <v>509</v>
      </c>
      <c r="B207" s="632" t="s">
        <v>380</v>
      </c>
      <c r="C207" s="633" t="n">
        <v>31</v>
      </c>
      <c r="D207" s="634" t="n">
        <f aca="false">C207-0.301</f>
        <v>30.699</v>
      </c>
      <c r="E207" s="635" t="n">
        <f aca="false">E206+D207</f>
        <v>4786.948</v>
      </c>
      <c r="F207" s="635" t="n">
        <f aca="false">F206-D206</f>
        <v>6782.64099999996</v>
      </c>
      <c r="G207" s="636" t="n">
        <f aca="false">G206-D207</f>
        <v>6751.94199999996</v>
      </c>
      <c r="H207" s="640"/>
      <c r="K207" s="642"/>
    </row>
    <row r="208" s="621" customFormat="true" ht="39.75" hidden="false" customHeight="true" outlineLevel="0" collapsed="false">
      <c r="A208" s="632" t="s">
        <v>510</v>
      </c>
      <c r="B208" s="632" t="s">
        <v>380</v>
      </c>
      <c r="C208" s="633" t="n">
        <v>31</v>
      </c>
      <c r="D208" s="634" t="n">
        <f aca="false">C208-0.301</f>
        <v>30.699</v>
      </c>
      <c r="E208" s="635" t="n">
        <f aca="false">E207+D208</f>
        <v>4817.647</v>
      </c>
      <c r="F208" s="635" t="n">
        <f aca="false">F207-D207</f>
        <v>6751.94199999996</v>
      </c>
      <c r="G208" s="636" t="n">
        <f aca="false">G207-D208</f>
        <v>6721.24299999996</v>
      </c>
      <c r="H208" s="640"/>
      <c r="K208" s="642"/>
    </row>
    <row r="209" s="621" customFormat="true" ht="39.75" hidden="false" customHeight="true" outlineLevel="0" collapsed="false">
      <c r="A209" s="632" t="s">
        <v>515</v>
      </c>
      <c r="B209" s="632" t="s">
        <v>380</v>
      </c>
      <c r="C209" s="633" t="n">
        <v>31</v>
      </c>
      <c r="D209" s="634" t="n">
        <f aca="false">C209-0.301</f>
        <v>30.699</v>
      </c>
      <c r="E209" s="635" t="n">
        <f aca="false">E208+D209</f>
        <v>4848.346</v>
      </c>
      <c r="F209" s="635" t="n">
        <f aca="false">F208-D208</f>
        <v>6721.24299999996</v>
      </c>
      <c r="G209" s="636" t="n">
        <f aca="false">G208-D209</f>
        <v>6690.54399999996</v>
      </c>
      <c r="H209" s="640"/>
      <c r="K209" s="642"/>
    </row>
    <row r="210" s="621" customFormat="true" ht="39.75" hidden="false" customHeight="true" outlineLevel="0" collapsed="false">
      <c r="A210" s="632" t="s">
        <v>516</v>
      </c>
      <c r="B210" s="632" t="s">
        <v>380</v>
      </c>
      <c r="C210" s="633" t="n">
        <v>31</v>
      </c>
      <c r="D210" s="634" t="n">
        <f aca="false">C210-0.301</f>
        <v>30.699</v>
      </c>
      <c r="E210" s="635" t="n">
        <f aca="false">E209+D210</f>
        <v>4879.045</v>
      </c>
      <c r="F210" s="635" t="n">
        <f aca="false">F209-D209</f>
        <v>6690.54399999996</v>
      </c>
      <c r="G210" s="636" t="n">
        <f aca="false">G209-D210</f>
        <v>6659.84499999997</v>
      </c>
      <c r="H210" s="702"/>
      <c r="K210" s="642"/>
    </row>
    <row r="211" s="621" customFormat="true" ht="39.75" hidden="false" customHeight="true" outlineLevel="0" collapsed="false">
      <c r="A211" s="632" t="s">
        <v>517</v>
      </c>
      <c r="B211" s="632" t="s">
        <v>380</v>
      </c>
      <c r="C211" s="633" t="n">
        <v>31</v>
      </c>
      <c r="D211" s="634" t="n">
        <f aca="false">C211-0.301</f>
        <v>30.699</v>
      </c>
      <c r="E211" s="635" t="n">
        <f aca="false">E210+D211</f>
        <v>4909.744</v>
      </c>
      <c r="F211" s="635" t="n">
        <f aca="false">F210-D210</f>
        <v>6659.84499999997</v>
      </c>
      <c r="G211" s="636" t="n">
        <f aca="false">G210-D211</f>
        <v>6629.14599999997</v>
      </c>
      <c r="H211" s="702"/>
      <c r="K211" s="642"/>
    </row>
    <row r="212" s="621" customFormat="true" ht="39.75" hidden="false" customHeight="true" outlineLevel="0" collapsed="false">
      <c r="A212" s="632" t="s">
        <v>518</v>
      </c>
      <c r="B212" s="632" t="s">
        <v>380</v>
      </c>
      <c r="C212" s="633" t="n">
        <v>31</v>
      </c>
      <c r="D212" s="634" t="n">
        <f aca="false">C212-0.301</f>
        <v>30.699</v>
      </c>
      <c r="E212" s="635" t="n">
        <f aca="false">E211+D212</f>
        <v>4940.443</v>
      </c>
      <c r="F212" s="635" t="n">
        <f aca="false">F211-D211</f>
        <v>6629.14599999997</v>
      </c>
      <c r="G212" s="636" t="n">
        <f aca="false">G211-D212</f>
        <v>6598.44699999997</v>
      </c>
      <c r="H212" s="702"/>
      <c r="K212" s="642"/>
    </row>
    <row r="213" s="621" customFormat="true" ht="39.75" hidden="false" customHeight="true" outlineLevel="0" collapsed="false">
      <c r="A213" s="632" t="s">
        <v>519</v>
      </c>
      <c r="B213" s="632" t="s">
        <v>380</v>
      </c>
      <c r="C213" s="633" t="n">
        <v>31</v>
      </c>
      <c r="D213" s="634" t="n">
        <f aca="false">C213-0.301</f>
        <v>30.699</v>
      </c>
      <c r="E213" s="635" t="n">
        <f aca="false">E212+D213</f>
        <v>4971.142</v>
      </c>
      <c r="F213" s="635" t="n">
        <f aca="false">F212-D212</f>
        <v>6598.44699999997</v>
      </c>
      <c r="G213" s="636" t="n">
        <f aca="false">G212-D213</f>
        <v>6567.74799999997</v>
      </c>
      <c r="H213" s="702"/>
      <c r="K213" s="642"/>
    </row>
    <row r="214" s="621" customFormat="true" ht="39.75" hidden="false" customHeight="true" outlineLevel="0" collapsed="false">
      <c r="A214" s="632" t="s">
        <v>520</v>
      </c>
      <c r="B214" s="632" t="s">
        <v>380</v>
      </c>
      <c r="C214" s="633" t="n">
        <v>31</v>
      </c>
      <c r="D214" s="634" t="n">
        <f aca="false">C214-0.301</f>
        <v>30.699</v>
      </c>
      <c r="E214" s="635" t="n">
        <f aca="false">E213+D214</f>
        <v>5001.841</v>
      </c>
      <c r="F214" s="635" t="n">
        <f aca="false">F213-D213</f>
        <v>6567.74799999997</v>
      </c>
      <c r="G214" s="636" t="n">
        <f aca="false">G213-D214</f>
        <v>6537.04899999997</v>
      </c>
      <c r="H214" s="702"/>
      <c r="K214" s="642"/>
    </row>
    <row r="215" s="621" customFormat="true" ht="39.75" hidden="false" customHeight="true" outlineLevel="0" collapsed="false">
      <c r="A215" s="632" t="s">
        <v>521</v>
      </c>
      <c r="B215" s="632" t="s">
        <v>380</v>
      </c>
      <c r="C215" s="633" t="n">
        <v>31</v>
      </c>
      <c r="D215" s="634" t="n">
        <f aca="false">C215-0.301</f>
        <v>30.699</v>
      </c>
      <c r="E215" s="635" t="n">
        <f aca="false">E214+D215</f>
        <v>5032.53999999999</v>
      </c>
      <c r="F215" s="635" t="n">
        <f aca="false">F214-D214</f>
        <v>6537.04899999997</v>
      </c>
      <c r="G215" s="636" t="n">
        <f aca="false">G214-D215</f>
        <v>6506.34999999997</v>
      </c>
      <c r="H215" s="656"/>
      <c r="K215" s="642"/>
    </row>
    <row r="216" s="621" customFormat="true" ht="39.75" hidden="false" customHeight="true" outlineLevel="0" collapsed="false">
      <c r="A216" s="632" t="s">
        <v>522</v>
      </c>
      <c r="B216" s="632" t="s">
        <v>380</v>
      </c>
      <c r="C216" s="633" t="n">
        <v>31</v>
      </c>
      <c r="D216" s="634" t="n">
        <f aca="false">C216-0.301</f>
        <v>30.699</v>
      </c>
      <c r="E216" s="635" t="n">
        <f aca="false">E215+D216</f>
        <v>5063.23899999999</v>
      </c>
      <c r="F216" s="635" t="n">
        <f aca="false">F215-D215</f>
        <v>6506.34999999997</v>
      </c>
      <c r="G216" s="636" t="n">
        <f aca="false">G215-D216</f>
        <v>6475.65099999997</v>
      </c>
      <c r="H216" s="702"/>
      <c r="K216" s="642"/>
    </row>
    <row r="217" s="621" customFormat="true" ht="39.75" hidden="false" customHeight="true" outlineLevel="0" collapsed="false">
      <c r="A217" s="632" t="s">
        <v>523</v>
      </c>
      <c r="B217" s="632" t="s">
        <v>380</v>
      </c>
      <c r="C217" s="633" t="n">
        <v>31</v>
      </c>
      <c r="D217" s="634" t="n">
        <f aca="false">C217-0.301</f>
        <v>30.699</v>
      </c>
      <c r="E217" s="635" t="n">
        <f aca="false">E216+D217</f>
        <v>5093.93799999999</v>
      </c>
      <c r="F217" s="635" t="n">
        <f aca="false">F216-D216</f>
        <v>6475.65099999997</v>
      </c>
      <c r="G217" s="636" t="n">
        <f aca="false">G216-D217</f>
        <v>6444.95199999997</v>
      </c>
      <c r="H217" s="657" t="s">
        <v>649</v>
      </c>
      <c r="K217" s="642"/>
    </row>
    <row r="218" s="621" customFormat="true" ht="39.75" hidden="false" customHeight="true" outlineLevel="0" collapsed="false">
      <c r="A218" s="632" t="s">
        <v>524</v>
      </c>
      <c r="B218" s="632" t="s">
        <v>380</v>
      </c>
      <c r="C218" s="633" t="n">
        <v>31</v>
      </c>
      <c r="D218" s="634" t="n">
        <f aca="false">C218-0.301</f>
        <v>30.699</v>
      </c>
      <c r="E218" s="635" t="n">
        <f aca="false">E217+D218</f>
        <v>5124.63699999999</v>
      </c>
      <c r="F218" s="635" t="n">
        <f aca="false">F217-D217</f>
        <v>6444.95199999997</v>
      </c>
      <c r="G218" s="636" t="n">
        <f aca="false">G217-D218</f>
        <v>6414.25299999997</v>
      </c>
      <c r="H218" s="703"/>
      <c r="K218" s="642"/>
    </row>
    <row r="219" s="621" customFormat="true" ht="39.75" hidden="false" customHeight="true" outlineLevel="0" collapsed="false">
      <c r="A219" s="632" t="s">
        <v>530</v>
      </c>
      <c r="B219" s="632" t="s">
        <v>380</v>
      </c>
      <c r="C219" s="633" t="n">
        <v>31</v>
      </c>
      <c r="D219" s="634" t="n">
        <f aca="false">C219-0.301</f>
        <v>30.699</v>
      </c>
      <c r="E219" s="635" t="n">
        <f aca="false">E218+D219</f>
        <v>5155.33599999999</v>
      </c>
      <c r="F219" s="635" t="n">
        <f aca="false">F218-D218</f>
        <v>6414.25299999997</v>
      </c>
      <c r="G219" s="636" t="n">
        <f aca="false">G218-D219</f>
        <v>6383.55399999997</v>
      </c>
      <c r="H219" s="704"/>
      <c r="K219" s="642"/>
    </row>
    <row r="220" s="621" customFormat="true" ht="39.75" hidden="false" customHeight="true" outlineLevel="0" collapsed="false">
      <c r="A220" s="632" t="s">
        <v>531</v>
      </c>
      <c r="B220" s="632" t="s">
        <v>380</v>
      </c>
      <c r="C220" s="633" t="n">
        <v>31</v>
      </c>
      <c r="D220" s="634" t="n">
        <f aca="false">C220-0.301</f>
        <v>30.699</v>
      </c>
      <c r="E220" s="635" t="n">
        <f aca="false">E219+D220</f>
        <v>5186.03499999999</v>
      </c>
      <c r="F220" s="635" t="n">
        <f aca="false">F219-D219</f>
        <v>6383.55399999997</v>
      </c>
      <c r="G220" s="636" t="n">
        <f aca="false">G219-D220</f>
        <v>6352.85499999997</v>
      </c>
      <c r="H220" s="705"/>
      <c r="K220" s="642"/>
    </row>
    <row r="221" s="621" customFormat="true" ht="39.75" hidden="false" customHeight="true" outlineLevel="0" collapsed="false">
      <c r="A221" s="632" t="s">
        <v>532</v>
      </c>
      <c r="B221" s="632" t="s">
        <v>380</v>
      </c>
      <c r="C221" s="633" t="n">
        <v>31</v>
      </c>
      <c r="D221" s="634" t="n">
        <f aca="false">C221-0.301</f>
        <v>30.699</v>
      </c>
      <c r="E221" s="635" t="n">
        <f aca="false">E220+D221</f>
        <v>5216.73399999999</v>
      </c>
      <c r="F221" s="635" t="n">
        <f aca="false">F220-D220</f>
        <v>6352.85499999997</v>
      </c>
      <c r="G221" s="636" t="n">
        <f aca="false">G220-D221</f>
        <v>6322.15599999997</v>
      </c>
      <c r="H221" s="706"/>
      <c r="K221" s="642"/>
    </row>
    <row r="222" s="621" customFormat="true" ht="171" hidden="false" customHeight="true" outlineLevel="0" collapsed="false">
      <c r="A222" s="632" t="s">
        <v>533</v>
      </c>
      <c r="B222" s="632" t="s">
        <v>380</v>
      </c>
      <c r="C222" s="633" t="n">
        <v>31</v>
      </c>
      <c r="D222" s="678" t="n">
        <f aca="false">C222-0.301</f>
        <v>30.699</v>
      </c>
      <c r="E222" s="635" t="n">
        <f aca="false">E221+D222</f>
        <v>5247.43299999999</v>
      </c>
      <c r="F222" s="635" t="n">
        <f aca="false">F221-D221</f>
        <v>6322.15599999997</v>
      </c>
      <c r="G222" s="636" t="n">
        <f aca="false">G221-D222</f>
        <v>6291.45699999997</v>
      </c>
      <c r="H222" s="707"/>
    </row>
    <row r="223" s="621" customFormat="true" ht="171" hidden="false" customHeight="true" outlineLevel="0" collapsed="false">
      <c r="A223" s="632" t="s">
        <v>534</v>
      </c>
      <c r="B223" s="632" t="s">
        <v>380</v>
      </c>
      <c r="C223" s="633" t="n">
        <v>31</v>
      </c>
      <c r="D223" s="678" t="n">
        <f aca="false">C223</f>
        <v>31</v>
      </c>
      <c r="E223" s="635" t="n">
        <f aca="false">E222+D223</f>
        <v>5278.43299999999</v>
      </c>
      <c r="F223" s="635" t="n">
        <f aca="false">F222-D222</f>
        <v>6291.45699999997</v>
      </c>
      <c r="G223" s="636" t="n">
        <f aca="false">G222-D223</f>
        <v>6260.45699999997</v>
      </c>
      <c r="H223" s="707"/>
    </row>
    <row r="224" s="621" customFormat="true" ht="290.25" hidden="false" customHeight="true" outlineLevel="0" collapsed="false">
      <c r="A224" s="632" t="s">
        <v>535</v>
      </c>
      <c r="B224" s="632" t="s">
        <v>380</v>
      </c>
      <c r="C224" s="633" t="n">
        <v>31</v>
      </c>
      <c r="D224" s="682" t="n">
        <f aca="false">C224</f>
        <v>31</v>
      </c>
      <c r="E224" s="635" t="n">
        <f aca="false">E223+D224</f>
        <v>5309.43299999999</v>
      </c>
      <c r="F224" s="635" t="n">
        <f aca="false">F223-D223</f>
        <v>6260.45699999997</v>
      </c>
      <c r="G224" s="636" t="n">
        <f aca="false">G223-D224</f>
        <v>6229.45699999997</v>
      </c>
      <c r="H224" s="692" t="s">
        <v>680</v>
      </c>
    </row>
    <row r="225" s="621" customFormat="true" ht="174.75" hidden="false" customHeight="true" outlineLevel="0" collapsed="false">
      <c r="A225" s="632" t="s">
        <v>536</v>
      </c>
      <c r="B225" s="632" t="s">
        <v>380</v>
      </c>
      <c r="C225" s="633" t="n">
        <v>31</v>
      </c>
      <c r="D225" s="682" t="n">
        <f aca="false">C225</f>
        <v>31</v>
      </c>
      <c r="E225" s="635" t="n">
        <f aca="false">E224+D225</f>
        <v>5340.43299999999</v>
      </c>
      <c r="F225" s="635" t="n">
        <f aca="false">F224-D224</f>
        <v>6229.45699999997</v>
      </c>
      <c r="G225" s="636" t="n">
        <f aca="false">G224-D225</f>
        <v>6198.45699999997</v>
      </c>
      <c r="H225" s="692"/>
    </row>
    <row r="226" s="621" customFormat="true" ht="171" hidden="false" customHeight="true" outlineLevel="0" collapsed="false">
      <c r="A226" s="632" t="s">
        <v>537</v>
      </c>
      <c r="B226" s="632" t="s">
        <v>380</v>
      </c>
      <c r="C226" s="633" t="n">
        <v>31</v>
      </c>
      <c r="D226" s="682" t="n">
        <f aca="false">C226</f>
        <v>31</v>
      </c>
      <c r="E226" s="635" t="n">
        <f aca="false">E225+D226</f>
        <v>5371.43299999999</v>
      </c>
      <c r="F226" s="635" t="n">
        <f aca="false">F225-D225</f>
        <v>6198.45699999997</v>
      </c>
      <c r="G226" s="636" t="n">
        <f aca="false">G225-D226</f>
        <v>6167.45699999997</v>
      </c>
      <c r="H226" s="692"/>
    </row>
    <row r="227" s="621" customFormat="true" ht="39.75" hidden="false" customHeight="true" outlineLevel="0" collapsed="false">
      <c r="A227" s="632" t="s">
        <v>538</v>
      </c>
      <c r="B227" s="632" t="s">
        <v>380</v>
      </c>
      <c r="C227" s="633" t="n">
        <v>31</v>
      </c>
      <c r="D227" s="634" t="n">
        <f aca="false">C227-0.301</f>
        <v>30.699</v>
      </c>
      <c r="E227" s="635" t="n">
        <f aca="false">E226+D227</f>
        <v>5402.13199999999</v>
      </c>
      <c r="F227" s="635" t="n">
        <f aca="false">F226-D226</f>
        <v>6167.45699999997</v>
      </c>
      <c r="G227" s="636" t="n">
        <f aca="false">G226-D227</f>
        <v>6136.75799999997</v>
      </c>
      <c r="H227" s="702"/>
      <c r="K227" s="642"/>
    </row>
    <row r="228" s="621" customFormat="true" ht="39.75" hidden="false" customHeight="true" outlineLevel="0" collapsed="false">
      <c r="A228" s="632" t="s">
        <v>539</v>
      </c>
      <c r="B228" s="632" t="s">
        <v>380</v>
      </c>
      <c r="C228" s="633" t="n">
        <v>31</v>
      </c>
      <c r="D228" s="652" t="n">
        <f aca="false">C228-0.301</f>
        <v>30.699</v>
      </c>
      <c r="E228" s="635" t="n">
        <f aca="false">E227+D228</f>
        <v>5432.83099999999</v>
      </c>
      <c r="F228" s="635" t="n">
        <f aca="false">F227-D227</f>
        <v>6136.75799999997</v>
      </c>
      <c r="G228" s="636" t="n">
        <f aca="false">G227-D228</f>
        <v>6106.05899999997</v>
      </c>
      <c r="H228" s="703"/>
      <c r="K228" s="642"/>
    </row>
    <row r="229" s="621" customFormat="true" ht="39.75" hidden="false" customHeight="true" outlineLevel="0" collapsed="false">
      <c r="A229" s="632" t="s">
        <v>540</v>
      </c>
      <c r="B229" s="632" t="s">
        <v>380</v>
      </c>
      <c r="C229" s="633" t="n">
        <v>31</v>
      </c>
      <c r="D229" s="634" t="n">
        <f aca="false">C229-0.301</f>
        <v>30.699</v>
      </c>
      <c r="E229" s="635" t="n">
        <f aca="false">E228+D229</f>
        <v>5463.52999999999</v>
      </c>
      <c r="F229" s="635" t="n">
        <f aca="false">F228-D228</f>
        <v>6106.05899999997</v>
      </c>
      <c r="G229" s="636" t="n">
        <f aca="false">G228-D229</f>
        <v>6075.35999999997</v>
      </c>
      <c r="H229" s="706"/>
      <c r="K229" s="642"/>
    </row>
    <row r="230" s="621" customFormat="true" ht="39.75" hidden="false" customHeight="true" outlineLevel="0" collapsed="false">
      <c r="A230" s="632" t="s">
        <v>541</v>
      </c>
      <c r="B230" s="632" t="s">
        <v>380</v>
      </c>
      <c r="C230" s="633" t="n">
        <v>31</v>
      </c>
      <c r="D230" s="634" t="n">
        <f aca="false">C230-0.301</f>
        <v>30.699</v>
      </c>
      <c r="E230" s="635" t="n">
        <f aca="false">E229+D230</f>
        <v>5494.22899999999</v>
      </c>
      <c r="F230" s="635" t="n">
        <f aca="false">F229-D229</f>
        <v>6075.35999999997</v>
      </c>
      <c r="G230" s="636" t="n">
        <f aca="false">G229-D230</f>
        <v>6044.66099999997</v>
      </c>
      <c r="H230" s="656"/>
      <c r="K230" s="642"/>
    </row>
    <row r="231" s="621" customFormat="true" ht="39.75" hidden="false" customHeight="true" outlineLevel="0" collapsed="false">
      <c r="A231" s="632" t="s">
        <v>542</v>
      </c>
      <c r="B231" s="632" t="s">
        <v>380</v>
      </c>
      <c r="C231" s="633" t="n">
        <v>31</v>
      </c>
      <c r="D231" s="634" t="n">
        <f aca="false">C231-0.301</f>
        <v>30.699</v>
      </c>
      <c r="E231" s="635" t="n">
        <f aca="false">E230+D231</f>
        <v>5524.92799999999</v>
      </c>
      <c r="F231" s="635" t="n">
        <f aca="false">F230-D230</f>
        <v>6044.66099999997</v>
      </c>
      <c r="G231" s="636" t="n">
        <f aca="false">G230-D231</f>
        <v>6013.96199999997</v>
      </c>
      <c r="K231" s="642"/>
    </row>
    <row r="232" s="621" customFormat="true" ht="39.75" hidden="false" customHeight="true" outlineLevel="0" collapsed="false">
      <c r="A232" s="632" t="s">
        <v>543</v>
      </c>
      <c r="B232" s="632" t="s">
        <v>380</v>
      </c>
      <c r="C232" s="633" t="n">
        <v>31</v>
      </c>
      <c r="D232" s="634" t="n">
        <f aca="false">C232-0.301</f>
        <v>30.699</v>
      </c>
      <c r="E232" s="635" t="n">
        <f aca="false">E231+D232</f>
        <v>5555.62699999999</v>
      </c>
      <c r="F232" s="635" t="n">
        <f aca="false">F231-D231</f>
        <v>6013.96199999997</v>
      </c>
      <c r="G232" s="636" t="n">
        <f aca="false">G231-D232</f>
        <v>5983.26299999997</v>
      </c>
      <c r="H232" s="657" t="s">
        <v>649</v>
      </c>
      <c r="K232" s="642"/>
    </row>
    <row r="233" s="621" customFormat="true" ht="39.75" hidden="false" customHeight="true" outlineLevel="0" collapsed="false">
      <c r="A233" s="632" t="s">
        <v>544</v>
      </c>
      <c r="B233" s="632" t="s">
        <v>380</v>
      </c>
      <c r="C233" s="633" t="n">
        <v>31</v>
      </c>
      <c r="D233" s="634" t="n">
        <f aca="false">C233-0.301</f>
        <v>30.699</v>
      </c>
      <c r="E233" s="635" t="n">
        <f aca="false">E232+D233</f>
        <v>5586.32599999999</v>
      </c>
      <c r="F233" s="635" t="n">
        <f aca="false">F232-D232</f>
        <v>5983.26299999997</v>
      </c>
      <c r="G233" s="636" t="n">
        <f aca="false">G232-D233</f>
        <v>5952.56399999997</v>
      </c>
      <c r="K233" s="642"/>
    </row>
    <row r="234" s="621" customFormat="true" ht="39.75" hidden="false" customHeight="true" outlineLevel="0" collapsed="false">
      <c r="A234" s="632" t="s">
        <v>545</v>
      </c>
      <c r="B234" s="632" t="s">
        <v>380</v>
      </c>
      <c r="C234" s="633" t="n">
        <v>31</v>
      </c>
      <c r="D234" s="634" t="n">
        <f aca="false">C234-0.301</f>
        <v>30.699</v>
      </c>
      <c r="E234" s="635" t="n">
        <f aca="false">E233+D234</f>
        <v>5617.02499999999</v>
      </c>
      <c r="F234" s="635" t="n">
        <f aca="false">F233-D233</f>
        <v>5952.56399999997</v>
      </c>
      <c r="G234" s="636" t="n">
        <f aca="false">G233-D234</f>
        <v>5921.86499999997</v>
      </c>
      <c r="H234" s="702"/>
      <c r="K234" s="642"/>
    </row>
    <row r="235" s="621" customFormat="true" ht="39.75" hidden="false" customHeight="true" outlineLevel="0" collapsed="false">
      <c r="A235" s="632" t="s">
        <v>546</v>
      </c>
      <c r="B235" s="632" t="s">
        <v>380</v>
      </c>
      <c r="C235" s="633" t="n">
        <v>31</v>
      </c>
      <c r="D235" s="634" t="n">
        <f aca="false">C235-0.301</f>
        <v>30.699</v>
      </c>
      <c r="E235" s="635" t="n">
        <f aca="false">E234+D235</f>
        <v>5647.72399999999</v>
      </c>
      <c r="F235" s="635" t="n">
        <f aca="false">F234-D234</f>
        <v>5921.86499999997</v>
      </c>
      <c r="G235" s="636" t="n">
        <f aca="false">G234-D235</f>
        <v>5891.16599999997</v>
      </c>
      <c r="H235" s="702"/>
      <c r="K235" s="642"/>
    </row>
    <row r="236" s="621" customFormat="true" ht="39.75" hidden="false" customHeight="true" outlineLevel="0" collapsed="false">
      <c r="A236" s="632" t="s">
        <v>547</v>
      </c>
      <c r="B236" s="632" t="s">
        <v>380</v>
      </c>
      <c r="C236" s="633" t="n">
        <v>31</v>
      </c>
      <c r="D236" s="634" t="n">
        <f aca="false">C236-0.301</f>
        <v>30.699</v>
      </c>
      <c r="E236" s="635" t="n">
        <f aca="false">E235+D236</f>
        <v>5678.42299999999</v>
      </c>
      <c r="F236" s="635" t="n">
        <f aca="false">F235-D235</f>
        <v>5891.16599999997</v>
      </c>
      <c r="G236" s="636" t="n">
        <f aca="false">G235-D236</f>
        <v>5860.46699999997</v>
      </c>
      <c r="H236" s="702"/>
      <c r="K236" s="642"/>
    </row>
    <row r="237" s="621" customFormat="true" ht="39.75" hidden="false" customHeight="true" outlineLevel="0" collapsed="false">
      <c r="A237" s="632" t="s">
        <v>548</v>
      </c>
      <c r="B237" s="632" t="s">
        <v>380</v>
      </c>
      <c r="C237" s="633" t="n">
        <v>31</v>
      </c>
      <c r="D237" s="634" t="n">
        <f aca="false">C237-0.301</f>
        <v>30.699</v>
      </c>
      <c r="E237" s="635" t="n">
        <f aca="false">E236+D237</f>
        <v>5709.12199999999</v>
      </c>
      <c r="F237" s="635" t="n">
        <f aca="false">F236-D236</f>
        <v>5860.46699999997</v>
      </c>
      <c r="G237" s="636" t="n">
        <f aca="false">G236-D237</f>
        <v>5829.76799999997</v>
      </c>
      <c r="H237" s="702"/>
      <c r="K237" s="642"/>
    </row>
    <row r="238" s="621" customFormat="true" ht="39.75" hidden="false" customHeight="true" outlineLevel="0" collapsed="false">
      <c r="A238" s="632" t="s">
        <v>549</v>
      </c>
      <c r="B238" s="632" t="s">
        <v>380</v>
      </c>
      <c r="C238" s="633" t="n">
        <v>31</v>
      </c>
      <c r="D238" s="634" t="n">
        <f aca="false">C238-0.301</f>
        <v>30.699</v>
      </c>
      <c r="E238" s="635" t="n">
        <f aca="false">E237+D238</f>
        <v>5739.82099999999</v>
      </c>
      <c r="F238" s="635" t="n">
        <f aca="false">F237-D237</f>
        <v>5829.76799999997</v>
      </c>
      <c r="G238" s="636" t="n">
        <f aca="false">G237-D238</f>
        <v>5799.06899999997</v>
      </c>
      <c r="H238" s="702"/>
      <c r="K238" s="642"/>
    </row>
    <row r="239" s="621" customFormat="true" ht="39.75" hidden="false" customHeight="true" outlineLevel="0" collapsed="false">
      <c r="A239" s="632" t="s">
        <v>550</v>
      </c>
      <c r="B239" s="632" t="s">
        <v>380</v>
      </c>
      <c r="C239" s="633" t="n">
        <v>31</v>
      </c>
      <c r="D239" s="634" t="n">
        <f aca="false">C239-0.301</f>
        <v>30.699</v>
      </c>
      <c r="E239" s="635" t="n">
        <f aca="false">E238+D239</f>
        <v>5770.51999999999</v>
      </c>
      <c r="F239" s="635" t="n">
        <f aca="false">F238-D238</f>
        <v>5799.06899999997</v>
      </c>
      <c r="G239" s="636" t="n">
        <f aca="false">G238-D239</f>
        <v>5768.36999999997</v>
      </c>
      <c r="H239" s="702"/>
      <c r="K239" s="642"/>
    </row>
    <row r="240" s="621" customFormat="true" ht="39.75" hidden="false" customHeight="true" outlineLevel="0" collapsed="false">
      <c r="A240" s="632" t="s">
        <v>551</v>
      </c>
      <c r="B240" s="632" t="s">
        <v>380</v>
      </c>
      <c r="C240" s="633" t="n">
        <v>31</v>
      </c>
      <c r="D240" s="634" t="n">
        <f aca="false">C240-0.301</f>
        <v>30.699</v>
      </c>
      <c r="E240" s="635" t="n">
        <f aca="false">E239+D240</f>
        <v>5801.21899999999</v>
      </c>
      <c r="F240" s="635" t="n">
        <f aca="false">F239-D239</f>
        <v>5768.36999999997</v>
      </c>
      <c r="G240" s="636" t="n">
        <f aca="false">G239-D240</f>
        <v>5737.67099999998</v>
      </c>
      <c r="H240" s="656"/>
      <c r="K240" s="642"/>
    </row>
    <row r="241" s="621" customFormat="true" ht="39.75" hidden="false" customHeight="true" outlineLevel="0" collapsed="false">
      <c r="A241" s="632" t="s">
        <v>557</v>
      </c>
      <c r="B241" s="632" t="s">
        <v>380</v>
      </c>
      <c r="C241" s="633" t="n">
        <v>31</v>
      </c>
      <c r="D241" s="634" t="n">
        <f aca="false">C241-0.301</f>
        <v>30.699</v>
      </c>
      <c r="E241" s="635" t="n">
        <f aca="false">E240+D241</f>
        <v>5831.91799999999</v>
      </c>
      <c r="F241" s="635" t="n">
        <f aca="false">F240-D240</f>
        <v>5737.67099999998</v>
      </c>
      <c r="G241" s="636" t="n">
        <f aca="false">G240-D241</f>
        <v>5706.97199999998</v>
      </c>
      <c r="K241" s="642"/>
    </row>
    <row r="242" s="621" customFormat="true" ht="108" hidden="false" customHeight="true" outlineLevel="0" collapsed="false">
      <c r="A242" s="632" t="s">
        <v>558</v>
      </c>
      <c r="B242" s="632" t="s">
        <v>380</v>
      </c>
      <c r="C242" s="633" t="n">
        <v>31</v>
      </c>
      <c r="D242" s="678" t="n">
        <f aca="false">C242-0.301</f>
        <v>30.699</v>
      </c>
      <c r="E242" s="635" t="n">
        <f aca="false">E241+D242</f>
        <v>5862.61699999999</v>
      </c>
      <c r="F242" s="635" t="n">
        <f aca="false">F241-D241</f>
        <v>5706.97199999998</v>
      </c>
      <c r="G242" s="636" t="n">
        <f aca="false">G241-D242</f>
        <v>5676.27299999998</v>
      </c>
      <c r="H242" s="707"/>
    </row>
    <row r="243" s="621" customFormat="true" ht="112.5" hidden="false" customHeight="true" outlineLevel="0" collapsed="false">
      <c r="A243" s="632" t="s">
        <v>559</v>
      </c>
      <c r="B243" s="632" t="s">
        <v>380</v>
      </c>
      <c r="C243" s="633" t="n">
        <v>31</v>
      </c>
      <c r="D243" s="678" t="n">
        <f aca="false">C243</f>
        <v>31</v>
      </c>
      <c r="E243" s="635" t="n">
        <f aca="false">E242+D243</f>
        <v>5893.61699999999</v>
      </c>
      <c r="F243" s="635" t="n">
        <f aca="false">F242-D242</f>
        <v>5676.27299999998</v>
      </c>
      <c r="G243" s="636" t="n">
        <f aca="false">G242-D243</f>
        <v>5645.27299999998</v>
      </c>
      <c r="H243" s="707"/>
    </row>
    <row r="244" s="621" customFormat="true" ht="207" hidden="false" customHeight="true" outlineLevel="0" collapsed="false">
      <c r="A244" s="632" t="s">
        <v>560</v>
      </c>
      <c r="B244" s="632" t="s">
        <v>380</v>
      </c>
      <c r="C244" s="633" t="n">
        <v>31</v>
      </c>
      <c r="D244" s="682" t="n">
        <f aca="false">C244</f>
        <v>31</v>
      </c>
      <c r="E244" s="635" t="n">
        <f aca="false">E243+D244</f>
        <v>5924.61699999999</v>
      </c>
      <c r="F244" s="635" t="n">
        <f aca="false">F243-D243</f>
        <v>5645.27299999998</v>
      </c>
      <c r="G244" s="636" t="n">
        <f aca="false">G243-D244</f>
        <v>5614.27299999998</v>
      </c>
      <c r="H244" s="692" t="s">
        <v>681</v>
      </c>
    </row>
    <row r="245" s="621" customFormat="true" ht="131.25" hidden="false" customHeight="true" outlineLevel="0" collapsed="false">
      <c r="A245" s="632" t="s">
        <v>561</v>
      </c>
      <c r="B245" s="632" t="s">
        <v>380</v>
      </c>
      <c r="C245" s="633" t="n">
        <v>31</v>
      </c>
      <c r="D245" s="682" t="n">
        <f aca="false">C245</f>
        <v>31</v>
      </c>
      <c r="E245" s="635" t="n">
        <f aca="false">E244+D245</f>
        <v>5955.61699999999</v>
      </c>
      <c r="F245" s="635" t="n">
        <f aca="false">F244-D244</f>
        <v>5614.27299999998</v>
      </c>
      <c r="G245" s="636" t="n">
        <f aca="false">G244-D245</f>
        <v>5583.27299999998</v>
      </c>
      <c r="H245" s="692"/>
    </row>
    <row r="246" s="621" customFormat="true" ht="131.25" hidden="false" customHeight="true" outlineLevel="0" collapsed="false">
      <c r="A246" s="632" t="s">
        <v>562</v>
      </c>
      <c r="B246" s="632" t="s">
        <v>380</v>
      </c>
      <c r="C246" s="633" t="n">
        <v>31</v>
      </c>
      <c r="D246" s="682" t="n">
        <f aca="false">C246</f>
        <v>31</v>
      </c>
      <c r="E246" s="635" t="n">
        <f aca="false">E245+D246</f>
        <v>5986.61699999999</v>
      </c>
      <c r="F246" s="635" t="n">
        <f aca="false">F245-D245</f>
        <v>5583.27299999998</v>
      </c>
      <c r="G246" s="636" t="n">
        <f aca="false">G245-D246</f>
        <v>5552.27299999998</v>
      </c>
      <c r="H246" s="692"/>
    </row>
    <row r="247" s="621" customFormat="true" ht="39.75" hidden="false" customHeight="true" outlineLevel="0" collapsed="false">
      <c r="A247" s="632" t="s">
        <v>563</v>
      </c>
      <c r="B247" s="632" t="s">
        <v>380</v>
      </c>
      <c r="C247" s="633" t="n">
        <v>31</v>
      </c>
      <c r="D247" s="634" t="n">
        <f aca="false">C247-0.301</f>
        <v>30.699</v>
      </c>
      <c r="E247" s="635" t="n">
        <f aca="false">E246+D247</f>
        <v>6017.31599999999</v>
      </c>
      <c r="F247" s="635" t="n">
        <f aca="false">F246-D246</f>
        <v>5552.27299999998</v>
      </c>
      <c r="G247" s="636" t="n">
        <f aca="false">G246-D247</f>
        <v>5521.57399999998</v>
      </c>
      <c r="H247" s="657" t="s">
        <v>649</v>
      </c>
      <c r="K247" s="642"/>
    </row>
    <row r="248" s="621" customFormat="true" ht="39.75" hidden="false" customHeight="true" outlineLevel="0" collapsed="false">
      <c r="A248" s="632" t="s">
        <v>564</v>
      </c>
      <c r="B248" s="632" t="s">
        <v>380</v>
      </c>
      <c r="C248" s="633" t="n">
        <v>31</v>
      </c>
      <c r="D248" s="634" t="n">
        <f aca="false">C248-0.301</f>
        <v>30.699</v>
      </c>
      <c r="E248" s="635" t="n">
        <f aca="false">E247+D248</f>
        <v>6048.01499999999</v>
      </c>
      <c r="F248" s="635" t="n">
        <f aca="false">F247-D247</f>
        <v>5521.57399999998</v>
      </c>
      <c r="G248" s="636" t="n">
        <f aca="false">G247-D248</f>
        <v>5490.87499999998</v>
      </c>
      <c r="K248" s="642"/>
    </row>
    <row r="249" s="621" customFormat="true" ht="39.75" hidden="false" customHeight="true" outlineLevel="0" collapsed="false">
      <c r="A249" s="632" t="s">
        <v>565</v>
      </c>
      <c r="B249" s="632" t="s">
        <v>380</v>
      </c>
      <c r="C249" s="633" t="n">
        <v>31</v>
      </c>
      <c r="D249" s="634" t="n">
        <f aca="false">C249-0.301</f>
        <v>30.699</v>
      </c>
      <c r="E249" s="635" t="n">
        <f aca="false">E248+D249</f>
        <v>6078.71399999998</v>
      </c>
      <c r="F249" s="635" t="n">
        <f aca="false">F248-D248</f>
        <v>5490.87499999998</v>
      </c>
      <c r="G249" s="636" t="n">
        <f aca="false">G248-D249</f>
        <v>5460.17599999998</v>
      </c>
      <c r="H249" s="702"/>
      <c r="K249" s="642"/>
    </row>
    <row r="250" s="621" customFormat="true" ht="39.75" hidden="false" customHeight="true" outlineLevel="0" collapsed="false">
      <c r="A250" s="632" t="s">
        <v>566</v>
      </c>
      <c r="B250" s="632" t="s">
        <v>380</v>
      </c>
      <c r="C250" s="633" t="n">
        <v>31</v>
      </c>
      <c r="D250" s="634" t="n">
        <f aca="false">C250-0.301</f>
        <v>30.699</v>
      </c>
      <c r="E250" s="635" t="n">
        <f aca="false">E249+D250</f>
        <v>6109.41299999998</v>
      </c>
      <c r="F250" s="635" t="n">
        <f aca="false">F249-D249</f>
        <v>5460.17599999998</v>
      </c>
      <c r="G250" s="636" t="n">
        <f aca="false">G249-D250</f>
        <v>5429.47699999998</v>
      </c>
      <c r="H250" s="702"/>
      <c r="K250" s="642"/>
    </row>
    <row r="251" s="621" customFormat="true" ht="39.75" hidden="false" customHeight="true" outlineLevel="0" collapsed="false">
      <c r="A251" s="632" t="s">
        <v>567</v>
      </c>
      <c r="B251" s="632" t="s">
        <v>380</v>
      </c>
      <c r="C251" s="633" t="n">
        <v>31</v>
      </c>
      <c r="D251" s="634" t="n">
        <f aca="false">C251-0.301</f>
        <v>30.699</v>
      </c>
      <c r="E251" s="635" t="n">
        <f aca="false">E250+D251</f>
        <v>6140.11199999998</v>
      </c>
      <c r="F251" s="635" t="n">
        <f aca="false">F250-D250</f>
        <v>5429.47699999998</v>
      </c>
      <c r="G251" s="636" t="n">
        <f aca="false">G250-D251</f>
        <v>5398.77799999998</v>
      </c>
      <c r="H251" s="702"/>
      <c r="K251" s="642"/>
    </row>
    <row r="252" s="621" customFormat="true" ht="39.75" hidden="false" customHeight="true" outlineLevel="0" collapsed="false">
      <c r="A252" s="632" t="s">
        <v>568</v>
      </c>
      <c r="B252" s="632" t="s">
        <v>380</v>
      </c>
      <c r="C252" s="633" t="n">
        <v>31</v>
      </c>
      <c r="D252" s="634" t="n">
        <f aca="false">C252-0.301</f>
        <v>30.699</v>
      </c>
      <c r="E252" s="635" t="n">
        <f aca="false">E251+D252</f>
        <v>6170.81099999998</v>
      </c>
      <c r="F252" s="635" t="n">
        <f aca="false">F251-D251</f>
        <v>5398.77799999998</v>
      </c>
      <c r="G252" s="636" t="n">
        <f aca="false">G251-D252</f>
        <v>5368.07899999998</v>
      </c>
      <c r="H252" s="702"/>
      <c r="K252" s="642"/>
    </row>
    <row r="253" s="621" customFormat="true" ht="39.75" hidden="false" customHeight="true" outlineLevel="0" collapsed="false">
      <c r="A253" s="632" t="s">
        <v>569</v>
      </c>
      <c r="B253" s="632" t="s">
        <v>380</v>
      </c>
      <c r="C253" s="633" t="n">
        <v>31</v>
      </c>
      <c r="D253" s="634" t="n">
        <f aca="false">C253-0.301</f>
        <v>30.699</v>
      </c>
      <c r="E253" s="635" t="n">
        <f aca="false">E252+D253</f>
        <v>6201.50999999998</v>
      </c>
      <c r="F253" s="635" t="n">
        <f aca="false">F252-D252</f>
        <v>5368.07899999998</v>
      </c>
      <c r="G253" s="636" t="n">
        <f aca="false">G252-D253</f>
        <v>5337.37999999998</v>
      </c>
      <c r="H253" s="702"/>
      <c r="K253" s="642"/>
    </row>
    <row r="254" s="621" customFormat="true" ht="39.75" hidden="false" customHeight="true" outlineLevel="0" collapsed="false">
      <c r="A254" s="632" t="s">
        <v>570</v>
      </c>
      <c r="B254" s="632" t="s">
        <v>380</v>
      </c>
      <c r="C254" s="633" t="n">
        <v>31</v>
      </c>
      <c r="D254" s="634" t="n">
        <f aca="false">C254-0.301</f>
        <v>30.699</v>
      </c>
      <c r="E254" s="635" t="n">
        <f aca="false">E253+D254</f>
        <v>6232.20899999998</v>
      </c>
      <c r="F254" s="635" t="n">
        <f aca="false">F253-D253</f>
        <v>5337.37999999998</v>
      </c>
      <c r="G254" s="636" t="n">
        <f aca="false">G253-D254</f>
        <v>5306.68099999998</v>
      </c>
      <c r="H254" s="702"/>
      <c r="K254" s="642"/>
    </row>
    <row r="255" s="621" customFormat="true" ht="39.75" hidden="false" customHeight="true" outlineLevel="0" collapsed="false">
      <c r="A255" s="632" t="s">
        <v>571</v>
      </c>
      <c r="B255" s="632" t="s">
        <v>380</v>
      </c>
      <c r="C255" s="633" t="n">
        <v>31</v>
      </c>
      <c r="D255" s="634" t="n">
        <f aca="false">C255-0.301</f>
        <v>30.699</v>
      </c>
      <c r="E255" s="635" t="n">
        <f aca="false">E254+D255</f>
        <v>6262.90799999998</v>
      </c>
      <c r="F255" s="635" t="n">
        <f aca="false">F254-D254</f>
        <v>5306.68099999998</v>
      </c>
      <c r="G255" s="636" t="n">
        <f aca="false">G254-D255</f>
        <v>5275.98199999998</v>
      </c>
      <c r="H255" s="656"/>
      <c r="K255" s="642"/>
    </row>
    <row r="256" s="621" customFormat="true" ht="39.75" hidden="false" customHeight="true" outlineLevel="0" collapsed="false">
      <c r="A256" s="632" t="s">
        <v>572</v>
      </c>
      <c r="B256" s="632" t="s">
        <v>380</v>
      </c>
      <c r="C256" s="633" t="n">
        <v>31</v>
      </c>
      <c r="D256" s="634" t="n">
        <f aca="false">C256-0.301</f>
        <v>30.699</v>
      </c>
      <c r="E256" s="635" t="n">
        <f aca="false">E255+D256</f>
        <v>6293.60699999998</v>
      </c>
      <c r="F256" s="635" t="n">
        <f aca="false">F255-D255</f>
        <v>5275.98199999998</v>
      </c>
      <c r="G256" s="636" t="n">
        <f aca="false">G255-D256</f>
        <v>5245.28299999998</v>
      </c>
      <c r="K256" s="642"/>
    </row>
    <row r="257" s="621" customFormat="true" ht="39.75" hidden="false" customHeight="true" outlineLevel="0" collapsed="false">
      <c r="A257" s="632" t="s">
        <v>573</v>
      </c>
      <c r="B257" s="632" t="s">
        <v>380</v>
      </c>
      <c r="C257" s="633" t="n">
        <v>31</v>
      </c>
      <c r="D257" s="634" t="n">
        <f aca="false">C257-0.301</f>
        <v>30.699</v>
      </c>
      <c r="E257" s="635" t="n">
        <f aca="false">E256+D257</f>
        <v>6324.30599999998</v>
      </c>
      <c r="F257" s="635" t="n">
        <f aca="false">F256-D256</f>
        <v>5245.28299999998</v>
      </c>
      <c r="G257" s="636" t="n">
        <f aca="false">G256-D257</f>
        <v>5214.58399999998</v>
      </c>
      <c r="H257" s="702"/>
      <c r="K257" s="642"/>
    </row>
    <row r="258" s="621" customFormat="true" ht="39.75" hidden="false" customHeight="true" outlineLevel="0" collapsed="false">
      <c r="A258" s="632" t="s">
        <v>574</v>
      </c>
      <c r="B258" s="632" t="s">
        <v>380</v>
      </c>
      <c r="C258" s="633" t="n">
        <v>31</v>
      </c>
      <c r="D258" s="634" t="n">
        <f aca="false">C258-0.301</f>
        <v>30.699</v>
      </c>
      <c r="E258" s="635" t="n">
        <f aca="false">E257+D258</f>
        <v>6355.00499999998</v>
      </c>
      <c r="F258" s="635" t="n">
        <f aca="false">F257-D257</f>
        <v>5214.58399999998</v>
      </c>
      <c r="G258" s="636" t="n">
        <f aca="false">G257-D258</f>
        <v>5183.88499999998</v>
      </c>
      <c r="H258" s="657" t="s">
        <v>649</v>
      </c>
      <c r="K258" s="642"/>
    </row>
    <row r="259" s="621" customFormat="true" ht="39.75" hidden="false" customHeight="true" outlineLevel="0" collapsed="false">
      <c r="A259" s="632" t="s">
        <v>575</v>
      </c>
      <c r="B259" s="632" t="s">
        <v>380</v>
      </c>
      <c r="C259" s="633" t="n">
        <v>31</v>
      </c>
      <c r="D259" s="634" t="n">
        <f aca="false">C259-0.301</f>
        <v>30.699</v>
      </c>
      <c r="E259" s="635" t="n">
        <f aca="false">E258+D259</f>
        <v>6385.70399999998</v>
      </c>
      <c r="F259" s="635" t="n">
        <f aca="false">F258-D258</f>
        <v>5183.88499999998</v>
      </c>
      <c r="G259" s="636" t="n">
        <f aca="false">G258-D259</f>
        <v>5153.18599999998</v>
      </c>
      <c r="H259" s="702"/>
      <c r="K259" s="642"/>
    </row>
    <row r="260" s="621" customFormat="true" ht="39.75" hidden="false" customHeight="true" outlineLevel="0" collapsed="false">
      <c r="A260" s="632" t="s">
        <v>576</v>
      </c>
      <c r="B260" s="632" t="s">
        <v>380</v>
      </c>
      <c r="C260" s="633" t="n">
        <v>31</v>
      </c>
      <c r="D260" s="634" t="n">
        <f aca="false">C260-0.301</f>
        <v>30.699</v>
      </c>
      <c r="E260" s="635" t="n">
        <f aca="false">E259+D260</f>
        <v>6416.40299999998</v>
      </c>
      <c r="F260" s="635" t="n">
        <f aca="false">F259-D259</f>
        <v>5153.18599999998</v>
      </c>
      <c r="G260" s="636" t="n">
        <f aca="false">G259-D260</f>
        <v>5122.48699999998</v>
      </c>
      <c r="H260" s="702"/>
      <c r="K260" s="642"/>
    </row>
    <row r="261" s="621" customFormat="true" ht="39.75" hidden="false" customHeight="true" outlineLevel="0" collapsed="false">
      <c r="A261" s="632" t="s">
        <v>580</v>
      </c>
      <c r="B261" s="632" t="s">
        <v>380</v>
      </c>
      <c r="C261" s="633" t="n">
        <v>31</v>
      </c>
      <c r="D261" s="634" t="n">
        <f aca="false">C261-0.301</f>
        <v>30.699</v>
      </c>
      <c r="E261" s="635" t="n">
        <f aca="false">E260+D261</f>
        <v>6447.10199999998</v>
      </c>
      <c r="F261" s="635" t="n">
        <f aca="false">F260-D260</f>
        <v>5122.48699999998</v>
      </c>
      <c r="G261" s="636" t="n">
        <f aca="false">G260-D261</f>
        <v>5091.78799999998</v>
      </c>
      <c r="H261" s="702"/>
      <c r="K261" s="642"/>
    </row>
    <row r="262" s="621" customFormat="true" ht="39.75" hidden="false" customHeight="true" outlineLevel="0" collapsed="false">
      <c r="A262" s="632" t="s">
        <v>581</v>
      </c>
      <c r="B262" s="632" t="s">
        <v>380</v>
      </c>
      <c r="C262" s="633" t="n">
        <v>31</v>
      </c>
      <c r="D262" s="634" t="n">
        <f aca="false">C262-0.301</f>
        <v>30.699</v>
      </c>
      <c r="E262" s="635" t="n">
        <f aca="false">E261+D262</f>
        <v>6477.80099999998</v>
      </c>
      <c r="F262" s="635" t="n">
        <f aca="false">F261-D261</f>
        <v>5091.78799999998</v>
      </c>
      <c r="G262" s="636" t="n">
        <f aca="false">G261-D262</f>
        <v>5061.08899999998</v>
      </c>
      <c r="H262" s="702"/>
      <c r="K262" s="642"/>
    </row>
    <row r="263" s="621" customFormat="true" ht="39.75" hidden="false" customHeight="true" outlineLevel="0" collapsed="false">
      <c r="A263" s="632" t="s">
        <v>582</v>
      </c>
      <c r="B263" s="632" t="s">
        <v>380</v>
      </c>
      <c r="C263" s="633" t="n">
        <v>31</v>
      </c>
      <c r="D263" s="634" t="n">
        <f aca="false">C263-0.301</f>
        <v>30.699</v>
      </c>
      <c r="E263" s="635" t="n">
        <f aca="false">E262+D263</f>
        <v>6508.49999999998</v>
      </c>
      <c r="F263" s="635" t="n">
        <f aca="false">F262-D262</f>
        <v>5061.08899999998</v>
      </c>
      <c r="G263" s="636" t="n">
        <f aca="false">G262-D263</f>
        <v>5030.38999999998</v>
      </c>
      <c r="H263" s="702"/>
      <c r="K263" s="642"/>
    </row>
    <row r="264" s="621" customFormat="true" ht="39.75" hidden="false" customHeight="true" outlineLevel="0" collapsed="false">
      <c r="A264" s="632" t="s">
        <v>583</v>
      </c>
      <c r="B264" s="632" t="s">
        <v>380</v>
      </c>
      <c r="C264" s="633" t="n">
        <v>31</v>
      </c>
      <c r="D264" s="634" t="n">
        <f aca="false">C264-0.301</f>
        <v>30.699</v>
      </c>
      <c r="E264" s="635" t="n">
        <f aca="false">E263+D264</f>
        <v>6539.19899999998</v>
      </c>
      <c r="F264" s="635" t="n">
        <f aca="false">F263-D263</f>
        <v>5030.38999999998</v>
      </c>
      <c r="G264" s="636" t="n">
        <f aca="false">G263-D264</f>
        <v>4999.69099999998</v>
      </c>
      <c r="H264" s="702"/>
      <c r="K264" s="642"/>
    </row>
    <row r="265" s="621" customFormat="true" ht="39.75" hidden="false" customHeight="true" outlineLevel="0" collapsed="false">
      <c r="A265" s="632" t="s">
        <v>584</v>
      </c>
      <c r="B265" s="632" t="s">
        <v>380</v>
      </c>
      <c r="C265" s="633" t="n">
        <v>31</v>
      </c>
      <c r="D265" s="634" t="n">
        <f aca="false">C265-0.301</f>
        <v>30.699</v>
      </c>
      <c r="E265" s="635" t="n">
        <f aca="false">E264+D265</f>
        <v>6569.89799999998</v>
      </c>
      <c r="F265" s="635" t="n">
        <f aca="false">F264-D264</f>
        <v>4999.69099999998</v>
      </c>
      <c r="G265" s="636" t="n">
        <f aca="false">G264-D265</f>
        <v>4968.99199999998</v>
      </c>
      <c r="H265" s="656" t="s">
        <v>682</v>
      </c>
      <c r="K265" s="642"/>
    </row>
    <row r="266" s="621" customFormat="true" ht="39.75" hidden="false" customHeight="true" outlineLevel="0" collapsed="false">
      <c r="A266" s="632" t="s">
        <v>585</v>
      </c>
      <c r="B266" s="632" t="s">
        <v>380</v>
      </c>
      <c r="C266" s="633" t="n">
        <v>31</v>
      </c>
      <c r="D266" s="634" t="n">
        <f aca="false">C266-0.301</f>
        <v>30.699</v>
      </c>
      <c r="E266" s="635" t="n">
        <f aca="false">E265+D266</f>
        <v>6600.59699999998</v>
      </c>
      <c r="F266" s="635" t="n">
        <f aca="false">F265-D265</f>
        <v>4968.99199999998</v>
      </c>
      <c r="G266" s="636" t="n">
        <f aca="false">G265-D266</f>
        <v>4938.29299999998</v>
      </c>
      <c r="K266" s="642"/>
    </row>
    <row r="267" s="621" customFormat="true" ht="39.75" hidden="false" customHeight="true" outlineLevel="0" collapsed="false">
      <c r="A267" s="632" t="s">
        <v>586</v>
      </c>
      <c r="B267" s="632" t="s">
        <v>380</v>
      </c>
      <c r="C267" s="633" t="n">
        <v>31</v>
      </c>
      <c r="D267" s="634" t="n">
        <f aca="false">C267-0.301</f>
        <v>30.699</v>
      </c>
      <c r="E267" s="635" t="n">
        <f aca="false">E266+D267</f>
        <v>6631.29599999998</v>
      </c>
      <c r="F267" s="635" t="n">
        <f aca="false">F266-D266</f>
        <v>4938.29299999998</v>
      </c>
      <c r="G267" s="636" t="n">
        <f aca="false">G266-D267</f>
        <v>4907.59399999998</v>
      </c>
      <c r="H267" s="657" t="s">
        <v>649</v>
      </c>
      <c r="K267" s="642"/>
    </row>
    <row r="268" s="621" customFormat="true" ht="39.75" hidden="false" customHeight="true" outlineLevel="0" collapsed="false">
      <c r="A268" s="632" t="s">
        <v>587</v>
      </c>
      <c r="B268" s="632" t="s">
        <v>380</v>
      </c>
      <c r="C268" s="633" t="n">
        <v>31</v>
      </c>
      <c r="D268" s="634" t="n">
        <f aca="false">C268-0.301</f>
        <v>30.699</v>
      </c>
      <c r="E268" s="635" t="n">
        <f aca="false">E267+D268</f>
        <v>6661.99499999998</v>
      </c>
      <c r="F268" s="635" t="n">
        <f aca="false">F267-D267</f>
        <v>4907.59399999998</v>
      </c>
      <c r="G268" s="636" t="n">
        <f aca="false">G267-D268</f>
        <v>4876.89499999998</v>
      </c>
      <c r="K268" s="642"/>
    </row>
    <row r="269" s="621" customFormat="true" ht="39.75" hidden="false" customHeight="true" outlineLevel="0" collapsed="false">
      <c r="A269" s="632" t="s">
        <v>588</v>
      </c>
      <c r="B269" s="632" t="s">
        <v>380</v>
      </c>
      <c r="C269" s="633" t="n">
        <v>31</v>
      </c>
      <c r="D269" s="634" t="n">
        <f aca="false">C269-0.301</f>
        <v>30.699</v>
      </c>
      <c r="E269" s="635" t="n">
        <f aca="false">E268+D269</f>
        <v>6692.69399999998</v>
      </c>
      <c r="F269" s="635" t="n">
        <f aca="false">F268-D268</f>
        <v>4876.89499999998</v>
      </c>
      <c r="G269" s="636" t="n">
        <f aca="false">G268-D269</f>
        <v>4846.19599999998</v>
      </c>
      <c r="H269" s="702"/>
      <c r="K269" s="642"/>
    </row>
    <row r="270" s="621" customFormat="true" ht="39.75" hidden="false" customHeight="true" outlineLevel="0" collapsed="false">
      <c r="A270" s="708" t="s">
        <v>511</v>
      </c>
      <c r="B270" s="709" t="s">
        <v>512</v>
      </c>
      <c r="C270" s="710" t="n">
        <v>5.18</v>
      </c>
      <c r="D270" s="634" t="n">
        <f aca="false">C270-0.301</f>
        <v>4.879</v>
      </c>
      <c r="E270" s="635" t="n">
        <f aca="false">E269+D270</f>
        <v>6697.57299999998</v>
      </c>
      <c r="F270" s="635" t="n">
        <f aca="false">F269-D269</f>
        <v>4846.19599999998</v>
      </c>
      <c r="G270" s="636" t="n">
        <f aca="false">G269-D270</f>
        <v>4841.31699999999</v>
      </c>
      <c r="H270" s="702"/>
      <c r="K270" s="642"/>
    </row>
    <row r="271" s="621" customFormat="true" ht="39.75" hidden="false" customHeight="true" outlineLevel="0" collapsed="false">
      <c r="A271" s="708"/>
      <c r="B271" s="709" t="s">
        <v>513</v>
      </c>
      <c r="C271" s="710" t="n">
        <v>30.88</v>
      </c>
      <c r="D271" s="634" t="n">
        <f aca="false">C271-0.301</f>
        <v>30.579</v>
      </c>
      <c r="E271" s="635" t="n">
        <f aca="false">E270+D271</f>
        <v>6728.15199999998</v>
      </c>
      <c r="F271" s="635" t="n">
        <f aca="false">F270-D270</f>
        <v>4841.31699999999</v>
      </c>
      <c r="G271" s="636" t="n">
        <f aca="false">G270-D271</f>
        <v>4810.73799999999</v>
      </c>
      <c r="H271" s="702"/>
      <c r="K271" s="642"/>
    </row>
    <row r="272" s="621" customFormat="true" ht="39.75" hidden="false" customHeight="true" outlineLevel="0" collapsed="false">
      <c r="A272" s="708"/>
      <c r="B272" s="709" t="s">
        <v>514</v>
      </c>
      <c r="C272" s="710" t="n">
        <v>2.78</v>
      </c>
      <c r="D272" s="634" t="n">
        <f aca="false">C272-0.301</f>
        <v>2.479</v>
      </c>
      <c r="E272" s="635" t="n">
        <f aca="false">E271+D272</f>
        <v>6730.63099999998</v>
      </c>
      <c r="F272" s="635" t="n">
        <f aca="false">F271-D271</f>
        <v>4810.73799999999</v>
      </c>
      <c r="G272" s="636" t="n">
        <f aca="false">G271-D272</f>
        <v>4808.25899999999</v>
      </c>
      <c r="H272" s="702"/>
      <c r="K272" s="642"/>
    </row>
    <row r="273" s="621" customFormat="true" ht="39.75" hidden="false" customHeight="true" outlineLevel="0" collapsed="false">
      <c r="A273" s="632" t="s">
        <v>589</v>
      </c>
      <c r="B273" s="632" t="s">
        <v>380</v>
      </c>
      <c r="C273" s="633" t="n">
        <v>31</v>
      </c>
      <c r="D273" s="634" t="n">
        <f aca="false">C273-0.301</f>
        <v>30.699</v>
      </c>
      <c r="E273" s="635" t="n">
        <f aca="false">E272+D273</f>
        <v>6761.32999999998</v>
      </c>
      <c r="F273" s="635" t="n">
        <f aca="false">F272-D272</f>
        <v>4808.25899999999</v>
      </c>
      <c r="G273" s="636" t="n">
        <f aca="false">G272-D273</f>
        <v>4777.55999999999</v>
      </c>
      <c r="H273" s="702"/>
      <c r="K273" s="642"/>
    </row>
    <row r="274" s="621" customFormat="true" ht="39.75" hidden="false" customHeight="true" outlineLevel="0" collapsed="false">
      <c r="A274" s="632" t="s">
        <v>590</v>
      </c>
      <c r="B274" s="632" t="s">
        <v>380</v>
      </c>
      <c r="C274" s="633" t="n">
        <v>31</v>
      </c>
      <c r="D274" s="634" t="n">
        <f aca="false">C274-0.301</f>
        <v>30.699</v>
      </c>
      <c r="E274" s="635" t="n">
        <f aca="false">E273+D274</f>
        <v>6792.02899999998</v>
      </c>
      <c r="F274" s="635" t="n">
        <f aca="false">F273-D273</f>
        <v>4777.55999999999</v>
      </c>
      <c r="G274" s="636" t="n">
        <f aca="false">G273-D274</f>
        <v>4746.86099999999</v>
      </c>
      <c r="H274" s="711"/>
      <c r="K274" s="642"/>
    </row>
    <row r="275" s="621" customFormat="true" ht="153" hidden="false" customHeight="true" outlineLevel="0" collapsed="false">
      <c r="A275" s="632" t="s">
        <v>591</v>
      </c>
      <c r="B275" s="632" t="s">
        <v>380</v>
      </c>
      <c r="C275" s="633" t="n">
        <v>31</v>
      </c>
      <c r="D275" s="678" t="n">
        <f aca="false">C275-0.301</f>
        <v>30.699</v>
      </c>
      <c r="E275" s="635" t="n">
        <f aca="false">E274+D275</f>
        <v>6822.72799999998</v>
      </c>
      <c r="F275" s="635" t="n">
        <f aca="false">F274-D274</f>
        <v>4746.86099999999</v>
      </c>
      <c r="G275" s="636" t="n">
        <f aca="false">G274-D275</f>
        <v>4716.16199999999</v>
      </c>
      <c r="H275" s="707"/>
    </row>
    <row r="276" s="621" customFormat="true" ht="103.5" hidden="false" customHeight="true" outlineLevel="0" collapsed="false">
      <c r="A276" s="632" t="s">
        <v>592</v>
      </c>
      <c r="B276" s="632" t="s">
        <v>380</v>
      </c>
      <c r="C276" s="633" t="n">
        <v>31</v>
      </c>
      <c r="D276" s="678" t="n">
        <f aca="false">C276</f>
        <v>31</v>
      </c>
      <c r="E276" s="635" t="n">
        <f aca="false">E275+D276</f>
        <v>6853.72799999998</v>
      </c>
      <c r="F276" s="635" t="n">
        <f aca="false">F275-D275</f>
        <v>4716.16199999999</v>
      </c>
      <c r="G276" s="636" t="n">
        <f aca="false">G275-D276</f>
        <v>4685.16199999999</v>
      </c>
      <c r="H276" s="707"/>
    </row>
    <row r="277" s="621" customFormat="true" ht="226.5" hidden="false" customHeight="true" outlineLevel="0" collapsed="false">
      <c r="A277" s="632" t="s">
        <v>593</v>
      </c>
      <c r="B277" s="632" t="s">
        <v>380</v>
      </c>
      <c r="C277" s="633" t="n">
        <v>31</v>
      </c>
      <c r="D277" s="682" t="n">
        <f aca="false">C277</f>
        <v>31</v>
      </c>
      <c r="E277" s="635" t="n">
        <f aca="false">E276+D277</f>
        <v>6884.72799999998</v>
      </c>
      <c r="F277" s="635" t="n">
        <f aca="false">F276-D276</f>
        <v>4685.16199999999</v>
      </c>
      <c r="G277" s="636" t="n">
        <f aca="false">G276-D277</f>
        <v>4654.16199999999</v>
      </c>
      <c r="H277" s="692" t="s">
        <v>683</v>
      </c>
    </row>
    <row r="278" s="621" customFormat="true" ht="176.25" hidden="false" customHeight="true" outlineLevel="0" collapsed="false">
      <c r="A278" s="632" t="s">
        <v>594</v>
      </c>
      <c r="B278" s="632" t="s">
        <v>380</v>
      </c>
      <c r="C278" s="633" t="n">
        <v>31</v>
      </c>
      <c r="D278" s="682" t="n">
        <f aca="false">C278</f>
        <v>31</v>
      </c>
      <c r="E278" s="635" t="n">
        <f aca="false">E277+D278</f>
        <v>6915.72799999998</v>
      </c>
      <c r="F278" s="635" t="n">
        <f aca="false">F277-D277</f>
        <v>4654.16199999999</v>
      </c>
      <c r="G278" s="636" t="n">
        <f aca="false">G277-D278</f>
        <v>4623.16199999999</v>
      </c>
      <c r="H278" s="692"/>
    </row>
    <row r="279" s="621" customFormat="true" ht="162.75" hidden="false" customHeight="true" outlineLevel="0" collapsed="false">
      <c r="A279" s="632" t="s">
        <v>595</v>
      </c>
      <c r="B279" s="632" t="s">
        <v>380</v>
      </c>
      <c r="C279" s="633" t="n">
        <v>31</v>
      </c>
      <c r="D279" s="682" t="n">
        <f aca="false">C279</f>
        <v>31</v>
      </c>
      <c r="E279" s="635" t="n">
        <f aca="false">E278+D279</f>
        <v>6946.72799999998</v>
      </c>
      <c r="F279" s="635" t="n">
        <f aca="false">F278-D278</f>
        <v>4623.16199999999</v>
      </c>
      <c r="G279" s="636" t="n">
        <f aca="false">G278-D279</f>
        <v>4592.16199999999</v>
      </c>
      <c r="H279" s="692"/>
    </row>
    <row r="280" s="621" customFormat="true" ht="39.75" hidden="false" customHeight="true" outlineLevel="0" collapsed="false">
      <c r="A280" s="632" t="s">
        <v>596</v>
      </c>
      <c r="B280" s="632" t="s">
        <v>380</v>
      </c>
      <c r="C280" s="633" t="n">
        <v>31</v>
      </c>
      <c r="D280" s="634" t="n">
        <f aca="false">C280-0.301</f>
        <v>30.699</v>
      </c>
      <c r="E280" s="635" t="n">
        <f aca="false">E279+D280</f>
        <v>6977.42699999998</v>
      </c>
      <c r="F280" s="635" t="n">
        <f aca="false">F279-D279</f>
        <v>4592.16199999999</v>
      </c>
      <c r="G280" s="636" t="n">
        <f aca="false">G279-D280</f>
        <v>4561.46299999999</v>
      </c>
      <c r="H280" s="656" t="s">
        <v>682</v>
      </c>
      <c r="K280" s="642"/>
    </row>
    <row r="281" s="621" customFormat="true" ht="39.75" hidden="false" customHeight="true" outlineLevel="0" collapsed="false">
      <c r="A281" s="632" t="s">
        <v>597</v>
      </c>
      <c r="B281" s="632" t="s">
        <v>380</v>
      </c>
      <c r="C281" s="633" t="n">
        <v>31</v>
      </c>
      <c r="D281" s="634" t="n">
        <f aca="false">C281-0.301</f>
        <v>30.699</v>
      </c>
      <c r="E281" s="635" t="n">
        <f aca="false">E280+D281</f>
        <v>7008.12599999998</v>
      </c>
      <c r="F281" s="635" t="n">
        <f aca="false">F280-D280</f>
        <v>4561.46299999999</v>
      </c>
      <c r="G281" s="636" t="n">
        <f aca="false">G280-D281</f>
        <v>4530.76399999999</v>
      </c>
      <c r="K281" s="642"/>
    </row>
    <row r="282" s="621" customFormat="true" ht="39.75" hidden="false" customHeight="true" outlineLevel="0" collapsed="false">
      <c r="A282" s="632" t="s">
        <v>598</v>
      </c>
      <c r="B282" s="632" t="s">
        <v>380</v>
      </c>
      <c r="C282" s="633" t="n">
        <v>31</v>
      </c>
      <c r="D282" s="634" t="n">
        <f aca="false">C282-0.301</f>
        <v>30.699</v>
      </c>
      <c r="E282" s="635" t="n">
        <f aca="false">E281+D282</f>
        <v>7038.82499999997</v>
      </c>
      <c r="F282" s="635" t="n">
        <f aca="false">F281-D281</f>
        <v>4530.76399999999</v>
      </c>
      <c r="G282" s="636" t="n">
        <f aca="false">G281-D282</f>
        <v>4500.06499999999</v>
      </c>
      <c r="H282" s="657" t="s">
        <v>649</v>
      </c>
      <c r="K282" s="642"/>
    </row>
    <row r="283" s="621" customFormat="true" ht="39.75" hidden="false" customHeight="true" outlineLevel="0" collapsed="false">
      <c r="A283" s="632" t="s">
        <v>599</v>
      </c>
      <c r="B283" s="632" t="s">
        <v>380</v>
      </c>
      <c r="C283" s="633" t="n">
        <v>31</v>
      </c>
      <c r="D283" s="634" t="n">
        <f aca="false">C283-0.301</f>
        <v>30.699</v>
      </c>
      <c r="E283" s="635" t="n">
        <f aca="false">E282+D283</f>
        <v>7069.52399999997</v>
      </c>
      <c r="F283" s="635" t="n">
        <f aca="false">F282-D282</f>
        <v>4500.06499999999</v>
      </c>
      <c r="G283" s="636" t="n">
        <f aca="false">G282-D283</f>
        <v>4469.36599999999</v>
      </c>
      <c r="K283" s="642"/>
    </row>
    <row r="284" s="621" customFormat="true" ht="39.75" hidden="false" customHeight="true" outlineLevel="0" collapsed="false">
      <c r="A284" s="632" t="s">
        <v>602</v>
      </c>
      <c r="B284" s="632" t="s">
        <v>380</v>
      </c>
      <c r="C284" s="633" t="n">
        <v>31</v>
      </c>
      <c r="D284" s="634" t="n">
        <f aca="false">C284-0.301</f>
        <v>30.699</v>
      </c>
      <c r="E284" s="635" t="n">
        <f aca="false">E283+D284</f>
        <v>7100.22299999997</v>
      </c>
      <c r="F284" s="635" t="n">
        <f aca="false">F283-D283</f>
        <v>4469.36599999999</v>
      </c>
      <c r="G284" s="636" t="n">
        <f aca="false">G283-D284</f>
        <v>4438.66699999999</v>
      </c>
      <c r="H284" s="702"/>
      <c r="K284" s="642"/>
    </row>
    <row r="285" s="621" customFormat="true" ht="39.75" hidden="false" customHeight="true" outlineLevel="0" collapsed="false">
      <c r="A285" s="632" t="s">
        <v>603</v>
      </c>
      <c r="B285" s="632" t="s">
        <v>380</v>
      </c>
      <c r="C285" s="633" t="n">
        <v>31</v>
      </c>
      <c r="D285" s="634" t="n">
        <f aca="false">C285-0.301</f>
        <v>30.699</v>
      </c>
      <c r="E285" s="635" t="n">
        <f aca="false">E284+D285</f>
        <v>7130.92199999997</v>
      </c>
      <c r="F285" s="635" t="n">
        <f aca="false">F284-D284</f>
        <v>4438.66699999999</v>
      </c>
      <c r="G285" s="636" t="n">
        <f aca="false">G284-D285</f>
        <v>4407.96799999999</v>
      </c>
      <c r="H285" s="702"/>
      <c r="K285" s="642"/>
    </row>
    <row r="286" s="621" customFormat="true" ht="39.75" hidden="false" customHeight="true" outlineLevel="0" collapsed="false">
      <c r="A286" s="632" t="s">
        <v>604</v>
      </c>
      <c r="B286" s="632" t="s">
        <v>380</v>
      </c>
      <c r="C286" s="633" t="n">
        <v>31</v>
      </c>
      <c r="D286" s="634" t="n">
        <f aca="false">C286-0.301</f>
        <v>30.699</v>
      </c>
      <c r="E286" s="635" t="n">
        <f aca="false">E285+D286</f>
        <v>7161.62099999997</v>
      </c>
      <c r="F286" s="635" t="n">
        <f aca="false">F285-D285</f>
        <v>4407.96799999999</v>
      </c>
      <c r="G286" s="636" t="n">
        <f aca="false">G285-D286</f>
        <v>4377.26899999999</v>
      </c>
      <c r="H286" s="702"/>
      <c r="K286" s="642"/>
    </row>
    <row r="287" s="621" customFormat="true" ht="39.75" hidden="false" customHeight="true" outlineLevel="0" collapsed="false">
      <c r="A287" s="632" t="s">
        <v>605</v>
      </c>
      <c r="B287" s="632" t="s">
        <v>380</v>
      </c>
      <c r="C287" s="633" t="n">
        <v>31</v>
      </c>
      <c r="D287" s="634" t="n">
        <f aca="false">C287-0.301</f>
        <v>30.699</v>
      </c>
      <c r="E287" s="635" t="n">
        <f aca="false">E286+D287</f>
        <v>7192.31999999997</v>
      </c>
      <c r="F287" s="635" t="n">
        <f aca="false">F286-D286</f>
        <v>4377.26899999999</v>
      </c>
      <c r="G287" s="636" t="n">
        <f aca="false">G286-D287</f>
        <v>4346.56999999999</v>
      </c>
      <c r="H287" s="702"/>
      <c r="K287" s="642"/>
    </row>
    <row r="288" s="621" customFormat="true" ht="39.75" hidden="false" customHeight="true" outlineLevel="0" collapsed="false">
      <c r="A288" s="632" t="s">
        <v>606</v>
      </c>
      <c r="B288" s="632" t="s">
        <v>380</v>
      </c>
      <c r="C288" s="633" t="n">
        <v>31</v>
      </c>
      <c r="D288" s="634" t="n">
        <f aca="false">C288-0.301</f>
        <v>30.699</v>
      </c>
      <c r="E288" s="635" t="n">
        <f aca="false">E287+D288</f>
        <v>7223.01899999997</v>
      </c>
      <c r="F288" s="635" t="n">
        <f aca="false">F287-D287</f>
        <v>4346.56999999999</v>
      </c>
      <c r="G288" s="636" t="n">
        <f aca="false">G287-D288</f>
        <v>4315.87099999999</v>
      </c>
      <c r="H288" s="702"/>
      <c r="K288" s="642"/>
    </row>
    <row r="289" s="621" customFormat="true" ht="39.75" hidden="false" customHeight="true" outlineLevel="0" collapsed="false">
      <c r="A289" s="632" t="s">
        <v>607</v>
      </c>
      <c r="B289" s="632" t="s">
        <v>380</v>
      </c>
      <c r="C289" s="633" t="n">
        <v>31</v>
      </c>
      <c r="D289" s="634" t="n">
        <f aca="false">C289-0.301</f>
        <v>30.699</v>
      </c>
      <c r="E289" s="635" t="n">
        <f aca="false">E288+D289</f>
        <v>7253.71799999997</v>
      </c>
      <c r="F289" s="635" t="n">
        <f aca="false">F288-D288</f>
        <v>4315.87099999999</v>
      </c>
      <c r="G289" s="636" t="n">
        <f aca="false">G288-D289</f>
        <v>4285.17199999999</v>
      </c>
      <c r="H289" s="702"/>
      <c r="K289" s="642"/>
    </row>
    <row r="290" s="621" customFormat="true" ht="39.75" hidden="false" customHeight="true" outlineLevel="0" collapsed="false">
      <c r="A290" s="632" t="s">
        <v>608</v>
      </c>
      <c r="B290" s="632" t="s">
        <v>380</v>
      </c>
      <c r="C290" s="633" t="n">
        <v>31</v>
      </c>
      <c r="D290" s="634" t="n">
        <f aca="false">C290-0.301</f>
        <v>30.699</v>
      </c>
      <c r="E290" s="635" t="n">
        <f aca="false">E289+D290</f>
        <v>7284.41699999997</v>
      </c>
      <c r="F290" s="635" t="n">
        <f aca="false">F289-D289</f>
        <v>4285.17199999999</v>
      </c>
      <c r="G290" s="636" t="n">
        <f aca="false">G289-D290</f>
        <v>4254.47299999999</v>
      </c>
      <c r="H290" s="656" t="s">
        <v>682</v>
      </c>
      <c r="K290" s="642"/>
    </row>
    <row r="291" s="621" customFormat="true" ht="39.75" hidden="false" customHeight="true" outlineLevel="0" collapsed="false">
      <c r="A291" s="632" t="s">
        <v>609</v>
      </c>
      <c r="B291" s="632" t="s">
        <v>380</v>
      </c>
      <c r="C291" s="633" t="n">
        <v>31</v>
      </c>
      <c r="D291" s="634" t="n">
        <f aca="false">C291-0.301</f>
        <v>30.699</v>
      </c>
      <c r="E291" s="635" t="n">
        <f aca="false">E290+D291</f>
        <v>7315.11599999997</v>
      </c>
      <c r="F291" s="635" t="n">
        <f aca="false">F290-D290</f>
        <v>4254.47299999999</v>
      </c>
      <c r="G291" s="636" t="n">
        <f aca="false">G290-D291</f>
        <v>4223.77399999999</v>
      </c>
      <c r="K291" s="642"/>
    </row>
    <row r="292" s="621" customFormat="true" ht="39.75" hidden="false" customHeight="true" outlineLevel="0" collapsed="false">
      <c r="A292" s="632" t="s">
        <v>610</v>
      </c>
      <c r="B292" s="632" t="s">
        <v>380</v>
      </c>
      <c r="C292" s="633" t="n">
        <v>31</v>
      </c>
      <c r="D292" s="634" t="n">
        <f aca="false">C292-0.301</f>
        <v>30.699</v>
      </c>
      <c r="E292" s="635" t="n">
        <f aca="false">E291+D292</f>
        <v>7345.81499999997</v>
      </c>
      <c r="F292" s="635" t="n">
        <f aca="false">F291-D291</f>
        <v>4223.77399999999</v>
      </c>
      <c r="G292" s="636" t="n">
        <f aca="false">G291-D292</f>
        <v>4193.07499999999</v>
      </c>
      <c r="H292" s="657" t="s">
        <v>649</v>
      </c>
      <c r="K292" s="642"/>
    </row>
    <row r="293" s="621" customFormat="true" ht="39.75" hidden="false" customHeight="true" outlineLevel="0" collapsed="false">
      <c r="A293" s="632" t="s">
        <v>611</v>
      </c>
      <c r="B293" s="632" t="s">
        <v>380</v>
      </c>
      <c r="C293" s="633" t="n">
        <v>31</v>
      </c>
      <c r="D293" s="634" t="n">
        <f aca="false">C293-0.301</f>
        <v>30.699</v>
      </c>
      <c r="E293" s="635" t="n">
        <f aca="false">E292+D293</f>
        <v>7376.51399999997</v>
      </c>
      <c r="F293" s="635" t="n">
        <f aca="false">F292-D292</f>
        <v>4193.07499999999</v>
      </c>
      <c r="G293" s="636" t="n">
        <f aca="false">G292-D293</f>
        <v>4162.37599999999</v>
      </c>
      <c r="K293" s="642"/>
    </row>
    <row r="294" s="621" customFormat="true" ht="39.75" hidden="false" customHeight="true" outlineLevel="0" collapsed="false">
      <c r="A294" s="632" t="s">
        <v>612</v>
      </c>
      <c r="B294" s="632" t="s">
        <v>380</v>
      </c>
      <c r="C294" s="633" t="n">
        <v>31</v>
      </c>
      <c r="D294" s="634" t="n">
        <f aca="false">C294-0.301</f>
        <v>30.699</v>
      </c>
      <c r="E294" s="635" t="n">
        <f aca="false">E293+D294</f>
        <v>7407.21299999997</v>
      </c>
      <c r="F294" s="635" t="n">
        <f aca="false">F293-D293</f>
        <v>4162.37599999999</v>
      </c>
      <c r="G294" s="636" t="n">
        <f aca="false">G293-D294</f>
        <v>4131.67699999999</v>
      </c>
      <c r="H294" s="702"/>
      <c r="K294" s="642"/>
    </row>
    <row r="295" s="621" customFormat="true" ht="39.75" hidden="false" customHeight="true" outlineLevel="0" collapsed="false">
      <c r="A295" s="632" t="s">
        <v>613</v>
      </c>
      <c r="B295" s="632" t="s">
        <v>380</v>
      </c>
      <c r="C295" s="633" t="n">
        <v>31</v>
      </c>
      <c r="D295" s="634" t="n">
        <f aca="false">C295-0.301</f>
        <v>30.699</v>
      </c>
      <c r="E295" s="635" t="n">
        <f aca="false">E294+D295</f>
        <v>7437.91199999997</v>
      </c>
      <c r="F295" s="635" t="n">
        <f aca="false">F294-D294</f>
        <v>4131.67699999999</v>
      </c>
      <c r="G295" s="636" t="n">
        <f aca="false">G294-D295</f>
        <v>4100.97799999999</v>
      </c>
      <c r="H295" s="702"/>
      <c r="K295" s="642"/>
    </row>
    <row r="296" s="621" customFormat="true" ht="39.75" hidden="false" customHeight="true" outlineLevel="0" collapsed="false">
      <c r="A296" s="632" t="s">
        <v>614</v>
      </c>
      <c r="B296" s="632" t="s">
        <v>380</v>
      </c>
      <c r="C296" s="633" t="n">
        <v>31</v>
      </c>
      <c r="D296" s="634" t="n">
        <f aca="false">C296-0.301</f>
        <v>30.699</v>
      </c>
      <c r="E296" s="635" t="n">
        <f aca="false">E295+D296</f>
        <v>7468.61099999997</v>
      </c>
      <c r="F296" s="635" t="n">
        <f aca="false">F295-D295</f>
        <v>4100.97799999999</v>
      </c>
      <c r="G296" s="636" t="n">
        <f aca="false">G295-D296</f>
        <v>4070.27899999999</v>
      </c>
      <c r="H296" s="702"/>
      <c r="K296" s="642"/>
    </row>
    <row r="297" s="621" customFormat="true" ht="39.75" hidden="false" customHeight="true" outlineLevel="0" collapsed="false">
      <c r="A297" s="632" t="s">
        <v>615</v>
      </c>
      <c r="B297" s="632" t="s">
        <v>380</v>
      </c>
      <c r="C297" s="633" t="n">
        <v>31</v>
      </c>
      <c r="D297" s="634" t="n">
        <f aca="false">C297-0.301</f>
        <v>30.699</v>
      </c>
      <c r="E297" s="635" t="n">
        <f aca="false">E296+D297</f>
        <v>7499.30999999997</v>
      </c>
      <c r="F297" s="635" t="n">
        <f aca="false">F296-D296</f>
        <v>4070.27899999999</v>
      </c>
      <c r="G297" s="636" t="n">
        <f aca="false">G296-D297</f>
        <v>4039.57999999999</v>
      </c>
      <c r="H297" s="702"/>
      <c r="K297" s="642"/>
    </row>
    <row r="298" s="621" customFormat="true" ht="39.75" hidden="false" customHeight="true" outlineLevel="0" collapsed="false">
      <c r="A298" s="632" t="s">
        <v>616</v>
      </c>
      <c r="B298" s="632" t="s">
        <v>380</v>
      </c>
      <c r="C298" s="633" t="n">
        <v>31</v>
      </c>
      <c r="D298" s="634" t="n">
        <f aca="false">C298-0.301</f>
        <v>30.699</v>
      </c>
      <c r="E298" s="635" t="n">
        <f aca="false">E297+D298</f>
        <v>7530.00899999997</v>
      </c>
      <c r="F298" s="635" t="n">
        <f aca="false">F297-D297</f>
        <v>4039.57999999999</v>
      </c>
      <c r="G298" s="636" t="n">
        <f aca="false">G297-D298</f>
        <v>4008.88099999999</v>
      </c>
      <c r="H298" s="702"/>
      <c r="K298" s="642"/>
    </row>
    <row r="299" s="621" customFormat="true" ht="39.75" hidden="false" customHeight="true" outlineLevel="0" collapsed="false">
      <c r="A299" s="632" t="s">
        <v>617</v>
      </c>
      <c r="B299" s="632" t="s">
        <v>380</v>
      </c>
      <c r="C299" s="633" t="n">
        <v>31</v>
      </c>
      <c r="D299" s="634" t="n">
        <f aca="false">C299-0.301</f>
        <v>30.699</v>
      </c>
      <c r="E299" s="635" t="n">
        <f aca="false">E298+D299</f>
        <v>7560.70799999997</v>
      </c>
      <c r="F299" s="635" t="n">
        <f aca="false">F298-D298</f>
        <v>4008.88099999999</v>
      </c>
      <c r="G299" s="636" t="n">
        <f aca="false">G298-D299</f>
        <v>3978.18199999999</v>
      </c>
      <c r="H299" s="702"/>
      <c r="K299" s="642"/>
    </row>
    <row r="300" s="621" customFormat="true" ht="39.75" hidden="false" customHeight="true" outlineLevel="0" collapsed="false">
      <c r="A300" s="632" t="s">
        <v>618</v>
      </c>
      <c r="B300" s="632" t="s">
        <v>380</v>
      </c>
      <c r="C300" s="633" t="n">
        <v>31</v>
      </c>
      <c r="D300" s="634" t="n">
        <f aca="false">C300-0.301</f>
        <v>30.699</v>
      </c>
      <c r="E300" s="635" t="n">
        <f aca="false">E299+D300</f>
        <v>7591.40699999997</v>
      </c>
      <c r="F300" s="635" t="n">
        <f aca="false">F299-D299</f>
        <v>3978.18199999999</v>
      </c>
      <c r="G300" s="636" t="n">
        <f aca="false">G299-D300</f>
        <v>3947.48299999999</v>
      </c>
      <c r="H300" s="656" t="s">
        <v>682</v>
      </c>
      <c r="K300" s="642"/>
    </row>
    <row r="301" s="621" customFormat="true" ht="39.75" hidden="false" customHeight="true" outlineLevel="0" collapsed="false">
      <c r="A301" s="632" t="s">
        <v>619</v>
      </c>
      <c r="B301" s="632" t="s">
        <v>380</v>
      </c>
      <c r="C301" s="633" t="n">
        <v>31</v>
      </c>
      <c r="D301" s="634" t="n">
        <f aca="false">C301-0.301</f>
        <v>30.699</v>
      </c>
      <c r="E301" s="635" t="n">
        <f aca="false">E300+D301</f>
        <v>7622.10599999997</v>
      </c>
      <c r="F301" s="635" t="n">
        <f aca="false">F300-D300</f>
        <v>3947.48299999999</v>
      </c>
      <c r="G301" s="636" t="n">
        <f aca="false">G300-D301</f>
        <v>3916.78399999999</v>
      </c>
      <c r="H301" s="702"/>
      <c r="K301" s="642"/>
    </row>
    <row r="302" s="621" customFormat="true" ht="39.75" hidden="false" customHeight="true" outlineLevel="0" collapsed="false">
      <c r="A302" s="632" t="s">
        <v>620</v>
      </c>
      <c r="B302" s="632" t="s">
        <v>380</v>
      </c>
      <c r="C302" s="633" t="n">
        <v>31</v>
      </c>
      <c r="D302" s="634" t="n">
        <f aca="false">C302-0.301</f>
        <v>30.699</v>
      </c>
      <c r="E302" s="635" t="n">
        <f aca="false">E301+D302</f>
        <v>7652.80499999997</v>
      </c>
      <c r="F302" s="635" t="n">
        <f aca="false">F301-D301</f>
        <v>3916.78399999999</v>
      </c>
      <c r="G302" s="636" t="n">
        <f aca="false">G301-D302</f>
        <v>3886.08499999999</v>
      </c>
      <c r="H302" s="657" t="s">
        <v>649</v>
      </c>
      <c r="K302" s="642"/>
    </row>
    <row r="303" s="621" customFormat="true" ht="39.75" hidden="false" customHeight="true" outlineLevel="0" collapsed="false">
      <c r="A303" s="632" t="s">
        <v>621</v>
      </c>
      <c r="B303" s="632" t="s">
        <v>380</v>
      </c>
      <c r="C303" s="633" t="n">
        <v>31</v>
      </c>
      <c r="D303" s="634" t="n">
        <f aca="false">C303-0.301</f>
        <v>30.699</v>
      </c>
      <c r="E303" s="635" t="n">
        <f aca="false">E302+D303</f>
        <v>7683.50399999997</v>
      </c>
      <c r="F303" s="635" t="n">
        <f aca="false">F302-D302</f>
        <v>3886.08499999999</v>
      </c>
      <c r="G303" s="636" t="n">
        <f aca="false">G302-D303</f>
        <v>3855.38599999999</v>
      </c>
      <c r="K303" s="642"/>
    </row>
    <row r="304" s="621" customFormat="true" ht="39.75" hidden="false" customHeight="true" outlineLevel="0" collapsed="false">
      <c r="A304" s="632" t="s">
        <v>623</v>
      </c>
      <c r="B304" s="632" t="s">
        <v>380</v>
      </c>
      <c r="C304" s="633" t="n">
        <v>31</v>
      </c>
      <c r="D304" s="634" t="n">
        <f aca="false">C304-0.301</f>
        <v>30.699</v>
      </c>
      <c r="E304" s="635" t="n">
        <f aca="false">E303+D304</f>
        <v>7714.20299999997</v>
      </c>
      <c r="F304" s="635" t="n">
        <f aca="false">F303-D303</f>
        <v>3855.38599999999</v>
      </c>
      <c r="G304" s="636" t="n">
        <f aca="false">G303-D304</f>
        <v>3824.68699999999</v>
      </c>
      <c r="H304" s="702"/>
      <c r="K304" s="642"/>
    </row>
    <row r="305" s="621" customFormat="true" ht="39.75" hidden="false" customHeight="true" outlineLevel="0" collapsed="false">
      <c r="A305" s="632" t="s">
        <v>624</v>
      </c>
      <c r="B305" s="632" t="s">
        <v>380</v>
      </c>
      <c r="C305" s="633" t="n">
        <v>31</v>
      </c>
      <c r="D305" s="634" t="n">
        <f aca="false">C305-0.301</f>
        <v>30.699</v>
      </c>
      <c r="E305" s="635" t="n">
        <f aca="false">E304+D305</f>
        <v>7744.90199999997</v>
      </c>
      <c r="F305" s="635" t="n">
        <f aca="false">F304-D304</f>
        <v>3824.68699999999</v>
      </c>
      <c r="G305" s="636" t="n">
        <f aca="false">G304-D305</f>
        <v>3793.98799999999</v>
      </c>
      <c r="H305" s="702"/>
      <c r="K305" s="642"/>
    </row>
    <row r="306" s="621" customFormat="true" ht="39.75" hidden="false" customHeight="true" outlineLevel="0" collapsed="false">
      <c r="A306" s="632" t="s">
        <v>625</v>
      </c>
      <c r="B306" s="632" t="s">
        <v>380</v>
      </c>
      <c r="C306" s="633" t="n">
        <v>31</v>
      </c>
      <c r="D306" s="634" t="n">
        <f aca="false">C306-0.301</f>
        <v>30.699</v>
      </c>
      <c r="E306" s="635" t="n">
        <f aca="false">E305+D306</f>
        <v>7775.60099999997</v>
      </c>
      <c r="F306" s="635" t="n">
        <f aca="false">F305-D305</f>
        <v>3793.98799999999</v>
      </c>
      <c r="G306" s="636" t="n">
        <f aca="false">G305-D306</f>
        <v>3763.28899999999</v>
      </c>
      <c r="H306" s="702"/>
      <c r="K306" s="642"/>
    </row>
    <row r="307" s="621" customFormat="true" ht="39.75" hidden="false" customHeight="true" outlineLevel="0" collapsed="false">
      <c r="A307" s="632" t="s">
        <v>626</v>
      </c>
      <c r="B307" s="632" t="s">
        <v>380</v>
      </c>
      <c r="C307" s="633" t="n">
        <v>31</v>
      </c>
      <c r="D307" s="634" t="n">
        <f aca="false">C307-0.301</f>
        <v>30.699</v>
      </c>
      <c r="E307" s="635" t="n">
        <f aca="false">E306+D307</f>
        <v>7806.29999999997</v>
      </c>
      <c r="F307" s="635" t="n">
        <f aca="false">F306-D306</f>
        <v>3763.28899999999</v>
      </c>
      <c r="G307" s="636" t="n">
        <f aca="false">G306-D307</f>
        <v>3732.58999999999</v>
      </c>
      <c r="H307" s="702"/>
      <c r="K307" s="642"/>
    </row>
    <row r="308" s="621" customFormat="true" ht="39.75" hidden="false" customHeight="true" outlineLevel="0" collapsed="false">
      <c r="A308" s="632" t="s">
        <v>627</v>
      </c>
      <c r="B308" s="632" t="s">
        <v>380</v>
      </c>
      <c r="C308" s="633" t="n">
        <v>31</v>
      </c>
      <c r="D308" s="634" t="n">
        <f aca="false">C308-0.301</f>
        <v>30.699</v>
      </c>
      <c r="E308" s="635" t="n">
        <f aca="false">E307+D308</f>
        <v>7836.99899999996</v>
      </c>
      <c r="F308" s="635" t="n">
        <f aca="false">F307-D307</f>
        <v>3732.58999999999</v>
      </c>
      <c r="G308" s="636" t="n">
        <f aca="false">G307-D308</f>
        <v>3701.89099999999</v>
      </c>
      <c r="H308" s="702"/>
      <c r="K308" s="642"/>
    </row>
    <row r="309" s="621" customFormat="true" ht="39.75" hidden="false" customHeight="true" outlineLevel="0" collapsed="false">
      <c r="A309" s="632" t="s">
        <v>628</v>
      </c>
      <c r="B309" s="632" t="s">
        <v>380</v>
      </c>
      <c r="C309" s="633" t="n">
        <v>31</v>
      </c>
      <c r="D309" s="634" t="n">
        <f aca="false">C309-0.301</f>
        <v>30.699</v>
      </c>
      <c r="E309" s="635" t="n">
        <f aca="false">E308+D309</f>
        <v>7867.69799999996</v>
      </c>
      <c r="F309" s="635" t="n">
        <f aca="false">F308-D308</f>
        <v>3701.89099999999</v>
      </c>
      <c r="G309" s="636" t="n">
        <f aca="false">G308-D309</f>
        <v>3671.19199999999</v>
      </c>
      <c r="H309" s="702"/>
      <c r="K309" s="642"/>
    </row>
    <row r="310" s="621" customFormat="true" ht="39.75" hidden="false" customHeight="true" outlineLevel="0" collapsed="false">
      <c r="A310" s="632" t="s">
        <v>629</v>
      </c>
      <c r="B310" s="632" t="s">
        <v>380</v>
      </c>
      <c r="C310" s="633" t="n">
        <v>31</v>
      </c>
      <c r="D310" s="634" t="n">
        <f aca="false">C310-0.301</f>
        <v>30.699</v>
      </c>
      <c r="E310" s="635" t="n">
        <f aca="false">E309+D310</f>
        <v>7898.39699999996</v>
      </c>
      <c r="F310" s="635" t="n">
        <f aca="false">F309-D309</f>
        <v>3671.19199999999</v>
      </c>
      <c r="G310" s="636" t="n">
        <f aca="false">G309-D310</f>
        <v>3640.49299999999</v>
      </c>
      <c r="H310" s="656" t="s">
        <v>682</v>
      </c>
      <c r="K310" s="642"/>
    </row>
    <row r="311" s="621" customFormat="true" ht="39.75" hidden="false" customHeight="true" outlineLevel="0" collapsed="false">
      <c r="A311" s="632" t="s">
        <v>630</v>
      </c>
      <c r="B311" s="632" t="s">
        <v>380</v>
      </c>
      <c r="C311" s="633" t="n">
        <v>31</v>
      </c>
      <c r="D311" s="634" t="n">
        <f aca="false">C311-0.301</f>
        <v>30.699</v>
      </c>
      <c r="E311" s="635" t="n">
        <f aca="false">E310+D311</f>
        <v>7929.09599999996</v>
      </c>
      <c r="F311" s="635" t="n">
        <f aca="false">F310-D310</f>
        <v>3640.49299999999</v>
      </c>
      <c r="G311" s="636" t="n">
        <f aca="false">G310-D311</f>
        <v>3609.79399999999</v>
      </c>
      <c r="H311" s="702"/>
      <c r="K311" s="642"/>
    </row>
    <row r="312" s="621" customFormat="true" ht="39.75" hidden="false" customHeight="true" outlineLevel="0" collapsed="false">
      <c r="A312" s="632" t="s">
        <v>631</v>
      </c>
      <c r="B312" s="632" t="s">
        <v>380</v>
      </c>
      <c r="C312" s="633" t="n">
        <v>31</v>
      </c>
      <c r="D312" s="634" t="n">
        <f aca="false">C312-0.301</f>
        <v>30.699</v>
      </c>
      <c r="E312" s="635" t="n">
        <f aca="false">E311+D312</f>
        <v>7959.79499999996</v>
      </c>
      <c r="F312" s="635" t="n">
        <f aca="false">F311-D311</f>
        <v>3609.79399999999</v>
      </c>
      <c r="G312" s="636" t="n">
        <f aca="false">G311-D312</f>
        <v>3579.09499999999</v>
      </c>
      <c r="H312" s="657" t="s">
        <v>649</v>
      </c>
      <c r="K312" s="642"/>
    </row>
    <row r="313" s="621" customFormat="true" ht="39.75" hidden="false" customHeight="true" outlineLevel="0" collapsed="false">
      <c r="A313" s="632" t="s">
        <v>632</v>
      </c>
      <c r="B313" s="632" t="s">
        <v>380</v>
      </c>
      <c r="C313" s="633" t="n">
        <v>31</v>
      </c>
      <c r="D313" s="634" t="n">
        <f aca="false">C313-0.301</f>
        <v>30.699</v>
      </c>
      <c r="E313" s="635" t="n">
        <f aca="false">E312+D313</f>
        <v>7990.49399999996</v>
      </c>
      <c r="F313" s="635" t="n">
        <f aca="false">F312-D312</f>
        <v>3579.09499999999</v>
      </c>
      <c r="G313" s="636" t="n">
        <f aca="false">G312-D313</f>
        <v>3548.39599999999</v>
      </c>
      <c r="H313" s="702"/>
      <c r="K313" s="642"/>
    </row>
    <row r="314" s="621" customFormat="true" ht="39.75" hidden="false" customHeight="true" outlineLevel="0" collapsed="false">
      <c r="A314" s="632" t="s">
        <v>633</v>
      </c>
      <c r="B314" s="632" t="s">
        <v>380</v>
      </c>
      <c r="C314" s="633" t="n">
        <v>31</v>
      </c>
      <c r="D314" s="634" t="n">
        <f aca="false">C314-0.301</f>
        <v>30.699</v>
      </c>
      <c r="E314" s="635" t="n">
        <f aca="false">E313+D314</f>
        <v>8021.19299999996</v>
      </c>
      <c r="F314" s="635" t="n">
        <f aca="false">F313-D313</f>
        <v>3548.39599999999</v>
      </c>
      <c r="G314" s="636" t="n">
        <f aca="false">G313-D314</f>
        <v>3517.69699999999</v>
      </c>
      <c r="H314" s="702"/>
      <c r="K314" s="642"/>
    </row>
    <row r="315" s="621" customFormat="true" ht="39.75" hidden="false" customHeight="true" outlineLevel="0" collapsed="false">
      <c r="A315" s="632" t="s">
        <v>634</v>
      </c>
      <c r="B315" s="632" t="s">
        <v>380</v>
      </c>
      <c r="C315" s="633" t="n">
        <v>31</v>
      </c>
      <c r="D315" s="634" t="n">
        <f aca="false">C315-0.301</f>
        <v>30.699</v>
      </c>
      <c r="E315" s="635" t="n">
        <f aca="false">E314+D315</f>
        <v>8051.89199999996</v>
      </c>
      <c r="F315" s="635" t="n">
        <f aca="false">F314-D314</f>
        <v>3517.69699999999</v>
      </c>
      <c r="G315" s="636" t="n">
        <f aca="false">G314-D315</f>
        <v>3486.99799999999</v>
      </c>
      <c r="H315" s="702"/>
      <c r="K315" s="642"/>
    </row>
    <row r="316" s="621" customFormat="true" ht="39.75" hidden="false" customHeight="true" outlineLevel="0" collapsed="false">
      <c r="A316" s="632" t="s">
        <v>635</v>
      </c>
      <c r="B316" s="632" t="s">
        <v>380</v>
      </c>
      <c r="C316" s="633" t="n">
        <v>31</v>
      </c>
      <c r="D316" s="634" t="n">
        <f aca="false">C316-0.301</f>
        <v>30.699</v>
      </c>
      <c r="E316" s="635" t="n">
        <f aca="false">E315+D316</f>
        <v>8082.59099999996</v>
      </c>
      <c r="F316" s="635" t="n">
        <f aca="false">F315-D315</f>
        <v>3486.99799999999</v>
      </c>
      <c r="G316" s="636" t="n">
        <f aca="false">G315-D316</f>
        <v>3456.29899999999</v>
      </c>
      <c r="H316" s="702"/>
      <c r="K316" s="642"/>
    </row>
    <row r="317" s="621" customFormat="true" ht="39.75" hidden="false" customHeight="true" outlineLevel="0" collapsed="false">
      <c r="A317" s="632" t="s">
        <v>636</v>
      </c>
      <c r="B317" s="632" t="s">
        <v>380</v>
      </c>
      <c r="C317" s="633" t="n">
        <v>31</v>
      </c>
      <c r="D317" s="634" t="n">
        <f aca="false">C317-0.301</f>
        <v>30.699</v>
      </c>
      <c r="E317" s="635" t="n">
        <f aca="false">E316+D317</f>
        <v>8113.28999999996</v>
      </c>
      <c r="F317" s="635" t="n">
        <f aca="false">F316-D316</f>
        <v>3456.29899999999</v>
      </c>
      <c r="G317" s="636" t="n">
        <f aca="false">G316-D317</f>
        <v>3425.59999999999</v>
      </c>
      <c r="H317" s="702"/>
      <c r="K317" s="642"/>
    </row>
    <row r="318" s="621" customFormat="true" ht="39.75" hidden="false" customHeight="true" outlineLevel="0" collapsed="false">
      <c r="A318" s="632" t="s">
        <v>637</v>
      </c>
      <c r="B318" s="632" t="s">
        <v>380</v>
      </c>
      <c r="C318" s="633" t="n">
        <v>31</v>
      </c>
      <c r="D318" s="634" t="n">
        <f aca="false">C318-0.301</f>
        <v>30.699</v>
      </c>
      <c r="E318" s="635" t="n">
        <f aca="false">E317+D318</f>
        <v>8143.98899999996</v>
      </c>
      <c r="F318" s="635" t="n">
        <f aca="false">F317-D317</f>
        <v>3425.59999999999</v>
      </c>
      <c r="G318" s="636" t="n">
        <f aca="false">G317-D318</f>
        <v>3394.90099999999</v>
      </c>
      <c r="H318" s="702"/>
      <c r="K318" s="642"/>
    </row>
    <row r="319" s="621" customFormat="true" ht="39.75" hidden="false" customHeight="true" outlineLevel="0" collapsed="false">
      <c r="A319" s="632" t="s">
        <v>638</v>
      </c>
      <c r="B319" s="632" t="s">
        <v>380</v>
      </c>
      <c r="C319" s="633" t="n">
        <v>31</v>
      </c>
      <c r="D319" s="634" t="n">
        <f aca="false">C319-0.301</f>
        <v>30.699</v>
      </c>
      <c r="E319" s="635" t="n">
        <f aca="false">E318+D319</f>
        <v>8174.68799999996</v>
      </c>
      <c r="F319" s="635" t="n">
        <f aca="false">F318-D318</f>
        <v>3394.90099999999</v>
      </c>
      <c r="G319" s="636" t="n">
        <f aca="false">G318-D319</f>
        <v>3364.20199999999</v>
      </c>
      <c r="H319" s="702"/>
      <c r="K319" s="642"/>
    </row>
    <row r="320" s="621" customFormat="true" ht="39.75" hidden="false" customHeight="true" outlineLevel="0" collapsed="false">
      <c r="A320" s="632" t="s">
        <v>639</v>
      </c>
      <c r="B320" s="632" t="s">
        <v>380</v>
      </c>
      <c r="C320" s="633" t="n">
        <v>31</v>
      </c>
      <c r="D320" s="670" t="n">
        <f aca="false">C320-0.301</f>
        <v>30.699</v>
      </c>
      <c r="E320" s="635" t="n">
        <f aca="false">E319+D320</f>
        <v>8205.38699999996</v>
      </c>
      <c r="F320" s="635" t="n">
        <f aca="false">F319-D319</f>
        <v>3364.20199999999</v>
      </c>
      <c r="G320" s="636" t="n">
        <f aca="false">G319-D320</f>
        <v>3333.50299999999</v>
      </c>
      <c r="H320" s="712" t="s">
        <v>682</v>
      </c>
      <c r="K320" s="642"/>
    </row>
    <row r="321" s="621" customFormat="true" ht="39.75" hidden="false" customHeight="true" outlineLevel="0" collapsed="false">
      <c r="A321" s="632" t="s">
        <v>640</v>
      </c>
      <c r="B321" s="632" t="s">
        <v>380</v>
      </c>
      <c r="C321" s="633" t="n">
        <v>31</v>
      </c>
      <c r="D321" s="634" t="n">
        <f aca="false">C321-0.301</f>
        <v>30.699</v>
      </c>
      <c r="E321" s="635" t="n">
        <f aca="false">E320+D321</f>
        <v>8236.08599999996</v>
      </c>
      <c r="F321" s="635" t="n">
        <f aca="false">F320-D320</f>
        <v>3333.50299999999</v>
      </c>
      <c r="G321" s="636" t="n">
        <f aca="false">G320-D321</f>
        <v>3302.80399999999</v>
      </c>
      <c r="H321" s="656"/>
      <c r="K321" s="642"/>
    </row>
    <row r="322" s="621" customFormat="true" ht="39.75" hidden="false" customHeight="true" outlineLevel="0" collapsed="false">
      <c r="A322" s="632" t="s">
        <v>641</v>
      </c>
      <c r="B322" s="632" t="s">
        <v>380</v>
      </c>
      <c r="C322" s="633" t="n">
        <v>31</v>
      </c>
      <c r="D322" s="634" t="n">
        <f aca="false">C322-0.301</f>
        <v>30.699</v>
      </c>
      <c r="E322" s="635" t="n">
        <f aca="false">E321+D322</f>
        <v>8266.78499999996</v>
      </c>
      <c r="F322" s="635" t="n">
        <f aca="false">F321-D321</f>
        <v>3302.80399999999</v>
      </c>
      <c r="G322" s="636" t="n">
        <f aca="false">G321-D322</f>
        <v>3272.10499999999</v>
      </c>
      <c r="H322" s="657" t="s">
        <v>649</v>
      </c>
      <c r="K322" s="642"/>
    </row>
    <row r="323" s="621" customFormat="true" ht="39.75" hidden="false" customHeight="true" outlineLevel="0" collapsed="false">
      <c r="A323" s="632" t="s">
        <v>642</v>
      </c>
      <c r="B323" s="632" t="s">
        <v>380</v>
      </c>
      <c r="C323" s="633" t="n">
        <v>31</v>
      </c>
      <c r="D323" s="634" t="n">
        <f aca="false">C323-0.301</f>
        <v>30.699</v>
      </c>
      <c r="E323" s="635" t="n">
        <f aca="false">E322+D323</f>
        <v>8297.48399999996</v>
      </c>
      <c r="F323" s="635" t="n">
        <f aca="false">F322-D322</f>
        <v>3272.10499999999</v>
      </c>
      <c r="G323" s="636" t="n">
        <f aca="false">G322-D323</f>
        <v>3241.40599999999</v>
      </c>
      <c r="H323" s="702"/>
      <c r="K323" s="642"/>
    </row>
    <row r="324" s="621" customFormat="true" ht="39.75" hidden="false" customHeight="true" outlineLevel="0" collapsed="false">
      <c r="A324" s="632" t="s">
        <v>645</v>
      </c>
      <c r="B324" s="632" t="s">
        <v>380</v>
      </c>
      <c r="C324" s="633" t="n">
        <v>31</v>
      </c>
      <c r="D324" s="634" t="n">
        <f aca="false">C324-0.301</f>
        <v>30.699</v>
      </c>
      <c r="E324" s="635" t="n">
        <f aca="false">E323+D324</f>
        <v>8328.18299999996</v>
      </c>
      <c r="F324" s="635" t="n">
        <f aca="false">F323-D323</f>
        <v>3241.40599999999</v>
      </c>
      <c r="G324" s="636" t="n">
        <f aca="false">G323-D324</f>
        <v>3210.70699999999</v>
      </c>
      <c r="K324" s="642"/>
    </row>
    <row r="325" s="621" customFormat="true" ht="39.75" hidden="false" customHeight="true" outlineLevel="0" collapsed="false">
      <c r="A325" s="632" t="s">
        <v>646</v>
      </c>
      <c r="B325" s="632" t="s">
        <v>380</v>
      </c>
      <c r="C325" s="633" t="n">
        <v>31</v>
      </c>
      <c r="D325" s="634" t="n">
        <f aca="false">C325-0.301</f>
        <v>30.699</v>
      </c>
      <c r="E325" s="635" t="n">
        <f aca="false">E324+D325</f>
        <v>8358.88199999996</v>
      </c>
      <c r="F325" s="635" t="n">
        <f aca="false">F324-D324</f>
        <v>3210.70699999999</v>
      </c>
      <c r="G325" s="636" t="n">
        <f aca="false">G324-D325</f>
        <v>3180.00799999999</v>
      </c>
      <c r="H325" s="702"/>
      <c r="K325" s="642"/>
    </row>
    <row r="326" s="621" customFormat="true" ht="39.75" hidden="false" customHeight="true" outlineLevel="0" collapsed="false">
      <c r="A326" s="632" t="s">
        <v>647</v>
      </c>
      <c r="B326" s="632" t="s">
        <v>380</v>
      </c>
      <c r="C326" s="633" t="n">
        <v>31</v>
      </c>
      <c r="D326" s="634" t="n">
        <f aca="false">C326-0.301</f>
        <v>30.699</v>
      </c>
      <c r="E326" s="635" t="n">
        <f aca="false">E325+D326</f>
        <v>8389.58099999996</v>
      </c>
      <c r="F326" s="635" t="n">
        <f aca="false">F325-D325</f>
        <v>3180.00799999999</v>
      </c>
      <c r="G326" s="636" t="n">
        <f aca="false">G325-D326</f>
        <v>3149.30899999999</v>
      </c>
      <c r="H326" s="702"/>
      <c r="K326" s="642"/>
    </row>
    <row r="327" s="621" customFormat="true" ht="39.75" hidden="false" customHeight="true" outlineLevel="0" collapsed="false">
      <c r="A327" s="632" t="s">
        <v>648</v>
      </c>
      <c r="B327" s="632" t="s">
        <v>380</v>
      </c>
      <c r="C327" s="633" t="n">
        <v>31</v>
      </c>
      <c r="D327" s="634" t="n">
        <f aca="false">C327-0.301</f>
        <v>30.699</v>
      </c>
      <c r="E327" s="635" t="n">
        <f aca="false">E326+D327</f>
        <v>8420.27999999996</v>
      </c>
      <c r="F327" s="635" t="n">
        <f aca="false">F326-D326</f>
        <v>3149.30899999999</v>
      </c>
      <c r="G327" s="636" t="n">
        <f aca="false">G326-D327</f>
        <v>3118.60999999999</v>
      </c>
      <c r="H327" s="702"/>
      <c r="K327" s="642"/>
    </row>
    <row r="328" s="621" customFormat="true" ht="39.75" hidden="false" customHeight="true" outlineLevel="0" collapsed="false">
      <c r="A328" s="632" t="s">
        <v>650</v>
      </c>
      <c r="B328" s="632" t="s">
        <v>380</v>
      </c>
      <c r="C328" s="633" t="n">
        <v>31</v>
      </c>
      <c r="D328" s="634" t="n">
        <f aca="false">C328-0.301</f>
        <v>30.699</v>
      </c>
      <c r="E328" s="635" t="n">
        <f aca="false">E327+D328</f>
        <v>8450.97899999997</v>
      </c>
      <c r="F328" s="635" t="n">
        <f aca="false">F327-D327</f>
        <v>3118.60999999999</v>
      </c>
      <c r="G328" s="636" t="n">
        <f aca="false">G327-D328</f>
        <v>3087.91099999999</v>
      </c>
      <c r="H328" s="702"/>
      <c r="K328" s="642"/>
    </row>
    <row r="329" s="621" customFormat="true" ht="108" hidden="false" customHeight="true" outlineLevel="0" collapsed="false">
      <c r="A329" s="632" t="s">
        <v>651</v>
      </c>
      <c r="B329" s="632" t="s">
        <v>380</v>
      </c>
      <c r="C329" s="633" t="n">
        <v>31</v>
      </c>
      <c r="D329" s="678" t="n">
        <f aca="false">C329-0.301</f>
        <v>30.699</v>
      </c>
      <c r="E329" s="635" t="n">
        <f aca="false">E328+D329</f>
        <v>8481.67799999997</v>
      </c>
      <c r="F329" s="635" t="n">
        <f aca="false">F328-D328</f>
        <v>3087.91099999999</v>
      </c>
      <c r="G329" s="636" t="n">
        <f aca="false">G328-D329</f>
        <v>3057.21199999999</v>
      </c>
      <c r="H329" s="707"/>
    </row>
    <row r="330" s="621" customFormat="true" ht="103.5" hidden="false" customHeight="true" outlineLevel="0" collapsed="false">
      <c r="A330" s="632" t="s">
        <v>652</v>
      </c>
      <c r="B330" s="632" t="s">
        <v>380</v>
      </c>
      <c r="C330" s="633" t="n">
        <v>31</v>
      </c>
      <c r="D330" s="678" t="n">
        <f aca="false">C330</f>
        <v>31</v>
      </c>
      <c r="E330" s="635" t="n">
        <f aca="false">E329+D330</f>
        <v>8512.67799999997</v>
      </c>
      <c r="F330" s="635" t="n">
        <f aca="false">F329-D329</f>
        <v>3057.21199999999</v>
      </c>
      <c r="G330" s="636" t="n">
        <f aca="false">G329-D330</f>
        <v>3026.21199999999</v>
      </c>
      <c r="H330" s="707"/>
    </row>
    <row r="331" s="621" customFormat="true" ht="226.5" hidden="false" customHeight="true" outlineLevel="0" collapsed="false">
      <c r="A331" s="632" t="s">
        <v>653</v>
      </c>
      <c r="B331" s="632" t="s">
        <v>380</v>
      </c>
      <c r="C331" s="633" t="n">
        <v>31</v>
      </c>
      <c r="D331" s="682" t="n">
        <f aca="false">C331</f>
        <v>31</v>
      </c>
      <c r="E331" s="635" t="n">
        <f aca="false">E330+D331</f>
        <v>8543.67799999997</v>
      </c>
      <c r="F331" s="635" t="n">
        <f aca="false">F330-D330</f>
        <v>3026.21199999999</v>
      </c>
      <c r="G331" s="636" t="n">
        <f aca="false">G330-D331</f>
        <v>2995.21199999999</v>
      </c>
      <c r="H331" s="692" t="s">
        <v>684</v>
      </c>
    </row>
    <row r="332" s="621" customFormat="true" ht="131.25" hidden="false" customHeight="true" outlineLevel="0" collapsed="false">
      <c r="A332" s="632" t="s">
        <v>654</v>
      </c>
      <c r="B332" s="632" t="s">
        <v>380</v>
      </c>
      <c r="C332" s="633" t="n">
        <v>31</v>
      </c>
      <c r="D332" s="682" t="n">
        <f aca="false">C332</f>
        <v>31</v>
      </c>
      <c r="E332" s="635" t="n">
        <f aca="false">E331+D332</f>
        <v>8574.67799999997</v>
      </c>
      <c r="F332" s="635" t="n">
        <f aca="false">F331-D331</f>
        <v>2995.21199999999</v>
      </c>
      <c r="G332" s="636" t="n">
        <f aca="false">G331-D332</f>
        <v>2964.21199999999</v>
      </c>
      <c r="H332" s="692"/>
    </row>
    <row r="333" s="621" customFormat="true" ht="131.25" hidden="false" customHeight="true" outlineLevel="0" collapsed="false">
      <c r="A333" s="632" t="s">
        <v>656</v>
      </c>
      <c r="B333" s="632" t="s">
        <v>380</v>
      </c>
      <c r="C333" s="633" t="n">
        <v>31</v>
      </c>
      <c r="D333" s="682" t="n">
        <f aca="false">C333</f>
        <v>31</v>
      </c>
      <c r="E333" s="635" t="n">
        <f aca="false">E332+D333</f>
        <v>8605.67799999997</v>
      </c>
      <c r="F333" s="635" t="n">
        <f aca="false">F332-D332</f>
        <v>2964.21199999999</v>
      </c>
      <c r="G333" s="636" t="n">
        <f aca="false">G332-D333</f>
        <v>2933.21199999999</v>
      </c>
      <c r="H333" s="692"/>
    </row>
    <row r="334" s="621" customFormat="true" ht="39.75" hidden="false" customHeight="true" outlineLevel="0" collapsed="false">
      <c r="A334" s="632" t="s">
        <v>657</v>
      </c>
      <c r="B334" s="632" t="s">
        <v>380</v>
      </c>
      <c r="C334" s="633" t="n">
        <v>31</v>
      </c>
      <c r="D334" s="634" t="n">
        <f aca="false">C334-0.301</f>
        <v>30.699</v>
      </c>
      <c r="E334" s="635" t="n">
        <f aca="false">E333+D334</f>
        <v>8636.37699999997</v>
      </c>
      <c r="F334" s="635" t="n">
        <f aca="false">F333-D333</f>
        <v>2933.21199999999</v>
      </c>
      <c r="G334" s="636" t="n">
        <f aca="false">G333-D334</f>
        <v>2902.51299999999</v>
      </c>
      <c r="H334" s="702"/>
      <c r="K334" s="642"/>
    </row>
    <row r="335" s="621" customFormat="true" ht="39.75" hidden="false" customHeight="true" outlineLevel="0" collapsed="false">
      <c r="A335" s="632" t="s">
        <v>658</v>
      </c>
      <c r="B335" s="632" t="s">
        <v>380</v>
      </c>
      <c r="C335" s="633" t="n">
        <v>31</v>
      </c>
      <c r="D335" s="634" t="n">
        <f aca="false">C335-0.301</f>
        <v>30.699</v>
      </c>
      <c r="E335" s="635" t="n">
        <f aca="false">E334+D335</f>
        <v>8667.07599999997</v>
      </c>
      <c r="F335" s="635" t="n">
        <f aca="false">F334-D334</f>
        <v>2902.51299999999</v>
      </c>
      <c r="G335" s="636" t="n">
        <f aca="false">G334-D335</f>
        <v>2871.81399999999</v>
      </c>
      <c r="H335" s="702"/>
      <c r="K335" s="642"/>
    </row>
    <row r="336" s="621" customFormat="true" ht="39.75" hidden="false" customHeight="true" outlineLevel="0" collapsed="false">
      <c r="A336" s="632" t="s">
        <v>659</v>
      </c>
      <c r="B336" s="632" t="s">
        <v>380</v>
      </c>
      <c r="C336" s="633" t="n">
        <v>31</v>
      </c>
      <c r="D336" s="634" t="n">
        <f aca="false">C336-0.301</f>
        <v>30.699</v>
      </c>
      <c r="E336" s="635" t="n">
        <f aca="false">E335+D336</f>
        <v>8697.77499999997</v>
      </c>
      <c r="F336" s="635" t="n">
        <f aca="false">F335-D335</f>
        <v>2871.81399999999</v>
      </c>
      <c r="G336" s="636" t="n">
        <f aca="false">G335-D336</f>
        <v>2841.11499999999</v>
      </c>
      <c r="H336" s="656" t="s">
        <v>682</v>
      </c>
      <c r="K336" s="642"/>
    </row>
    <row r="337" s="621" customFormat="true" ht="39.75" hidden="false" customHeight="true" outlineLevel="0" collapsed="false">
      <c r="A337" s="632" t="s">
        <v>660</v>
      </c>
      <c r="B337" s="632" t="s">
        <v>380</v>
      </c>
      <c r="C337" s="633" t="n">
        <v>31</v>
      </c>
      <c r="D337" s="634" t="n">
        <f aca="false">C337-0.301</f>
        <v>30.699</v>
      </c>
      <c r="E337" s="635" t="n">
        <f aca="false">E336+D337</f>
        <v>8728.47399999997</v>
      </c>
      <c r="F337" s="635" t="n">
        <f aca="false">F336-D336</f>
        <v>2841.11499999999</v>
      </c>
      <c r="G337" s="636" t="n">
        <f aca="false">G336-D337</f>
        <v>2810.41599999999</v>
      </c>
      <c r="H337" s="657" t="s">
        <v>649</v>
      </c>
      <c r="K337" s="642"/>
    </row>
    <row r="338" s="621" customFormat="true" ht="39.75" hidden="false" customHeight="true" outlineLevel="0" collapsed="false">
      <c r="A338" s="632" t="s">
        <v>661</v>
      </c>
      <c r="B338" s="632" t="s">
        <v>380</v>
      </c>
      <c r="C338" s="633" t="n">
        <v>31</v>
      </c>
      <c r="D338" s="634" t="n">
        <f aca="false">C338-0.301</f>
        <v>30.699</v>
      </c>
      <c r="E338" s="635" t="n">
        <f aca="false">E337+D338</f>
        <v>8759.17299999997</v>
      </c>
      <c r="F338" s="635" t="n">
        <f aca="false">F337-D337</f>
        <v>2810.41599999999</v>
      </c>
      <c r="G338" s="636" t="n">
        <f aca="false">G337-D338</f>
        <v>2779.71699999999</v>
      </c>
      <c r="H338" s="702"/>
      <c r="K338" s="642"/>
    </row>
    <row r="339" s="621" customFormat="true" ht="39.75" hidden="false" customHeight="true" outlineLevel="0" collapsed="false">
      <c r="A339" s="632" t="s">
        <v>662</v>
      </c>
      <c r="B339" s="632" t="s">
        <v>380</v>
      </c>
      <c r="C339" s="633" t="n">
        <v>31</v>
      </c>
      <c r="D339" s="634" t="n">
        <f aca="false">C339-0.301</f>
        <v>30.699</v>
      </c>
      <c r="E339" s="635" t="n">
        <f aca="false">E338+D339</f>
        <v>8789.87199999997</v>
      </c>
      <c r="F339" s="635" t="n">
        <f aca="false">F338-D338</f>
        <v>2779.71699999999</v>
      </c>
      <c r="G339" s="636" t="n">
        <f aca="false">G338-D339</f>
        <v>2749.01799999999</v>
      </c>
      <c r="K339" s="642"/>
    </row>
    <row r="340" s="621" customFormat="true" ht="39.75" hidden="false" customHeight="true" outlineLevel="0" collapsed="false">
      <c r="A340" s="632" t="s">
        <v>663</v>
      </c>
      <c r="B340" s="632" t="s">
        <v>380</v>
      </c>
      <c r="C340" s="633" t="n">
        <v>31</v>
      </c>
      <c r="D340" s="634" t="n">
        <f aca="false">C340-0.301</f>
        <v>30.699</v>
      </c>
      <c r="E340" s="635" t="n">
        <f aca="false">E339+D340</f>
        <v>8820.57099999997</v>
      </c>
      <c r="F340" s="635" t="n">
        <f aca="false">F339-D339</f>
        <v>2749.01799999999</v>
      </c>
      <c r="G340" s="636" t="n">
        <f aca="false">G339-D340</f>
        <v>2718.31899999999</v>
      </c>
      <c r="H340" s="702"/>
      <c r="K340" s="642"/>
    </row>
    <row r="341" s="621" customFormat="true" ht="39.75" hidden="false" customHeight="true" outlineLevel="0" collapsed="false">
      <c r="A341" s="632" t="s">
        <v>664</v>
      </c>
      <c r="B341" s="632" t="s">
        <v>380</v>
      </c>
      <c r="C341" s="633" t="n">
        <v>31</v>
      </c>
      <c r="D341" s="634" t="n">
        <f aca="false">C341-0.301</f>
        <v>30.699</v>
      </c>
      <c r="E341" s="635" t="n">
        <f aca="false">E340+D341</f>
        <v>8851.26999999997</v>
      </c>
      <c r="F341" s="635" t="n">
        <f aca="false">F340-D340</f>
        <v>2718.31899999999</v>
      </c>
      <c r="G341" s="636" t="n">
        <f aca="false">G340-D341</f>
        <v>2687.61999999999</v>
      </c>
      <c r="H341" s="702"/>
      <c r="K341" s="642"/>
    </row>
    <row r="342" s="621" customFormat="true" ht="39.75" hidden="false" customHeight="true" outlineLevel="0" collapsed="false">
      <c r="A342" s="632" t="s">
        <v>665</v>
      </c>
      <c r="B342" s="632" t="s">
        <v>380</v>
      </c>
      <c r="C342" s="633" t="n">
        <v>31</v>
      </c>
      <c r="D342" s="634" t="n">
        <f aca="false">C342-0.301</f>
        <v>30.699</v>
      </c>
      <c r="E342" s="635" t="n">
        <f aca="false">E341+D342</f>
        <v>8881.96899999997</v>
      </c>
      <c r="F342" s="635" t="n">
        <f aca="false">F341-D341</f>
        <v>2687.61999999999</v>
      </c>
      <c r="G342" s="636" t="n">
        <f aca="false">G341-D342</f>
        <v>2656.92099999999</v>
      </c>
      <c r="H342" s="702"/>
      <c r="K342" s="642"/>
    </row>
    <row r="343" s="621" customFormat="true" ht="39.75" hidden="false" customHeight="true" outlineLevel="0" collapsed="false">
      <c r="A343" s="632" t="s">
        <v>666</v>
      </c>
      <c r="B343" s="632" t="s">
        <v>380</v>
      </c>
      <c r="C343" s="633" t="n">
        <v>31</v>
      </c>
      <c r="D343" s="634" t="n">
        <f aca="false">C343-0.301</f>
        <v>30.699</v>
      </c>
      <c r="E343" s="635" t="n">
        <f aca="false">E342+D343</f>
        <v>8912.66799999997</v>
      </c>
      <c r="F343" s="635" t="n">
        <f aca="false">F342-D342</f>
        <v>2656.92099999999</v>
      </c>
      <c r="G343" s="636" t="n">
        <f aca="false">G342-D343</f>
        <v>2626.22199999999</v>
      </c>
      <c r="H343" s="702"/>
      <c r="K343" s="642"/>
    </row>
    <row r="344" s="621" customFormat="true" ht="39.75" hidden="false" customHeight="true" outlineLevel="0" collapsed="false">
      <c r="A344" s="632" t="s">
        <v>670</v>
      </c>
      <c r="B344" s="632" t="s">
        <v>380</v>
      </c>
      <c r="C344" s="633" t="n">
        <v>31</v>
      </c>
      <c r="D344" s="634" t="n">
        <f aca="false">C344-0.301</f>
        <v>30.699</v>
      </c>
      <c r="E344" s="635" t="n">
        <f aca="false">E343+D344</f>
        <v>8943.36699999997</v>
      </c>
      <c r="F344" s="635" t="n">
        <f aca="false">F343-D343</f>
        <v>2626.22199999999</v>
      </c>
      <c r="G344" s="636" t="n">
        <f aca="false">G343-D344</f>
        <v>2595.52299999999</v>
      </c>
      <c r="H344" s="702"/>
      <c r="K344" s="642"/>
    </row>
    <row r="345" s="621" customFormat="true" ht="39.75" hidden="false" customHeight="true" outlineLevel="0" collapsed="false">
      <c r="A345" s="632" t="s">
        <v>671</v>
      </c>
      <c r="B345" s="632" t="s">
        <v>380</v>
      </c>
      <c r="C345" s="633" t="n">
        <v>31</v>
      </c>
      <c r="D345" s="634" t="n">
        <f aca="false">C345-0.301</f>
        <v>30.699</v>
      </c>
      <c r="E345" s="635" t="n">
        <f aca="false">E344+D345</f>
        <v>8974.06599999997</v>
      </c>
      <c r="F345" s="635" t="n">
        <f aca="false">F344-D344</f>
        <v>2595.52299999999</v>
      </c>
      <c r="G345" s="636" t="n">
        <f aca="false">G344-D345</f>
        <v>2564.82399999999</v>
      </c>
      <c r="H345" s="711"/>
      <c r="K345" s="642"/>
    </row>
    <row r="346" s="621" customFormat="true" ht="39.75" hidden="false" customHeight="true" outlineLevel="0" collapsed="false">
      <c r="A346" s="632" t="s">
        <v>672</v>
      </c>
      <c r="B346" s="632" t="s">
        <v>380</v>
      </c>
      <c r="C346" s="633" t="n">
        <v>31</v>
      </c>
      <c r="D346" s="634" t="n">
        <f aca="false">C346-0.301</f>
        <v>30.699</v>
      </c>
      <c r="E346" s="635" t="n">
        <f aca="false">E345+D346</f>
        <v>9004.76499999997</v>
      </c>
      <c r="F346" s="635" t="n">
        <f aca="false">F345-D345</f>
        <v>2564.82399999999</v>
      </c>
      <c r="G346" s="636" t="n">
        <f aca="false">G345-D346</f>
        <v>2534.12499999999</v>
      </c>
      <c r="H346" s="656" t="s">
        <v>682</v>
      </c>
      <c r="K346" s="642"/>
    </row>
    <row r="347" s="621" customFormat="true" ht="39.75" hidden="false" customHeight="true" outlineLevel="0" collapsed="false">
      <c r="A347" s="632" t="s">
        <v>673</v>
      </c>
      <c r="B347" s="632" t="s">
        <v>380</v>
      </c>
      <c r="C347" s="633" t="n">
        <v>31</v>
      </c>
      <c r="D347" s="634" t="n">
        <f aca="false">C347-0.301</f>
        <v>30.699</v>
      </c>
      <c r="E347" s="635" t="n">
        <f aca="false">E346+D347</f>
        <v>9035.46399999997</v>
      </c>
      <c r="F347" s="635" t="n">
        <f aca="false">F346-D346</f>
        <v>2534.12499999999</v>
      </c>
      <c r="G347" s="636" t="n">
        <f aca="false">G346-D347</f>
        <v>2503.42599999999</v>
      </c>
      <c r="H347" s="657" t="s">
        <v>649</v>
      </c>
      <c r="K347" s="642"/>
    </row>
    <row r="348" s="621" customFormat="true" ht="39.75" hidden="false" customHeight="true" outlineLevel="0" collapsed="false">
      <c r="A348" s="632" t="s">
        <v>674</v>
      </c>
      <c r="B348" s="632" t="s">
        <v>380</v>
      </c>
      <c r="C348" s="633" t="n">
        <v>31</v>
      </c>
      <c r="D348" s="634" t="n">
        <f aca="false">C348-0.301</f>
        <v>30.699</v>
      </c>
      <c r="E348" s="635" t="n">
        <f aca="false">E347+D348</f>
        <v>9066.16299999997</v>
      </c>
      <c r="F348" s="635" t="n">
        <f aca="false">F347-D347</f>
        <v>2503.42599999999</v>
      </c>
      <c r="G348" s="636" t="n">
        <f aca="false">G347-D348</f>
        <v>2472.72699999999</v>
      </c>
      <c r="H348" s="702"/>
      <c r="K348" s="642"/>
    </row>
    <row r="349" s="621" customFormat="true" ht="39.75" hidden="false" customHeight="true" outlineLevel="0" collapsed="false">
      <c r="A349" s="632" t="s">
        <v>685</v>
      </c>
      <c r="B349" s="632" t="s">
        <v>380</v>
      </c>
      <c r="C349" s="633" t="n">
        <v>31</v>
      </c>
      <c r="D349" s="634" t="n">
        <f aca="false">C349-0.301</f>
        <v>30.699</v>
      </c>
      <c r="E349" s="635" t="n">
        <f aca="false">E348+D349</f>
        <v>9096.86199999997</v>
      </c>
      <c r="F349" s="635" t="n">
        <f aca="false">F348-D348</f>
        <v>2472.72699999999</v>
      </c>
      <c r="G349" s="636" t="n">
        <f aca="false">G348-D349</f>
        <v>2442.02799999999</v>
      </c>
      <c r="K349" s="642"/>
    </row>
    <row r="350" s="621" customFormat="true" ht="39.75" hidden="false" customHeight="true" outlineLevel="0" collapsed="false">
      <c r="A350" s="632" t="s">
        <v>686</v>
      </c>
      <c r="B350" s="632" t="s">
        <v>380</v>
      </c>
      <c r="C350" s="633" t="n">
        <v>31</v>
      </c>
      <c r="D350" s="634" t="n">
        <f aca="false">C350-0.301</f>
        <v>30.699</v>
      </c>
      <c r="E350" s="635" t="n">
        <f aca="false">E349+D350</f>
        <v>9127.56099999997</v>
      </c>
      <c r="F350" s="635" t="n">
        <f aca="false">F349-D349</f>
        <v>2442.02799999999</v>
      </c>
      <c r="G350" s="636" t="n">
        <f aca="false">G349-D350</f>
        <v>2411.32899999999</v>
      </c>
      <c r="H350" s="702"/>
      <c r="K350" s="642"/>
    </row>
    <row r="351" s="621" customFormat="true" ht="39.75" hidden="false" customHeight="true" outlineLevel="0" collapsed="false">
      <c r="A351" s="632" t="s">
        <v>687</v>
      </c>
      <c r="B351" s="632" t="s">
        <v>380</v>
      </c>
      <c r="C351" s="633" t="n">
        <v>31</v>
      </c>
      <c r="D351" s="634" t="n">
        <f aca="false">C351-0.301</f>
        <v>30.699</v>
      </c>
      <c r="E351" s="635" t="n">
        <f aca="false">E350+D351</f>
        <v>9158.25999999998</v>
      </c>
      <c r="F351" s="635" t="n">
        <f aca="false">F350-D350</f>
        <v>2411.32899999999</v>
      </c>
      <c r="G351" s="636" t="n">
        <f aca="false">G350-D351</f>
        <v>2380.62999999999</v>
      </c>
      <c r="H351" s="702"/>
      <c r="K351" s="642"/>
    </row>
    <row r="352" s="621" customFormat="true" ht="39.75" hidden="false" customHeight="true" outlineLevel="0" collapsed="false">
      <c r="A352" s="713" t="s">
        <v>388</v>
      </c>
      <c r="B352" s="714" t="s">
        <v>525</v>
      </c>
      <c r="C352" s="715" t="n">
        <v>5.18</v>
      </c>
      <c r="D352" s="634" t="n">
        <f aca="false">C352-0.301</f>
        <v>4.879</v>
      </c>
      <c r="E352" s="635" t="n">
        <f aca="false">E351+D352</f>
        <v>9163.13899999998</v>
      </c>
      <c r="F352" s="635" t="n">
        <f aca="false">F351-D351</f>
        <v>2380.62999999999</v>
      </c>
      <c r="G352" s="636" t="n">
        <f aca="false">G351-D352</f>
        <v>2375.75099999999</v>
      </c>
      <c r="H352" s="702"/>
      <c r="K352" s="642"/>
    </row>
    <row r="353" s="621" customFormat="true" ht="39.75" hidden="false" customHeight="true" outlineLevel="0" collapsed="false">
      <c r="A353" s="713"/>
      <c r="B353" s="714" t="s">
        <v>526</v>
      </c>
      <c r="C353" s="715" t="n">
        <v>4.91</v>
      </c>
      <c r="D353" s="634" t="n">
        <f aca="false">C353-0.301</f>
        <v>4.609</v>
      </c>
      <c r="E353" s="635" t="n">
        <f aca="false">E352+D353</f>
        <v>9167.74799999998</v>
      </c>
      <c r="F353" s="635" t="n">
        <f aca="false">F352-D352</f>
        <v>2375.75099999999</v>
      </c>
      <c r="G353" s="636" t="n">
        <f aca="false">G352-D353</f>
        <v>2371.14199999999</v>
      </c>
      <c r="H353" s="702"/>
      <c r="K353" s="642"/>
    </row>
    <row r="354" s="621" customFormat="true" ht="39.75" hidden="false" customHeight="true" outlineLevel="0" collapsed="false">
      <c r="A354" s="713"/>
      <c r="B354" s="714" t="s">
        <v>527</v>
      </c>
      <c r="C354" s="715" t="n">
        <v>5.22</v>
      </c>
      <c r="D354" s="634" t="n">
        <f aca="false">C354-0.301</f>
        <v>4.919</v>
      </c>
      <c r="E354" s="635" t="n">
        <f aca="false">E353+D354</f>
        <v>9172.66699999998</v>
      </c>
      <c r="F354" s="635" t="n">
        <f aca="false">F353-D353</f>
        <v>2371.14199999999</v>
      </c>
      <c r="G354" s="636" t="n">
        <f aca="false">G353-D354</f>
        <v>2366.22299999999</v>
      </c>
      <c r="H354" s="702"/>
      <c r="K354" s="642"/>
    </row>
    <row r="355" s="621" customFormat="true" ht="39.75" hidden="false" customHeight="true" outlineLevel="0" collapsed="false">
      <c r="A355" s="713"/>
      <c r="B355" s="714" t="s">
        <v>528</v>
      </c>
      <c r="C355" s="715" t="n">
        <v>4.8</v>
      </c>
      <c r="D355" s="634" t="n">
        <f aca="false">C355-0.301</f>
        <v>4.499</v>
      </c>
      <c r="E355" s="635" t="n">
        <f aca="false">E354+D355</f>
        <v>9177.16599999998</v>
      </c>
      <c r="F355" s="635" t="n">
        <f aca="false">F354-D354</f>
        <v>2366.22299999999</v>
      </c>
      <c r="G355" s="636" t="n">
        <f aca="false">G354-D355</f>
        <v>2361.72399999999</v>
      </c>
      <c r="H355" s="702"/>
      <c r="K355" s="642"/>
    </row>
    <row r="356" s="621" customFormat="true" ht="39.75" hidden="false" customHeight="true" outlineLevel="0" collapsed="false">
      <c r="A356" s="713"/>
      <c r="B356" s="714" t="s">
        <v>529</v>
      </c>
      <c r="C356" s="715" t="n">
        <v>9.83</v>
      </c>
      <c r="D356" s="634" t="n">
        <f aca="false">C356-0.301</f>
        <v>9.529</v>
      </c>
      <c r="E356" s="635" t="n">
        <f aca="false">E355+D356</f>
        <v>9186.69499999998</v>
      </c>
      <c r="F356" s="635" t="n">
        <f aca="false">F355-D355</f>
        <v>2361.72399999999</v>
      </c>
      <c r="G356" s="636" t="n">
        <f aca="false">G355-D356</f>
        <v>2352.19499999999</v>
      </c>
      <c r="H356" s="656" t="s">
        <v>682</v>
      </c>
      <c r="K356" s="642"/>
    </row>
    <row r="357" s="621" customFormat="true" ht="39.75" hidden="false" customHeight="true" outlineLevel="0" collapsed="false">
      <c r="A357" s="632" t="s">
        <v>688</v>
      </c>
      <c r="B357" s="632" t="s">
        <v>380</v>
      </c>
      <c r="C357" s="633" t="n">
        <v>31</v>
      </c>
      <c r="D357" s="634" t="n">
        <f aca="false">C357-0.301</f>
        <v>30.699</v>
      </c>
      <c r="E357" s="635" t="n">
        <f aca="false">E356+D357</f>
        <v>9217.39399999998</v>
      </c>
      <c r="F357" s="635" t="n">
        <f aca="false">F356-D356</f>
        <v>2352.19499999999</v>
      </c>
      <c r="G357" s="636" t="n">
        <f aca="false">G356-D357</f>
        <v>2321.49599999999</v>
      </c>
      <c r="H357" s="657" t="s">
        <v>649</v>
      </c>
      <c r="K357" s="642"/>
    </row>
    <row r="358" s="621" customFormat="true" ht="39.75" hidden="false" customHeight="true" outlineLevel="0" collapsed="false">
      <c r="A358" s="632" t="s">
        <v>689</v>
      </c>
      <c r="B358" s="632" t="s">
        <v>380</v>
      </c>
      <c r="C358" s="633" t="n">
        <v>31</v>
      </c>
      <c r="D358" s="634" t="n">
        <f aca="false">C358-0.301</f>
        <v>30.699</v>
      </c>
      <c r="E358" s="635" t="n">
        <f aca="false">E357+D358</f>
        <v>9248.09299999998</v>
      </c>
      <c r="F358" s="635" t="n">
        <f aca="false">F357-D357</f>
        <v>2321.49599999999</v>
      </c>
      <c r="G358" s="636" t="n">
        <f aca="false">G357-D358</f>
        <v>2290.79699999999</v>
      </c>
      <c r="H358" s="702"/>
      <c r="K358" s="642"/>
    </row>
    <row r="359" s="621" customFormat="true" ht="39.75" hidden="false" customHeight="true" outlineLevel="0" collapsed="false">
      <c r="A359" s="716" t="s">
        <v>397</v>
      </c>
      <c r="B359" s="717" t="s">
        <v>525</v>
      </c>
      <c r="C359" s="718" t="n">
        <v>5.16</v>
      </c>
      <c r="D359" s="634" t="n">
        <f aca="false">C359-0.301</f>
        <v>4.859</v>
      </c>
      <c r="E359" s="635" t="n">
        <f aca="false">E358+D359</f>
        <v>9252.95199999998</v>
      </c>
      <c r="F359" s="635" t="n">
        <f aca="false">F358-D358</f>
        <v>2290.79699999999</v>
      </c>
      <c r="G359" s="636" t="n">
        <f aca="false">G358-D359</f>
        <v>2285.93799999999</v>
      </c>
      <c r="K359" s="642"/>
    </row>
    <row r="360" s="621" customFormat="true" ht="39.75" hidden="false" customHeight="true" outlineLevel="0" collapsed="false">
      <c r="A360" s="716"/>
      <c r="B360" s="717" t="s">
        <v>552</v>
      </c>
      <c r="C360" s="718" t="n">
        <v>1.15</v>
      </c>
      <c r="D360" s="634" t="n">
        <f aca="false">C360-0.301</f>
        <v>0.849</v>
      </c>
      <c r="E360" s="635" t="n">
        <f aca="false">E359+D360</f>
        <v>9253.80099999998</v>
      </c>
      <c r="F360" s="635" t="n">
        <f aca="false">F359-D359</f>
        <v>2285.93799999999</v>
      </c>
      <c r="G360" s="636" t="n">
        <f aca="false">G359-D360</f>
        <v>2285.08899999999</v>
      </c>
      <c r="H360" s="702"/>
      <c r="K360" s="642"/>
    </row>
    <row r="361" s="621" customFormat="true" ht="39.75" hidden="false" customHeight="true" outlineLevel="0" collapsed="false">
      <c r="A361" s="716"/>
      <c r="B361" s="717" t="s">
        <v>553</v>
      </c>
      <c r="C361" s="718" t="n">
        <v>4.92</v>
      </c>
      <c r="D361" s="634" t="n">
        <f aca="false">C361-0.301</f>
        <v>4.619</v>
      </c>
      <c r="E361" s="635" t="n">
        <f aca="false">E360+D361</f>
        <v>9258.41999999998</v>
      </c>
      <c r="F361" s="635" t="n">
        <f aca="false">F360-D360</f>
        <v>2285.08899999999</v>
      </c>
      <c r="G361" s="636" t="n">
        <f aca="false">G360-D361</f>
        <v>2280.46999999999</v>
      </c>
      <c r="H361" s="702"/>
      <c r="K361" s="642"/>
    </row>
    <row r="362" s="621" customFormat="true" ht="39.75" hidden="false" customHeight="true" outlineLevel="0" collapsed="false">
      <c r="A362" s="716"/>
      <c r="B362" s="717" t="s">
        <v>554</v>
      </c>
      <c r="C362" s="718" t="n">
        <v>9.92</v>
      </c>
      <c r="D362" s="634" t="n">
        <f aca="false">C362-0.301</f>
        <v>9.619</v>
      </c>
      <c r="E362" s="635" t="n">
        <f aca="false">E361+D362</f>
        <v>9268.03899999998</v>
      </c>
      <c r="F362" s="635" t="n">
        <f aca="false">F361-D361</f>
        <v>2280.46999999999</v>
      </c>
      <c r="G362" s="636" t="n">
        <f aca="false">G361-D362</f>
        <v>2270.85099999999</v>
      </c>
      <c r="H362" s="702"/>
      <c r="K362" s="642"/>
    </row>
    <row r="363" s="621" customFormat="true" ht="39.75" hidden="false" customHeight="true" outlineLevel="0" collapsed="false">
      <c r="A363" s="716"/>
      <c r="B363" s="717" t="s">
        <v>555</v>
      </c>
      <c r="C363" s="718" t="n">
        <v>9.71</v>
      </c>
      <c r="D363" s="634" t="n">
        <f aca="false">C363-0.301</f>
        <v>9.409</v>
      </c>
      <c r="E363" s="635" t="n">
        <f aca="false">E362+D363</f>
        <v>9277.44799999998</v>
      </c>
      <c r="F363" s="635" t="n">
        <f aca="false">F362-D362</f>
        <v>2270.85099999999</v>
      </c>
      <c r="G363" s="636" t="n">
        <f aca="false">G362-D363</f>
        <v>2261.44199999999</v>
      </c>
      <c r="H363" s="702"/>
      <c r="K363" s="642"/>
    </row>
    <row r="364" s="621" customFormat="true" ht="39.75" hidden="false" customHeight="true" outlineLevel="0" collapsed="false">
      <c r="A364" s="716"/>
      <c r="B364" s="717" t="s">
        <v>556</v>
      </c>
      <c r="C364" s="718" t="n">
        <v>4.99</v>
      </c>
      <c r="D364" s="634" t="n">
        <f aca="false">C364-0.301</f>
        <v>4.689</v>
      </c>
      <c r="E364" s="635" t="n">
        <f aca="false">E363+D364</f>
        <v>9282.13699999998</v>
      </c>
      <c r="F364" s="635" t="n">
        <f aca="false">F363-D363</f>
        <v>2261.44199999999</v>
      </c>
      <c r="G364" s="636" t="n">
        <f aca="false">G363-D364</f>
        <v>2256.75299999999</v>
      </c>
      <c r="H364" s="702"/>
      <c r="K364" s="642"/>
    </row>
    <row r="365" s="621" customFormat="true" ht="39.75" hidden="false" customHeight="true" outlineLevel="0" collapsed="false">
      <c r="A365" s="632" t="s">
        <v>690</v>
      </c>
      <c r="B365" s="632" t="s">
        <v>380</v>
      </c>
      <c r="C365" s="633" t="n">
        <v>31</v>
      </c>
      <c r="D365" s="634" t="n">
        <f aca="false">C365-0.301</f>
        <v>30.699</v>
      </c>
      <c r="E365" s="635" t="n">
        <f aca="false">E364+D365</f>
        <v>9312.83599999998</v>
      </c>
      <c r="F365" s="635" t="n">
        <f aca="false">F364-D364</f>
        <v>2256.75299999999</v>
      </c>
      <c r="G365" s="636" t="n">
        <f aca="false">G364-D365</f>
        <v>2226.05399999999</v>
      </c>
      <c r="H365" s="702"/>
      <c r="K365" s="642"/>
    </row>
    <row r="366" s="621" customFormat="true" ht="39.75" hidden="false" customHeight="true" outlineLevel="0" collapsed="false">
      <c r="A366" s="632" t="s">
        <v>691</v>
      </c>
      <c r="B366" s="632" t="s">
        <v>380</v>
      </c>
      <c r="C366" s="633" t="n">
        <v>31</v>
      </c>
      <c r="D366" s="634" t="n">
        <f aca="false">C366-0.301</f>
        <v>30.699</v>
      </c>
      <c r="E366" s="635" t="n">
        <f aca="false">E365+D366</f>
        <v>9343.53499999998</v>
      </c>
      <c r="F366" s="635" t="n">
        <f aca="false">F365-D365</f>
        <v>2226.05399999999</v>
      </c>
      <c r="G366" s="636" t="n">
        <f aca="false">G365-D366</f>
        <v>2195.35499999999</v>
      </c>
      <c r="H366" s="656" t="s">
        <v>682</v>
      </c>
      <c r="K366" s="642"/>
    </row>
    <row r="367" s="621" customFormat="true" ht="39.75" hidden="false" customHeight="true" outlineLevel="0" collapsed="false">
      <c r="A367" s="632" t="s">
        <v>692</v>
      </c>
      <c r="B367" s="632" t="s">
        <v>380</v>
      </c>
      <c r="C367" s="633" t="n">
        <v>31</v>
      </c>
      <c r="D367" s="634" t="n">
        <f aca="false">C367-0.301</f>
        <v>30.699</v>
      </c>
      <c r="E367" s="635" t="n">
        <f aca="false">E366+D367</f>
        <v>9374.23399999998</v>
      </c>
      <c r="F367" s="635" t="n">
        <f aca="false">F366-D366</f>
        <v>2195.35499999999</v>
      </c>
      <c r="G367" s="636" t="n">
        <f aca="false">G366-D367</f>
        <v>2164.65599999999</v>
      </c>
      <c r="H367" s="657" t="s">
        <v>649</v>
      </c>
      <c r="K367" s="642"/>
    </row>
    <row r="368" s="621" customFormat="true" ht="39.75" hidden="false" customHeight="true" outlineLevel="0" collapsed="false">
      <c r="A368" s="632" t="s">
        <v>693</v>
      </c>
      <c r="B368" s="632" t="s">
        <v>380</v>
      </c>
      <c r="C368" s="633" t="n">
        <v>31</v>
      </c>
      <c r="D368" s="634" t="n">
        <f aca="false">C368-0.301</f>
        <v>30.699</v>
      </c>
      <c r="E368" s="635" t="n">
        <f aca="false">E367+D368</f>
        <v>9404.93299999998</v>
      </c>
      <c r="F368" s="635" t="n">
        <f aca="false">F367-D367</f>
        <v>2164.65599999999</v>
      </c>
      <c r="G368" s="636" t="n">
        <f aca="false">G367-D368</f>
        <v>2133.95699999999</v>
      </c>
      <c r="H368" s="702"/>
      <c r="K368" s="642"/>
    </row>
    <row r="369" s="621" customFormat="true" ht="39.75" hidden="false" customHeight="true" outlineLevel="0" collapsed="false">
      <c r="A369" s="632" t="s">
        <v>694</v>
      </c>
      <c r="B369" s="632" t="s">
        <v>380</v>
      </c>
      <c r="C369" s="633" t="n">
        <v>31</v>
      </c>
      <c r="D369" s="634" t="n">
        <f aca="false">C369-0.301</f>
        <v>30.699</v>
      </c>
      <c r="E369" s="635" t="n">
        <f aca="false">E368+D369</f>
        <v>9435.63199999998</v>
      </c>
      <c r="F369" s="635" t="n">
        <f aca="false">F368-D368</f>
        <v>2133.95699999999</v>
      </c>
      <c r="G369" s="636" t="n">
        <f aca="false">G368-D369</f>
        <v>2103.25799999999</v>
      </c>
      <c r="K369" s="642"/>
    </row>
    <row r="370" s="621" customFormat="true" ht="39.75" hidden="false" customHeight="true" outlineLevel="0" collapsed="false">
      <c r="A370" s="632" t="s">
        <v>695</v>
      </c>
      <c r="B370" s="632" t="s">
        <v>380</v>
      </c>
      <c r="C370" s="633" t="n">
        <v>31</v>
      </c>
      <c r="D370" s="634" t="n">
        <f aca="false">C370-0.301</f>
        <v>30.699</v>
      </c>
      <c r="E370" s="635" t="n">
        <f aca="false">E369+D370</f>
        <v>9466.33099999998</v>
      </c>
      <c r="F370" s="635" t="n">
        <f aca="false">F369-D369</f>
        <v>2103.25799999999</v>
      </c>
      <c r="G370" s="636" t="n">
        <f aca="false">G369-D370</f>
        <v>2072.55899999999</v>
      </c>
      <c r="H370" s="702"/>
      <c r="K370" s="642"/>
    </row>
    <row r="371" s="621" customFormat="true" ht="39.75" hidden="false" customHeight="true" outlineLevel="0" collapsed="false">
      <c r="A371" s="632" t="s">
        <v>696</v>
      </c>
      <c r="B371" s="632" t="s">
        <v>380</v>
      </c>
      <c r="C371" s="633" t="n">
        <v>31</v>
      </c>
      <c r="D371" s="634" t="n">
        <f aca="false">C371-0.301</f>
        <v>30.699</v>
      </c>
      <c r="E371" s="635" t="n">
        <f aca="false">E370+D371</f>
        <v>9497.02999999998</v>
      </c>
      <c r="F371" s="635" t="n">
        <f aca="false">F370-D370</f>
        <v>2072.55899999999</v>
      </c>
      <c r="G371" s="636" t="n">
        <f aca="false">G370-D371</f>
        <v>2041.85999999999</v>
      </c>
      <c r="H371" s="702"/>
      <c r="K371" s="642"/>
    </row>
    <row r="372" s="621" customFormat="true" ht="39.75" hidden="false" customHeight="true" outlineLevel="0" collapsed="false">
      <c r="A372" s="632" t="s">
        <v>697</v>
      </c>
      <c r="B372" s="632" t="s">
        <v>380</v>
      </c>
      <c r="C372" s="633" t="n">
        <v>31</v>
      </c>
      <c r="D372" s="634" t="n">
        <f aca="false">C372-0.301</f>
        <v>30.699</v>
      </c>
      <c r="E372" s="635" t="n">
        <f aca="false">E371+D372</f>
        <v>9527.72899999998</v>
      </c>
      <c r="F372" s="635" t="n">
        <f aca="false">F371-D371</f>
        <v>2041.85999999999</v>
      </c>
      <c r="G372" s="636" t="n">
        <f aca="false">G371-D372</f>
        <v>2011.16099999999</v>
      </c>
      <c r="H372" s="702"/>
      <c r="K372" s="642"/>
    </row>
    <row r="373" s="621" customFormat="true" ht="39.75" hidden="false" customHeight="true" outlineLevel="0" collapsed="false">
      <c r="A373" s="632" t="s">
        <v>698</v>
      </c>
      <c r="B373" s="632" t="s">
        <v>380</v>
      </c>
      <c r="C373" s="633" t="n">
        <v>31</v>
      </c>
      <c r="D373" s="634" t="n">
        <f aca="false">C373-0.301</f>
        <v>30.699</v>
      </c>
      <c r="E373" s="635" t="n">
        <f aca="false">E372+D373</f>
        <v>9558.42799999998</v>
      </c>
      <c r="F373" s="635" t="n">
        <f aca="false">F372-D372</f>
        <v>2011.16099999999</v>
      </c>
      <c r="G373" s="636" t="n">
        <f aca="false">G372-D373</f>
        <v>1980.46199999999</v>
      </c>
      <c r="H373" s="702"/>
      <c r="K373" s="642"/>
    </row>
    <row r="374" s="621" customFormat="true" ht="39.75" hidden="false" customHeight="true" outlineLevel="0" collapsed="false">
      <c r="A374" s="632" t="s">
        <v>699</v>
      </c>
      <c r="B374" s="632" t="s">
        <v>380</v>
      </c>
      <c r="C374" s="633" t="n">
        <v>31</v>
      </c>
      <c r="D374" s="634" t="n">
        <f aca="false">C374-0.301</f>
        <v>30.699</v>
      </c>
      <c r="E374" s="635" t="n">
        <f aca="false">E373+D374</f>
        <v>9589.12699999998</v>
      </c>
      <c r="F374" s="635" t="n">
        <f aca="false">F373-D373</f>
        <v>1980.46199999999</v>
      </c>
      <c r="G374" s="636" t="n">
        <f aca="false">G373-D374</f>
        <v>1949.76299999999</v>
      </c>
      <c r="H374" s="702"/>
      <c r="K374" s="642"/>
    </row>
    <row r="375" s="621" customFormat="true" ht="39.75" hidden="false" customHeight="true" outlineLevel="0" collapsed="false">
      <c r="A375" s="632" t="s">
        <v>700</v>
      </c>
      <c r="B375" s="632" t="s">
        <v>380</v>
      </c>
      <c r="C375" s="633" t="n">
        <v>31</v>
      </c>
      <c r="D375" s="634" t="n">
        <f aca="false">C375-0.301</f>
        <v>30.699</v>
      </c>
      <c r="E375" s="635" t="n">
        <f aca="false">E374+D375</f>
        <v>9619.82599999999</v>
      </c>
      <c r="F375" s="635" t="n">
        <f aca="false">F374-D374</f>
        <v>1949.76299999999</v>
      </c>
      <c r="G375" s="636" t="n">
        <f aca="false">G374-D375</f>
        <v>1919.06399999999</v>
      </c>
      <c r="H375" s="702"/>
      <c r="K375" s="642"/>
    </row>
    <row r="376" s="621" customFormat="true" ht="39.75" hidden="false" customHeight="true" outlineLevel="0" collapsed="false">
      <c r="A376" s="632" t="s">
        <v>701</v>
      </c>
      <c r="B376" s="632" t="s">
        <v>380</v>
      </c>
      <c r="C376" s="633" t="n">
        <v>31</v>
      </c>
      <c r="D376" s="634" t="n">
        <f aca="false">C376-0.301</f>
        <v>30.699</v>
      </c>
      <c r="E376" s="635" t="n">
        <f aca="false">E375+D376</f>
        <v>9650.52499999999</v>
      </c>
      <c r="F376" s="635" t="n">
        <f aca="false">F375-D375</f>
        <v>1919.06399999999</v>
      </c>
      <c r="G376" s="636" t="n">
        <f aca="false">G375-D376</f>
        <v>1888.36499999999</v>
      </c>
      <c r="H376" s="656" t="s">
        <v>682</v>
      </c>
      <c r="K376" s="642"/>
    </row>
    <row r="377" s="621" customFormat="true" ht="39.75" hidden="false" customHeight="true" outlineLevel="0" collapsed="false">
      <c r="A377" s="632" t="s">
        <v>702</v>
      </c>
      <c r="B377" s="632" t="s">
        <v>380</v>
      </c>
      <c r="C377" s="633" t="n">
        <v>31</v>
      </c>
      <c r="D377" s="634" t="n">
        <f aca="false">C377-0.301</f>
        <v>30.699</v>
      </c>
      <c r="E377" s="635" t="n">
        <f aca="false">E376+D377</f>
        <v>9681.22399999999</v>
      </c>
      <c r="F377" s="635" t="n">
        <f aca="false">F376-D376</f>
        <v>1888.36499999999</v>
      </c>
      <c r="G377" s="636" t="n">
        <f aca="false">G376-D377</f>
        <v>1857.66599999999</v>
      </c>
      <c r="H377" s="657" t="s">
        <v>649</v>
      </c>
      <c r="K377" s="642"/>
    </row>
    <row r="378" s="621" customFormat="true" ht="39.75" hidden="false" customHeight="true" outlineLevel="0" collapsed="false">
      <c r="A378" s="632" t="s">
        <v>703</v>
      </c>
      <c r="B378" s="632" t="s">
        <v>380</v>
      </c>
      <c r="C378" s="633" t="n">
        <v>31</v>
      </c>
      <c r="D378" s="634" t="n">
        <f aca="false">C378-0.301</f>
        <v>30.699</v>
      </c>
      <c r="E378" s="635" t="n">
        <f aca="false">E377+D378</f>
        <v>9711.92299999999</v>
      </c>
      <c r="F378" s="635" t="n">
        <f aca="false">F377-D377</f>
        <v>1857.66599999999</v>
      </c>
      <c r="G378" s="636" t="n">
        <f aca="false">G377-D378</f>
        <v>1826.96699999999</v>
      </c>
      <c r="H378" s="702"/>
      <c r="K378" s="642"/>
    </row>
    <row r="379" s="621" customFormat="true" ht="39.75" hidden="false" customHeight="true" outlineLevel="0" collapsed="false">
      <c r="A379" s="632" t="s">
        <v>704</v>
      </c>
      <c r="B379" s="632" t="s">
        <v>380</v>
      </c>
      <c r="C379" s="633" t="n">
        <v>31</v>
      </c>
      <c r="D379" s="634" t="n">
        <f aca="false">C379-0.301</f>
        <v>30.699</v>
      </c>
      <c r="E379" s="635" t="n">
        <f aca="false">E378+D379</f>
        <v>9742.62199999999</v>
      </c>
      <c r="F379" s="635" t="n">
        <f aca="false">F378-D378</f>
        <v>1826.96699999999</v>
      </c>
      <c r="G379" s="636" t="n">
        <f aca="false">G378-D379</f>
        <v>1796.26799999999</v>
      </c>
      <c r="H379" s="702"/>
      <c r="K379" s="642"/>
    </row>
    <row r="380" s="621" customFormat="true" ht="39.75" hidden="false" customHeight="true" outlineLevel="0" collapsed="false">
      <c r="A380" s="632" t="s">
        <v>705</v>
      </c>
      <c r="B380" s="632" t="s">
        <v>380</v>
      </c>
      <c r="C380" s="633" t="n">
        <v>31</v>
      </c>
      <c r="D380" s="634" t="n">
        <f aca="false">C380-0.301</f>
        <v>30.699</v>
      </c>
      <c r="E380" s="635" t="n">
        <f aca="false">E379+D380</f>
        <v>9773.32099999999</v>
      </c>
      <c r="F380" s="635" t="n">
        <f aca="false">F379-D379</f>
        <v>1796.26799999999</v>
      </c>
      <c r="G380" s="636" t="n">
        <f aca="false">G379-D380</f>
        <v>1765.56899999999</v>
      </c>
      <c r="H380" s="702"/>
      <c r="K380" s="642"/>
    </row>
    <row r="381" s="621" customFormat="true" ht="39.75" hidden="false" customHeight="true" outlineLevel="0" collapsed="false">
      <c r="A381" s="632" t="s">
        <v>706</v>
      </c>
      <c r="B381" s="632" t="s">
        <v>380</v>
      </c>
      <c r="C381" s="633" t="n">
        <v>31</v>
      </c>
      <c r="D381" s="634" t="n">
        <f aca="false">C381-0.301</f>
        <v>30.699</v>
      </c>
      <c r="E381" s="635" t="n">
        <f aca="false">E380+D381</f>
        <v>9804.01999999999</v>
      </c>
      <c r="F381" s="635" t="n">
        <f aca="false">F380-D380</f>
        <v>1765.56899999999</v>
      </c>
      <c r="G381" s="636" t="n">
        <f aca="false">G380-D381</f>
        <v>1734.86999999999</v>
      </c>
      <c r="H381" s="702"/>
      <c r="K381" s="642"/>
    </row>
    <row r="382" s="621" customFormat="true" ht="39.75" hidden="false" customHeight="true" outlineLevel="0" collapsed="false">
      <c r="A382" s="632" t="s">
        <v>707</v>
      </c>
      <c r="B382" s="632" t="s">
        <v>380</v>
      </c>
      <c r="C382" s="633" t="n">
        <v>31</v>
      </c>
      <c r="D382" s="634" t="n">
        <f aca="false">C382-0.301</f>
        <v>30.699</v>
      </c>
      <c r="E382" s="635" t="n">
        <f aca="false">E381+D382</f>
        <v>9834.71899999999</v>
      </c>
      <c r="F382" s="635" t="n">
        <f aca="false">F381-D381</f>
        <v>1734.86999999999</v>
      </c>
      <c r="G382" s="636" t="n">
        <f aca="false">G381-D382</f>
        <v>1704.17099999999</v>
      </c>
      <c r="H382" s="702"/>
      <c r="K382" s="642"/>
    </row>
    <row r="383" s="621" customFormat="true" ht="39.75" hidden="false" customHeight="true" outlineLevel="0" collapsed="false">
      <c r="A383" s="632" t="s">
        <v>708</v>
      </c>
      <c r="B383" s="632" t="s">
        <v>380</v>
      </c>
      <c r="C383" s="633" t="n">
        <v>31</v>
      </c>
      <c r="D383" s="634" t="n">
        <f aca="false">C383-0.301</f>
        <v>30.699</v>
      </c>
      <c r="E383" s="635" t="n">
        <f aca="false">E382+D383</f>
        <v>9865.41799999999</v>
      </c>
      <c r="F383" s="635" t="n">
        <f aca="false">F382-D382</f>
        <v>1704.17099999999</v>
      </c>
      <c r="G383" s="636" t="n">
        <f aca="false">G382-D383</f>
        <v>1673.47199999999</v>
      </c>
      <c r="H383" s="702"/>
      <c r="K383" s="642"/>
    </row>
    <row r="384" s="621" customFormat="true" ht="39.75" hidden="false" customHeight="true" outlineLevel="0" collapsed="false">
      <c r="A384" s="632" t="s">
        <v>709</v>
      </c>
      <c r="B384" s="632" t="s">
        <v>380</v>
      </c>
      <c r="C384" s="633" t="n">
        <v>31</v>
      </c>
      <c r="D384" s="634" t="n">
        <f aca="false">C384-0.301</f>
        <v>30.699</v>
      </c>
      <c r="E384" s="635" t="n">
        <f aca="false">E383+D384</f>
        <v>9896.11699999999</v>
      </c>
      <c r="F384" s="635" t="n">
        <f aca="false">F383-D383</f>
        <v>1673.47199999999</v>
      </c>
      <c r="G384" s="636" t="n">
        <f aca="false">G383-D384</f>
        <v>1642.77299999999</v>
      </c>
      <c r="H384" s="702"/>
      <c r="K384" s="642"/>
    </row>
    <row r="385" s="621" customFormat="true" ht="39.75" hidden="false" customHeight="true" outlineLevel="0" collapsed="false">
      <c r="A385" s="632" t="s">
        <v>710</v>
      </c>
      <c r="B385" s="632" t="s">
        <v>380</v>
      </c>
      <c r="C385" s="633" t="n">
        <v>31</v>
      </c>
      <c r="D385" s="634" t="n">
        <f aca="false">C385-0.301</f>
        <v>30.699</v>
      </c>
      <c r="E385" s="635" t="n">
        <f aca="false">E384+D385</f>
        <v>9926.81599999999</v>
      </c>
      <c r="F385" s="635" t="n">
        <f aca="false">F384-D384</f>
        <v>1642.77299999999</v>
      </c>
      <c r="G385" s="636" t="n">
        <f aca="false">G384-D385</f>
        <v>1612.07399999999</v>
      </c>
      <c r="H385" s="702"/>
      <c r="K385" s="642"/>
    </row>
    <row r="386" s="621" customFormat="true" ht="39.75" hidden="false" customHeight="true" outlineLevel="0" collapsed="false">
      <c r="A386" s="632" t="s">
        <v>711</v>
      </c>
      <c r="B386" s="632" t="s">
        <v>380</v>
      </c>
      <c r="C386" s="633" t="n">
        <v>31</v>
      </c>
      <c r="D386" s="670" t="n">
        <f aca="false">C386-0.301</f>
        <v>30.699</v>
      </c>
      <c r="E386" s="635" t="n">
        <f aca="false">E385+D386</f>
        <v>9957.51499999999</v>
      </c>
      <c r="F386" s="635" t="n">
        <f aca="false">F385-D385</f>
        <v>1612.07399999999</v>
      </c>
      <c r="G386" s="636" t="n">
        <f aca="false">G385-D386</f>
        <v>1581.37499999999</v>
      </c>
      <c r="H386" s="657" t="s">
        <v>649</v>
      </c>
      <c r="K386" s="642"/>
    </row>
    <row r="387" s="621" customFormat="true" ht="39.75" hidden="false" customHeight="true" outlineLevel="0" collapsed="false">
      <c r="A387" s="632" t="s">
        <v>712</v>
      </c>
      <c r="B387" s="632" t="s">
        <v>380</v>
      </c>
      <c r="C387" s="633" t="n">
        <v>31</v>
      </c>
      <c r="D387" s="634" t="n">
        <f aca="false">C387-0.301</f>
        <v>30.699</v>
      </c>
      <c r="E387" s="635" t="n">
        <f aca="false">E386+D387</f>
        <v>9988.21399999999</v>
      </c>
      <c r="F387" s="635" t="n">
        <f aca="false">F386-D386</f>
        <v>1581.37499999999</v>
      </c>
      <c r="G387" s="636" t="n">
        <f aca="false">G386-D387</f>
        <v>1550.67599999999</v>
      </c>
      <c r="H387" s="656"/>
      <c r="K387" s="642"/>
    </row>
    <row r="388" s="621" customFormat="true" ht="39.75" hidden="false" customHeight="true" outlineLevel="0" collapsed="false">
      <c r="A388" s="632" t="s">
        <v>713</v>
      </c>
      <c r="B388" s="632" t="s">
        <v>380</v>
      </c>
      <c r="C388" s="633" t="n">
        <v>31</v>
      </c>
      <c r="D388" s="634" t="n">
        <f aca="false">C388-0.301</f>
        <v>30.699</v>
      </c>
      <c r="E388" s="635" t="n">
        <f aca="false">E387+D388</f>
        <v>10018.913</v>
      </c>
      <c r="F388" s="635" t="n">
        <f aca="false">F387-D387</f>
        <v>1550.67599999999</v>
      </c>
      <c r="G388" s="636" t="n">
        <f aca="false">G387-D388</f>
        <v>1519.97699999999</v>
      </c>
      <c r="K388" s="642"/>
    </row>
    <row r="389" s="621" customFormat="true" ht="39.75" hidden="false" customHeight="true" outlineLevel="0" collapsed="false">
      <c r="A389" s="632" t="s">
        <v>714</v>
      </c>
      <c r="B389" s="632" t="s">
        <v>380</v>
      </c>
      <c r="C389" s="633" t="n">
        <v>31</v>
      </c>
      <c r="D389" s="634" t="n">
        <f aca="false">C389-0.301</f>
        <v>30.699</v>
      </c>
      <c r="E389" s="635" t="n">
        <f aca="false">E388+D389</f>
        <v>10049.612</v>
      </c>
      <c r="F389" s="635" t="n">
        <f aca="false">F388-D388</f>
        <v>1519.97699999999</v>
      </c>
      <c r="G389" s="636" t="n">
        <f aca="false">G388-D389</f>
        <v>1489.27799999999</v>
      </c>
      <c r="H389" s="702"/>
      <c r="K389" s="642"/>
    </row>
    <row r="390" s="621" customFormat="true" ht="39.75" hidden="false" customHeight="true" outlineLevel="0" collapsed="false">
      <c r="A390" s="632" t="s">
        <v>715</v>
      </c>
      <c r="B390" s="632" t="s">
        <v>380</v>
      </c>
      <c r="C390" s="633" t="n">
        <v>31</v>
      </c>
      <c r="D390" s="634" t="n">
        <f aca="false">C390-0.301</f>
        <v>30.699</v>
      </c>
      <c r="E390" s="635" t="n">
        <f aca="false">E389+D390</f>
        <v>10080.311</v>
      </c>
      <c r="F390" s="635" t="n">
        <f aca="false">F389-D389</f>
        <v>1489.27799999999</v>
      </c>
      <c r="G390" s="636" t="n">
        <f aca="false">G389-D390</f>
        <v>1458.57899999999</v>
      </c>
      <c r="K390" s="642"/>
    </row>
    <row r="391" s="621" customFormat="true" ht="39.75" hidden="false" customHeight="true" outlineLevel="0" collapsed="false">
      <c r="A391" s="632" t="s">
        <v>716</v>
      </c>
      <c r="B391" s="632" t="s">
        <v>380</v>
      </c>
      <c r="C391" s="633" t="n">
        <v>31</v>
      </c>
      <c r="D391" s="634" t="n">
        <f aca="false">C391-0.301</f>
        <v>30.699</v>
      </c>
      <c r="E391" s="635" t="n">
        <f aca="false">E390+D391</f>
        <v>10111.01</v>
      </c>
      <c r="F391" s="635" t="n">
        <f aca="false">F390-D390</f>
        <v>1458.57899999999</v>
      </c>
      <c r="G391" s="636" t="n">
        <f aca="false">G390-D391</f>
        <v>1427.87999999999</v>
      </c>
      <c r="H391" s="702"/>
      <c r="K391" s="642"/>
    </row>
    <row r="392" s="621" customFormat="true" ht="39.75" hidden="false" customHeight="true" outlineLevel="0" collapsed="false">
      <c r="A392" s="632" t="s">
        <v>717</v>
      </c>
      <c r="B392" s="632" t="s">
        <v>380</v>
      </c>
      <c r="C392" s="633" t="n">
        <v>31</v>
      </c>
      <c r="D392" s="634" t="n">
        <f aca="false">C392-0.301</f>
        <v>30.699</v>
      </c>
      <c r="E392" s="635" t="n">
        <f aca="false">E391+D392</f>
        <v>10141.709</v>
      </c>
      <c r="F392" s="635" t="n">
        <f aca="false">F391-D391</f>
        <v>1427.87999999999</v>
      </c>
      <c r="G392" s="636" t="n">
        <f aca="false">G391-D392</f>
        <v>1397.18099999999</v>
      </c>
      <c r="H392" s="702"/>
      <c r="K392" s="642"/>
    </row>
    <row r="393" s="621" customFormat="true" ht="39.75" hidden="false" customHeight="true" outlineLevel="0" collapsed="false">
      <c r="A393" s="632" t="s">
        <v>718</v>
      </c>
      <c r="B393" s="632" t="s">
        <v>380</v>
      </c>
      <c r="C393" s="633" t="n">
        <v>31</v>
      </c>
      <c r="D393" s="634" t="n">
        <f aca="false">C393-0.301</f>
        <v>30.699</v>
      </c>
      <c r="E393" s="635" t="n">
        <f aca="false">E392+D393</f>
        <v>10172.408</v>
      </c>
      <c r="F393" s="635" t="n">
        <f aca="false">F392-D392</f>
        <v>1397.18099999999</v>
      </c>
      <c r="G393" s="636" t="n">
        <f aca="false">G392-D393</f>
        <v>1366.48199999999</v>
      </c>
      <c r="H393" s="702"/>
      <c r="K393" s="642"/>
    </row>
    <row r="394" s="621" customFormat="true" ht="39.75" hidden="false" customHeight="true" outlineLevel="0" collapsed="false">
      <c r="A394" s="632" t="s">
        <v>719</v>
      </c>
      <c r="B394" s="632" t="s">
        <v>380</v>
      </c>
      <c r="C394" s="633" t="n">
        <v>31</v>
      </c>
      <c r="D394" s="634" t="n">
        <f aca="false">C394-0.301</f>
        <v>30.699</v>
      </c>
      <c r="E394" s="635" t="n">
        <f aca="false">E393+D394</f>
        <v>10203.107</v>
      </c>
      <c r="F394" s="635" t="n">
        <f aca="false">F393-D393</f>
        <v>1366.48199999999</v>
      </c>
      <c r="G394" s="636" t="n">
        <f aca="false">G393-D394</f>
        <v>1335.78299999999</v>
      </c>
      <c r="H394" s="702"/>
      <c r="K394" s="642"/>
    </row>
    <row r="395" s="621" customFormat="true" ht="39.75" hidden="false" customHeight="true" outlineLevel="0" collapsed="false">
      <c r="A395" s="632" t="s">
        <v>720</v>
      </c>
      <c r="B395" s="632" t="s">
        <v>380</v>
      </c>
      <c r="C395" s="633" t="n">
        <v>31</v>
      </c>
      <c r="D395" s="634" t="n">
        <f aca="false">C395-0.301</f>
        <v>30.699</v>
      </c>
      <c r="E395" s="635" t="n">
        <f aca="false">E394+D395</f>
        <v>10233.806</v>
      </c>
      <c r="F395" s="635" t="n">
        <f aca="false">F394-D394</f>
        <v>1335.78299999999</v>
      </c>
      <c r="G395" s="636" t="n">
        <f aca="false">G394-D395</f>
        <v>1305.08399999999</v>
      </c>
      <c r="H395" s="702"/>
      <c r="K395" s="642"/>
    </row>
    <row r="396" s="621" customFormat="true" ht="39.75" hidden="false" customHeight="true" outlineLevel="0" collapsed="false">
      <c r="A396" s="632" t="s">
        <v>721</v>
      </c>
      <c r="B396" s="632" t="s">
        <v>380</v>
      </c>
      <c r="C396" s="633" t="n">
        <v>31</v>
      </c>
      <c r="D396" s="634" t="n">
        <f aca="false">C396-0.301</f>
        <v>30.699</v>
      </c>
      <c r="E396" s="635" t="n">
        <f aca="false">E395+D396</f>
        <v>10264.505</v>
      </c>
      <c r="F396" s="635" t="n">
        <f aca="false">F395-D395</f>
        <v>1305.08399999999</v>
      </c>
      <c r="G396" s="636" t="n">
        <f aca="false">G395-D396</f>
        <v>1274.38499999999</v>
      </c>
      <c r="H396" s="702"/>
      <c r="K396" s="642"/>
    </row>
    <row r="397" s="621" customFormat="true" ht="39.75" hidden="false" customHeight="true" outlineLevel="0" collapsed="false">
      <c r="A397" s="632" t="s">
        <v>722</v>
      </c>
      <c r="B397" s="632" t="s">
        <v>380</v>
      </c>
      <c r="C397" s="633" t="n">
        <v>31</v>
      </c>
      <c r="D397" s="634" t="n">
        <f aca="false">C397-0.301</f>
        <v>30.699</v>
      </c>
      <c r="E397" s="635" t="n">
        <f aca="false">E396+D397</f>
        <v>10295.204</v>
      </c>
      <c r="F397" s="635" t="n">
        <f aca="false">F396-D396</f>
        <v>1274.38499999999</v>
      </c>
      <c r="G397" s="636" t="n">
        <f aca="false">G396-D397</f>
        <v>1243.68599999999</v>
      </c>
      <c r="H397" s="657" t="s">
        <v>649</v>
      </c>
      <c r="K397" s="642"/>
    </row>
    <row r="398" s="621" customFormat="true" ht="39.75" hidden="false" customHeight="true" outlineLevel="0" collapsed="false">
      <c r="A398" s="632" t="s">
        <v>723</v>
      </c>
      <c r="B398" s="632" t="s">
        <v>380</v>
      </c>
      <c r="C398" s="633" t="n">
        <v>31</v>
      </c>
      <c r="D398" s="634" t="n">
        <f aca="false">C398-0.301</f>
        <v>30.699</v>
      </c>
      <c r="E398" s="635" t="n">
        <f aca="false">E397+D398</f>
        <v>10325.903</v>
      </c>
      <c r="F398" s="635" t="n">
        <f aca="false">F397-D397</f>
        <v>1243.68599999999</v>
      </c>
      <c r="G398" s="636" t="n">
        <f aca="false">G397-D398</f>
        <v>1212.98699999999</v>
      </c>
      <c r="K398" s="642"/>
    </row>
    <row r="399" s="621" customFormat="true" ht="39.75" hidden="false" customHeight="true" outlineLevel="0" collapsed="false">
      <c r="A399" s="632" t="s">
        <v>724</v>
      </c>
      <c r="B399" s="632" t="s">
        <v>380</v>
      </c>
      <c r="C399" s="633" t="n">
        <v>31</v>
      </c>
      <c r="D399" s="634" t="n">
        <f aca="false">C399-0.301</f>
        <v>30.699</v>
      </c>
      <c r="E399" s="635" t="n">
        <f aca="false">E398+D399</f>
        <v>10356.602</v>
      </c>
      <c r="F399" s="635" t="n">
        <f aca="false">F398-D398</f>
        <v>1212.98699999999</v>
      </c>
      <c r="G399" s="636" t="n">
        <f aca="false">G398-D399</f>
        <v>1182.28799999999</v>
      </c>
      <c r="H399" s="702"/>
      <c r="K399" s="642"/>
    </row>
    <row r="400" s="621" customFormat="true" ht="39.75" hidden="false" customHeight="true" outlineLevel="0" collapsed="false">
      <c r="A400" s="632" t="s">
        <v>725</v>
      </c>
      <c r="B400" s="632" t="s">
        <v>380</v>
      </c>
      <c r="C400" s="633" t="n">
        <v>31</v>
      </c>
      <c r="D400" s="634" t="n">
        <f aca="false">C400-0.301</f>
        <v>30.699</v>
      </c>
      <c r="E400" s="635" t="n">
        <f aca="false">E399+D400</f>
        <v>10387.301</v>
      </c>
      <c r="F400" s="635" t="n">
        <f aca="false">F399-D399</f>
        <v>1182.28799999999</v>
      </c>
      <c r="G400" s="636" t="n">
        <f aca="false">G399-D400</f>
        <v>1151.58899999999</v>
      </c>
      <c r="K400" s="642"/>
    </row>
    <row r="401" s="621" customFormat="true" ht="39.75" hidden="false" customHeight="true" outlineLevel="0" collapsed="false">
      <c r="A401" s="632" t="s">
        <v>726</v>
      </c>
      <c r="B401" s="632" t="s">
        <v>380</v>
      </c>
      <c r="C401" s="633" t="n">
        <v>31</v>
      </c>
      <c r="D401" s="634" t="n">
        <f aca="false">C401-0.301</f>
        <v>30.699</v>
      </c>
      <c r="E401" s="635" t="n">
        <f aca="false">E400+D401</f>
        <v>10418</v>
      </c>
      <c r="F401" s="635" t="n">
        <f aca="false">F400-D400</f>
        <v>1151.58899999999</v>
      </c>
      <c r="G401" s="636" t="n">
        <f aca="false">G400-D401</f>
        <v>1120.88999999999</v>
      </c>
      <c r="H401" s="702"/>
      <c r="K401" s="642"/>
    </row>
    <row r="402" s="621" customFormat="true" ht="39.75" hidden="false" customHeight="true" outlineLevel="0" collapsed="false">
      <c r="A402" s="632" t="s">
        <v>727</v>
      </c>
      <c r="B402" s="632" t="s">
        <v>380</v>
      </c>
      <c r="C402" s="633" t="n">
        <v>31</v>
      </c>
      <c r="D402" s="634" t="n">
        <f aca="false">C402-0.301</f>
        <v>30.699</v>
      </c>
      <c r="E402" s="635" t="n">
        <f aca="false">E401+D402</f>
        <v>10448.699</v>
      </c>
      <c r="F402" s="635" t="n">
        <f aca="false">F401-D401</f>
        <v>1120.88999999999</v>
      </c>
      <c r="G402" s="636" t="n">
        <f aca="false">G401-D402</f>
        <v>1090.19099999999</v>
      </c>
      <c r="H402" s="702"/>
      <c r="K402" s="642"/>
    </row>
    <row r="403" s="621" customFormat="true" ht="39.75" hidden="false" customHeight="true" outlineLevel="0" collapsed="false">
      <c r="A403" s="632" t="s">
        <v>728</v>
      </c>
      <c r="B403" s="632" t="s">
        <v>380</v>
      </c>
      <c r="C403" s="633" t="n">
        <v>31</v>
      </c>
      <c r="D403" s="634" t="n">
        <f aca="false">C403-0.301</f>
        <v>30.699</v>
      </c>
      <c r="E403" s="635" t="n">
        <f aca="false">E402+D403</f>
        <v>10479.398</v>
      </c>
      <c r="F403" s="635" t="n">
        <f aca="false">F402-D402</f>
        <v>1090.19099999999</v>
      </c>
      <c r="G403" s="636" t="n">
        <f aca="false">G402-D403</f>
        <v>1059.49199999999</v>
      </c>
      <c r="H403" s="702"/>
      <c r="K403" s="642"/>
    </row>
    <row r="404" s="621" customFormat="true" ht="39.75" hidden="false" customHeight="true" outlineLevel="0" collapsed="false">
      <c r="A404" s="632" t="s">
        <v>729</v>
      </c>
      <c r="B404" s="632" t="s">
        <v>380</v>
      </c>
      <c r="C404" s="633" t="n">
        <v>31</v>
      </c>
      <c r="D404" s="634" t="n">
        <f aca="false">C404-0.301</f>
        <v>30.699</v>
      </c>
      <c r="E404" s="635" t="n">
        <f aca="false">E403+D404</f>
        <v>10510.097</v>
      </c>
      <c r="F404" s="635" t="n">
        <f aca="false">F403-D403</f>
        <v>1059.49199999999</v>
      </c>
      <c r="G404" s="636" t="n">
        <f aca="false">G403-D404</f>
        <v>1028.79299999999</v>
      </c>
      <c r="H404" s="702"/>
      <c r="K404" s="642"/>
    </row>
    <row r="405" s="621" customFormat="true" ht="39.75" hidden="false" customHeight="true" outlineLevel="0" collapsed="false">
      <c r="A405" s="632" t="s">
        <v>730</v>
      </c>
      <c r="B405" s="632" t="s">
        <v>380</v>
      </c>
      <c r="C405" s="633" t="n">
        <v>31</v>
      </c>
      <c r="D405" s="634" t="n">
        <f aca="false">C405-0.301</f>
        <v>30.699</v>
      </c>
      <c r="E405" s="635" t="n">
        <f aca="false">E404+D405</f>
        <v>10540.796</v>
      </c>
      <c r="F405" s="635" t="n">
        <f aca="false">F404-D404</f>
        <v>1028.79299999999</v>
      </c>
      <c r="G405" s="636" t="n">
        <f aca="false">G404-D405</f>
        <v>998.093999999986</v>
      </c>
      <c r="H405" s="702"/>
      <c r="K405" s="642"/>
    </row>
    <row r="406" s="621" customFormat="true" ht="39.75" hidden="false" customHeight="true" outlineLevel="0" collapsed="false">
      <c r="A406" s="632" t="s">
        <v>731</v>
      </c>
      <c r="B406" s="632" t="s">
        <v>380</v>
      </c>
      <c r="C406" s="633" t="n">
        <v>31</v>
      </c>
      <c r="D406" s="634" t="n">
        <f aca="false">C406-0.301</f>
        <v>30.699</v>
      </c>
      <c r="E406" s="635" t="n">
        <f aca="false">E405+D406</f>
        <v>10571.495</v>
      </c>
      <c r="F406" s="635" t="n">
        <f aca="false">F405-D405</f>
        <v>998.093999999986</v>
      </c>
      <c r="G406" s="636" t="n">
        <f aca="false">G405-D406</f>
        <v>967.394999999986</v>
      </c>
      <c r="H406" s="657" t="s">
        <v>649</v>
      </c>
      <c r="K406" s="642"/>
    </row>
    <row r="407" s="621" customFormat="true" ht="39.75" hidden="false" customHeight="true" outlineLevel="0" collapsed="false">
      <c r="A407" s="632" t="s">
        <v>732</v>
      </c>
      <c r="B407" s="632" t="s">
        <v>380</v>
      </c>
      <c r="C407" s="633" t="n">
        <v>31</v>
      </c>
      <c r="D407" s="634" t="n">
        <f aca="false">C407-0.301</f>
        <v>30.699</v>
      </c>
      <c r="E407" s="635" t="n">
        <f aca="false">E406+D407</f>
        <v>10602.194</v>
      </c>
      <c r="F407" s="635" t="n">
        <f aca="false">F406-D406</f>
        <v>967.394999999986</v>
      </c>
      <c r="G407" s="636" t="n">
        <f aca="false">G406-D407</f>
        <v>936.695999999986</v>
      </c>
      <c r="H407" s="656" t="s">
        <v>682</v>
      </c>
      <c r="K407" s="642"/>
    </row>
    <row r="408" s="621" customFormat="true" ht="39.75" hidden="false" customHeight="true" outlineLevel="0" collapsed="false">
      <c r="A408" s="632" t="s">
        <v>733</v>
      </c>
      <c r="B408" s="632" t="s">
        <v>380</v>
      </c>
      <c r="C408" s="633" t="n">
        <v>31</v>
      </c>
      <c r="D408" s="634" t="n">
        <f aca="false">C408-0.301</f>
        <v>30.699</v>
      </c>
      <c r="E408" s="635" t="n">
        <f aca="false">E407+D408</f>
        <v>10632.893</v>
      </c>
      <c r="F408" s="635" t="n">
        <f aca="false">F407-D407</f>
        <v>936.695999999986</v>
      </c>
      <c r="G408" s="636" t="n">
        <f aca="false">G407-D408</f>
        <v>905.996999999986</v>
      </c>
      <c r="K408" s="642"/>
    </row>
    <row r="409" s="621" customFormat="true" ht="129" hidden="false" customHeight="true" outlineLevel="0" collapsed="false">
      <c r="A409" s="632" t="s">
        <v>734</v>
      </c>
      <c r="B409" s="632" t="s">
        <v>380</v>
      </c>
      <c r="C409" s="633" t="n">
        <v>31</v>
      </c>
      <c r="D409" s="719" t="n">
        <f aca="false">C409-0.301</f>
        <v>30.699</v>
      </c>
      <c r="E409" s="635" t="n">
        <f aca="false">E408+D409</f>
        <v>10663.592</v>
      </c>
      <c r="F409" s="635" t="n">
        <f aca="false">F408-D408</f>
        <v>905.996999999986</v>
      </c>
      <c r="G409" s="636" t="n">
        <f aca="false">G408-D409</f>
        <v>875.297999999986</v>
      </c>
      <c r="H409" s="707"/>
    </row>
    <row r="410" s="621" customFormat="true" ht="199.5" hidden="false" customHeight="true" outlineLevel="0" collapsed="false">
      <c r="A410" s="720" t="s">
        <v>403</v>
      </c>
      <c r="B410" s="721" t="s">
        <v>525</v>
      </c>
      <c r="C410" s="722" t="n">
        <v>5.2</v>
      </c>
      <c r="D410" s="680" t="n">
        <f aca="false">C410</f>
        <v>5.2</v>
      </c>
      <c r="E410" s="635" t="n">
        <f aca="false">E409+D410</f>
        <v>10668.792</v>
      </c>
      <c r="F410" s="635" t="n">
        <f aca="false">F409-D409</f>
        <v>875.297999999986</v>
      </c>
      <c r="G410" s="636" t="n">
        <f aca="false">G409-D410</f>
        <v>870.097999999986</v>
      </c>
      <c r="H410" s="723"/>
    </row>
    <row r="411" s="621" customFormat="true" ht="222" hidden="false" customHeight="true" outlineLevel="0" collapsed="false">
      <c r="A411" s="720"/>
      <c r="B411" s="721" t="s">
        <v>577</v>
      </c>
      <c r="C411" s="722" t="n">
        <v>4.96</v>
      </c>
      <c r="D411" s="680" t="n">
        <f aca="false">C411</f>
        <v>4.96</v>
      </c>
      <c r="E411" s="635" t="n">
        <f aca="false">E410+D411</f>
        <v>10673.752</v>
      </c>
      <c r="F411" s="635" t="n">
        <f aca="false">F410-D410</f>
        <v>870.097999999986</v>
      </c>
      <c r="G411" s="636" t="n">
        <f aca="false">G410-D411</f>
        <v>865.137999999986</v>
      </c>
      <c r="H411" s="723"/>
    </row>
    <row r="412" s="621" customFormat="true" ht="194.25" hidden="false" customHeight="true" outlineLevel="0" collapsed="false">
      <c r="A412" s="720"/>
      <c r="B412" s="721" t="s">
        <v>578</v>
      </c>
      <c r="C412" s="722" t="n">
        <v>8.69</v>
      </c>
      <c r="D412" s="680" t="n">
        <f aca="false">C412</f>
        <v>8.69</v>
      </c>
      <c r="E412" s="635" t="n">
        <f aca="false">E411+D412</f>
        <v>10682.442</v>
      </c>
      <c r="F412" s="635" t="n">
        <f aca="false">F411-D411</f>
        <v>865.137999999986</v>
      </c>
      <c r="G412" s="636" t="n">
        <f aca="false">G411-D412</f>
        <v>856.447999999986</v>
      </c>
      <c r="H412" s="681"/>
    </row>
    <row r="413" s="621" customFormat="true" ht="163.5" hidden="false" customHeight="true" outlineLevel="0" collapsed="false">
      <c r="A413" s="720"/>
      <c r="B413" s="721" t="s">
        <v>528</v>
      </c>
      <c r="C413" s="722" t="n">
        <v>4.85</v>
      </c>
      <c r="D413" s="680" t="n">
        <f aca="false">C413</f>
        <v>4.85</v>
      </c>
      <c r="E413" s="635" t="n">
        <f aca="false">E412+D413</f>
        <v>10687.292</v>
      </c>
      <c r="F413" s="635" t="n">
        <f aca="false">F412-D412</f>
        <v>856.447999999986</v>
      </c>
      <c r="G413" s="636" t="n">
        <f aca="false">G412-D413</f>
        <v>851.597999999986</v>
      </c>
      <c r="H413" s="723"/>
    </row>
    <row r="414" s="621" customFormat="true" ht="39.75" hidden="false" customHeight="true" outlineLevel="0" collapsed="false">
      <c r="A414" s="720"/>
      <c r="B414" s="721" t="s">
        <v>579</v>
      </c>
      <c r="C414" s="722" t="n">
        <v>9.95</v>
      </c>
      <c r="D414" s="634" t="n">
        <f aca="false">C414-0.301</f>
        <v>9.649</v>
      </c>
      <c r="E414" s="635" t="n">
        <f aca="false">E413+D414</f>
        <v>10696.941</v>
      </c>
      <c r="F414" s="635" t="n">
        <f aca="false">F413-D413</f>
        <v>851.597999999986</v>
      </c>
      <c r="G414" s="636" t="n">
        <f aca="false">G413-D414</f>
        <v>841.948999999986</v>
      </c>
      <c r="H414" s="724"/>
    </row>
    <row r="415" s="621" customFormat="true" ht="39.75" hidden="false" customHeight="true" outlineLevel="0" collapsed="false">
      <c r="A415" s="632" t="s">
        <v>735</v>
      </c>
      <c r="B415" s="632" t="s">
        <v>380</v>
      </c>
      <c r="C415" s="633" t="n">
        <v>31</v>
      </c>
      <c r="D415" s="634" t="n">
        <f aca="false">C415-0.301</f>
        <v>30.699</v>
      </c>
      <c r="E415" s="635" t="n">
        <f aca="false">E414+D415</f>
        <v>10727.64</v>
      </c>
      <c r="F415" s="635" t="n">
        <f aca="false">F414-D414</f>
        <v>841.948999999986</v>
      </c>
      <c r="G415" s="636" t="n">
        <f aca="false">G414-D415</f>
        <v>811.249999999986</v>
      </c>
      <c r="H415" s="724"/>
    </row>
    <row r="416" s="621" customFormat="true" ht="39.75" hidden="false" customHeight="true" outlineLevel="0" collapsed="false">
      <c r="A416" s="632" t="s">
        <v>736</v>
      </c>
      <c r="B416" s="632" t="s">
        <v>380</v>
      </c>
      <c r="C416" s="633" t="n">
        <v>31</v>
      </c>
      <c r="D416" s="634" t="n">
        <f aca="false">C416-0.301</f>
        <v>30.699</v>
      </c>
      <c r="E416" s="635" t="n">
        <f aca="false">E415+D416</f>
        <v>10758.339</v>
      </c>
      <c r="F416" s="635" t="n">
        <f aca="false">F415-D415</f>
        <v>811.249999999986</v>
      </c>
      <c r="G416" s="636" t="n">
        <f aca="false">G415-D416</f>
        <v>780.550999999986</v>
      </c>
      <c r="H416" s="724"/>
    </row>
    <row r="417" s="621" customFormat="true" ht="39.75" hidden="false" customHeight="true" outlineLevel="0" collapsed="false">
      <c r="A417" s="632" t="s">
        <v>737</v>
      </c>
      <c r="B417" s="632" t="s">
        <v>380</v>
      </c>
      <c r="C417" s="633" t="n">
        <v>31</v>
      </c>
      <c r="D417" s="634" t="n">
        <f aca="false">C417-0.301</f>
        <v>30.699</v>
      </c>
      <c r="E417" s="635" t="n">
        <f aca="false">E416+D417</f>
        <v>10789.038</v>
      </c>
      <c r="F417" s="635" t="n">
        <f aca="false">F416-D416</f>
        <v>780.550999999986</v>
      </c>
      <c r="G417" s="636" t="n">
        <f aca="false">G416-D417</f>
        <v>749.851999999986</v>
      </c>
      <c r="H417" s="724"/>
    </row>
    <row r="418" s="726" customFormat="true" ht="39" hidden="false" customHeight="true" outlineLevel="0" collapsed="false">
      <c r="A418" s="632" t="s">
        <v>738</v>
      </c>
      <c r="B418" s="632" t="s">
        <v>380</v>
      </c>
      <c r="C418" s="633" t="n">
        <v>31</v>
      </c>
      <c r="D418" s="725" t="n">
        <f aca="false">C418-0.301</f>
        <v>30.699</v>
      </c>
      <c r="E418" s="635" t="n">
        <f aca="false">E417+D418</f>
        <v>10819.737</v>
      </c>
      <c r="F418" s="635" t="n">
        <f aca="false">F417-D417</f>
        <v>749.851999999986</v>
      </c>
      <c r="G418" s="636" t="n">
        <f aca="false">G417-D418</f>
        <v>719.152999999986</v>
      </c>
      <c r="H418" s="657" t="s">
        <v>649</v>
      </c>
    </row>
    <row r="419" s="621" customFormat="true" ht="59.25" hidden="false" customHeight="true" outlineLevel="0" collapsed="false">
      <c r="A419" s="632" t="s">
        <v>739</v>
      </c>
      <c r="B419" s="632" t="s">
        <v>380</v>
      </c>
      <c r="C419" s="633" t="n">
        <v>31</v>
      </c>
      <c r="D419" s="678" t="n">
        <f aca="false">C419-0.301</f>
        <v>30.699</v>
      </c>
      <c r="E419" s="635" t="n">
        <f aca="false">E418+D419</f>
        <v>10850.436</v>
      </c>
      <c r="F419" s="635" t="n">
        <f aca="false">F418-D418</f>
        <v>719.152999999986</v>
      </c>
      <c r="G419" s="636" t="n">
        <f aca="false">G418-D419</f>
        <v>688.453999999986</v>
      </c>
      <c r="H419" s="727"/>
    </row>
    <row r="420" s="621" customFormat="true" ht="60.75" hidden="false" customHeight="true" outlineLevel="0" collapsed="false">
      <c r="A420" s="632" t="s">
        <v>740</v>
      </c>
      <c r="B420" s="632" t="s">
        <v>380</v>
      </c>
      <c r="C420" s="633" t="n">
        <v>31</v>
      </c>
      <c r="D420" s="728" t="n">
        <f aca="false">C420</f>
        <v>31</v>
      </c>
      <c r="E420" s="635" t="n">
        <f aca="false">E419+D420</f>
        <v>10881.436</v>
      </c>
      <c r="F420" s="635" t="n">
        <f aca="false">F419-D419</f>
        <v>688.453999999986</v>
      </c>
      <c r="G420" s="636" t="n">
        <f aca="false">G419-D420</f>
        <v>657.453999999986</v>
      </c>
      <c r="H420" s="729"/>
    </row>
    <row r="421" s="621" customFormat="true" ht="125.25" hidden="false" customHeight="true" outlineLevel="0" collapsed="false">
      <c r="A421" s="632" t="s">
        <v>741</v>
      </c>
      <c r="B421" s="632" t="s">
        <v>380</v>
      </c>
      <c r="C421" s="633" t="n">
        <v>31</v>
      </c>
      <c r="D421" s="730" t="n">
        <f aca="false">C421</f>
        <v>31</v>
      </c>
      <c r="E421" s="635" t="n">
        <f aca="false">E420+D421</f>
        <v>10912.436</v>
      </c>
      <c r="F421" s="635" t="n">
        <f aca="false">F420-D420</f>
        <v>657.453999999986</v>
      </c>
      <c r="G421" s="636" t="n">
        <f aca="false">G420-D421</f>
        <v>626.453999999986</v>
      </c>
      <c r="H421" s="731"/>
    </row>
    <row r="422" s="621" customFormat="true" ht="39.75" hidden="false" customHeight="true" outlineLevel="0" collapsed="false">
      <c r="A422" s="632" t="s">
        <v>742</v>
      </c>
      <c r="B422" s="632" t="s">
        <v>380</v>
      </c>
      <c r="C422" s="633" t="n">
        <v>31</v>
      </c>
      <c r="D422" s="732" t="n">
        <f aca="false">C422</f>
        <v>31</v>
      </c>
      <c r="E422" s="635" t="n">
        <f aca="false">E421+D422</f>
        <v>10943.436</v>
      </c>
      <c r="F422" s="635" t="n">
        <f aca="false">F421-D421</f>
        <v>626.453999999986</v>
      </c>
      <c r="G422" s="636" t="n">
        <f aca="false">G421-D422</f>
        <v>595.453999999986</v>
      </c>
      <c r="H422" s="733"/>
    </row>
    <row r="423" s="726" customFormat="true" ht="39.75" hidden="false" customHeight="true" outlineLevel="0" collapsed="false">
      <c r="A423" s="632" t="s">
        <v>743</v>
      </c>
      <c r="B423" s="632" t="s">
        <v>380</v>
      </c>
      <c r="C423" s="633" t="n">
        <v>31</v>
      </c>
      <c r="D423" s="732" t="n">
        <f aca="false">C423</f>
        <v>31</v>
      </c>
      <c r="E423" s="635" t="n">
        <f aca="false">E422+D423</f>
        <v>10974.436</v>
      </c>
      <c r="F423" s="635" t="n">
        <f aca="false">F422-D422</f>
        <v>595.453999999986</v>
      </c>
      <c r="G423" s="636" t="n">
        <f aca="false">G422-D423</f>
        <v>564.453999999986</v>
      </c>
      <c r="H423" s="733"/>
    </row>
    <row r="424" s="621" customFormat="true" ht="26.8" hidden="false" customHeight="false" outlineLevel="0" collapsed="false">
      <c r="A424" s="632" t="s">
        <v>744</v>
      </c>
      <c r="B424" s="632" t="s">
        <v>380</v>
      </c>
      <c r="C424" s="633" t="n">
        <v>31</v>
      </c>
      <c r="D424" s="732" t="n">
        <f aca="false">C424</f>
        <v>31</v>
      </c>
      <c r="E424" s="635" t="n">
        <f aca="false">E423+D424</f>
        <v>11005.436</v>
      </c>
      <c r="F424" s="635" t="n">
        <f aca="false">F423-D423</f>
        <v>564.453999999986</v>
      </c>
      <c r="G424" s="636" t="n">
        <f aca="false">G423-D424</f>
        <v>533.453999999986</v>
      </c>
      <c r="H424" s="733"/>
    </row>
    <row r="425" s="621" customFormat="true" ht="26.8" hidden="false" customHeight="false" outlineLevel="0" collapsed="false">
      <c r="A425" s="632" t="s">
        <v>745</v>
      </c>
      <c r="B425" s="632" t="s">
        <v>380</v>
      </c>
      <c r="C425" s="633" t="n">
        <v>31</v>
      </c>
      <c r="D425" s="732" t="n">
        <f aca="false">C425</f>
        <v>31</v>
      </c>
      <c r="E425" s="635" t="n">
        <f aca="false">E424+D425</f>
        <v>11036.436</v>
      </c>
      <c r="F425" s="635" t="n">
        <f aca="false">F424-D424</f>
        <v>533.453999999986</v>
      </c>
      <c r="G425" s="636" t="n">
        <f aca="false">G424-D425</f>
        <v>502.453999999986</v>
      </c>
      <c r="H425" s="733"/>
    </row>
    <row r="426" s="621" customFormat="true" ht="26.8" hidden="false" customHeight="false" outlineLevel="0" collapsed="false">
      <c r="A426" s="632" t="s">
        <v>746</v>
      </c>
      <c r="B426" s="632" t="s">
        <v>380</v>
      </c>
      <c r="C426" s="633" t="n">
        <v>31</v>
      </c>
      <c r="D426" s="732" t="n">
        <f aca="false">C426</f>
        <v>31</v>
      </c>
      <c r="E426" s="635" t="n">
        <f aca="false">E425+D426</f>
        <v>11067.436</v>
      </c>
      <c r="F426" s="635" t="n">
        <f aca="false">F425-D425</f>
        <v>502.453999999986</v>
      </c>
      <c r="G426" s="636" t="n">
        <f aca="false">G425-D426</f>
        <v>471.453999999986</v>
      </c>
      <c r="H426" s="733"/>
    </row>
    <row r="427" s="621" customFormat="true" ht="26.8" hidden="false" customHeight="false" outlineLevel="0" collapsed="false">
      <c r="A427" s="632" t="s">
        <v>747</v>
      </c>
      <c r="B427" s="632" t="s">
        <v>380</v>
      </c>
      <c r="C427" s="633" t="n">
        <v>31</v>
      </c>
      <c r="D427" s="732" t="n">
        <f aca="false">C427</f>
        <v>31</v>
      </c>
      <c r="E427" s="635" t="n">
        <f aca="false">E426+D427</f>
        <v>11098.436</v>
      </c>
      <c r="F427" s="635" t="n">
        <f aca="false">F426-D426</f>
        <v>471.453999999986</v>
      </c>
      <c r="G427" s="636" t="n">
        <f aca="false">G426-D427</f>
        <v>440.453999999986</v>
      </c>
      <c r="H427" s="733"/>
    </row>
    <row r="428" customFormat="false" ht="77.25" hidden="false" customHeight="true" outlineLevel="0" collapsed="false">
      <c r="A428" s="632" t="s">
        <v>748</v>
      </c>
      <c r="B428" s="632" t="s">
        <v>380</v>
      </c>
      <c r="C428" s="633" t="n">
        <v>31</v>
      </c>
      <c r="D428" s="732" t="n">
        <f aca="false">C428</f>
        <v>31</v>
      </c>
      <c r="E428" s="635" t="n">
        <f aca="false">E427+D428</f>
        <v>11129.436</v>
      </c>
      <c r="F428" s="635" t="n">
        <f aca="false">F427-D427</f>
        <v>440.453999999986</v>
      </c>
      <c r="G428" s="636" t="n">
        <f aca="false">G427-D428</f>
        <v>409.453999999986</v>
      </c>
      <c r="H428" s="733"/>
    </row>
    <row r="429" customFormat="false" ht="26.8" hidden="false" customHeight="false" outlineLevel="0" collapsed="false">
      <c r="A429" s="632" t="s">
        <v>749</v>
      </c>
      <c r="B429" s="632" t="s">
        <v>380</v>
      </c>
      <c r="C429" s="633" t="n">
        <v>31</v>
      </c>
      <c r="D429" s="732" t="n">
        <f aca="false">C429</f>
        <v>31</v>
      </c>
      <c r="E429" s="635" t="n">
        <f aca="false">E428+D429</f>
        <v>11160.436</v>
      </c>
      <c r="F429" s="635" t="n">
        <f aca="false">F428-D428</f>
        <v>409.453999999986</v>
      </c>
      <c r="G429" s="636" t="n">
        <f aca="false">G428-D429</f>
        <v>378.453999999986</v>
      </c>
      <c r="H429" s="733"/>
    </row>
    <row r="430" customFormat="false" ht="76.1" hidden="false" customHeight="false" outlineLevel="0" collapsed="false">
      <c r="A430" s="734" t="s">
        <v>408</v>
      </c>
      <c r="B430" s="735" t="s">
        <v>525</v>
      </c>
      <c r="C430" s="736" t="n">
        <v>5.18</v>
      </c>
      <c r="D430" s="732" t="n">
        <f aca="false">C430</f>
        <v>5.18</v>
      </c>
      <c r="E430" s="635" t="n">
        <f aca="false">E429+D430</f>
        <v>11165.616</v>
      </c>
      <c r="F430" s="635" t="n">
        <f aca="false">F429-D429</f>
        <v>378.453999999986</v>
      </c>
      <c r="G430" s="636" t="n">
        <f aca="false">G429-D430</f>
        <v>373.273999999986</v>
      </c>
      <c r="H430" s="733"/>
    </row>
    <row r="431" customFormat="false" ht="76.1" hidden="false" customHeight="false" outlineLevel="0" collapsed="false">
      <c r="A431" s="734"/>
      <c r="B431" s="735" t="s">
        <v>600</v>
      </c>
      <c r="C431" s="736" t="n">
        <v>4.97</v>
      </c>
      <c r="D431" s="732" t="n">
        <f aca="false">C431</f>
        <v>4.97</v>
      </c>
      <c r="E431" s="635" t="n">
        <f aca="false">E430+D431</f>
        <v>11170.586</v>
      </c>
      <c r="F431" s="635" t="n">
        <f aca="false">F430-D430</f>
        <v>373.273999999986</v>
      </c>
      <c r="G431" s="636" t="n">
        <f aca="false">G430-D431</f>
        <v>368.303999999986</v>
      </c>
      <c r="H431" s="733"/>
    </row>
    <row r="432" customFormat="false" ht="135.8" hidden="false" customHeight="false" outlineLevel="0" collapsed="false">
      <c r="A432" s="734"/>
      <c r="B432" s="735" t="s">
        <v>601</v>
      </c>
      <c r="C432" s="736" t="n">
        <v>8.69</v>
      </c>
      <c r="D432" s="732" t="n">
        <f aca="false">C432</f>
        <v>8.69</v>
      </c>
      <c r="E432" s="635" t="n">
        <f aca="false">E431+D432</f>
        <v>11179.276</v>
      </c>
      <c r="F432" s="635" t="n">
        <f aca="false">F431-D431</f>
        <v>368.303999999986</v>
      </c>
      <c r="G432" s="636" t="n">
        <f aca="false">G431-D432</f>
        <v>359.613999999986</v>
      </c>
      <c r="H432" s="733"/>
    </row>
    <row r="433" customFormat="false" ht="76.1" hidden="false" customHeight="false" outlineLevel="0" collapsed="false">
      <c r="A433" s="734"/>
      <c r="B433" s="735" t="s">
        <v>528</v>
      </c>
      <c r="C433" s="736" t="n">
        <v>4.8</v>
      </c>
      <c r="D433" s="732" t="n">
        <f aca="false">C433</f>
        <v>4.8</v>
      </c>
      <c r="E433" s="635" t="n">
        <f aca="false">E432+D433</f>
        <v>11184.076</v>
      </c>
      <c r="F433" s="635" t="n">
        <f aca="false">F432-D432</f>
        <v>359.613999999986</v>
      </c>
      <c r="G433" s="636" t="n">
        <f aca="false">G432-D433</f>
        <v>354.813999999986</v>
      </c>
      <c r="H433" s="733"/>
    </row>
    <row r="434" customFormat="false" ht="76.1" hidden="false" customHeight="false" outlineLevel="0" collapsed="false">
      <c r="A434" s="734"/>
      <c r="B434" s="735" t="s">
        <v>579</v>
      </c>
      <c r="C434" s="736" t="n">
        <v>9.95</v>
      </c>
      <c r="D434" s="732" t="n">
        <f aca="false">C434</f>
        <v>9.95</v>
      </c>
      <c r="E434" s="635" t="n">
        <f aca="false">E433+D434</f>
        <v>11194.026</v>
      </c>
      <c r="F434" s="635" t="n">
        <f aca="false">F433-D433</f>
        <v>354.813999999986</v>
      </c>
      <c r="G434" s="636" t="n">
        <f aca="false">G433-D434</f>
        <v>344.863999999986</v>
      </c>
      <c r="H434" s="733"/>
    </row>
    <row r="435" customFormat="false" ht="26.8" hidden="false" customHeight="false" outlineLevel="0" collapsed="false">
      <c r="A435" s="632" t="s">
        <v>750</v>
      </c>
      <c r="B435" s="632" t="s">
        <v>380</v>
      </c>
      <c r="C435" s="633" t="n">
        <v>31</v>
      </c>
      <c r="D435" s="732" t="n">
        <f aca="false">C435</f>
        <v>31</v>
      </c>
      <c r="E435" s="635" t="n">
        <f aca="false">E434+D435</f>
        <v>11225.026</v>
      </c>
      <c r="F435" s="635" t="n">
        <f aca="false">F434-D434</f>
        <v>344.863999999986</v>
      </c>
      <c r="G435" s="636" t="n">
        <f aca="false">G434-D435</f>
        <v>313.863999999986</v>
      </c>
      <c r="H435" s="733"/>
    </row>
    <row r="436" customFormat="false" ht="26.8" hidden="false" customHeight="false" outlineLevel="0" collapsed="false">
      <c r="A436" s="632" t="s">
        <v>751</v>
      </c>
      <c r="B436" s="632" t="s">
        <v>380</v>
      </c>
      <c r="C436" s="633" t="n">
        <v>31</v>
      </c>
      <c r="D436" s="732" t="n">
        <f aca="false">C436</f>
        <v>31</v>
      </c>
      <c r="E436" s="635" t="n">
        <f aca="false">E435+D436</f>
        <v>11256.026</v>
      </c>
      <c r="F436" s="635" t="n">
        <f aca="false">F435-D435</f>
        <v>313.863999999986</v>
      </c>
      <c r="G436" s="636" t="n">
        <f aca="false">G435-D436</f>
        <v>282.863999999986</v>
      </c>
      <c r="H436" s="733"/>
    </row>
    <row r="437" customFormat="false" ht="26.8" hidden="false" customHeight="false" outlineLevel="0" collapsed="false">
      <c r="A437" s="632" t="s">
        <v>752</v>
      </c>
      <c r="B437" s="632" t="s">
        <v>380</v>
      </c>
      <c r="C437" s="633" t="n">
        <v>31</v>
      </c>
      <c r="D437" s="732" t="n">
        <f aca="false">C437</f>
        <v>31</v>
      </c>
      <c r="E437" s="635" t="n">
        <f aca="false">E436+D437</f>
        <v>11287.026</v>
      </c>
      <c r="F437" s="635" t="n">
        <f aca="false">F436-D436</f>
        <v>282.863999999986</v>
      </c>
      <c r="G437" s="636" t="n">
        <f aca="false">G436-D437</f>
        <v>251.863999999986</v>
      </c>
      <c r="H437" s="733"/>
    </row>
    <row r="438" customFormat="false" ht="26.8" hidden="false" customHeight="false" outlineLevel="0" collapsed="false">
      <c r="A438" s="632" t="s">
        <v>753</v>
      </c>
      <c r="B438" s="632" t="s">
        <v>380</v>
      </c>
      <c r="C438" s="633" t="n">
        <v>31</v>
      </c>
      <c r="D438" s="732" t="n">
        <f aca="false">C438</f>
        <v>31</v>
      </c>
      <c r="E438" s="635" t="n">
        <f aca="false">E437+D438</f>
        <v>11318.026</v>
      </c>
      <c r="F438" s="635" t="n">
        <f aca="false">F437-D437</f>
        <v>251.863999999986</v>
      </c>
      <c r="G438" s="636" t="n">
        <f aca="false">G437-D438</f>
        <v>220.863999999986</v>
      </c>
      <c r="H438" s="733"/>
    </row>
    <row r="439" customFormat="false" ht="26.8" hidden="false" customHeight="false" outlineLevel="0" collapsed="false">
      <c r="A439" s="632" t="s">
        <v>754</v>
      </c>
      <c r="B439" s="632" t="s">
        <v>380</v>
      </c>
      <c r="C439" s="633" t="n">
        <v>31</v>
      </c>
      <c r="D439" s="732" t="n">
        <f aca="false">C439</f>
        <v>31</v>
      </c>
      <c r="E439" s="635" t="n">
        <f aca="false">E438+D439</f>
        <v>11349.026</v>
      </c>
      <c r="F439" s="635" t="n">
        <f aca="false">F438-D438</f>
        <v>220.863999999986</v>
      </c>
      <c r="G439" s="636" t="n">
        <f aca="false">G438-D439</f>
        <v>189.863999999986</v>
      </c>
      <c r="H439" s="733"/>
    </row>
    <row r="440" customFormat="false" ht="26.8" hidden="false" customHeight="false" outlineLevel="0" collapsed="false">
      <c r="A440" s="632" t="s">
        <v>755</v>
      </c>
      <c r="B440" s="632" t="s">
        <v>380</v>
      </c>
      <c r="C440" s="633" t="n">
        <v>31</v>
      </c>
      <c r="D440" s="732" t="n">
        <f aca="false">C440</f>
        <v>31</v>
      </c>
      <c r="E440" s="635" t="n">
        <f aca="false">E439+D440</f>
        <v>11380.026</v>
      </c>
      <c r="F440" s="635" t="n">
        <f aca="false">F439-D439</f>
        <v>189.863999999986</v>
      </c>
      <c r="G440" s="636" t="n">
        <f aca="false">G439-D440</f>
        <v>158.863999999986</v>
      </c>
      <c r="H440" s="733"/>
    </row>
    <row r="441" customFormat="false" ht="26.8" hidden="false" customHeight="false" outlineLevel="0" collapsed="false">
      <c r="A441" s="632" t="s">
        <v>756</v>
      </c>
      <c r="B441" s="632" t="s">
        <v>380</v>
      </c>
      <c r="C441" s="633" t="n">
        <v>31</v>
      </c>
      <c r="D441" s="732" t="n">
        <f aca="false">C441</f>
        <v>31</v>
      </c>
      <c r="E441" s="635" t="n">
        <f aca="false">E440+D441</f>
        <v>11411.026</v>
      </c>
      <c r="F441" s="635" t="n">
        <f aca="false">F440-D440</f>
        <v>158.863999999986</v>
      </c>
      <c r="G441" s="636" t="n">
        <f aca="false">G440-D441</f>
        <v>127.863999999986</v>
      </c>
      <c r="H441" s="733"/>
    </row>
    <row r="442" customFormat="false" ht="26.8" hidden="false" customHeight="false" outlineLevel="0" collapsed="false">
      <c r="A442" s="632" t="s">
        <v>757</v>
      </c>
      <c r="B442" s="632" t="s">
        <v>380</v>
      </c>
      <c r="C442" s="633" t="n">
        <v>31</v>
      </c>
      <c r="D442" s="732" t="n">
        <f aca="false">C442</f>
        <v>31</v>
      </c>
      <c r="E442" s="635" t="n">
        <f aca="false">E441+D442</f>
        <v>11442.026</v>
      </c>
      <c r="F442" s="635" t="n">
        <f aca="false">F441-D441</f>
        <v>127.863999999986</v>
      </c>
      <c r="G442" s="636" t="n">
        <f aca="false">G441-D442</f>
        <v>96.8639999999858</v>
      </c>
      <c r="H442" s="733"/>
    </row>
    <row r="443" customFormat="false" ht="26.8" hidden="false" customHeight="false" outlineLevel="0" collapsed="false">
      <c r="A443" s="632" t="s">
        <v>758</v>
      </c>
      <c r="B443" s="632" t="s">
        <v>380</v>
      </c>
      <c r="C443" s="633" t="n">
        <v>31</v>
      </c>
      <c r="D443" s="732" t="n">
        <f aca="false">C443</f>
        <v>31</v>
      </c>
      <c r="E443" s="635" t="n">
        <f aca="false">E442+D443</f>
        <v>11473.026</v>
      </c>
      <c r="F443" s="635" t="n">
        <f aca="false">F442-D442</f>
        <v>96.8639999999858</v>
      </c>
      <c r="G443" s="636" t="n">
        <f aca="false">G442-D443</f>
        <v>65.8639999999858</v>
      </c>
      <c r="H443" s="733"/>
    </row>
    <row r="444" customFormat="false" ht="26.8" hidden="false" customHeight="false" outlineLevel="0" collapsed="false">
      <c r="A444" s="632" t="s">
        <v>759</v>
      </c>
      <c r="B444" s="632" t="s">
        <v>380</v>
      </c>
      <c r="C444" s="633" t="n">
        <v>31</v>
      </c>
      <c r="D444" s="732" t="n">
        <f aca="false">C444</f>
        <v>31</v>
      </c>
      <c r="E444" s="635" t="n">
        <f aca="false">E443+D444</f>
        <v>11504.026</v>
      </c>
      <c r="F444" s="635" t="n">
        <f aca="false">F443-D443</f>
        <v>65.8639999999858</v>
      </c>
      <c r="G444" s="636" t="n">
        <f aca="false">G443-D444</f>
        <v>34.8639999999858</v>
      </c>
      <c r="H444" s="733"/>
    </row>
    <row r="445" customFormat="false" ht="26.8" hidden="false" customHeight="false" outlineLevel="0" collapsed="false">
      <c r="A445" s="632" t="s">
        <v>760</v>
      </c>
      <c r="B445" s="632" t="s">
        <v>380</v>
      </c>
      <c r="C445" s="633" t="n">
        <v>31</v>
      </c>
      <c r="D445" s="732" t="n">
        <f aca="false">C445</f>
        <v>31</v>
      </c>
      <c r="E445" s="635" t="n">
        <f aca="false">E444+D445</f>
        <v>11535.026</v>
      </c>
      <c r="F445" s="635" t="n">
        <f aca="false">F444-D444</f>
        <v>34.8639999999858</v>
      </c>
      <c r="G445" s="636" t="n">
        <f aca="false">G444-D445</f>
        <v>3.86399999998582</v>
      </c>
      <c r="H445" s="733"/>
    </row>
    <row r="446" customFormat="false" ht="26.8" hidden="false" customHeight="false" outlineLevel="0" collapsed="false">
      <c r="A446" s="632" t="s">
        <v>761</v>
      </c>
      <c r="B446" s="632" t="s">
        <v>380</v>
      </c>
      <c r="C446" s="633" t="n">
        <v>31</v>
      </c>
      <c r="D446" s="732" t="n">
        <f aca="false">C446</f>
        <v>31</v>
      </c>
      <c r="E446" s="635" t="n">
        <f aca="false">E445+D446</f>
        <v>11566.026</v>
      </c>
      <c r="F446" s="635" t="n">
        <f aca="false">F445-D445</f>
        <v>3.86399999998582</v>
      </c>
      <c r="G446" s="636" t="n">
        <f aca="false">G445-D446</f>
        <v>-27.1360000000142</v>
      </c>
      <c r="H446" s="733"/>
    </row>
    <row r="447" customFormat="false" ht="26.8" hidden="false" customHeight="false" outlineLevel="0" collapsed="false">
      <c r="A447" s="632" t="s">
        <v>762</v>
      </c>
      <c r="B447" s="632" t="s">
        <v>380</v>
      </c>
      <c r="C447" s="633" t="n">
        <v>31</v>
      </c>
      <c r="D447" s="732" t="n">
        <f aca="false">C447</f>
        <v>31</v>
      </c>
      <c r="E447" s="635" t="n">
        <f aca="false">E446+D447</f>
        <v>11597.026</v>
      </c>
      <c r="F447" s="635" t="n">
        <f aca="false">F446-D446</f>
        <v>-27.1360000000142</v>
      </c>
      <c r="G447" s="636" t="n">
        <f aca="false">G446-D447</f>
        <v>-58.1360000000142</v>
      </c>
      <c r="H447" s="733"/>
    </row>
    <row r="448" customFormat="false" ht="26.8" hidden="false" customHeight="false" outlineLevel="0" collapsed="false">
      <c r="A448" s="632" t="s">
        <v>763</v>
      </c>
      <c r="B448" s="632" t="s">
        <v>380</v>
      </c>
      <c r="C448" s="633" t="n">
        <v>31</v>
      </c>
      <c r="D448" s="732" t="n">
        <f aca="false">C448</f>
        <v>31</v>
      </c>
      <c r="E448" s="635" t="n">
        <f aca="false">E447+D448</f>
        <v>11628.026</v>
      </c>
      <c r="F448" s="635" t="n">
        <f aca="false">F447-D447</f>
        <v>-58.1360000000142</v>
      </c>
      <c r="G448" s="636" t="n">
        <f aca="false">G447-D448</f>
        <v>-89.1360000000142</v>
      </c>
      <c r="H448" s="733"/>
    </row>
    <row r="449" customFormat="false" ht="26.8" hidden="false" customHeight="false" outlineLevel="0" collapsed="false">
      <c r="A449" s="632" t="s">
        <v>764</v>
      </c>
      <c r="B449" s="632" t="s">
        <v>380</v>
      </c>
      <c r="C449" s="633" t="n">
        <v>31</v>
      </c>
      <c r="D449" s="732" t="n">
        <f aca="false">C449</f>
        <v>31</v>
      </c>
      <c r="E449" s="635" t="n">
        <f aca="false">E448+D449</f>
        <v>11659.026</v>
      </c>
      <c r="F449" s="635" t="n">
        <f aca="false">F448-D448</f>
        <v>-89.1360000000142</v>
      </c>
      <c r="G449" s="636" t="n">
        <f aca="false">G448-D449</f>
        <v>-120.136000000014</v>
      </c>
      <c r="H449" s="733"/>
    </row>
    <row r="450" customFormat="false" ht="26.8" hidden="false" customHeight="false" outlineLevel="0" collapsed="false">
      <c r="A450" s="632" t="s">
        <v>765</v>
      </c>
      <c r="B450" s="632" t="s">
        <v>380</v>
      </c>
      <c r="C450" s="633" t="n">
        <v>31</v>
      </c>
      <c r="D450" s="732" t="n">
        <f aca="false">C450</f>
        <v>31</v>
      </c>
      <c r="E450" s="635" t="n">
        <f aca="false">E449+D450</f>
        <v>11690.026</v>
      </c>
      <c r="F450" s="635" t="n">
        <f aca="false">F449-D449</f>
        <v>-120.136000000014</v>
      </c>
      <c r="G450" s="636" t="n">
        <f aca="false">G449-D450</f>
        <v>-151.136000000014</v>
      </c>
      <c r="H450" s="733"/>
    </row>
    <row r="451" customFormat="false" ht="26.8" hidden="false" customHeight="false" outlineLevel="0" collapsed="false">
      <c r="A451" s="632" t="s">
        <v>766</v>
      </c>
      <c r="B451" s="632" t="s">
        <v>380</v>
      </c>
      <c r="C451" s="633" t="n">
        <v>31</v>
      </c>
      <c r="D451" s="732" t="n">
        <f aca="false">C451</f>
        <v>31</v>
      </c>
      <c r="E451" s="635" t="n">
        <f aca="false">E450+D451</f>
        <v>11721.026</v>
      </c>
      <c r="F451" s="635" t="n">
        <f aca="false">F450-D450</f>
        <v>-151.136000000014</v>
      </c>
      <c r="G451" s="636" t="n">
        <f aca="false">G450-D451</f>
        <v>-182.136000000014</v>
      </c>
      <c r="H451" s="733"/>
    </row>
    <row r="452" customFormat="false" ht="26.8" hidden="false" customHeight="false" outlineLevel="0" collapsed="false">
      <c r="A452" s="632" t="s">
        <v>767</v>
      </c>
      <c r="B452" s="632" t="s">
        <v>380</v>
      </c>
      <c r="C452" s="633" t="n">
        <v>31</v>
      </c>
      <c r="D452" s="732" t="n">
        <f aca="false">C452</f>
        <v>31</v>
      </c>
      <c r="E452" s="635" t="n">
        <f aca="false">E451+D452</f>
        <v>11752.026</v>
      </c>
      <c r="F452" s="635" t="n">
        <f aca="false">F451-D451</f>
        <v>-182.136000000014</v>
      </c>
      <c r="G452" s="636" t="n">
        <f aca="false">G451-D452</f>
        <v>-213.136000000014</v>
      </c>
      <c r="H452" s="733"/>
    </row>
    <row r="453" customFormat="false" ht="26.8" hidden="false" customHeight="false" outlineLevel="0" collapsed="false">
      <c r="A453" s="632" t="s">
        <v>768</v>
      </c>
      <c r="B453" s="632" t="s">
        <v>380</v>
      </c>
      <c r="C453" s="633" t="n">
        <v>31</v>
      </c>
      <c r="D453" s="732" t="n">
        <f aca="false">C453</f>
        <v>31</v>
      </c>
      <c r="E453" s="635" t="n">
        <f aca="false">E452+D453</f>
        <v>11783.026</v>
      </c>
      <c r="F453" s="635" t="n">
        <f aca="false">F452-D452</f>
        <v>-213.136000000014</v>
      </c>
      <c r="G453" s="636" t="n">
        <f aca="false">G452-D453</f>
        <v>-244.136000000014</v>
      </c>
      <c r="H453" s="733"/>
    </row>
    <row r="454" customFormat="false" ht="26.8" hidden="false" customHeight="false" outlineLevel="0" collapsed="false">
      <c r="A454" s="632" t="s">
        <v>769</v>
      </c>
      <c r="B454" s="632" t="s">
        <v>380</v>
      </c>
      <c r="C454" s="633" t="n">
        <v>31</v>
      </c>
      <c r="D454" s="732" t="n">
        <f aca="false">C454</f>
        <v>31</v>
      </c>
      <c r="E454" s="635" t="n">
        <f aca="false">E453+D454</f>
        <v>11814.026</v>
      </c>
      <c r="F454" s="635" t="n">
        <f aca="false">F453-D453</f>
        <v>-244.136000000014</v>
      </c>
      <c r="G454" s="636" t="n">
        <f aca="false">G453-D454</f>
        <v>-275.136000000014</v>
      </c>
      <c r="H454" s="733"/>
    </row>
    <row r="455" customFormat="false" ht="26.8" hidden="false" customHeight="false" outlineLevel="0" collapsed="false">
      <c r="A455" s="632" t="s">
        <v>770</v>
      </c>
      <c r="B455" s="632" t="s">
        <v>380</v>
      </c>
      <c r="C455" s="633" t="n">
        <v>31</v>
      </c>
      <c r="D455" s="732" t="n">
        <f aca="false">C455</f>
        <v>31</v>
      </c>
      <c r="E455" s="635" t="n">
        <f aca="false">E454+D455</f>
        <v>11845.026</v>
      </c>
      <c r="F455" s="635" t="n">
        <f aca="false">F454-D454</f>
        <v>-275.136000000014</v>
      </c>
      <c r="G455" s="636" t="n">
        <f aca="false">G454-D455</f>
        <v>-306.136000000014</v>
      </c>
      <c r="H455" s="733"/>
    </row>
    <row r="456" customFormat="false" ht="26.8" hidden="false" customHeight="false" outlineLevel="0" collapsed="false">
      <c r="A456" s="632" t="s">
        <v>771</v>
      </c>
      <c r="B456" s="632" t="s">
        <v>380</v>
      </c>
      <c r="C456" s="633" t="n">
        <v>31</v>
      </c>
      <c r="D456" s="732" t="n">
        <f aca="false">C456</f>
        <v>31</v>
      </c>
      <c r="E456" s="635" t="n">
        <f aca="false">E455+D456</f>
        <v>11876.026</v>
      </c>
      <c r="F456" s="635" t="n">
        <f aca="false">F455-D455</f>
        <v>-306.136000000014</v>
      </c>
      <c r="G456" s="636" t="n">
        <f aca="false">G455-D456</f>
        <v>-337.136000000014</v>
      </c>
      <c r="H456" s="733"/>
    </row>
    <row r="457" customFormat="false" ht="26.8" hidden="false" customHeight="false" outlineLevel="0" collapsed="false">
      <c r="A457" s="632" t="s">
        <v>772</v>
      </c>
      <c r="B457" s="632" t="s">
        <v>380</v>
      </c>
      <c r="C457" s="633" t="n">
        <v>31</v>
      </c>
      <c r="D457" s="732" t="n">
        <f aca="false">C457</f>
        <v>31</v>
      </c>
      <c r="E457" s="635" t="n">
        <f aca="false">E456+D457</f>
        <v>11907.026</v>
      </c>
      <c r="F457" s="635" t="n">
        <f aca="false">F456-D456</f>
        <v>-337.136000000014</v>
      </c>
      <c r="G457" s="636" t="n">
        <f aca="false">G456-D457</f>
        <v>-368.136000000014</v>
      </c>
      <c r="H457" s="733"/>
    </row>
    <row r="458" customFormat="false" ht="26.8" hidden="false" customHeight="false" outlineLevel="0" collapsed="false">
      <c r="A458" s="632" t="s">
        <v>773</v>
      </c>
      <c r="B458" s="632" t="s">
        <v>380</v>
      </c>
      <c r="C458" s="633" t="n">
        <v>31</v>
      </c>
      <c r="D458" s="732" t="n">
        <f aca="false">C458</f>
        <v>31</v>
      </c>
      <c r="E458" s="635" t="n">
        <f aca="false">E457+D458</f>
        <v>11938.026</v>
      </c>
      <c r="F458" s="635" t="n">
        <f aca="false">F457-D457</f>
        <v>-368.136000000014</v>
      </c>
      <c r="G458" s="636" t="n">
        <f aca="false">G457-D458</f>
        <v>-399.136000000014</v>
      </c>
      <c r="H458" s="733"/>
    </row>
    <row r="459" customFormat="false" ht="26.8" hidden="false" customHeight="false" outlineLevel="0" collapsed="false">
      <c r="A459" s="632" t="s">
        <v>774</v>
      </c>
      <c r="B459" s="632" t="s">
        <v>380</v>
      </c>
      <c r="C459" s="633" t="n">
        <v>31</v>
      </c>
      <c r="D459" s="732" t="n">
        <f aca="false">C459</f>
        <v>31</v>
      </c>
      <c r="E459" s="635" t="n">
        <f aca="false">E458+D459</f>
        <v>11969.026</v>
      </c>
      <c r="F459" s="635" t="n">
        <f aca="false">F458-D458</f>
        <v>-399.136000000014</v>
      </c>
      <c r="G459" s="636" t="n">
        <f aca="false">G458-D459</f>
        <v>-430.136000000014</v>
      </c>
      <c r="H459" s="733"/>
    </row>
    <row r="460" customFormat="false" ht="26.8" hidden="false" customHeight="false" outlineLevel="0" collapsed="false">
      <c r="A460" s="632" t="s">
        <v>775</v>
      </c>
      <c r="B460" s="632" t="s">
        <v>380</v>
      </c>
      <c r="C460" s="633" t="n">
        <v>31</v>
      </c>
      <c r="D460" s="732" t="n">
        <f aca="false">C460</f>
        <v>31</v>
      </c>
      <c r="E460" s="635" t="n">
        <f aca="false">E459+D460</f>
        <v>12000.026</v>
      </c>
      <c r="F460" s="635" t="n">
        <f aca="false">F459-D459</f>
        <v>-430.136000000014</v>
      </c>
      <c r="G460" s="636" t="n">
        <f aca="false">G459-D460</f>
        <v>-461.136000000014</v>
      </c>
      <c r="H460" s="733"/>
    </row>
    <row r="461" customFormat="false" ht="26.8" hidden="false" customHeight="false" outlineLevel="0" collapsed="false">
      <c r="A461" s="632" t="s">
        <v>776</v>
      </c>
      <c r="B461" s="632" t="s">
        <v>380</v>
      </c>
      <c r="C461" s="633" t="n">
        <v>31</v>
      </c>
      <c r="D461" s="732" t="n">
        <f aca="false">C461</f>
        <v>31</v>
      </c>
      <c r="E461" s="635" t="n">
        <f aca="false">E460+D461</f>
        <v>12031.026</v>
      </c>
      <c r="F461" s="635" t="n">
        <f aca="false">F460-D460</f>
        <v>-461.136000000014</v>
      </c>
      <c r="G461" s="636" t="n">
        <f aca="false">G460-D461</f>
        <v>-492.136000000014</v>
      </c>
      <c r="H461" s="733"/>
    </row>
    <row r="462" customFormat="false" ht="26.8" hidden="false" customHeight="false" outlineLevel="0" collapsed="false">
      <c r="A462" s="632" t="s">
        <v>777</v>
      </c>
      <c r="B462" s="632" t="s">
        <v>380</v>
      </c>
      <c r="C462" s="633" t="n">
        <v>31</v>
      </c>
      <c r="D462" s="732" t="n">
        <f aca="false">C462</f>
        <v>31</v>
      </c>
      <c r="E462" s="635" t="n">
        <f aca="false">E461+D462</f>
        <v>12062.026</v>
      </c>
      <c r="F462" s="635" t="n">
        <f aca="false">F461-D461</f>
        <v>-492.136000000014</v>
      </c>
      <c r="G462" s="636" t="n">
        <f aca="false">G461-D462</f>
        <v>-523.136000000014</v>
      </c>
      <c r="H462" s="733"/>
    </row>
    <row r="463" customFormat="false" ht="76.1" hidden="false" customHeight="false" outlineLevel="0" collapsed="false">
      <c r="A463" s="737" t="s">
        <v>412</v>
      </c>
      <c r="B463" s="738" t="s">
        <v>525</v>
      </c>
      <c r="C463" s="739" t="n">
        <v>5.19</v>
      </c>
      <c r="D463" s="732" t="n">
        <f aca="false">C463</f>
        <v>5.19</v>
      </c>
      <c r="E463" s="635" t="n">
        <f aca="false">E462+D463</f>
        <v>12067.216</v>
      </c>
      <c r="F463" s="635" t="n">
        <f aca="false">F462-D462</f>
        <v>-523.136000000014</v>
      </c>
      <c r="G463" s="636" t="n">
        <f aca="false">G462-D463</f>
        <v>-528.326000000014</v>
      </c>
      <c r="H463" s="733"/>
    </row>
    <row r="464" customFormat="false" ht="76.1" hidden="false" customHeight="false" outlineLevel="0" collapsed="false">
      <c r="A464" s="737"/>
      <c r="B464" s="738" t="s">
        <v>577</v>
      </c>
      <c r="C464" s="739" t="n">
        <v>4.96</v>
      </c>
      <c r="D464" s="732" t="n">
        <f aca="false">C464</f>
        <v>4.96</v>
      </c>
      <c r="E464" s="635" t="n">
        <f aca="false">E463+D464</f>
        <v>12072.176</v>
      </c>
      <c r="F464" s="635" t="n">
        <f aca="false">F463-D463</f>
        <v>-528.326000000014</v>
      </c>
      <c r="G464" s="636" t="n">
        <f aca="false">G463-D464</f>
        <v>-533.286000000014</v>
      </c>
      <c r="H464" s="733"/>
    </row>
    <row r="465" customFormat="false" ht="135.8" hidden="false" customHeight="false" outlineLevel="0" collapsed="false">
      <c r="A465" s="737"/>
      <c r="B465" s="738" t="s">
        <v>622</v>
      </c>
      <c r="C465" s="739" t="n">
        <v>8.69</v>
      </c>
      <c r="D465" s="732" t="n">
        <f aca="false">C465</f>
        <v>8.69</v>
      </c>
      <c r="E465" s="635" t="n">
        <f aca="false">E464+D465</f>
        <v>12080.866</v>
      </c>
      <c r="F465" s="635" t="n">
        <f aca="false">F464-D464</f>
        <v>-533.286000000014</v>
      </c>
      <c r="G465" s="636" t="n">
        <f aca="false">G464-D465</f>
        <v>-541.976000000014</v>
      </c>
      <c r="H465" s="733"/>
    </row>
    <row r="466" customFormat="false" ht="76.1" hidden="false" customHeight="false" outlineLevel="0" collapsed="false">
      <c r="A466" s="737"/>
      <c r="B466" s="738" t="s">
        <v>528</v>
      </c>
      <c r="C466" s="739" t="n">
        <v>4.88</v>
      </c>
      <c r="D466" s="732" t="n">
        <f aca="false">C466</f>
        <v>4.88</v>
      </c>
      <c r="E466" s="635" t="n">
        <f aca="false">E465+D466</f>
        <v>12085.746</v>
      </c>
      <c r="F466" s="635" t="n">
        <f aca="false">F465-D465</f>
        <v>-541.976000000014</v>
      </c>
      <c r="G466" s="636" t="n">
        <f aca="false">G465-D466</f>
        <v>-546.856000000014</v>
      </c>
      <c r="H466" s="733"/>
    </row>
    <row r="467" customFormat="false" ht="76.1" hidden="false" customHeight="false" outlineLevel="0" collapsed="false">
      <c r="A467" s="737"/>
      <c r="B467" s="738" t="s">
        <v>579</v>
      </c>
      <c r="C467" s="739" t="n">
        <v>9.93</v>
      </c>
      <c r="D467" s="732" t="n">
        <f aca="false">C467</f>
        <v>9.93</v>
      </c>
      <c r="E467" s="635" t="n">
        <f aca="false">E466+D467</f>
        <v>12095.676</v>
      </c>
      <c r="F467" s="635" t="n">
        <f aca="false">F466-D466</f>
        <v>-546.856000000014</v>
      </c>
      <c r="G467" s="636" t="n">
        <f aca="false">G466-D467</f>
        <v>-556.786000000014</v>
      </c>
      <c r="H467" s="733"/>
    </row>
    <row r="468" customFormat="false" ht="26.8" hidden="false" customHeight="false" outlineLevel="0" collapsed="false">
      <c r="A468" s="632" t="s">
        <v>778</v>
      </c>
      <c r="B468" s="632" t="s">
        <v>380</v>
      </c>
      <c r="C468" s="633" t="n">
        <v>31</v>
      </c>
      <c r="D468" s="732" t="n">
        <f aca="false">C468</f>
        <v>31</v>
      </c>
      <c r="E468" s="635" t="n">
        <f aca="false">E467+D468</f>
        <v>12126.676</v>
      </c>
      <c r="F468" s="635" t="n">
        <f aca="false">F467-D467</f>
        <v>-556.786000000014</v>
      </c>
      <c r="G468" s="636" t="n">
        <f aca="false">G467-D468</f>
        <v>-587.786000000014</v>
      </c>
      <c r="H468" s="733"/>
    </row>
    <row r="469" customFormat="false" ht="26.8" hidden="false" customHeight="false" outlineLevel="0" collapsed="false">
      <c r="A469" s="632" t="s">
        <v>779</v>
      </c>
      <c r="B469" s="632" t="s">
        <v>380</v>
      </c>
      <c r="C469" s="633" t="n">
        <v>31</v>
      </c>
      <c r="D469" s="732" t="n">
        <f aca="false">C469</f>
        <v>31</v>
      </c>
      <c r="E469" s="635" t="n">
        <f aca="false">E468+D469</f>
        <v>12157.676</v>
      </c>
      <c r="F469" s="635" t="n">
        <f aca="false">F468-D468</f>
        <v>-587.786000000014</v>
      </c>
      <c r="G469" s="636" t="n">
        <f aca="false">G468-D469</f>
        <v>-618.786000000014</v>
      </c>
      <c r="H469" s="733"/>
    </row>
    <row r="470" customFormat="false" ht="26.8" hidden="false" customHeight="false" outlineLevel="0" collapsed="false">
      <c r="A470" s="632" t="s">
        <v>780</v>
      </c>
      <c r="B470" s="632" t="s">
        <v>380</v>
      </c>
      <c r="C470" s="633" t="n">
        <v>31</v>
      </c>
      <c r="D470" s="732" t="n">
        <f aca="false">C470</f>
        <v>31</v>
      </c>
      <c r="E470" s="635" t="n">
        <f aca="false">E469+D470</f>
        <v>12188.676</v>
      </c>
      <c r="F470" s="635" t="n">
        <f aca="false">F469-D469</f>
        <v>-618.786000000014</v>
      </c>
      <c r="G470" s="636" t="n">
        <f aca="false">G469-D470</f>
        <v>-649.786000000014</v>
      </c>
      <c r="H470" s="733"/>
    </row>
    <row r="471" customFormat="false" ht="26.8" hidden="false" customHeight="false" outlineLevel="0" collapsed="false">
      <c r="A471" s="632" t="s">
        <v>781</v>
      </c>
      <c r="B471" s="632" t="s">
        <v>380</v>
      </c>
      <c r="C471" s="633" t="n">
        <v>31</v>
      </c>
      <c r="D471" s="732" t="n">
        <f aca="false">C471</f>
        <v>31</v>
      </c>
      <c r="E471" s="635" t="n">
        <f aca="false">E470+D471</f>
        <v>12219.676</v>
      </c>
      <c r="F471" s="635" t="n">
        <f aca="false">F470-D470</f>
        <v>-649.786000000014</v>
      </c>
      <c r="G471" s="636" t="n">
        <f aca="false">G470-D471</f>
        <v>-680.786000000014</v>
      </c>
      <c r="H471" s="733"/>
    </row>
    <row r="472" customFormat="false" ht="26.8" hidden="false" customHeight="false" outlineLevel="0" collapsed="false">
      <c r="A472" s="632" t="s">
        <v>782</v>
      </c>
      <c r="B472" s="632" t="s">
        <v>380</v>
      </c>
      <c r="C472" s="633" t="n">
        <v>31</v>
      </c>
      <c r="D472" s="732" t="n">
        <f aca="false">C472</f>
        <v>31</v>
      </c>
      <c r="E472" s="635" t="n">
        <f aca="false">E471+D472</f>
        <v>12250.676</v>
      </c>
      <c r="F472" s="635" t="n">
        <f aca="false">F471-D471</f>
        <v>-680.786000000014</v>
      </c>
      <c r="G472" s="636" t="n">
        <f aca="false">G471-D472</f>
        <v>-711.786000000014</v>
      </c>
      <c r="H472" s="733"/>
    </row>
    <row r="473" customFormat="false" ht="26.8" hidden="false" customHeight="false" outlineLevel="0" collapsed="false">
      <c r="A473" s="632" t="s">
        <v>783</v>
      </c>
      <c r="B473" s="632" t="s">
        <v>380</v>
      </c>
      <c r="C473" s="633" t="n">
        <v>31</v>
      </c>
      <c r="D473" s="732" t="n">
        <f aca="false">C473</f>
        <v>31</v>
      </c>
      <c r="E473" s="635" t="n">
        <f aca="false">E472+D473</f>
        <v>12281.676</v>
      </c>
      <c r="F473" s="635" t="n">
        <f aca="false">F472-D472</f>
        <v>-711.786000000014</v>
      </c>
      <c r="G473" s="636" t="n">
        <f aca="false">G472-D473</f>
        <v>-742.786000000014</v>
      </c>
      <c r="H473" s="733"/>
    </row>
    <row r="474" customFormat="false" ht="26.8" hidden="false" customHeight="false" outlineLevel="0" collapsed="false">
      <c r="A474" s="632" t="s">
        <v>784</v>
      </c>
      <c r="B474" s="632" t="s">
        <v>380</v>
      </c>
      <c r="C474" s="633" t="n">
        <v>31</v>
      </c>
      <c r="D474" s="732" t="n">
        <f aca="false">C474</f>
        <v>31</v>
      </c>
      <c r="E474" s="635" t="n">
        <f aca="false">E473+D474</f>
        <v>12312.676</v>
      </c>
      <c r="F474" s="635" t="n">
        <f aca="false">F473-D473</f>
        <v>-742.786000000014</v>
      </c>
      <c r="G474" s="636" t="n">
        <f aca="false">G473-D474</f>
        <v>-773.786000000014</v>
      </c>
      <c r="H474" s="733"/>
    </row>
    <row r="475" customFormat="false" ht="26.8" hidden="false" customHeight="false" outlineLevel="0" collapsed="false">
      <c r="A475" s="632" t="s">
        <v>785</v>
      </c>
      <c r="B475" s="632" t="s">
        <v>380</v>
      </c>
      <c r="C475" s="633" t="n">
        <v>31</v>
      </c>
      <c r="D475" s="732" t="n">
        <f aca="false">C475</f>
        <v>31</v>
      </c>
      <c r="E475" s="635" t="n">
        <f aca="false">E474+D475</f>
        <v>12343.676</v>
      </c>
      <c r="F475" s="635" t="n">
        <f aca="false">F474-D474</f>
        <v>-773.786000000014</v>
      </c>
      <c r="G475" s="636" t="n">
        <f aca="false">G474-D475</f>
        <v>-804.786000000014</v>
      </c>
      <c r="H475" s="733"/>
    </row>
    <row r="476" customFormat="false" ht="26.8" hidden="false" customHeight="false" outlineLevel="0" collapsed="false">
      <c r="A476" s="632" t="s">
        <v>786</v>
      </c>
      <c r="B476" s="632" t="s">
        <v>380</v>
      </c>
      <c r="C476" s="633" t="n">
        <v>31</v>
      </c>
      <c r="D476" s="732" t="n">
        <f aca="false">C476</f>
        <v>31</v>
      </c>
      <c r="E476" s="635" t="n">
        <f aca="false">E475+D476</f>
        <v>12374.676</v>
      </c>
      <c r="F476" s="635" t="n">
        <f aca="false">F475-D475</f>
        <v>-804.786000000014</v>
      </c>
      <c r="G476" s="636" t="n">
        <f aca="false">G475-D476</f>
        <v>-835.786000000014</v>
      </c>
      <c r="H476" s="733"/>
    </row>
    <row r="477" customFormat="false" ht="26.8" hidden="false" customHeight="false" outlineLevel="0" collapsed="false">
      <c r="A477" s="632" t="s">
        <v>787</v>
      </c>
      <c r="B477" s="632" t="s">
        <v>380</v>
      </c>
      <c r="C477" s="633" t="n">
        <v>31</v>
      </c>
      <c r="D477" s="732" t="n">
        <f aca="false">C477</f>
        <v>31</v>
      </c>
      <c r="E477" s="635" t="n">
        <f aca="false">E476+D477</f>
        <v>12405.676</v>
      </c>
      <c r="F477" s="635" t="n">
        <f aca="false">F476-D476</f>
        <v>-835.786000000014</v>
      </c>
      <c r="G477" s="636" t="n">
        <f aca="false">G476-D477</f>
        <v>-866.786000000014</v>
      </c>
      <c r="H477" s="733"/>
    </row>
    <row r="478" customFormat="false" ht="26.8" hidden="false" customHeight="false" outlineLevel="0" collapsed="false">
      <c r="A478" s="632" t="s">
        <v>788</v>
      </c>
      <c r="B478" s="632" t="s">
        <v>380</v>
      </c>
      <c r="C478" s="633" t="n">
        <v>31</v>
      </c>
      <c r="D478" s="732" t="n">
        <f aca="false">C478</f>
        <v>31</v>
      </c>
      <c r="E478" s="635" t="n">
        <f aca="false">E477+D478</f>
        <v>12436.676</v>
      </c>
      <c r="F478" s="635" t="n">
        <f aca="false">F477-D477</f>
        <v>-866.786000000014</v>
      </c>
      <c r="G478" s="636" t="n">
        <f aca="false">G477-D478</f>
        <v>-897.786000000014</v>
      </c>
      <c r="H478" s="733"/>
    </row>
    <row r="479" customFormat="false" ht="26.8" hidden="false" customHeight="false" outlineLevel="0" collapsed="false">
      <c r="A479" s="632" t="s">
        <v>789</v>
      </c>
      <c r="B479" s="632" t="s">
        <v>380</v>
      </c>
      <c r="C479" s="633" t="n">
        <v>31</v>
      </c>
      <c r="D479" s="732" t="n">
        <f aca="false">C479</f>
        <v>31</v>
      </c>
      <c r="E479" s="635" t="n">
        <f aca="false">E478+D479</f>
        <v>12467.676</v>
      </c>
      <c r="F479" s="635" t="n">
        <f aca="false">F478-D478</f>
        <v>-897.786000000014</v>
      </c>
      <c r="G479" s="636" t="n">
        <f aca="false">G478-D479</f>
        <v>-928.786000000014</v>
      </c>
      <c r="H479" s="733"/>
    </row>
    <row r="480" customFormat="false" ht="26.8" hidden="false" customHeight="false" outlineLevel="0" collapsed="false">
      <c r="A480" s="632" t="s">
        <v>790</v>
      </c>
      <c r="B480" s="632" t="s">
        <v>380</v>
      </c>
      <c r="C480" s="633" t="n">
        <v>31</v>
      </c>
      <c r="D480" s="732" t="n">
        <f aca="false">C480</f>
        <v>31</v>
      </c>
      <c r="E480" s="635" t="n">
        <f aca="false">E479+D480</f>
        <v>12498.676</v>
      </c>
      <c r="F480" s="635" t="n">
        <f aca="false">F479-D479</f>
        <v>-928.786000000014</v>
      </c>
      <c r="G480" s="636" t="n">
        <f aca="false">G479-D480</f>
        <v>-959.786000000014</v>
      </c>
      <c r="H480" s="733"/>
    </row>
    <row r="481" customFormat="false" ht="26.8" hidden="false" customHeight="false" outlineLevel="0" collapsed="false">
      <c r="A481" s="632" t="s">
        <v>791</v>
      </c>
      <c r="B481" s="632" t="s">
        <v>380</v>
      </c>
      <c r="C481" s="633" t="n">
        <v>31</v>
      </c>
      <c r="D481" s="732" t="n">
        <f aca="false">C481</f>
        <v>31</v>
      </c>
      <c r="E481" s="635" t="n">
        <f aca="false">E480+D481</f>
        <v>12529.676</v>
      </c>
      <c r="F481" s="635" t="n">
        <f aca="false">F480-D480</f>
        <v>-959.786000000014</v>
      </c>
      <c r="G481" s="636" t="n">
        <f aca="false">G480-D481</f>
        <v>-990.786000000014</v>
      </c>
      <c r="H481" s="733"/>
    </row>
    <row r="482" customFormat="false" ht="26.8" hidden="false" customHeight="false" outlineLevel="0" collapsed="false">
      <c r="A482" s="632" t="s">
        <v>792</v>
      </c>
      <c r="B482" s="632" t="s">
        <v>380</v>
      </c>
      <c r="C482" s="633" t="n">
        <v>31</v>
      </c>
      <c r="D482" s="732" t="n">
        <f aca="false">C482</f>
        <v>31</v>
      </c>
      <c r="E482" s="635" t="n">
        <f aca="false">E481+D482</f>
        <v>12560.676</v>
      </c>
      <c r="F482" s="635" t="n">
        <f aca="false">F481-D481</f>
        <v>-990.786000000014</v>
      </c>
      <c r="G482" s="636" t="n">
        <f aca="false">G481-D482</f>
        <v>-1021.78600000001</v>
      </c>
      <c r="H482" s="733"/>
    </row>
    <row r="483" customFormat="false" ht="26.8" hidden="false" customHeight="false" outlineLevel="0" collapsed="false">
      <c r="A483" s="632" t="s">
        <v>793</v>
      </c>
      <c r="B483" s="632" t="s">
        <v>380</v>
      </c>
      <c r="C483" s="633" t="n">
        <v>31</v>
      </c>
      <c r="D483" s="732" t="n">
        <f aca="false">C483</f>
        <v>31</v>
      </c>
      <c r="E483" s="635" t="n">
        <f aca="false">E482+D483</f>
        <v>12591.676</v>
      </c>
      <c r="F483" s="635" t="n">
        <f aca="false">F482-D482</f>
        <v>-1021.78600000001</v>
      </c>
      <c r="G483" s="636" t="n">
        <f aca="false">G482-D483</f>
        <v>-1052.78600000001</v>
      </c>
      <c r="H483" s="733"/>
    </row>
    <row r="484" customFormat="false" ht="26.8" hidden="false" customHeight="false" outlineLevel="0" collapsed="false">
      <c r="A484" s="632" t="s">
        <v>794</v>
      </c>
      <c r="B484" s="632" t="s">
        <v>380</v>
      </c>
      <c r="C484" s="633" t="n">
        <v>31</v>
      </c>
      <c r="D484" s="732" t="n">
        <f aca="false">C484</f>
        <v>31</v>
      </c>
      <c r="E484" s="635" t="n">
        <f aca="false">E483+D484</f>
        <v>12622.676</v>
      </c>
      <c r="F484" s="635" t="n">
        <f aca="false">F483-D483</f>
        <v>-1052.78600000001</v>
      </c>
      <c r="G484" s="636" t="n">
        <f aca="false">G483-D484</f>
        <v>-1083.78600000001</v>
      </c>
      <c r="H484" s="733"/>
    </row>
    <row r="485" customFormat="false" ht="26.8" hidden="false" customHeight="false" outlineLevel="0" collapsed="false">
      <c r="A485" s="632" t="s">
        <v>795</v>
      </c>
      <c r="B485" s="632" t="s">
        <v>380</v>
      </c>
      <c r="C485" s="633" t="n">
        <v>31</v>
      </c>
      <c r="D485" s="732" t="n">
        <f aca="false">C485</f>
        <v>31</v>
      </c>
      <c r="E485" s="635" t="n">
        <f aca="false">E484+D485</f>
        <v>12653.676</v>
      </c>
      <c r="F485" s="635" t="n">
        <f aca="false">F484-D484</f>
        <v>-1083.78600000001</v>
      </c>
      <c r="G485" s="636" t="n">
        <f aca="false">G484-D485</f>
        <v>-1114.78600000001</v>
      </c>
      <c r="H485" s="733"/>
    </row>
    <row r="486" customFormat="false" ht="26.8" hidden="false" customHeight="false" outlineLevel="0" collapsed="false">
      <c r="A486" s="632" t="s">
        <v>796</v>
      </c>
      <c r="B486" s="632" t="s">
        <v>380</v>
      </c>
      <c r="C486" s="633" t="n">
        <v>31</v>
      </c>
      <c r="D486" s="732" t="n">
        <f aca="false">C486</f>
        <v>31</v>
      </c>
      <c r="E486" s="635" t="n">
        <f aca="false">E485+D486</f>
        <v>12684.676</v>
      </c>
      <c r="F486" s="635" t="n">
        <f aca="false">F485-D485</f>
        <v>-1114.78600000001</v>
      </c>
      <c r="G486" s="636" t="n">
        <f aca="false">G485-D486</f>
        <v>-1145.78600000001</v>
      </c>
      <c r="H486" s="733"/>
    </row>
    <row r="487" customFormat="false" ht="26.8" hidden="false" customHeight="false" outlineLevel="0" collapsed="false">
      <c r="A487" s="632" t="s">
        <v>797</v>
      </c>
      <c r="B487" s="632" t="s">
        <v>380</v>
      </c>
      <c r="C487" s="633" t="n">
        <v>31</v>
      </c>
      <c r="D487" s="732" t="n">
        <f aca="false">C487</f>
        <v>31</v>
      </c>
      <c r="E487" s="635" t="n">
        <f aca="false">E486+D487</f>
        <v>12715.676</v>
      </c>
      <c r="F487" s="635" t="n">
        <f aca="false">F486-D486</f>
        <v>-1145.78600000001</v>
      </c>
      <c r="G487" s="636" t="n">
        <f aca="false">G486-D487</f>
        <v>-1176.78600000001</v>
      </c>
      <c r="H487" s="733"/>
    </row>
    <row r="488" customFormat="false" ht="26.8" hidden="false" customHeight="false" outlineLevel="0" collapsed="false">
      <c r="A488" s="632" t="s">
        <v>798</v>
      </c>
      <c r="B488" s="632" t="s">
        <v>380</v>
      </c>
      <c r="C488" s="633" t="n">
        <v>31</v>
      </c>
      <c r="D488" s="732" t="n">
        <f aca="false">C488</f>
        <v>31</v>
      </c>
      <c r="E488" s="635" t="n">
        <f aca="false">E487+D488</f>
        <v>12746.676</v>
      </c>
      <c r="F488" s="635" t="n">
        <f aca="false">F487-D487</f>
        <v>-1176.78600000001</v>
      </c>
      <c r="G488" s="636" t="n">
        <f aca="false">G487-D488</f>
        <v>-1207.78600000001</v>
      </c>
      <c r="H488" s="733"/>
    </row>
    <row r="489" customFormat="false" ht="26.8" hidden="false" customHeight="false" outlineLevel="0" collapsed="false">
      <c r="A489" s="632" t="s">
        <v>799</v>
      </c>
      <c r="B489" s="632" t="s">
        <v>380</v>
      </c>
      <c r="C489" s="633" t="n">
        <v>31</v>
      </c>
      <c r="D489" s="732" t="n">
        <f aca="false">C489</f>
        <v>31</v>
      </c>
      <c r="E489" s="635" t="n">
        <f aca="false">E488+D489</f>
        <v>12777.676</v>
      </c>
      <c r="F489" s="635" t="n">
        <f aca="false">F488-D488</f>
        <v>-1207.78600000001</v>
      </c>
      <c r="G489" s="636" t="n">
        <f aca="false">G488-D489</f>
        <v>-1238.78600000001</v>
      </c>
      <c r="H489" s="733"/>
    </row>
    <row r="490" customFormat="false" ht="26.8" hidden="false" customHeight="false" outlineLevel="0" collapsed="false">
      <c r="A490" s="632" t="s">
        <v>800</v>
      </c>
      <c r="B490" s="632" t="s">
        <v>380</v>
      </c>
      <c r="C490" s="633" t="n">
        <v>31</v>
      </c>
      <c r="D490" s="732" t="n">
        <f aca="false">C490</f>
        <v>31</v>
      </c>
      <c r="E490" s="635" t="n">
        <f aca="false">E489+D490</f>
        <v>12808.676</v>
      </c>
      <c r="F490" s="635" t="n">
        <f aca="false">F489-D489</f>
        <v>-1238.78600000001</v>
      </c>
      <c r="G490" s="636" t="n">
        <f aca="false">G489-D490</f>
        <v>-1269.78600000001</v>
      </c>
      <c r="H490" s="733"/>
    </row>
    <row r="491" customFormat="false" ht="26.8" hidden="false" customHeight="false" outlineLevel="0" collapsed="false">
      <c r="A491" s="632" t="s">
        <v>801</v>
      </c>
      <c r="B491" s="632" t="s">
        <v>380</v>
      </c>
      <c r="C491" s="633" t="n">
        <v>31</v>
      </c>
      <c r="D491" s="732" t="n">
        <f aca="false">C491</f>
        <v>31</v>
      </c>
      <c r="E491" s="635" t="n">
        <f aca="false">E490+D491</f>
        <v>12839.676</v>
      </c>
      <c r="F491" s="635" t="n">
        <f aca="false">F490-D490</f>
        <v>-1269.78600000001</v>
      </c>
      <c r="G491" s="636" t="n">
        <f aca="false">G490-D491</f>
        <v>-1300.78600000001</v>
      </c>
      <c r="H491" s="733"/>
    </row>
    <row r="492" customFormat="false" ht="26.8" hidden="false" customHeight="false" outlineLevel="0" collapsed="false">
      <c r="A492" s="632" t="s">
        <v>802</v>
      </c>
      <c r="B492" s="632" t="s">
        <v>380</v>
      </c>
      <c r="C492" s="633" t="n">
        <v>31</v>
      </c>
      <c r="D492" s="732" t="n">
        <f aca="false">C492</f>
        <v>31</v>
      </c>
      <c r="E492" s="635" t="n">
        <f aca="false">E491+D492</f>
        <v>12870.676</v>
      </c>
      <c r="F492" s="635" t="n">
        <f aca="false">F491-D491</f>
        <v>-1300.78600000001</v>
      </c>
      <c r="G492" s="636" t="n">
        <f aca="false">G491-D492</f>
        <v>-1331.78600000001</v>
      </c>
      <c r="H492" s="733"/>
    </row>
    <row r="493" customFormat="false" ht="26.8" hidden="false" customHeight="false" outlineLevel="0" collapsed="false">
      <c r="A493" s="632" t="s">
        <v>803</v>
      </c>
      <c r="B493" s="632" t="s">
        <v>380</v>
      </c>
      <c r="C493" s="633" t="n">
        <v>31</v>
      </c>
      <c r="D493" s="732" t="n">
        <f aca="false">C493</f>
        <v>31</v>
      </c>
      <c r="E493" s="635" t="n">
        <f aca="false">E492+D493</f>
        <v>12901.676</v>
      </c>
      <c r="F493" s="635" t="n">
        <f aca="false">F492-D492</f>
        <v>-1331.78600000001</v>
      </c>
      <c r="G493" s="636" t="n">
        <f aca="false">G492-D493</f>
        <v>-1362.78600000001</v>
      </c>
      <c r="H493" s="733"/>
    </row>
    <row r="494" customFormat="false" ht="26.8" hidden="false" customHeight="false" outlineLevel="0" collapsed="false">
      <c r="A494" s="632" t="s">
        <v>804</v>
      </c>
      <c r="B494" s="632" t="s">
        <v>380</v>
      </c>
      <c r="C494" s="633" t="n">
        <v>31</v>
      </c>
      <c r="D494" s="732" t="n">
        <f aca="false">C494</f>
        <v>31</v>
      </c>
      <c r="E494" s="635" t="n">
        <f aca="false">E493+D494</f>
        <v>12932.676</v>
      </c>
      <c r="F494" s="635" t="n">
        <f aca="false">F493-D493</f>
        <v>-1362.78600000001</v>
      </c>
      <c r="G494" s="636" t="n">
        <f aca="false">G493-D494</f>
        <v>-1393.78600000001</v>
      </c>
      <c r="H494" s="733"/>
    </row>
    <row r="495" customFormat="false" ht="26.8" hidden="false" customHeight="false" outlineLevel="0" collapsed="false">
      <c r="A495" s="632" t="s">
        <v>805</v>
      </c>
      <c r="B495" s="632" t="s">
        <v>380</v>
      </c>
      <c r="C495" s="633" t="n">
        <v>31</v>
      </c>
      <c r="D495" s="732" t="n">
        <f aca="false">C495</f>
        <v>31</v>
      </c>
      <c r="E495" s="635" t="n">
        <f aca="false">E494+D495</f>
        <v>12963.676</v>
      </c>
      <c r="F495" s="635" t="n">
        <f aca="false">F494-D494</f>
        <v>-1393.78600000001</v>
      </c>
      <c r="G495" s="636" t="n">
        <f aca="false">G494-D495</f>
        <v>-1424.78600000001</v>
      </c>
      <c r="H495" s="733"/>
    </row>
    <row r="496" customFormat="false" ht="26.8" hidden="false" customHeight="false" outlineLevel="0" collapsed="false">
      <c r="A496" s="632" t="s">
        <v>806</v>
      </c>
      <c r="B496" s="632" t="s">
        <v>380</v>
      </c>
      <c r="C496" s="633" t="n">
        <v>31</v>
      </c>
      <c r="D496" s="732" t="n">
        <f aca="false">C496</f>
        <v>31</v>
      </c>
      <c r="E496" s="635" t="n">
        <f aca="false">E495+D496</f>
        <v>12994.676</v>
      </c>
      <c r="F496" s="635" t="n">
        <f aca="false">F495-D495</f>
        <v>-1424.78600000001</v>
      </c>
      <c r="G496" s="636" t="n">
        <f aca="false">G495-D496</f>
        <v>-1455.78600000001</v>
      </c>
      <c r="H496" s="733"/>
    </row>
    <row r="497" customFormat="false" ht="26.8" hidden="false" customHeight="false" outlineLevel="0" collapsed="false">
      <c r="A497" s="632" t="s">
        <v>807</v>
      </c>
      <c r="B497" s="632" t="s">
        <v>380</v>
      </c>
      <c r="C497" s="633" t="n">
        <v>31</v>
      </c>
      <c r="D497" s="732" t="n">
        <f aca="false">C497</f>
        <v>31</v>
      </c>
      <c r="E497" s="635" t="n">
        <f aca="false">E496+D497</f>
        <v>13025.676</v>
      </c>
      <c r="F497" s="635" t="n">
        <f aca="false">F496-D496</f>
        <v>-1455.78600000001</v>
      </c>
      <c r="G497" s="636" t="n">
        <f aca="false">G496-D497</f>
        <v>-1486.78600000001</v>
      </c>
      <c r="H497" s="733"/>
    </row>
    <row r="498" customFormat="false" ht="26.8" hidden="false" customHeight="false" outlineLevel="0" collapsed="false">
      <c r="A498" s="632" t="s">
        <v>808</v>
      </c>
      <c r="B498" s="632" t="s">
        <v>380</v>
      </c>
      <c r="C498" s="633" t="n">
        <v>31</v>
      </c>
      <c r="D498" s="732" t="n">
        <f aca="false">C498</f>
        <v>31</v>
      </c>
      <c r="E498" s="635" t="n">
        <f aca="false">E497+D498</f>
        <v>13056.676</v>
      </c>
      <c r="F498" s="635" t="n">
        <f aca="false">F497-D497</f>
        <v>-1486.78600000001</v>
      </c>
      <c r="G498" s="636" t="n">
        <f aca="false">G497-D498</f>
        <v>-1517.78600000001</v>
      </c>
      <c r="H498" s="733"/>
    </row>
    <row r="499" customFormat="false" ht="26.8" hidden="false" customHeight="false" outlineLevel="0" collapsed="false">
      <c r="A499" s="632" t="s">
        <v>809</v>
      </c>
      <c r="B499" s="632" t="s">
        <v>380</v>
      </c>
      <c r="C499" s="633" t="n">
        <v>31</v>
      </c>
      <c r="D499" s="732" t="n">
        <f aca="false">C499</f>
        <v>31</v>
      </c>
      <c r="E499" s="635" t="n">
        <f aca="false">E498+D499</f>
        <v>13087.676</v>
      </c>
      <c r="F499" s="635" t="n">
        <f aca="false">F498-D498</f>
        <v>-1517.78600000001</v>
      </c>
      <c r="G499" s="636" t="n">
        <f aca="false">G498-D499</f>
        <v>-1548.78600000001</v>
      </c>
      <c r="H499" s="733"/>
    </row>
    <row r="500" customFormat="false" ht="26.8" hidden="false" customHeight="false" outlineLevel="0" collapsed="false">
      <c r="A500" s="632" t="s">
        <v>810</v>
      </c>
      <c r="B500" s="632" t="s">
        <v>380</v>
      </c>
      <c r="C500" s="633" t="n">
        <v>31</v>
      </c>
      <c r="D500" s="732" t="n">
        <f aca="false">C500</f>
        <v>31</v>
      </c>
      <c r="E500" s="635" t="n">
        <f aca="false">E499+D500</f>
        <v>13118.676</v>
      </c>
      <c r="F500" s="635" t="n">
        <f aca="false">F499-D499</f>
        <v>-1548.78600000001</v>
      </c>
      <c r="G500" s="636" t="n">
        <f aca="false">G499-D500</f>
        <v>-1579.78600000001</v>
      </c>
      <c r="H500" s="733"/>
    </row>
    <row r="501" customFormat="false" ht="26.8" hidden="false" customHeight="false" outlineLevel="0" collapsed="false">
      <c r="A501" s="632" t="s">
        <v>811</v>
      </c>
      <c r="B501" s="632" t="s">
        <v>380</v>
      </c>
      <c r="C501" s="633" t="n">
        <v>31</v>
      </c>
      <c r="D501" s="732" t="n">
        <f aca="false">C501</f>
        <v>31</v>
      </c>
      <c r="E501" s="635" t="n">
        <f aca="false">E500+D501</f>
        <v>13149.676</v>
      </c>
      <c r="F501" s="635" t="n">
        <f aca="false">F500-D500</f>
        <v>-1579.78600000001</v>
      </c>
      <c r="G501" s="636" t="n">
        <f aca="false">G500-D501</f>
        <v>-1610.78600000001</v>
      </c>
      <c r="H501" s="733"/>
    </row>
    <row r="502" customFormat="false" ht="26.8" hidden="false" customHeight="false" outlineLevel="0" collapsed="false">
      <c r="A502" s="632" t="s">
        <v>812</v>
      </c>
      <c r="B502" s="632" t="s">
        <v>380</v>
      </c>
      <c r="C502" s="633" t="n">
        <v>31</v>
      </c>
      <c r="D502" s="732" t="n">
        <f aca="false">C502</f>
        <v>31</v>
      </c>
      <c r="E502" s="635" t="n">
        <f aca="false">E501+D502</f>
        <v>13180.676</v>
      </c>
      <c r="F502" s="635" t="n">
        <f aca="false">F501-D501</f>
        <v>-1610.78600000001</v>
      </c>
      <c r="G502" s="636" t="n">
        <f aca="false">G501-D502</f>
        <v>-1641.78600000001</v>
      </c>
      <c r="H502" s="733"/>
    </row>
    <row r="503" customFormat="false" ht="26.8" hidden="false" customHeight="false" outlineLevel="0" collapsed="false">
      <c r="A503" s="632" t="s">
        <v>813</v>
      </c>
      <c r="B503" s="632" t="s">
        <v>380</v>
      </c>
      <c r="C503" s="633" t="n">
        <v>31</v>
      </c>
      <c r="D503" s="732" t="n">
        <f aca="false">C503</f>
        <v>31</v>
      </c>
      <c r="E503" s="635" t="n">
        <f aca="false">E502+D503</f>
        <v>13211.676</v>
      </c>
      <c r="F503" s="635" t="n">
        <f aca="false">F502-D502</f>
        <v>-1641.78600000001</v>
      </c>
      <c r="G503" s="636" t="n">
        <f aca="false">G502-D503</f>
        <v>-1672.78600000001</v>
      </c>
      <c r="H503" s="733"/>
    </row>
    <row r="504" customFormat="false" ht="26.8" hidden="false" customHeight="false" outlineLevel="0" collapsed="false">
      <c r="A504" s="632" t="s">
        <v>814</v>
      </c>
      <c r="B504" s="632" t="s">
        <v>380</v>
      </c>
      <c r="C504" s="633" t="n">
        <v>31</v>
      </c>
      <c r="D504" s="732" t="n">
        <f aca="false">C504</f>
        <v>31</v>
      </c>
      <c r="E504" s="635" t="n">
        <f aca="false">E503+D504</f>
        <v>13242.676</v>
      </c>
      <c r="F504" s="635" t="n">
        <f aca="false">F503-D503</f>
        <v>-1672.78600000001</v>
      </c>
      <c r="G504" s="636" t="n">
        <f aca="false">G503-D504</f>
        <v>-1703.78600000001</v>
      </c>
      <c r="H504" s="733"/>
    </row>
    <row r="505" customFormat="false" ht="26.8" hidden="false" customHeight="false" outlineLevel="0" collapsed="false">
      <c r="A505" s="632" t="s">
        <v>815</v>
      </c>
      <c r="B505" s="632" t="s">
        <v>380</v>
      </c>
      <c r="C505" s="633" t="n">
        <v>31</v>
      </c>
      <c r="D505" s="732" t="n">
        <f aca="false">C505</f>
        <v>31</v>
      </c>
      <c r="E505" s="635" t="n">
        <f aca="false">E504+D505</f>
        <v>13273.676</v>
      </c>
      <c r="F505" s="635" t="n">
        <f aca="false">F504-D504</f>
        <v>-1703.78600000001</v>
      </c>
      <c r="G505" s="636" t="n">
        <f aca="false">G504-D505</f>
        <v>-1734.78600000001</v>
      </c>
      <c r="H505" s="733"/>
    </row>
    <row r="506" customFormat="false" ht="26.8" hidden="false" customHeight="false" outlineLevel="0" collapsed="false">
      <c r="A506" s="632" t="s">
        <v>816</v>
      </c>
      <c r="B506" s="632" t="s">
        <v>380</v>
      </c>
      <c r="C506" s="633" t="n">
        <v>31</v>
      </c>
      <c r="D506" s="732" t="n">
        <f aca="false">C506</f>
        <v>31</v>
      </c>
      <c r="E506" s="635" t="n">
        <f aca="false">E505+D506</f>
        <v>13304.676</v>
      </c>
      <c r="F506" s="635" t="n">
        <f aca="false">F505-D505</f>
        <v>-1734.78600000001</v>
      </c>
      <c r="G506" s="636" t="n">
        <f aca="false">G505-D506</f>
        <v>-1765.78600000001</v>
      </c>
      <c r="H506" s="733"/>
    </row>
    <row r="507" customFormat="false" ht="26.8" hidden="false" customHeight="false" outlineLevel="0" collapsed="false">
      <c r="A507" s="632" t="s">
        <v>817</v>
      </c>
      <c r="B507" s="632" t="s">
        <v>380</v>
      </c>
      <c r="C507" s="633" t="n">
        <v>31</v>
      </c>
      <c r="D507" s="732" t="n">
        <f aca="false">C507</f>
        <v>31</v>
      </c>
      <c r="E507" s="635" t="n">
        <f aca="false">E506+D507</f>
        <v>13335.676</v>
      </c>
      <c r="F507" s="635" t="n">
        <f aca="false">F506-D506</f>
        <v>-1765.78600000001</v>
      </c>
      <c r="G507" s="636" t="n">
        <f aca="false">G506-D507</f>
        <v>-1796.78600000001</v>
      </c>
      <c r="H507" s="733"/>
    </row>
    <row r="508" customFormat="false" ht="26.8" hidden="false" customHeight="false" outlineLevel="0" collapsed="false">
      <c r="A508" s="632" t="s">
        <v>818</v>
      </c>
      <c r="B508" s="632" t="s">
        <v>380</v>
      </c>
      <c r="C508" s="633" t="n">
        <v>31</v>
      </c>
      <c r="D508" s="732" t="n">
        <f aca="false">C508</f>
        <v>31</v>
      </c>
      <c r="E508" s="635" t="n">
        <f aca="false">E507+D508</f>
        <v>13366.676</v>
      </c>
      <c r="F508" s="635" t="n">
        <f aca="false">F507-D507</f>
        <v>-1796.78600000001</v>
      </c>
      <c r="G508" s="636" t="n">
        <f aca="false">G507-D508</f>
        <v>-1827.78600000001</v>
      </c>
      <c r="H508" s="733"/>
    </row>
    <row r="509" customFormat="false" ht="26.8" hidden="false" customHeight="false" outlineLevel="0" collapsed="false">
      <c r="A509" s="632" t="s">
        <v>819</v>
      </c>
      <c r="B509" s="632" t="s">
        <v>380</v>
      </c>
      <c r="C509" s="633" t="n">
        <v>31</v>
      </c>
      <c r="D509" s="732" t="n">
        <f aca="false">C509</f>
        <v>31</v>
      </c>
      <c r="E509" s="635" t="n">
        <f aca="false">E508+D509</f>
        <v>13397.676</v>
      </c>
      <c r="F509" s="635" t="n">
        <f aca="false">F508-D508</f>
        <v>-1827.78600000001</v>
      </c>
      <c r="G509" s="636" t="n">
        <f aca="false">G508-D509</f>
        <v>-1858.78600000001</v>
      </c>
      <c r="H509" s="733"/>
    </row>
    <row r="510" customFormat="false" ht="26.8" hidden="false" customHeight="false" outlineLevel="0" collapsed="false">
      <c r="A510" s="632" t="s">
        <v>820</v>
      </c>
      <c r="B510" s="632" t="s">
        <v>380</v>
      </c>
      <c r="C510" s="633" t="n">
        <v>31</v>
      </c>
      <c r="D510" s="732" t="n">
        <f aca="false">C510</f>
        <v>31</v>
      </c>
      <c r="E510" s="635" t="n">
        <f aca="false">E509+D510</f>
        <v>13428.676</v>
      </c>
      <c r="F510" s="635" t="n">
        <f aca="false">F509-D509</f>
        <v>-1858.78600000001</v>
      </c>
      <c r="G510" s="636" t="n">
        <f aca="false">G509-D510</f>
        <v>-1889.78600000001</v>
      </c>
      <c r="H510" s="733"/>
    </row>
    <row r="511" customFormat="false" ht="26.8" hidden="false" customHeight="false" outlineLevel="0" collapsed="false">
      <c r="A511" s="632" t="s">
        <v>821</v>
      </c>
      <c r="B511" s="632" t="s">
        <v>380</v>
      </c>
      <c r="C511" s="633" t="n">
        <v>31</v>
      </c>
      <c r="D511" s="732" t="n">
        <f aca="false">C511</f>
        <v>31</v>
      </c>
      <c r="E511" s="635" t="n">
        <f aca="false">E510+D511</f>
        <v>13459.676</v>
      </c>
      <c r="F511" s="635" t="n">
        <f aca="false">F510-D510</f>
        <v>-1889.78600000001</v>
      </c>
      <c r="G511" s="636" t="n">
        <f aca="false">G510-D511</f>
        <v>-1920.78600000001</v>
      </c>
      <c r="H511" s="733"/>
    </row>
    <row r="512" customFormat="false" ht="26.8" hidden="false" customHeight="false" outlineLevel="0" collapsed="false">
      <c r="A512" s="632" t="s">
        <v>822</v>
      </c>
      <c r="B512" s="632" t="s">
        <v>380</v>
      </c>
      <c r="C512" s="633" t="n">
        <v>31</v>
      </c>
      <c r="D512" s="732" t="n">
        <f aca="false">C512</f>
        <v>31</v>
      </c>
      <c r="E512" s="635" t="n">
        <f aca="false">E511+D512</f>
        <v>13490.676</v>
      </c>
      <c r="F512" s="635" t="n">
        <f aca="false">F511-D511</f>
        <v>-1920.78600000001</v>
      </c>
      <c r="G512" s="636" t="n">
        <f aca="false">G511-D512</f>
        <v>-1951.78600000001</v>
      </c>
      <c r="H512" s="733"/>
    </row>
    <row r="513" customFormat="false" ht="26.8" hidden="false" customHeight="false" outlineLevel="0" collapsed="false">
      <c r="A513" s="632" t="s">
        <v>823</v>
      </c>
      <c r="B513" s="632" t="s">
        <v>380</v>
      </c>
      <c r="C513" s="633" t="n">
        <v>31</v>
      </c>
      <c r="D513" s="732" t="n">
        <f aca="false">C513</f>
        <v>31</v>
      </c>
      <c r="E513" s="635" t="n">
        <f aca="false">E512+D513</f>
        <v>13521.676</v>
      </c>
      <c r="F513" s="635" t="n">
        <f aca="false">F512-D512</f>
        <v>-1951.78600000001</v>
      </c>
      <c r="G513" s="636" t="n">
        <f aca="false">G512-D513</f>
        <v>-1982.78600000001</v>
      </c>
      <c r="H513" s="733"/>
    </row>
    <row r="514" customFormat="false" ht="26.8" hidden="false" customHeight="false" outlineLevel="0" collapsed="false">
      <c r="A514" s="632" t="s">
        <v>824</v>
      </c>
      <c r="B514" s="632" t="s">
        <v>380</v>
      </c>
      <c r="C514" s="633" t="n">
        <v>31</v>
      </c>
      <c r="D514" s="732" t="n">
        <f aca="false">C514</f>
        <v>31</v>
      </c>
      <c r="E514" s="635" t="n">
        <f aca="false">E513+D514</f>
        <v>13552.676</v>
      </c>
      <c r="F514" s="635" t="n">
        <f aca="false">F513-D513</f>
        <v>-1982.78600000001</v>
      </c>
      <c r="G514" s="636" t="n">
        <f aca="false">G513-D514</f>
        <v>-2013.78600000001</v>
      </c>
      <c r="H514" s="733"/>
    </row>
    <row r="515" customFormat="false" ht="26.8" hidden="false" customHeight="false" outlineLevel="0" collapsed="false">
      <c r="A515" s="632" t="s">
        <v>825</v>
      </c>
      <c r="B515" s="632" t="s">
        <v>380</v>
      </c>
      <c r="C515" s="633" t="n">
        <v>31</v>
      </c>
      <c r="D515" s="732" t="n">
        <f aca="false">C515</f>
        <v>31</v>
      </c>
      <c r="E515" s="635" t="n">
        <f aca="false">E514+D515</f>
        <v>13583.676</v>
      </c>
      <c r="F515" s="635" t="n">
        <f aca="false">F514-D514</f>
        <v>-2013.78600000001</v>
      </c>
      <c r="G515" s="636" t="n">
        <f aca="false">G514-D515</f>
        <v>-2044.78600000001</v>
      </c>
      <c r="H515" s="733"/>
    </row>
    <row r="516" customFormat="false" ht="26.8" hidden="false" customHeight="false" outlineLevel="0" collapsed="false">
      <c r="A516" s="632" t="s">
        <v>826</v>
      </c>
      <c r="B516" s="632" t="s">
        <v>380</v>
      </c>
      <c r="C516" s="633" t="n">
        <v>31</v>
      </c>
      <c r="D516" s="732" t="n">
        <f aca="false">C516</f>
        <v>31</v>
      </c>
      <c r="E516" s="635" t="n">
        <f aca="false">E515+D516</f>
        <v>13614.676</v>
      </c>
      <c r="F516" s="635" t="n">
        <f aca="false">F515-D515</f>
        <v>-2044.78600000001</v>
      </c>
      <c r="G516" s="636" t="n">
        <f aca="false">G515-D516</f>
        <v>-2075.78600000001</v>
      </c>
      <c r="H516" s="733"/>
    </row>
    <row r="517" customFormat="false" ht="76.1" hidden="false" customHeight="false" outlineLevel="0" collapsed="false">
      <c r="A517" s="740" t="s">
        <v>415</v>
      </c>
      <c r="B517" s="741" t="s">
        <v>525</v>
      </c>
      <c r="C517" s="742" t="n">
        <v>5.18</v>
      </c>
      <c r="D517" s="732" t="n">
        <f aca="false">C517</f>
        <v>5.18</v>
      </c>
      <c r="E517" s="635" t="n">
        <f aca="false">E516+D517</f>
        <v>13619.856</v>
      </c>
      <c r="F517" s="635" t="n">
        <f aca="false">F516-D516</f>
        <v>-2075.78600000001</v>
      </c>
      <c r="G517" s="636" t="n">
        <f aca="false">G516-D517</f>
        <v>-2080.96600000001</v>
      </c>
      <c r="H517" s="733"/>
    </row>
    <row r="518" customFormat="false" ht="76.1" hidden="false" customHeight="false" outlineLevel="0" collapsed="false">
      <c r="A518" s="740"/>
      <c r="B518" s="741" t="s">
        <v>577</v>
      </c>
      <c r="C518" s="742" t="n">
        <v>4.96</v>
      </c>
      <c r="D518" s="732" t="n">
        <f aca="false">C518</f>
        <v>4.96</v>
      </c>
      <c r="E518" s="635" t="n">
        <f aca="false">E517+D518</f>
        <v>13624.816</v>
      </c>
      <c r="F518" s="635" t="n">
        <f aca="false">F517-D517</f>
        <v>-2080.96600000001</v>
      </c>
      <c r="G518" s="636" t="n">
        <f aca="false">G517-D518</f>
        <v>-2085.92600000001</v>
      </c>
      <c r="H518" s="733"/>
    </row>
    <row r="519" customFormat="false" ht="135.8" hidden="false" customHeight="false" outlineLevel="0" collapsed="false">
      <c r="A519" s="740"/>
      <c r="B519" s="741" t="s">
        <v>643</v>
      </c>
      <c r="C519" s="742" t="n">
        <v>8.69</v>
      </c>
      <c r="D519" s="732" t="n">
        <f aca="false">C519</f>
        <v>8.69</v>
      </c>
      <c r="E519" s="635" t="n">
        <f aca="false">E518+D519</f>
        <v>13633.506</v>
      </c>
      <c r="F519" s="635" t="n">
        <f aca="false">F518-D518</f>
        <v>-2085.92600000001</v>
      </c>
      <c r="G519" s="636" t="n">
        <f aca="false">G518-D519</f>
        <v>-2094.61600000001</v>
      </c>
      <c r="H519" s="733"/>
    </row>
    <row r="520" customFormat="false" ht="76.1" hidden="false" customHeight="false" outlineLevel="0" collapsed="false">
      <c r="A520" s="740"/>
      <c r="B520" s="741" t="s">
        <v>644</v>
      </c>
      <c r="C520" s="742" t="n">
        <v>9.78</v>
      </c>
      <c r="D520" s="732" t="n">
        <f aca="false">C520</f>
        <v>9.78</v>
      </c>
      <c r="E520" s="635" t="n">
        <f aca="false">E519+D520</f>
        <v>13643.286</v>
      </c>
      <c r="F520" s="635" t="n">
        <f aca="false">F519-D519</f>
        <v>-2094.61600000001</v>
      </c>
      <c r="G520" s="636" t="n">
        <f aca="false">G519-D520</f>
        <v>-2104.39600000001</v>
      </c>
      <c r="H520" s="733"/>
    </row>
    <row r="521" customFormat="false" ht="76.1" hidden="false" customHeight="false" outlineLevel="0" collapsed="false">
      <c r="A521" s="740"/>
      <c r="B521" s="741" t="s">
        <v>504</v>
      </c>
      <c r="C521" s="742" t="n">
        <v>4.96</v>
      </c>
      <c r="D521" s="732" t="n">
        <f aca="false">C521</f>
        <v>4.96</v>
      </c>
      <c r="E521" s="635" t="n">
        <f aca="false">E520+D521</f>
        <v>13648.246</v>
      </c>
      <c r="F521" s="635" t="n">
        <f aca="false">F520-D520</f>
        <v>-2104.39600000001</v>
      </c>
      <c r="G521" s="636" t="n">
        <f aca="false">G520-D521</f>
        <v>-2109.35600000001</v>
      </c>
      <c r="H521" s="733"/>
    </row>
    <row r="522" customFormat="false" ht="26.8" hidden="false" customHeight="false" outlineLevel="0" collapsed="false">
      <c r="A522" s="632" t="s">
        <v>827</v>
      </c>
      <c r="B522" s="632" t="s">
        <v>380</v>
      </c>
      <c r="C522" s="633" t="n">
        <v>31</v>
      </c>
      <c r="D522" s="732" t="n">
        <f aca="false">C522</f>
        <v>31</v>
      </c>
      <c r="E522" s="635" t="n">
        <f aca="false">E521+D522</f>
        <v>13679.246</v>
      </c>
      <c r="F522" s="635" t="n">
        <f aca="false">F521-D521</f>
        <v>-2109.35600000001</v>
      </c>
      <c r="G522" s="636" t="n">
        <f aca="false">G521-D522</f>
        <v>-2140.35600000001</v>
      </c>
      <c r="H522" s="733"/>
    </row>
    <row r="523" customFormat="false" ht="26.8" hidden="false" customHeight="false" outlineLevel="0" collapsed="false">
      <c r="A523" s="632" t="s">
        <v>828</v>
      </c>
      <c r="B523" s="632" t="s">
        <v>380</v>
      </c>
      <c r="C523" s="633" t="n">
        <v>31</v>
      </c>
      <c r="D523" s="732" t="n">
        <f aca="false">C523</f>
        <v>31</v>
      </c>
      <c r="E523" s="635" t="n">
        <f aca="false">E522+D523</f>
        <v>13710.246</v>
      </c>
      <c r="F523" s="635" t="n">
        <f aca="false">F522-D522</f>
        <v>-2140.35600000001</v>
      </c>
      <c r="G523" s="636" t="n">
        <f aca="false">G522-D523</f>
        <v>-2171.35600000001</v>
      </c>
      <c r="H523" s="733"/>
    </row>
    <row r="524" customFormat="false" ht="26.8" hidden="false" customHeight="false" outlineLevel="0" collapsed="false">
      <c r="A524" s="632" t="s">
        <v>829</v>
      </c>
      <c r="B524" s="632" t="s">
        <v>380</v>
      </c>
      <c r="C524" s="633" t="n">
        <v>31</v>
      </c>
      <c r="D524" s="732" t="n">
        <f aca="false">C524</f>
        <v>31</v>
      </c>
      <c r="E524" s="635" t="n">
        <f aca="false">E523+D524</f>
        <v>13741.246</v>
      </c>
      <c r="F524" s="635" t="n">
        <f aca="false">F523-D523</f>
        <v>-2171.35600000001</v>
      </c>
      <c r="G524" s="636" t="n">
        <f aca="false">G523-D524</f>
        <v>-2202.35600000001</v>
      </c>
      <c r="H524" s="733"/>
    </row>
    <row r="525" customFormat="false" ht="26.8" hidden="false" customHeight="false" outlineLevel="0" collapsed="false">
      <c r="A525" s="632" t="s">
        <v>830</v>
      </c>
      <c r="B525" s="632" t="s">
        <v>380</v>
      </c>
      <c r="C525" s="633" t="n">
        <v>31</v>
      </c>
      <c r="D525" s="732" t="n">
        <f aca="false">C525</f>
        <v>31</v>
      </c>
      <c r="E525" s="635" t="n">
        <f aca="false">E524+D525</f>
        <v>13772.246</v>
      </c>
      <c r="F525" s="635" t="n">
        <f aca="false">F524-D524</f>
        <v>-2202.35600000001</v>
      </c>
      <c r="G525" s="636" t="n">
        <f aca="false">G524-D525</f>
        <v>-2233.35600000001</v>
      </c>
      <c r="H525" s="733"/>
    </row>
    <row r="526" customFormat="false" ht="26.8" hidden="false" customHeight="false" outlineLevel="0" collapsed="false">
      <c r="A526" s="632" t="s">
        <v>831</v>
      </c>
      <c r="B526" s="632" t="s">
        <v>380</v>
      </c>
      <c r="C526" s="633" t="n">
        <v>31</v>
      </c>
      <c r="D526" s="732" t="n">
        <f aca="false">C526</f>
        <v>31</v>
      </c>
      <c r="E526" s="635" t="n">
        <f aca="false">E525+D526</f>
        <v>13803.246</v>
      </c>
      <c r="F526" s="635" t="n">
        <f aca="false">F525-D525</f>
        <v>-2233.35600000001</v>
      </c>
      <c r="G526" s="636" t="n">
        <f aca="false">G525-D526</f>
        <v>-2264.35600000001</v>
      </c>
      <c r="H526" s="733"/>
    </row>
    <row r="527" customFormat="false" ht="26.8" hidden="false" customHeight="false" outlineLevel="0" collapsed="false">
      <c r="A527" s="632" t="s">
        <v>832</v>
      </c>
      <c r="B527" s="632" t="s">
        <v>380</v>
      </c>
      <c r="C527" s="633" t="n">
        <v>31</v>
      </c>
      <c r="D527" s="732" t="n">
        <f aca="false">C527</f>
        <v>31</v>
      </c>
      <c r="E527" s="635" t="n">
        <f aca="false">E526+D527</f>
        <v>13834.246</v>
      </c>
      <c r="F527" s="635" t="n">
        <f aca="false">F526-D526</f>
        <v>-2264.35600000001</v>
      </c>
      <c r="G527" s="636" t="n">
        <f aca="false">G526-D527</f>
        <v>-2295.35600000001</v>
      </c>
      <c r="H527" s="733"/>
    </row>
    <row r="528" customFormat="false" ht="26.8" hidden="false" customHeight="false" outlineLevel="0" collapsed="false">
      <c r="A528" s="632" t="s">
        <v>833</v>
      </c>
      <c r="B528" s="632" t="s">
        <v>380</v>
      </c>
      <c r="C528" s="633" t="n">
        <v>31</v>
      </c>
      <c r="D528" s="732" t="n">
        <f aca="false">C528</f>
        <v>31</v>
      </c>
      <c r="E528" s="635" t="n">
        <f aca="false">E527+D528</f>
        <v>13865.246</v>
      </c>
      <c r="F528" s="635" t="n">
        <f aca="false">F527-D527</f>
        <v>-2295.35600000001</v>
      </c>
      <c r="G528" s="636" t="n">
        <f aca="false">G527-D528</f>
        <v>-2326.35600000001</v>
      </c>
      <c r="H528" s="733"/>
    </row>
    <row r="529" customFormat="false" ht="26.8" hidden="false" customHeight="false" outlineLevel="0" collapsed="false">
      <c r="A529" s="632" t="s">
        <v>834</v>
      </c>
      <c r="B529" s="632" t="s">
        <v>380</v>
      </c>
      <c r="C529" s="633" t="n">
        <v>31</v>
      </c>
      <c r="D529" s="732" t="n">
        <f aca="false">C529</f>
        <v>31</v>
      </c>
      <c r="E529" s="635" t="n">
        <f aca="false">E528+D529</f>
        <v>13896.246</v>
      </c>
      <c r="F529" s="635" t="n">
        <f aca="false">F528-D528</f>
        <v>-2326.35600000001</v>
      </c>
      <c r="G529" s="636" t="n">
        <f aca="false">G528-D529</f>
        <v>-2357.35600000001</v>
      </c>
      <c r="H529" s="733"/>
    </row>
    <row r="530" customFormat="false" ht="26.8" hidden="false" customHeight="false" outlineLevel="0" collapsed="false">
      <c r="A530" s="632" t="s">
        <v>835</v>
      </c>
      <c r="B530" s="632" t="s">
        <v>380</v>
      </c>
      <c r="C530" s="633" t="n">
        <v>31</v>
      </c>
      <c r="D530" s="732" t="n">
        <f aca="false">C530</f>
        <v>31</v>
      </c>
      <c r="E530" s="635" t="n">
        <f aca="false">E529+D530</f>
        <v>13927.246</v>
      </c>
      <c r="F530" s="635" t="n">
        <f aca="false">F529-D529</f>
        <v>-2357.35600000001</v>
      </c>
      <c r="G530" s="636" t="n">
        <f aca="false">G529-D530</f>
        <v>-2388.35600000001</v>
      </c>
      <c r="H530" s="733"/>
    </row>
    <row r="531" customFormat="false" ht="26.8" hidden="false" customHeight="false" outlineLevel="0" collapsed="false">
      <c r="A531" s="632" t="s">
        <v>836</v>
      </c>
      <c r="B531" s="632" t="s">
        <v>380</v>
      </c>
      <c r="C531" s="633" t="n">
        <v>31</v>
      </c>
      <c r="D531" s="732" t="n">
        <f aca="false">C531</f>
        <v>31</v>
      </c>
      <c r="E531" s="635" t="n">
        <f aca="false">E530+D531</f>
        <v>13958.246</v>
      </c>
      <c r="F531" s="635" t="n">
        <f aca="false">F530-D530</f>
        <v>-2388.35600000001</v>
      </c>
      <c r="G531" s="636" t="n">
        <f aca="false">G530-D531</f>
        <v>-2419.35600000001</v>
      </c>
      <c r="H531" s="733"/>
    </row>
    <row r="532" customFormat="false" ht="26.8" hidden="false" customHeight="false" outlineLevel="0" collapsed="false">
      <c r="A532" s="632" t="s">
        <v>837</v>
      </c>
      <c r="B532" s="632" t="s">
        <v>380</v>
      </c>
      <c r="C532" s="633" t="n">
        <v>31</v>
      </c>
      <c r="D532" s="732" t="n">
        <f aca="false">C532</f>
        <v>31</v>
      </c>
      <c r="E532" s="635" t="n">
        <f aca="false">E531+D532</f>
        <v>13989.246</v>
      </c>
      <c r="F532" s="635" t="n">
        <f aca="false">F531-D531</f>
        <v>-2419.35600000001</v>
      </c>
      <c r="G532" s="636" t="n">
        <f aca="false">G531-D532</f>
        <v>-2450.35600000001</v>
      </c>
      <c r="H532" s="733"/>
    </row>
    <row r="533" customFormat="false" ht="26.8" hidden="false" customHeight="false" outlineLevel="0" collapsed="false">
      <c r="A533" s="632" t="s">
        <v>838</v>
      </c>
      <c r="B533" s="632" t="s">
        <v>380</v>
      </c>
      <c r="C533" s="633" t="n">
        <v>31</v>
      </c>
      <c r="D533" s="732" t="n">
        <f aca="false">C533</f>
        <v>31</v>
      </c>
      <c r="E533" s="635" t="n">
        <f aca="false">E532+D533</f>
        <v>14020.246</v>
      </c>
      <c r="F533" s="635" t="n">
        <f aca="false">F532-D532</f>
        <v>-2450.35600000001</v>
      </c>
      <c r="G533" s="636" t="n">
        <f aca="false">G532-D533</f>
        <v>-2481.35600000001</v>
      </c>
      <c r="H533" s="733"/>
    </row>
    <row r="534" customFormat="false" ht="26.8" hidden="false" customHeight="false" outlineLevel="0" collapsed="false">
      <c r="A534" s="632" t="s">
        <v>839</v>
      </c>
      <c r="B534" s="632" t="s">
        <v>380</v>
      </c>
      <c r="C534" s="633" t="n">
        <v>31</v>
      </c>
      <c r="D534" s="732" t="n">
        <f aca="false">C534</f>
        <v>31</v>
      </c>
      <c r="E534" s="635" t="n">
        <f aca="false">E533+D534</f>
        <v>14051.246</v>
      </c>
      <c r="F534" s="635" t="n">
        <f aca="false">F533-D533</f>
        <v>-2481.35600000001</v>
      </c>
      <c r="G534" s="636" t="n">
        <f aca="false">G533-D534</f>
        <v>-2512.35600000001</v>
      </c>
      <c r="H534" s="733"/>
    </row>
    <row r="535" customFormat="false" ht="26.8" hidden="false" customHeight="false" outlineLevel="0" collapsed="false">
      <c r="A535" s="632" t="s">
        <v>840</v>
      </c>
      <c r="B535" s="632" t="s">
        <v>380</v>
      </c>
      <c r="C535" s="633" t="n">
        <v>31</v>
      </c>
      <c r="D535" s="732" t="n">
        <f aca="false">C535</f>
        <v>31</v>
      </c>
      <c r="E535" s="635" t="n">
        <f aca="false">E534+D535</f>
        <v>14082.246</v>
      </c>
      <c r="F535" s="635" t="n">
        <f aca="false">F534-D534</f>
        <v>-2512.35600000001</v>
      </c>
      <c r="G535" s="636" t="n">
        <f aca="false">G534-D535</f>
        <v>-2543.35600000001</v>
      </c>
      <c r="H535" s="733"/>
    </row>
    <row r="536" customFormat="false" ht="26.8" hidden="false" customHeight="false" outlineLevel="0" collapsed="false">
      <c r="A536" s="632" t="s">
        <v>841</v>
      </c>
      <c r="B536" s="632" t="s">
        <v>380</v>
      </c>
      <c r="C536" s="633" t="n">
        <v>31</v>
      </c>
      <c r="D536" s="732" t="n">
        <f aca="false">C536</f>
        <v>31</v>
      </c>
      <c r="E536" s="635" t="n">
        <f aca="false">E535+D536</f>
        <v>14113.246</v>
      </c>
      <c r="F536" s="635" t="n">
        <f aca="false">F535-D535</f>
        <v>-2543.35600000001</v>
      </c>
      <c r="G536" s="636" t="n">
        <f aca="false">G535-D536</f>
        <v>-2574.35600000001</v>
      </c>
      <c r="H536" s="733"/>
    </row>
    <row r="537" customFormat="false" ht="26.8" hidden="false" customHeight="false" outlineLevel="0" collapsed="false">
      <c r="A537" s="632" t="s">
        <v>842</v>
      </c>
      <c r="B537" s="632" t="s">
        <v>380</v>
      </c>
      <c r="C537" s="633" t="n">
        <v>31</v>
      </c>
      <c r="D537" s="732" t="n">
        <f aca="false">C537</f>
        <v>31</v>
      </c>
      <c r="E537" s="635" t="n">
        <f aca="false">E536+D537</f>
        <v>14144.246</v>
      </c>
      <c r="F537" s="635" t="n">
        <f aca="false">F536-D536</f>
        <v>-2574.35600000001</v>
      </c>
      <c r="G537" s="636" t="n">
        <f aca="false">G536-D537</f>
        <v>-2605.35600000001</v>
      </c>
      <c r="H537" s="733"/>
    </row>
    <row r="538" customFormat="false" ht="26.8" hidden="false" customHeight="false" outlineLevel="0" collapsed="false">
      <c r="A538" s="632" t="s">
        <v>843</v>
      </c>
      <c r="B538" s="632" t="s">
        <v>380</v>
      </c>
      <c r="C538" s="633" t="n">
        <v>31</v>
      </c>
      <c r="D538" s="732" t="n">
        <f aca="false">C538</f>
        <v>31</v>
      </c>
      <c r="E538" s="635" t="n">
        <f aca="false">E537+D538</f>
        <v>14175.246</v>
      </c>
      <c r="F538" s="635" t="n">
        <f aca="false">F537-D537</f>
        <v>-2605.35600000001</v>
      </c>
      <c r="G538" s="636" t="n">
        <f aca="false">G537-D538</f>
        <v>-2636.35600000001</v>
      </c>
      <c r="H538" s="733"/>
    </row>
    <row r="539" customFormat="false" ht="26.8" hidden="false" customHeight="false" outlineLevel="0" collapsed="false">
      <c r="A539" s="632" t="s">
        <v>844</v>
      </c>
      <c r="B539" s="632" t="s">
        <v>380</v>
      </c>
      <c r="C539" s="633" t="n">
        <v>31</v>
      </c>
      <c r="D539" s="732" t="n">
        <f aca="false">C539</f>
        <v>31</v>
      </c>
      <c r="E539" s="635" t="n">
        <f aca="false">E538+D539</f>
        <v>14206.246</v>
      </c>
      <c r="F539" s="635" t="n">
        <f aca="false">F538-D538</f>
        <v>-2636.35600000001</v>
      </c>
      <c r="G539" s="636" t="n">
        <f aca="false">G538-D539</f>
        <v>-2667.35600000001</v>
      </c>
      <c r="H539" s="733"/>
    </row>
    <row r="540" customFormat="false" ht="26.8" hidden="false" customHeight="false" outlineLevel="0" collapsed="false">
      <c r="A540" s="632" t="s">
        <v>845</v>
      </c>
      <c r="B540" s="632" t="s">
        <v>380</v>
      </c>
      <c r="C540" s="633" t="n">
        <v>31</v>
      </c>
      <c r="D540" s="732" t="n">
        <f aca="false">C540</f>
        <v>31</v>
      </c>
      <c r="E540" s="635" t="n">
        <f aca="false">E539+D540</f>
        <v>14237.246</v>
      </c>
      <c r="F540" s="635" t="n">
        <f aca="false">F539-D539</f>
        <v>-2667.35600000001</v>
      </c>
      <c r="G540" s="636" t="n">
        <f aca="false">G539-D540</f>
        <v>-2698.35600000001</v>
      </c>
      <c r="H540" s="733"/>
    </row>
    <row r="541" customFormat="false" ht="26.8" hidden="false" customHeight="false" outlineLevel="0" collapsed="false">
      <c r="A541" s="632" t="s">
        <v>846</v>
      </c>
      <c r="B541" s="632" t="s">
        <v>380</v>
      </c>
      <c r="C541" s="633" t="n">
        <v>31</v>
      </c>
      <c r="D541" s="732" t="n">
        <f aca="false">C541</f>
        <v>31</v>
      </c>
      <c r="E541" s="635" t="n">
        <f aca="false">E540+D541</f>
        <v>14268.246</v>
      </c>
      <c r="F541" s="635" t="n">
        <f aca="false">F540-D540</f>
        <v>-2698.35600000001</v>
      </c>
      <c r="G541" s="636" t="n">
        <f aca="false">G540-D541</f>
        <v>-2729.35600000001</v>
      </c>
      <c r="H541" s="733"/>
    </row>
    <row r="542" customFormat="false" ht="26.8" hidden="false" customHeight="false" outlineLevel="0" collapsed="false">
      <c r="A542" s="632" t="s">
        <v>847</v>
      </c>
      <c r="B542" s="632" t="s">
        <v>380</v>
      </c>
      <c r="C542" s="633" t="n">
        <v>31</v>
      </c>
      <c r="D542" s="732" t="n">
        <f aca="false">C542</f>
        <v>31</v>
      </c>
      <c r="E542" s="635" t="n">
        <f aca="false">E541+D542</f>
        <v>14299.246</v>
      </c>
      <c r="F542" s="635" t="n">
        <f aca="false">F541-D541</f>
        <v>-2729.35600000001</v>
      </c>
      <c r="G542" s="636" t="n">
        <f aca="false">G541-D542</f>
        <v>-2760.35600000001</v>
      </c>
      <c r="H542" s="733"/>
    </row>
    <row r="543" customFormat="false" ht="26.8" hidden="false" customHeight="false" outlineLevel="0" collapsed="false">
      <c r="A543" s="632" t="s">
        <v>848</v>
      </c>
      <c r="B543" s="632" t="s">
        <v>380</v>
      </c>
      <c r="C543" s="633" t="n">
        <v>31</v>
      </c>
      <c r="D543" s="732" t="n">
        <f aca="false">C543</f>
        <v>31</v>
      </c>
      <c r="E543" s="635" t="n">
        <f aca="false">E542+D543</f>
        <v>14330.246</v>
      </c>
      <c r="F543" s="635" t="n">
        <f aca="false">F542-D542</f>
        <v>-2760.35600000001</v>
      </c>
      <c r="G543" s="636" t="n">
        <f aca="false">G542-D543</f>
        <v>-2791.35600000001</v>
      </c>
      <c r="H543" s="733"/>
    </row>
    <row r="544" customFormat="false" ht="26.8" hidden="false" customHeight="false" outlineLevel="0" collapsed="false">
      <c r="A544" s="632" t="s">
        <v>849</v>
      </c>
      <c r="B544" s="632" t="s">
        <v>380</v>
      </c>
      <c r="C544" s="633" t="n">
        <v>31</v>
      </c>
      <c r="D544" s="732" t="n">
        <f aca="false">C544</f>
        <v>31</v>
      </c>
      <c r="E544" s="635" t="n">
        <f aca="false">E543+D544</f>
        <v>14361.246</v>
      </c>
      <c r="F544" s="635" t="n">
        <f aca="false">F543-D543</f>
        <v>-2791.35600000001</v>
      </c>
      <c r="G544" s="636" t="n">
        <f aca="false">G543-D544</f>
        <v>-2822.35600000001</v>
      </c>
      <c r="H544" s="733"/>
    </row>
    <row r="545" customFormat="false" ht="26.8" hidden="false" customHeight="false" outlineLevel="0" collapsed="false">
      <c r="A545" s="632" t="s">
        <v>850</v>
      </c>
      <c r="B545" s="632" t="s">
        <v>380</v>
      </c>
      <c r="C545" s="633" t="n">
        <v>31</v>
      </c>
      <c r="D545" s="732" t="n">
        <f aca="false">C545</f>
        <v>31</v>
      </c>
      <c r="E545" s="635" t="n">
        <f aca="false">E544+D545</f>
        <v>14392.246</v>
      </c>
      <c r="F545" s="635" t="n">
        <f aca="false">F544-D544</f>
        <v>-2822.35600000001</v>
      </c>
      <c r="G545" s="636" t="n">
        <f aca="false">G544-D545</f>
        <v>-2853.35600000001</v>
      </c>
      <c r="H545" s="733"/>
    </row>
    <row r="546" customFormat="false" ht="26.8" hidden="false" customHeight="false" outlineLevel="0" collapsed="false">
      <c r="A546" s="632" t="s">
        <v>851</v>
      </c>
      <c r="B546" s="632" t="s">
        <v>380</v>
      </c>
      <c r="C546" s="633" t="n">
        <v>31</v>
      </c>
      <c r="D546" s="732" t="n">
        <f aca="false">C546</f>
        <v>31</v>
      </c>
      <c r="E546" s="635" t="n">
        <f aca="false">E545+D546</f>
        <v>14423.246</v>
      </c>
      <c r="F546" s="635" t="n">
        <f aca="false">F545-D545</f>
        <v>-2853.35600000001</v>
      </c>
      <c r="G546" s="636" t="n">
        <f aca="false">G545-D546</f>
        <v>-2884.35600000001</v>
      </c>
      <c r="H546" s="733"/>
    </row>
    <row r="547" customFormat="false" ht="26.8" hidden="false" customHeight="false" outlineLevel="0" collapsed="false">
      <c r="A547" s="632" t="s">
        <v>852</v>
      </c>
      <c r="B547" s="632" t="s">
        <v>380</v>
      </c>
      <c r="C547" s="633" t="n">
        <v>31</v>
      </c>
      <c r="D547" s="732" t="n">
        <f aca="false">C547</f>
        <v>31</v>
      </c>
      <c r="E547" s="635" t="n">
        <f aca="false">E546+D547</f>
        <v>14454.246</v>
      </c>
      <c r="F547" s="635" t="n">
        <f aca="false">F546-D546</f>
        <v>-2884.35600000001</v>
      </c>
      <c r="G547" s="636" t="n">
        <f aca="false">G546-D547</f>
        <v>-2915.35600000001</v>
      </c>
      <c r="H547" s="733"/>
    </row>
    <row r="548" customFormat="false" ht="26.8" hidden="false" customHeight="false" outlineLevel="0" collapsed="false">
      <c r="A548" s="632" t="s">
        <v>853</v>
      </c>
      <c r="B548" s="632" t="s">
        <v>380</v>
      </c>
      <c r="C548" s="633" t="n">
        <v>31</v>
      </c>
      <c r="D548" s="732" t="n">
        <f aca="false">C548</f>
        <v>31</v>
      </c>
      <c r="E548" s="635" t="n">
        <f aca="false">E547+D548</f>
        <v>14485.246</v>
      </c>
      <c r="F548" s="635" t="n">
        <f aca="false">F547-D547</f>
        <v>-2915.35600000001</v>
      </c>
      <c r="G548" s="636" t="n">
        <f aca="false">G547-D548</f>
        <v>-2946.35600000001</v>
      </c>
      <c r="H548" s="733"/>
    </row>
    <row r="549" customFormat="false" ht="26.8" hidden="false" customHeight="false" outlineLevel="0" collapsed="false">
      <c r="A549" s="632" t="s">
        <v>854</v>
      </c>
      <c r="B549" s="632" t="s">
        <v>380</v>
      </c>
      <c r="C549" s="633" t="n">
        <v>31</v>
      </c>
      <c r="D549" s="732" t="n">
        <f aca="false">C549</f>
        <v>31</v>
      </c>
      <c r="E549" s="635" t="n">
        <f aca="false">E548+D549</f>
        <v>14516.246</v>
      </c>
      <c r="F549" s="635" t="n">
        <f aca="false">F548-D548</f>
        <v>-2946.35600000001</v>
      </c>
      <c r="G549" s="636" t="n">
        <f aca="false">G548-D549</f>
        <v>-2977.35600000001</v>
      </c>
      <c r="H549" s="733"/>
    </row>
    <row r="550" customFormat="false" ht="26.8" hidden="false" customHeight="false" outlineLevel="0" collapsed="false">
      <c r="A550" s="632" t="s">
        <v>855</v>
      </c>
      <c r="B550" s="632" t="s">
        <v>380</v>
      </c>
      <c r="C550" s="633" t="n">
        <v>31</v>
      </c>
      <c r="D550" s="732" t="n">
        <f aca="false">C550</f>
        <v>31</v>
      </c>
      <c r="E550" s="635" t="n">
        <f aca="false">E549+D550</f>
        <v>14547.246</v>
      </c>
      <c r="F550" s="635" t="n">
        <f aca="false">F549-D549</f>
        <v>-2977.35600000001</v>
      </c>
      <c r="G550" s="636" t="n">
        <f aca="false">G549-D550</f>
        <v>-3008.35600000001</v>
      </c>
      <c r="H550" s="733"/>
    </row>
    <row r="551" customFormat="false" ht="26.8" hidden="false" customHeight="false" outlineLevel="0" collapsed="false">
      <c r="A551" s="632" t="s">
        <v>856</v>
      </c>
      <c r="B551" s="632" t="s">
        <v>380</v>
      </c>
      <c r="C551" s="633" t="n">
        <v>31</v>
      </c>
      <c r="D551" s="732" t="n">
        <f aca="false">C551</f>
        <v>31</v>
      </c>
      <c r="E551" s="635" t="n">
        <f aca="false">E550+D551</f>
        <v>14578.246</v>
      </c>
      <c r="F551" s="635" t="n">
        <f aca="false">F550-D550</f>
        <v>-3008.35600000001</v>
      </c>
      <c r="G551" s="636" t="n">
        <f aca="false">G550-D551</f>
        <v>-3039.35600000001</v>
      </c>
      <c r="H551" s="733"/>
    </row>
    <row r="552" customFormat="false" ht="26.8" hidden="false" customHeight="false" outlineLevel="0" collapsed="false">
      <c r="A552" s="632" t="s">
        <v>857</v>
      </c>
      <c r="B552" s="632" t="s">
        <v>380</v>
      </c>
      <c r="C552" s="633" t="n">
        <v>31</v>
      </c>
      <c r="D552" s="732" t="n">
        <f aca="false">C552</f>
        <v>31</v>
      </c>
      <c r="E552" s="635" t="n">
        <f aca="false">E551+D552</f>
        <v>14609.246</v>
      </c>
      <c r="F552" s="635" t="n">
        <f aca="false">F551-D551</f>
        <v>-3039.35600000001</v>
      </c>
      <c r="G552" s="636" t="n">
        <f aca="false">G551-D552</f>
        <v>-3070.35600000001</v>
      </c>
      <c r="H552" s="733"/>
    </row>
    <row r="553" customFormat="false" ht="26.8" hidden="false" customHeight="false" outlineLevel="0" collapsed="false">
      <c r="A553" s="632" t="s">
        <v>858</v>
      </c>
      <c r="B553" s="632" t="s">
        <v>380</v>
      </c>
      <c r="C553" s="633" t="n">
        <v>31</v>
      </c>
      <c r="D553" s="732" t="n">
        <f aca="false">C553</f>
        <v>31</v>
      </c>
      <c r="E553" s="635" t="n">
        <f aca="false">E552+D553</f>
        <v>14640.246</v>
      </c>
      <c r="F553" s="635" t="n">
        <f aca="false">F552-D552</f>
        <v>-3070.35600000001</v>
      </c>
      <c r="G553" s="636" t="n">
        <f aca="false">G552-D553</f>
        <v>-3101.35600000001</v>
      </c>
      <c r="H553" s="733"/>
    </row>
    <row r="554" customFormat="false" ht="26.8" hidden="false" customHeight="false" outlineLevel="0" collapsed="false">
      <c r="A554" s="632" t="s">
        <v>859</v>
      </c>
      <c r="B554" s="632" t="s">
        <v>380</v>
      </c>
      <c r="C554" s="633" t="n">
        <v>31</v>
      </c>
      <c r="D554" s="732" t="n">
        <f aca="false">C554</f>
        <v>31</v>
      </c>
      <c r="E554" s="635" t="n">
        <f aca="false">E553+D554</f>
        <v>14671.246</v>
      </c>
      <c r="F554" s="635" t="n">
        <f aca="false">F553-D553</f>
        <v>-3101.35600000001</v>
      </c>
      <c r="G554" s="636" t="n">
        <f aca="false">G553-D554</f>
        <v>-3132.35600000001</v>
      </c>
      <c r="H554" s="733"/>
    </row>
    <row r="555" customFormat="false" ht="26.8" hidden="false" customHeight="false" outlineLevel="0" collapsed="false">
      <c r="A555" s="632" t="s">
        <v>860</v>
      </c>
      <c r="B555" s="632" t="s">
        <v>380</v>
      </c>
      <c r="C555" s="633" t="n">
        <v>31</v>
      </c>
      <c r="D555" s="732" t="n">
        <f aca="false">C555</f>
        <v>31</v>
      </c>
      <c r="E555" s="635" t="n">
        <f aca="false">E554+D555</f>
        <v>14702.246</v>
      </c>
      <c r="F555" s="635" t="n">
        <f aca="false">F554-D554</f>
        <v>-3132.35600000001</v>
      </c>
      <c r="G555" s="636" t="n">
        <f aca="false">G554-D555</f>
        <v>-3163.35600000001</v>
      </c>
      <c r="H555" s="733"/>
    </row>
    <row r="556" customFormat="false" ht="26.8" hidden="false" customHeight="false" outlineLevel="0" collapsed="false">
      <c r="A556" s="632" t="s">
        <v>861</v>
      </c>
      <c r="B556" s="632" t="s">
        <v>380</v>
      </c>
      <c r="C556" s="633" t="n">
        <v>31</v>
      </c>
      <c r="D556" s="732" t="n">
        <f aca="false">C556</f>
        <v>31</v>
      </c>
      <c r="E556" s="635" t="n">
        <f aca="false">E555+D556</f>
        <v>14733.246</v>
      </c>
      <c r="F556" s="635" t="n">
        <f aca="false">F555-D555</f>
        <v>-3163.35600000001</v>
      </c>
      <c r="G556" s="636" t="n">
        <f aca="false">G555-D556</f>
        <v>-3194.35600000001</v>
      </c>
      <c r="H556" s="733"/>
    </row>
    <row r="557" customFormat="false" ht="26.8" hidden="false" customHeight="false" outlineLevel="0" collapsed="false">
      <c r="A557" s="632" t="s">
        <v>862</v>
      </c>
      <c r="B557" s="632" t="s">
        <v>380</v>
      </c>
      <c r="C557" s="633" t="n">
        <v>31</v>
      </c>
      <c r="D557" s="732" t="n">
        <f aca="false">C557</f>
        <v>31</v>
      </c>
      <c r="E557" s="635" t="n">
        <f aca="false">E556+D557</f>
        <v>14764.246</v>
      </c>
      <c r="F557" s="635" t="n">
        <f aca="false">F556-D556</f>
        <v>-3194.35600000001</v>
      </c>
      <c r="G557" s="636" t="n">
        <f aca="false">G556-D557</f>
        <v>-3225.35600000001</v>
      </c>
      <c r="H557" s="733"/>
    </row>
    <row r="558" customFormat="false" ht="26.8" hidden="false" customHeight="false" outlineLevel="0" collapsed="false">
      <c r="A558" s="632" t="s">
        <v>863</v>
      </c>
      <c r="B558" s="632" t="s">
        <v>380</v>
      </c>
      <c r="C558" s="633" t="n">
        <v>31</v>
      </c>
      <c r="D558" s="732" t="n">
        <f aca="false">C558</f>
        <v>31</v>
      </c>
      <c r="E558" s="635" t="n">
        <f aca="false">E557+D558</f>
        <v>14795.246</v>
      </c>
      <c r="F558" s="635" t="n">
        <f aca="false">F557-D557</f>
        <v>-3225.35600000001</v>
      </c>
      <c r="G558" s="636" t="n">
        <f aca="false">G557-D558</f>
        <v>-3256.35600000001</v>
      </c>
      <c r="H558" s="733"/>
    </row>
    <row r="559" customFormat="false" ht="26.8" hidden="false" customHeight="false" outlineLevel="0" collapsed="false">
      <c r="A559" s="632" t="s">
        <v>864</v>
      </c>
      <c r="B559" s="632" t="s">
        <v>380</v>
      </c>
      <c r="C559" s="633" t="n">
        <v>31</v>
      </c>
      <c r="D559" s="732" t="n">
        <f aca="false">C559</f>
        <v>31</v>
      </c>
      <c r="E559" s="635" t="n">
        <f aca="false">E558+D559</f>
        <v>14826.246</v>
      </c>
      <c r="F559" s="635" t="n">
        <f aca="false">F558-D558</f>
        <v>-3256.35600000001</v>
      </c>
      <c r="G559" s="636" t="n">
        <f aca="false">G558-D559</f>
        <v>-3287.35600000001</v>
      </c>
      <c r="H559" s="733"/>
    </row>
    <row r="560" customFormat="false" ht="26.8" hidden="false" customHeight="false" outlineLevel="0" collapsed="false">
      <c r="A560" s="632" t="s">
        <v>865</v>
      </c>
      <c r="B560" s="632" t="s">
        <v>380</v>
      </c>
      <c r="C560" s="633" t="n">
        <v>31</v>
      </c>
      <c r="D560" s="732" t="n">
        <f aca="false">C560</f>
        <v>31</v>
      </c>
      <c r="E560" s="635" t="n">
        <f aca="false">E559+D560</f>
        <v>14857.246</v>
      </c>
      <c r="F560" s="635" t="n">
        <f aca="false">F559-D559</f>
        <v>-3287.35600000001</v>
      </c>
      <c r="G560" s="636" t="n">
        <f aca="false">G559-D560</f>
        <v>-3318.35600000001</v>
      </c>
      <c r="H560" s="733"/>
    </row>
    <row r="561" customFormat="false" ht="26.8" hidden="false" customHeight="false" outlineLevel="0" collapsed="false">
      <c r="A561" s="632" t="s">
        <v>866</v>
      </c>
      <c r="B561" s="632" t="s">
        <v>380</v>
      </c>
      <c r="C561" s="633" t="n">
        <v>31</v>
      </c>
      <c r="D561" s="732" t="n">
        <f aca="false">C561</f>
        <v>31</v>
      </c>
      <c r="E561" s="635" t="n">
        <f aca="false">E560+D561</f>
        <v>14888.246</v>
      </c>
      <c r="F561" s="635" t="n">
        <f aca="false">F560-D560</f>
        <v>-3318.35600000001</v>
      </c>
      <c r="G561" s="636" t="n">
        <f aca="false">G560-D561</f>
        <v>-3349.35600000001</v>
      </c>
      <c r="H561" s="733"/>
    </row>
    <row r="562" customFormat="false" ht="26.8" hidden="false" customHeight="false" outlineLevel="0" collapsed="false">
      <c r="A562" s="632" t="s">
        <v>867</v>
      </c>
      <c r="B562" s="632" t="s">
        <v>380</v>
      </c>
      <c r="C562" s="633" t="n">
        <v>31</v>
      </c>
      <c r="D562" s="732" t="n">
        <f aca="false">C562</f>
        <v>31</v>
      </c>
      <c r="E562" s="635" t="n">
        <f aca="false">E561+D562</f>
        <v>14919.246</v>
      </c>
      <c r="F562" s="635" t="n">
        <f aca="false">F561-D561</f>
        <v>-3349.35600000001</v>
      </c>
      <c r="G562" s="636" t="n">
        <f aca="false">G561-D562</f>
        <v>-3380.35600000001</v>
      </c>
      <c r="H562" s="733"/>
    </row>
    <row r="563" customFormat="false" ht="26.8" hidden="false" customHeight="false" outlineLevel="0" collapsed="false">
      <c r="A563" s="632" t="s">
        <v>868</v>
      </c>
      <c r="B563" s="632" t="s">
        <v>380</v>
      </c>
      <c r="C563" s="633" t="n">
        <v>31</v>
      </c>
      <c r="D563" s="732" t="n">
        <f aca="false">C563</f>
        <v>31</v>
      </c>
      <c r="E563" s="635" t="n">
        <f aca="false">E562+D563</f>
        <v>14950.246</v>
      </c>
      <c r="F563" s="635" t="n">
        <f aca="false">F562-D562</f>
        <v>-3380.35600000001</v>
      </c>
      <c r="G563" s="636" t="n">
        <f aca="false">G562-D563</f>
        <v>-3411.35600000001</v>
      </c>
      <c r="H563" s="733"/>
    </row>
    <row r="564" customFormat="false" ht="26.8" hidden="false" customHeight="false" outlineLevel="0" collapsed="false">
      <c r="A564" s="632" t="s">
        <v>869</v>
      </c>
      <c r="B564" s="632" t="s">
        <v>380</v>
      </c>
      <c r="C564" s="633" t="n">
        <v>31</v>
      </c>
      <c r="D564" s="732" t="n">
        <f aca="false">C564</f>
        <v>31</v>
      </c>
      <c r="E564" s="635" t="n">
        <f aca="false">E563+D564</f>
        <v>14981.246</v>
      </c>
      <c r="F564" s="635" t="n">
        <f aca="false">F563-D563</f>
        <v>-3411.35600000001</v>
      </c>
      <c r="G564" s="636" t="n">
        <f aca="false">G563-D564</f>
        <v>-3442.35600000001</v>
      </c>
      <c r="H564" s="733"/>
    </row>
    <row r="565" customFormat="false" ht="26.8" hidden="false" customHeight="false" outlineLevel="0" collapsed="false">
      <c r="A565" s="632" t="s">
        <v>870</v>
      </c>
      <c r="B565" s="632" t="s">
        <v>380</v>
      </c>
      <c r="C565" s="633" t="n">
        <v>31</v>
      </c>
      <c r="D565" s="732" t="n">
        <f aca="false">C565</f>
        <v>31</v>
      </c>
      <c r="E565" s="635" t="n">
        <f aca="false">E564+D565</f>
        <v>15012.246</v>
      </c>
      <c r="F565" s="635" t="n">
        <f aca="false">F564-D564</f>
        <v>-3442.35600000001</v>
      </c>
      <c r="G565" s="636" t="n">
        <f aca="false">G564-D565</f>
        <v>-3473.35600000001</v>
      </c>
      <c r="H565" s="733"/>
    </row>
    <row r="566" customFormat="false" ht="26.8" hidden="false" customHeight="false" outlineLevel="0" collapsed="false">
      <c r="A566" s="632" t="s">
        <v>871</v>
      </c>
      <c r="B566" s="632" t="s">
        <v>380</v>
      </c>
      <c r="C566" s="633" t="n">
        <v>31</v>
      </c>
      <c r="D566" s="732" t="n">
        <f aca="false">C566</f>
        <v>31</v>
      </c>
      <c r="E566" s="635" t="n">
        <f aca="false">E565+D566</f>
        <v>15043.246</v>
      </c>
      <c r="F566" s="635" t="n">
        <f aca="false">F565-D565</f>
        <v>-3473.35600000001</v>
      </c>
      <c r="G566" s="636" t="n">
        <f aca="false">G565-D566</f>
        <v>-3504.35600000001</v>
      </c>
      <c r="H566" s="733"/>
    </row>
    <row r="567" customFormat="false" ht="26.8" hidden="false" customHeight="false" outlineLevel="0" collapsed="false">
      <c r="A567" s="632" t="s">
        <v>872</v>
      </c>
      <c r="B567" s="632" t="s">
        <v>380</v>
      </c>
      <c r="C567" s="633" t="n">
        <v>31</v>
      </c>
      <c r="D567" s="732" t="n">
        <f aca="false">C567</f>
        <v>31</v>
      </c>
      <c r="E567" s="635" t="n">
        <f aca="false">E566+D567</f>
        <v>15074.246</v>
      </c>
      <c r="F567" s="635" t="n">
        <f aca="false">F566-D566</f>
        <v>-3504.35600000001</v>
      </c>
      <c r="G567" s="636" t="n">
        <f aca="false">G566-D567</f>
        <v>-3535.35600000001</v>
      </c>
      <c r="H567" s="733"/>
    </row>
    <row r="568" customFormat="false" ht="26.8" hidden="false" customHeight="false" outlineLevel="0" collapsed="false">
      <c r="A568" s="632" t="s">
        <v>873</v>
      </c>
      <c r="B568" s="632" t="s">
        <v>380</v>
      </c>
      <c r="C568" s="633" t="n">
        <v>31</v>
      </c>
      <c r="D568" s="732" t="n">
        <f aca="false">C568</f>
        <v>31</v>
      </c>
      <c r="E568" s="635" t="n">
        <f aca="false">E567+D568</f>
        <v>15105.246</v>
      </c>
      <c r="F568" s="635" t="n">
        <f aca="false">F567-D567</f>
        <v>-3535.35600000001</v>
      </c>
      <c r="G568" s="636" t="n">
        <f aca="false">G567-D568</f>
        <v>-3566.35600000001</v>
      </c>
      <c r="H568" s="733"/>
    </row>
    <row r="569" customFormat="false" ht="26.8" hidden="false" customHeight="false" outlineLevel="0" collapsed="false">
      <c r="A569" s="632" t="s">
        <v>874</v>
      </c>
      <c r="B569" s="632" t="s">
        <v>380</v>
      </c>
      <c r="C569" s="633" t="n">
        <v>31</v>
      </c>
      <c r="D569" s="732" t="n">
        <f aca="false">C569</f>
        <v>31</v>
      </c>
      <c r="E569" s="635" t="n">
        <f aca="false">E568+D569</f>
        <v>15136.246</v>
      </c>
      <c r="F569" s="635" t="n">
        <f aca="false">F568-D568</f>
        <v>-3566.35600000001</v>
      </c>
      <c r="G569" s="636" t="n">
        <f aca="false">G568-D569</f>
        <v>-3597.35600000001</v>
      </c>
      <c r="H569" s="733"/>
    </row>
    <row r="570" customFormat="false" ht="26.8" hidden="false" customHeight="false" outlineLevel="0" collapsed="false">
      <c r="A570" s="632" t="s">
        <v>875</v>
      </c>
      <c r="B570" s="632" t="s">
        <v>380</v>
      </c>
      <c r="C570" s="633" t="n">
        <v>31</v>
      </c>
      <c r="D570" s="732" t="n">
        <f aca="false">C570</f>
        <v>31</v>
      </c>
      <c r="E570" s="635" t="n">
        <f aca="false">E569+D570</f>
        <v>15167.246</v>
      </c>
      <c r="F570" s="635" t="n">
        <f aca="false">F569-D569</f>
        <v>-3597.35600000001</v>
      </c>
      <c r="G570" s="636" t="n">
        <f aca="false">G569-D570</f>
        <v>-3628.35600000001</v>
      </c>
      <c r="H570" s="733"/>
    </row>
    <row r="571" customFormat="false" ht="26.8" hidden="false" customHeight="false" outlineLevel="0" collapsed="false">
      <c r="A571" s="632" t="s">
        <v>876</v>
      </c>
      <c r="B571" s="632" t="s">
        <v>380</v>
      </c>
      <c r="C571" s="633" t="n">
        <v>31</v>
      </c>
      <c r="D571" s="732" t="n">
        <f aca="false">C571</f>
        <v>31</v>
      </c>
      <c r="E571" s="635" t="n">
        <f aca="false">E570+D571</f>
        <v>15198.246</v>
      </c>
      <c r="F571" s="635" t="n">
        <f aca="false">F570-D570</f>
        <v>-3628.35600000001</v>
      </c>
      <c r="G571" s="636" t="n">
        <f aca="false">G570-D571</f>
        <v>-3659.35600000001</v>
      </c>
      <c r="H571" s="733"/>
    </row>
    <row r="572" customFormat="false" ht="26.8" hidden="false" customHeight="false" outlineLevel="0" collapsed="false">
      <c r="A572" s="632" t="s">
        <v>877</v>
      </c>
      <c r="B572" s="632" t="s">
        <v>380</v>
      </c>
      <c r="C572" s="633" t="n">
        <v>31</v>
      </c>
      <c r="D572" s="732" t="n">
        <f aca="false">C572</f>
        <v>31</v>
      </c>
      <c r="E572" s="635" t="n">
        <f aca="false">E571+D572</f>
        <v>15229.246</v>
      </c>
      <c r="F572" s="635" t="n">
        <f aca="false">F571-D571</f>
        <v>-3659.35600000001</v>
      </c>
      <c r="G572" s="636" t="n">
        <f aca="false">G571-D572</f>
        <v>-3690.35600000001</v>
      </c>
      <c r="H572" s="733"/>
    </row>
    <row r="573" customFormat="false" ht="26.8" hidden="false" customHeight="false" outlineLevel="0" collapsed="false">
      <c r="A573" s="632" t="s">
        <v>878</v>
      </c>
      <c r="B573" s="632" t="s">
        <v>380</v>
      </c>
      <c r="C573" s="633" t="n">
        <v>31</v>
      </c>
      <c r="D573" s="732" t="n">
        <f aca="false">C573</f>
        <v>31</v>
      </c>
      <c r="E573" s="635" t="n">
        <f aca="false">E572+D573</f>
        <v>15260.246</v>
      </c>
      <c r="F573" s="635" t="n">
        <f aca="false">F572-D572</f>
        <v>-3690.35600000001</v>
      </c>
      <c r="G573" s="636" t="n">
        <f aca="false">G572-D573</f>
        <v>-3721.35600000001</v>
      </c>
      <c r="H573" s="733"/>
    </row>
    <row r="574" customFormat="false" ht="26.8" hidden="false" customHeight="false" outlineLevel="0" collapsed="false">
      <c r="A574" s="632" t="s">
        <v>879</v>
      </c>
      <c r="B574" s="632" t="s">
        <v>380</v>
      </c>
      <c r="C574" s="633" t="n">
        <v>31</v>
      </c>
      <c r="D574" s="732" t="n">
        <f aca="false">C574</f>
        <v>31</v>
      </c>
      <c r="E574" s="635" t="n">
        <f aca="false">E573+D574</f>
        <v>15291.246</v>
      </c>
      <c r="F574" s="635" t="n">
        <f aca="false">F573-D573</f>
        <v>-3721.35600000001</v>
      </c>
      <c r="G574" s="636" t="n">
        <f aca="false">G573-D574</f>
        <v>-3752.35600000001</v>
      </c>
      <c r="H574" s="733"/>
    </row>
    <row r="575" customFormat="false" ht="26.8" hidden="false" customHeight="false" outlineLevel="0" collapsed="false">
      <c r="A575" s="632" t="s">
        <v>880</v>
      </c>
      <c r="B575" s="632" t="s">
        <v>380</v>
      </c>
      <c r="C575" s="633" t="n">
        <v>31</v>
      </c>
      <c r="D575" s="732" t="n">
        <f aca="false">C575</f>
        <v>31</v>
      </c>
      <c r="E575" s="635" t="n">
        <f aca="false">E574+D575</f>
        <v>15322.246</v>
      </c>
      <c r="F575" s="635" t="n">
        <f aca="false">F574-D574</f>
        <v>-3752.35600000001</v>
      </c>
      <c r="G575" s="636" t="n">
        <f aca="false">G574-D575</f>
        <v>-3783.35600000001</v>
      </c>
      <c r="H575" s="733"/>
    </row>
    <row r="576" customFormat="false" ht="26.8" hidden="false" customHeight="false" outlineLevel="0" collapsed="false">
      <c r="A576" s="632" t="s">
        <v>881</v>
      </c>
      <c r="B576" s="632" t="s">
        <v>380</v>
      </c>
      <c r="C576" s="633" t="n">
        <v>31</v>
      </c>
      <c r="D576" s="732" t="n">
        <f aca="false">C576</f>
        <v>31</v>
      </c>
      <c r="E576" s="635" t="n">
        <f aca="false">E575+D576</f>
        <v>15353.246</v>
      </c>
      <c r="F576" s="635" t="n">
        <f aca="false">F575-D575</f>
        <v>-3783.35600000001</v>
      </c>
      <c r="G576" s="636" t="n">
        <f aca="false">G575-D576</f>
        <v>-3814.35600000001</v>
      </c>
      <c r="H576" s="733"/>
    </row>
    <row r="577" customFormat="false" ht="26.8" hidden="false" customHeight="false" outlineLevel="0" collapsed="false">
      <c r="A577" s="632" t="s">
        <v>882</v>
      </c>
      <c r="B577" s="632" t="s">
        <v>380</v>
      </c>
      <c r="C577" s="633" t="n">
        <v>31</v>
      </c>
      <c r="D577" s="732" t="n">
        <f aca="false">C577</f>
        <v>31</v>
      </c>
      <c r="E577" s="635" t="n">
        <f aca="false">E576+D577</f>
        <v>15384.246</v>
      </c>
      <c r="F577" s="635" t="n">
        <f aca="false">F576-D576</f>
        <v>-3814.35600000001</v>
      </c>
      <c r="G577" s="636" t="n">
        <f aca="false">G576-D577</f>
        <v>-3845.35600000001</v>
      </c>
      <c r="H577" s="733"/>
    </row>
    <row r="578" customFormat="false" ht="26.8" hidden="false" customHeight="false" outlineLevel="0" collapsed="false">
      <c r="A578" s="632" t="s">
        <v>883</v>
      </c>
      <c r="B578" s="632" t="s">
        <v>380</v>
      </c>
      <c r="C578" s="633" t="n">
        <v>31</v>
      </c>
      <c r="D578" s="732" t="n">
        <f aca="false">C578</f>
        <v>31</v>
      </c>
      <c r="E578" s="635" t="n">
        <f aca="false">E577+D578</f>
        <v>15415.246</v>
      </c>
      <c r="F578" s="635" t="n">
        <f aca="false">F577-D577</f>
        <v>-3845.35600000001</v>
      </c>
      <c r="G578" s="636" t="n">
        <f aca="false">G577-D578</f>
        <v>-3876.35600000001</v>
      </c>
      <c r="H578" s="733"/>
    </row>
    <row r="579" customFormat="false" ht="26.8" hidden="false" customHeight="false" outlineLevel="0" collapsed="false">
      <c r="A579" s="632" t="s">
        <v>884</v>
      </c>
      <c r="B579" s="632" t="s">
        <v>380</v>
      </c>
      <c r="C579" s="633" t="n">
        <v>31</v>
      </c>
      <c r="D579" s="732" t="n">
        <f aca="false">C579</f>
        <v>31</v>
      </c>
      <c r="E579" s="635" t="n">
        <f aca="false">E578+D579</f>
        <v>15446.246</v>
      </c>
      <c r="F579" s="635" t="n">
        <f aca="false">F578-D578</f>
        <v>-3876.35600000001</v>
      </c>
      <c r="G579" s="636" t="n">
        <f aca="false">G578-D579</f>
        <v>-3907.35600000001</v>
      </c>
      <c r="H579" s="733"/>
    </row>
    <row r="580" customFormat="false" ht="26.8" hidden="false" customHeight="false" outlineLevel="0" collapsed="false">
      <c r="A580" s="632" t="s">
        <v>885</v>
      </c>
      <c r="B580" s="632" t="s">
        <v>380</v>
      </c>
      <c r="C580" s="633" t="n">
        <v>31</v>
      </c>
      <c r="D580" s="732" t="n">
        <f aca="false">C580</f>
        <v>31</v>
      </c>
      <c r="E580" s="635" t="n">
        <f aca="false">E579+D580</f>
        <v>15477.246</v>
      </c>
      <c r="F580" s="635" t="n">
        <f aca="false">F579-D579</f>
        <v>-3907.35600000001</v>
      </c>
      <c r="G580" s="636" t="n">
        <f aca="false">G579-D580</f>
        <v>-3938.35600000001</v>
      </c>
      <c r="H580" s="733"/>
    </row>
    <row r="581" customFormat="false" ht="26.8" hidden="false" customHeight="false" outlineLevel="0" collapsed="false">
      <c r="A581" s="632" t="s">
        <v>886</v>
      </c>
      <c r="B581" s="632" t="s">
        <v>380</v>
      </c>
      <c r="C581" s="633" t="n">
        <v>31</v>
      </c>
      <c r="D581" s="732" t="n">
        <f aca="false">C581</f>
        <v>31</v>
      </c>
      <c r="E581" s="635" t="n">
        <f aca="false">E580+D581</f>
        <v>15508.246</v>
      </c>
      <c r="F581" s="635" t="n">
        <f aca="false">F580-D580</f>
        <v>-3938.35600000001</v>
      </c>
      <c r="G581" s="636" t="n">
        <f aca="false">G580-D581</f>
        <v>-3969.35600000001</v>
      </c>
      <c r="H581" s="733"/>
    </row>
    <row r="582" customFormat="false" ht="26.8" hidden="false" customHeight="false" outlineLevel="0" collapsed="false">
      <c r="A582" s="632" t="s">
        <v>887</v>
      </c>
      <c r="B582" s="632" t="s">
        <v>380</v>
      </c>
      <c r="C582" s="633" t="n">
        <v>31</v>
      </c>
      <c r="D582" s="732" t="n">
        <f aca="false">C582</f>
        <v>31</v>
      </c>
      <c r="E582" s="635" t="n">
        <f aca="false">E581+D582</f>
        <v>15539.246</v>
      </c>
      <c r="F582" s="635" t="n">
        <f aca="false">F581-D581</f>
        <v>-3969.35600000001</v>
      </c>
      <c r="G582" s="636" t="n">
        <f aca="false">G581-D582</f>
        <v>-4000.35600000001</v>
      </c>
      <c r="H582" s="733"/>
    </row>
    <row r="583" customFormat="false" ht="26.8" hidden="false" customHeight="false" outlineLevel="0" collapsed="false">
      <c r="A583" s="632" t="s">
        <v>888</v>
      </c>
      <c r="B583" s="632" t="s">
        <v>380</v>
      </c>
      <c r="C583" s="633" t="n">
        <v>31</v>
      </c>
      <c r="D583" s="732" t="n">
        <f aca="false">C583</f>
        <v>31</v>
      </c>
      <c r="E583" s="635" t="n">
        <f aca="false">E582+D583</f>
        <v>15570.246</v>
      </c>
      <c r="F583" s="635" t="n">
        <f aca="false">F582-D582</f>
        <v>-4000.35600000001</v>
      </c>
      <c r="G583" s="636" t="n">
        <f aca="false">G582-D583</f>
        <v>-4031.35600000001</v>
      </c>
      <c r="H583" s="733"/>
    </row>
    <row r="584" customFormat="false" ht="26.8" hidden="false" customHeight="false" outlineLevel="0" collapsed="false">
      <c r="A584" s="632" t="s">
        <v>889</v>
      </c>
      <c r="B584" s="632" t="s">
        <v>380</v>
      </c>
      <c r="C584" s="633" t="n">
        <v>31</v>
      </c>
      <c r="D584" s="732" t="n">
        <f aca="false">C584</f>
        <v>31</v>
      </c>
      <c r="E584" s="635" t="n">
        <f aca="false">E583+D584</f>
        <v>15601.246</v>
      </c>
      <c r="F584" s="635" t="n">
        <f aca="false">F583-D583</f>
        <v>-4031.35600000001</v>
      </c>
      <c r="G584" s="636" t="n">
        <f aca="false">G583-D584</f>
        <v>-4062.35600000001</v>
      </c>
      <c r="H584" s="733"/>
    </row>
    <row r="585" customFormat="false" ht="26.8" hidden="false" customHeight="false" outlineLevel="0" collapsed="false">
      <c r="A585" s="632" t="s">
        <v>890</v>
      </c>
      <c r="B585" s="632" t="s">
        <v>380</v>
      </c>
      <c r="C585" s="633" t="n">
        <v>31</v>
      </c>
      <c r="D585" s="732" t="n">
        <f aca="false">C585</f>
        <v>31</v>
      </c>
      <c r="E585" s="635" t="n">
        <f aca="false">E584+D585</f>
        <v>15632.246</v>
      </c>
      <c r="F585" s="635" t="n">
        <f aca="false">F584-D584</f>
        <v>-4062.35600000001</v>
      </c>
      <c r="G585" s="636" t="n">
        <f aca="false">G584-D585</f>
        <v>-4093.35600000001</v>
      </c>
      <c r="H585" s="733"/>
    </row>
    <row r="586" customFormat="false" ht="26.8" hidden="false" customHeight="false" outlineLevel="0" collapsed="false">
      <c r="A586" s="632" t="s">
        <v>891</v>
      </c>
      <c r="B586" s="632" t="s">
        <v>380</v>
      </c>
      <c r="C586" s="633" t="n">
        <v>31</v>
      </c>
      <c r="D586" s="732" t="n">
        <f aca="false">C586</f>
        <v>31</v>
      </c>
      <c r="E586" s="635" t="n">
        <f aca="false">E585+D586</f>
        <v>15663.246</v>
      </c>
      <c r="F586" s="635" t="n">
        <f aca="false">F585-D585</f>
        <v>-4093.35600000001</v>
      </c>
      <c r="G586" s="636" t="n">
        <f aca="false">G585-D586</f>
        <v>-4124.35600000001</v>
      </c>
      <c r="H586" s="733"/>
    </row>
    <row r="587" customFormat="false" ht="26.8" hidden="false" customHeight="false" outlineLevel="0" collapsed="false">
      <c r="A587" s="632" t="s">
        <v>892</v>
      </c>
      <c r="B587" s="632" t="s">
        <v>380</v>
      </c>
      <c r="C587" s="633" t="n">
        <v>31</v>
      </c>
      <c r="D587" s="732" t="n">
        <f aca="false">C587</f>
        <v>31</v>
      </c>
      <c r="E587" s="635" t="n">
        <f aca="false">E586+D587</f>
        <v>15694.246</v>
      </c>
      <c r="F587" s="635" t="n">
        <f aca="false">F586-D586</f>
        <v>-4124.35600000001</v>
      </c>
      <c r="G587" s="636" t="n">
        <f aca="false">G586-D587</f>
        <v>-4155.35600000001</v>
      </c>
      <c r="H587" s="733"/>
    </row>
    <row r="588" customFormat="false" ht="26.8" hidden="false" customHeight="false" outlineLevel="0" collapsed="false">
      <c r="A588" s="632" t="s">
        <v>893</v>
      </c>
      <c r="B588" s="632" t="s">
        <v>380</v>
      </c>
      <c r="C588" s="633" t="n">
        <v>31</v>
      </c>
      <c r="D588" s="732" t="n">
        <f aca="false">C588</f>
        <v>31</v>
      </c>
      <c r="E588" s="635" t="n">
        <f aca="false">E587+D588</f>
        <v>15725.246</v>
      </c>
      <c r="F588" s="635" t="n">
        <f aca="false">F587-D587</f>
        <v>-4155.35600000001</v>
      </c>
      <c r="G588" s="636" t="n">
        <f aca="false">G587-D588</f>
        <v>-4186.35600000001</v>
      </c>
      <c r="H588" s="733"/>
    </row>
    <row r="589" customFormat="false" ht="26.8" hidden="false" customHeight="false" outlineLevel="0" collapsed="false">
      <c r="A589" s="632" t="s">
        <v>894</v>
      </c>
      <c r="B589" s="632" t="s">
        <v>380</v>
      </c>
      <c r="C589" s="633" t="n">
        <v>31</v>
      </c>
      <c r="D589" s="732" t="n">
        <f aca="false">C589</f>
        <v>31</v>
      </c>
      <c r="E589" s="635" t="n">
        <f aca="false">E588+D589</f>
        <v>15756.246</v>
      </c>
      <c r="F589" s="635" t="n">
        <f aca="false">F588-D588</f>
        <v>-4186.35600000001</v>
      </c>
      <c r="G589" s="636" t="n">
        <f aca="false">G588-D589</f>
        <v>-4217.35600000001</v>
      </c>
      <c r="H589" s="733"/>
    </row>
    <row r="590" customFormat="false" ht="26.8" hidden="false" customHeight="false" outlineLevel="0" collapsed="false">
      <c r="A590" s="632" t="s">
        <v>895</v>
      </c>
      <c r="B590" s="632" t="s">
        <v>380</v>
      </c>
      <c r="C590" s="633" t="n">
        <v>31</v>
      </c>
      <c r="D590" s="732" t="n">
        <f aca="false">C590</f>
        <v>31</v>
      </c>
      <c r="E590" s="635" t="n">
        <f aca="false">E589+D590</f>
        <v>15787.246</v>
      </c>
      <c r="F590" s="635" t="n">
        <f aca="false">F589-D589</f>
        <v>-4217.35600000001</v>
      </c>
      <c r="G590" s="636" t="n">
        <f aca="false">G589-D590</f>
        <v>-4248.35600000001</v>
      </c>
      <c r="H590" s="733"/>
    </row>
    <row r="591" customFormat="false" ht="26.8" hidden="false" customHeight="false" outlineLevel="0" collapsed="false">
      <c r="A591" s="632" t="s">
        <v>896</v>
      </c>
      <c r="B591" s="632" t="s">
        <v>380</v>
      </c>
      <c r="C591" s="633" t="n">
        <v>31</v>
      </c>
      <c r="D591" s="732" t="n">
        <f aca="false">C591</f>
        <v>31</v>
      </c>
      <c r="E591" s="635" t="n">
        <f aca="false">E590+D591</f>
        <v>15818.246</v>
      </c>
      <c r="F591" s="635" t="n">
        <f aca="false">F590-D590</f>
        <v>-4248.35600000001</v>
      </c>
      <c r="G591" s="636" t="n">
        <f aca="false">G590-D591</f>
        <v>-4279.35600000001</v>
      </c>
      <c r="H591" s="733"/>
    </row>
    <row r="592" customFormat="false" ht="26.8" hidden="false" customHeight="false" outlineLevel="0" collapsed="false">
      <c r="A592" s="632" t="s">
        <v>897</v>
      </c>
      <c r="B592" s="632" t="s">
        <v>380</v>
      </c>
      <c r="C592" s="633" t="n">
        <v>31</v>
      </c>
      <c r="D592" s="732" t="n">
        <f aca="false">C592</f>
        <v>31</v>
      </c>
      <c r="E592" s="635" t="n">
        <f aca="false">E591+D592</f>
        <v>15849.246</v>
      </c>
      <c r="F592" s="635" t="n">
        <f aca="false">F591-D591</f>
        <v>-4279.35600000001</v>
      </c>
      <c r="G592" s="636" t="n">
        <f aca="false">G591-D592</f>
        <v>-4310.35600000001</v>
      </c>
      <c r="H592" s="733"/>
    </row>
    <row r="593" customFormat="false" ht="26.8" hidden="false" customHeight="false" outlineLevel="0" collapsed="false">
      <c r="A593" s="632" t="s">
        <v>898</v>
      </c>
      <c r="B593" s="632" t="s">
        <v>380</v>
      </c>
      <c r="C593" s="633" t="n">
        <v>31</v>
      </c>
      <c r="D593" s="732" t="n">
        <f aca="false">C593</f>
        <v>31</v>
      </c>
      <c r="E593" s="635" t="n">
        <f aca="false">E592+D593</f>
        <v>15880.246</v>
      </c>
      <c r="F593" s="635" t="n">
        <f aca="false">F592-D592</f>
        <v>-4310.35600000001</v>
      </c>
      <c r="G593" s="636" t="n">
        <f aca="false">G592-D593</f>
        <v>-4341.35600000001</v>
      </c>
      <c r="H593" s="733"/>
    </row>
    <row r="594" customFormat="false" ht="26.8" hidden="false" customHeight="false" outlineLevel="0" collapsed="false">
      <c r="A594" s="632" t="s">
        <v>899</v>
      </c>
      <c r="B594" s="632" t="s">
        <v>380</v>
      </c>
      <c r="C594" s="633" t="n">
        <v>31</v>
      </c>
      <c r="D594" s="732" t="n">
        <f aca="false">C594</f>
        <v>31</v>
      </c>
      <c r="E594" s="635" t="n">
        <f aca="false">E593+D594</f>
        <v>15911.246</v>
      </c>
      <c r="F594" s="635" t="n">
        <f aca="false">F593-D593</f>
        <v>-4341.35600000001</v>
      </c>
      <c r="G594" s="636" t="n">
        <f aca="false">G593-D594</f>
        <v>-4372.35600000001</v>
      </c>
      <c r="H594" s="733"/>
    </row>
    <row r="595" customFormat="false" ht="26.8" hidden="false" customHeight="false" outlineLevel="0" collapsed="false">
      <c r="A595" s="632" t="s">
        <v>900</v>
      </c>
      <c r="B595" s="632" t="s">
        <v>380</v>
      </c>
      <c r="C595" s="633" t="n">
        <v>31</v>
      </c>
      <c r="D595" s="732" t="n">
        <f aca="false">C595</f>
        <v>31</v>
      </c>
      <c r="E595" s="635" t="n">
        <f aca="false">E594+D595</f>
        <v>15942.246</v>
      </c>
      <c r="F595" s="635" t="n">
        <f aca="false">F594-D594</f>
        <v>-4372.35600000001</v>
      </c>
      <c r="G595" s="636" t="n">
        <f aca="false">G594-D595</f>
        <v>-4403.35600000001</v>
      </c>
      <c r="H595" s="733"/>
    </row>
    <row r="596" customFormat="false" ht="26.8" hidden="false" customHeight="false" outlineLevel="0" collapsed="false">
      <c r="A596" s="632" t="s">
        <v>901</v>
      </c>
      <c r="B596" s="632" t="s">
        <v>380</v>
      </c>
      <c r="C596" s="633" t="n">
        <v>31</v>
      </c>
      <c r="D596" s="732" t="n">
        <f aca="false">C596</f>
        <v>31</v>
      </c>
      <c r="E596" s="635" t="n">
        <f aca="false">E595+D596</f>
        <v>15973.246</v>
      </c>
      <c r="F596" s="635" t="n">
        <f aca="false">F595-D595</f>
        <v>-4403.35600000001</v>
      </c>
      <c r="G596" s="636" t="n">
        <f aca="false">G595-D596</f>
        <v>-4434.35600000001</v>
      </c>
      <c r="H596" s="733"/>
    </row>
    <row r="597" customFormat="false" ht="76.1" hidden="false" customHeight="false" outlineLevel="0" collapsed="false">
      <c r="A597" s="743" t="s">
        <v>419</v>
      </c>
      <c r="B597" s="744" t="s">
        <v>512</v>
      </c>
      <c r="C597" s="745" t="n">
        <v>5.02</v>
      </c>
      <c r="D597" s="732" t="n">
        <f aca="false">C597</f>
        <v>5.02</v>
      </c>
      <c r="E597" s="635" t="n">
        <f aca="false">E596+D597</f>
        <v>15978.266</v>
      </c>
      <c r="F597" s="635" t="n">
        <f aca="false">F596-D596</f>
        <v>-4434.35600000001</v>
      </c>
      <c r="G597" s="636" t="n">
        <f aca="false">G596-D597</f>
        <v>-4439.37600000002</v>
      </c>
      <c r="H597" s="733"/>
    </row>
    <row r="598" customFormat="false" ht="105.95" hidden="false" customHeight="false" outlineLevel="0" collapsed="false">
      <c r="A598" s="743"/>
      <c r="B598" s="744" t="s">
        <v>667</v>
      </c>
      <c r="C598" s="745" t="n">
        <v>5.75</v>
      </c>
      <c r="D598" s="732" t="n">
        <f aca="false">C598</f>
        <v>5.75</v>
      </c>
      <c r="E598" s="635" t="n">
        <f aca="false">E597+D598</f>
        <v>15984.016</v>
      </c>
      <c r="F598" s="635" t="n">
        <f aca="false">F597-D597</f>
        <v>-4439.37600000002</v>
      </c>
      <c r="G598" s="636" t="n">
        <f aca="false">G597-D598</f>
        <v>-4445.12600000002</v>
      </c>
      <c r="H598" s="733"/>
    </row>
    <row r="599" customFormat="false" ht="150.7" hidden="false" customHeight="false" outlineLevel="0" collapsed="false">
      <c r="A599" s="743"/>
      <c r="B599" s="744" t="s">
        <v>668</v>
      </c>
      <c r="C599" s="745" t="n">
        <v>4.44</v>
      </c>
      <c r="D599" s="732" t="n">
        <f aca="false">C599</f>
        <v>4.44</v>
      </c>
      <c r="E599" s="635" t="n">
        <f aca="false">E598+D599</f>
        <v>15988.456</v>
      </c>
      <c r="F599" s="635" t="n">
        <f aca="false">F598-D598</f>
        <v>-4445.12600000002</v>
      </c>
      <c r="G599" s="636" t="n">
        <f aca="false">G598-D599</f>
        <v>-4449.56600000001</v>
      </c>
      <c r="H599" s="733"/>
    </row>
    <row r="600" customFormat="false" ht="135.8" hidden="false" customHeight="false" outlineLevel="0" collapsed="false">
      <c r="A600" s="743"/>
      <c r="B600" s="744" t="s">
        <v>669</v>
      </c>
      <c r="C600" s="745" t="n">
        <v>5.75</v>
      </c>
      <c r="D600" s="732" t="n">
        <f aca="false">C600</f>
        <v>5.75</v>
      </c>
      <c r="E600" s="635" t="n">
        <f aca="false">E599+D600</f>
        <v>15994.206</v>
      </c>
      <c r="F600" s="635" t="n">
        <f aca="false">F599-D599</f>
        <v>-4449.56600000001</v>
      </c>
      <c r="G600" s="636" t="n">
        <f aca="false">G599-D600</f>
        <v>-4455.31600000001</v>
      </c>
      <c r="H600" s="733"/>
    </row>
    <row r="601" customFormat="false" ht="76.1" hidden="false" customHeight="false" outlineLevel="0" collapsed="false">
      <c r="A601" s="743"/>
      <c r="B601" s="744" t="s">
        <v>579</v>
      </c>
      <c r="C601" s="745" t="n">
        <v>9.93</v>
      </c>
      <c r="D601" s="732" t="n">
        <f aca="false">C601</f>
        <v>9.93</v>
      </c>
      <c r="E601" s="635" t="n">
        <f aca="false">E600+D601</f>
        <v>16004.136</v>
      </c>
      <c r="F601" s="635" t="n">
        <f aca="false">F600-D600</f>
        <v>-4455.31600000001</v>
      </c>
      <c r="G601" s="636" t="n">
        <f aca="false">G600-D601</f>
        <v>-4465.24600000002</v>
      </c>
      <c r="H601" s="733"/>
    </row>
    <row r="602" customFormat="false" ht="26.8" hidden="false" customHeight="false" outlineLevel="0" collapsed="false">
      <c r="A602" s="632" t="s">
        <v>902</v>
      </c>
      <c r="B602" s="632" t="s">
        <v>380</v>
      </c>
      <c r="C602" s="633" t="n">
        <v>31</v>
      </c>
      <c r="D602" s="732" t="n">
        <f aca="false">C602</f>
        <v>31</v>
      </c>
      <c r="E602" s="635" t="n">
        <f aca="false">E601+D602</f>
        <v>16035.136</v>
      </c>
      <c r="F602" s="635" t="n">
        <f aca="false">F601-D601</f>
        <v>-4465.24600000002</v>
      </c>
      <c r="G602" s="636" t="n">
        <f aca="false">G601-D602</f>
        <v>-4496.24600000002</v>
      </c>
      <c r="H602" s="733"/>
    </row>
    <row r="603" customFormat="false" ht="26.8" hidden="false" customHeight="false" outlineLevel="0" collapsed="false">
      <c r="A603" s="632" t="s">
        <v>903</v>
      </c>
      <c r="B603" s="632" t="s">
        <v>380</v>
      </c>
      <c r="C603" s="633" t="n">
        <v>31</v>
      </c>
      <c r="D603" s="732" t="n">
        <f aca="false">C603</f>
        <v>31</v>
      </c>
      <c r="E603" s="635" t="n">
        <f aca="false">E602+D603</f>
        <v>16066.136</v>
      </c>
      <c r="F603" s="635" t="n">
        <f aca="false">F602-D602</f>
        <v>-4496.24600000002</v>
      </c>
      <c r="G603" s="636" t="n">
        <f aca="false">G602-D603</f>
        <v>-4527.24600000002</v>
      </c>
      <c r="H603" s="733"/>
    </row>
    <row r="604" customFormat="false" ht="26.8" hidden="false" customHeight="false" outlineLevel="0" collapsed="false">
      <c r="A604" s="632" t="s">
        <v>904</v>
      </c>
      <c r="B604" s="632" t="s">
        <v>380</v>
      </c>
      <c r="C604" s="633" t="n">
        <v>31</v>
      </c>
      <c r="D604" s="732" t="n">
        <f aca="false">C604</f>
        <v>31</v>
      </c>
      <c r="E604" s="635" t="n">
        <f aca="false">E603+D604</f>
        <v>16097.136</v>
      </c>
      <c r="F604" s="635" t="n">
        <f aca="false">F603-D603</f>
        <v>-4527.24600000002</v>
      </c>
      <c r="G604" s="636" t="n">
        <f aca="false">G603-D604</f>
        <v>-4558.24600000002</v>
      </c>
      <c r="H604" s="733"/>
    </row>
    <row r="605" customFormat="false" ht="26.8" hidden="false" customHeight="false" outlineLevel="0" collapsed="false">
      <c r="A605" s="632" t="s">
        <v>905</v>
      </c>
      <c r="B605" s="632" t="s">
        <v>380</v>
      </c>
      <c r="C605" s="633" t="n">
        <v>31</v>
      </c>
      <c r="D605" s="732" t="n">
        <f aca="false">C605</f>
        <v>31</v>
      </c>
      <c r="E605" s="635" t="n">
        <f aca="false">E604+D605</f>
        <v>16128.136</v>
      </c>
      <c r="F605" s="635" t="n">
        <f aca="false">F604-D604</f>
        <v>-4558.24600000002</v>
      </c>
      <c r="G605" s="636" t="n">
        <f aca="false">G604-D605</f>
        <v>-4589.24600000002</v>
      </c>
      <c r="H605" s="733"/>
    </row>
    <row r="606" customFormat="false" ht="26.8" hidden="false" customHeight="false" outlineLevel="0" collapsed="false">
      <c r="A606" s="632" t="s">
        <v>906</v>
      </c>
      <c r="B606" s="632" t="s">
        <v>380</v>
      </c>
      <c r="C606" s="633" t="n">
        <v>31</v>
      </c>
      <c r="D606" s="732" t="n">
        <f aca="false">C606</f>
        <v>31</v>
      </c>
      <c r="E606" s="635" t="n">
        <f aca="false">E605+D606</f>
        <v>16159.136</v>
      </c>
      <c r="F606" s="635" t="n">
        <f aca="false">F605-D605</f>
        <v>-4589.24600000002</v>
      </c>
      <c r="G606" s="636" t="n">
        <f aca="false">G605-D606</f>
        <v>-4620.24600000002</v>
      </c>
      <c r="H606" s="733"/>
    </row>
    <row r="607" customFormat="false" ht="76.1" hidden="false" customHeight="false" outlineLevel="0" collapsed="false">
      <c r="A607" s="746" t="s">
        <v>675</v>
      </c>
      <c r="B607" s="747" t="s">
        <v>676</v>
      </c>
      <c r="C607" s="748" t="n">
        <v>5.08</v>
      </c>
      <c r="D607" s="732" t="n">
        <f aca="false">C607</f>
        <v>5.08</v>
      </c>
      <c r="E607" s="635" t="n">
        <f aca="false">E606+D607</f>
        <v>16164.216</v>
      </c>
      <c r="F607" s="635" t="n">
        <f aca="false">F606-D606</f>
        <v>-4620.24600000002</v>
      </c>
      <c r="G607" s="636" t="n">
        <f aca="false">G606-D607</f>
        <v>-4625.32600000002</v>
      </c>
      <c r="H607" s="733"/>
    </row>
    <row r="608" customFormat="false" ht="76.1" hidden="false" customHeight="false" outlineLevel="0" collapsed="false">
      <c r="A608" s="746"/>
      <c r="B608" s="747" t="s">
        <v>677</v>
      </c>
      <c r="C608" s="748" t="n">
        <v>2.48</v>
      </c>
      <c r="D608" s="732" t="n">
        <f aca="false">C608</f>
        <v>2.48</v>
      </c>
      <c r="E608" s="635" t="n">
        <f aca="false">E607+D608</f>
        <v>16166.696</v>
      </c>
      <c r="F608" s="635" t="n">
        <f aca="false">F607-D607</f>
        <v>-4625.32600000002</v>
      </c>
      <c r="G608" s="636" t="n">
        <f aca="false">G607-D608</f>
        <v>-4627.80600000001</v>
      </c>
      <c r="H608" s="733"/>
    </row>
    <row r="609" customFormat="false" ht="120.85" hidden="false" customHeight="false" outlineLevel="0" collapsed="false">
      <c r="A609" s="746"/>
      <c r="B609" s="747" t="s">
        <v>678</v>
      </c>
      <c r="C609" s="748" t="n">
        <v>1.9</v>
      </c>
      <c r="D609" s="732" t="n">
        <f aca="false">C609</f>
        <v>1.9</v>
      </c>
      <c r="E609" s="635" t="n">
        <f aca="false">E608+D609</f>
        <v>16168.596</v>
      </c>
      <c r="F609" s="635" t="n">
        <f aca="false">F608-D608</f>
        <v>-4627.80600000001</v>
      </c>
      <c r="G609" s="636" t="n">
        <f aca="false">G608-D609</f>
        <v>-4629.70600000001</v>
      </c>
      <c r="H609" s="733"/>
    </row>
    <row r="610" customFormat="false" ht="23.25" hidden="false" customHeight="false" outlineLevel="0" collapsed="false">
      <c r="A610" s="749"/>
      <c r="B610" s="750"/>
      <c r="C610" s="751"/>
      <c r="D610" s="752"/>
      <c r="E610" s="635" t="n">
        <f aca="false">E609+D610</f>
        <v>16168.596</v>
      </c>
      <c r="F610" s="635" t="n">
        <f aca="false">F609-D609</f>
        <v>-4629.70600000001</v>
      </c>
      <c r="G610" s="636" t="n">
        <f aca="false">G609-D610</f>
        <v>-4629.70600000001</v>
      </c>
      <c r="H610" s="733"/>
    </row>
    <row r="611" customFormat="false" ht="12.75" hidden="false" customHeight="false" outlineLevel="0" collapsed="false">
      <c r="A611" s="749"/>
      <c r="B611" s="750"/>
      <c r="C611" s="751"/>
      <c r="D611" s="752"/>
      <c r="E611" s="752"/>
      <c r="F611" s="752"/>
      <c r="G611" s="752"/>
      <c r="H611" s="752"/>
    </row>
    <row r="612" customFormat="false" ht="12.75" hidden="false" customHeight="false" outlineLevel="0" collapsed="false">
      <c r="A612" s="749"/>
      <c r="B612" s="750"/>
      <c r="C612" s="751"/>
      <c r="D612" s="752"/>
      <c r="E612" s="752"/>
      <c r="F612" s="752"/>
      <c r="G612" s="752"/>
      <c r="H612" s="752"/>
    </row>
    <row r="613" customFormat="false" ht="12.75" hidden="false" customHeight="false" outlineLevel="0" collapsed="false">
      <c r="A613" s="749"/>
      <c r="B613" s="750"/>
      <c r="C613" s="751"/>
      <c r="D613" s="752"/>
      <c r="E613" s="752"/>
      <c r="F613" s="752"/>
      <c r="G613" s="752"/>
      <c r="H613" s="752"/>
    </row>
    <row r="614" customFormat="false" ht="12.75" hidden="false" customHeight="false" outlineLevel="0" collapsed="false">
      <c r="A614" s="749"/>
      <c r="B614" s="750"/>
      <c r="C614" s="751"/>
      <c r="D614" s="752"/>
      <c r="E614" s="752"/>
      <c r="F614" s="752"/>
      <c r="G614" s="752"/>
      <c r="H614" s="752"/>
    </row>
    <row r="615" customFormat="false" ht="12.75" hidden="false" customHeight="false" outlineLevel="0" collapsed="false">
      <c r="A615" s="749"/>
      <c r="B615" s="750"/>
      <c r="C615" s="751"/>
      <c r="D615" s="752"/>
      <c r="E615" s="752"/>
      <c r="F615" s="752"/>
      <c r="G615" s="752"/>
      <c r="H615" s="752"/>
    </row>
    <row r="616" customFormat="false" ht="12.75" hidden="false" customHeight="false" outlineLevel="0" collapsed="false">
      <c r="A616" s="749"/>
      <c r="B616" s="750"/>
      <c r="C616" s="751"/>
      <c r="D616" s="752"/>
      <c r="E616" s="752"/>
      <c r="F616" s="752"/>
      <c r="G616" s="752"/>
      <c r="H616" s="752"/>
    </row>
    <row r="617" customFormat="false" ht="12.75" hidden="false" customHeight="false" outlineLevel="0" collapsed="false">
      <c r="A617" s="749"/>
      <c r="B617" s="750"/>
      <c r="C617" s="751"/>
      <c r="D617" s="752"/>
      <c r="E617" s="752"/>
      <c r="F617" s="752"/>
      <c r="G617" s="752"/>
      <c r="H617" s="752"/>
    </row>
    <row r="618" customFormat="false" ht="12.75" hidden="false" customHeight="false" outlineLevel="0" collapsed="false">
      <c r="A618" s="749"/>
      <c r="B618" s="750"/>
      <c r="C618" s="751"/>
      <c r="D618" s="752"/>
      <c r="E618" s="752"/>
      <c r="F618" s="752"/>
      <c r="G618" s="752"/>
      <c r="H618" s="752"/>
    </row>
    <row r="619" customFormat="false" ht="12.75" hidden="false" customHeight="false" outlineLevel="0" collapsed="false">
      <c r="A619" s="749"/>
      <c r="B619" s="750"/>
      <c r="C619" s="751"/>
      <c r="D619" s="752"/>
      <c r="E619" s="752"/>
      <c r="F619" s="752"/>
      <c r="G619" s="752"/>
      <c r="H619" s="752"/>
    </row>
    <row r="620" customFormat="false" ht="12.75" hidden="false" customHeight="false" outlineLevel="0" collapsed="false">
      <c r="A620" s="749"/>
      <c r="B620" s="750"/>
      <c r="C620" s="751"/>
      <c r="D620" s="752"/>
      <c r="E620" s="752"/>
      <c r="F620" s="752"/>
      <c r="G620" s="752"/>
      <c r="H620" s="752"/>
    </row>
    <row r="621" customFormat="false" ht="12.75" hidden="false" customHeight="false" outlineLevel="0" collapsed="false">
      <c r="A621" s="749"/>
      <c r="B621" s="750"/>
      <c r="C621" s="751"/>
      <c r="D621" s="752"/>
      <c r="E621" s="752"/>
      <c r="F621" s="752"/>
      <c r="G621" s="752"/>
      <c r="H621" s="752"/>
    </row>
    <row r="622" customFormat="false" ht="12.75" hidden="false" customHeight="false" outlineLevel="0" collapsed="false">
      <c r="A622" s="749"/>
      <c r="B622" s="750"/>
      <c r="C622" s="751"/>
      <c r="D622" s="752"/>
      <c r="E622" s="752"/>
      <c r="F622" s="752"/>
      <c r="G622" s="752"/>
      <c r="H622" s="752"/>
    </row>
    <row r="623" customFormat="false" ht="12.75" hidden="false" customHeight="false" outlineLevel="0" collapsed="false">
      <c r="A623" s="749"/>
      <c r="B623" s="750"/>
      <c r="C623" s="751"/>
      <c r="D623" s="752"/>
      <c r="E623" s="752"/>
      <c r="F623" s="752"/>
      <c r="G623" s="752"/>
      <c r="H623" s="752"/>
    </row>
    <row r="624" customFormat="false" ht="12.75" hidden="false" customHeight="false" outlineLevel="0" collapsed="false">
      <c r="A624" s="749"/>
      <c r="B624" s="750"/>
      <c r="C624" s="751"/>
      <c r="D624" s="752"/>
      <c r="E624" s="752"/>
      <c r="F624" s="752"/>
      <c r="G624" s="752"/>
      <c r="H624" s="752"/>
    </row>
    <row r="625" customFormat="false" ht="12.75" hidden="false" customHeight="false" outlineLevel="0" collapsed="false">
      <c r="A625" s="749"/>
      <c r="B625" s="750"/>
      <c r="C625" s="751"/>
      <c r="D625" s="752"/>
      <c r="E625" s="752"/>
      <c r="F625" s="752"/>
      <c r="G625" s="752"/>
      <c r="H625" s="752"/>
    </row>
    <row r="626" customFormat="false" ht="12.75" hidden="false" customHeight="false" outlineLevel="0" collapsed="false">
      <c r="A626" s="749"/>
      <c r="B626" s="750"/>
      <c r="C626" s="751"/>
      <c r="D626" s="752"/>
      <c r="E626" s="752"/>
      <c r="F626" s="752"/>
      <c r="G626" s="752"/>
      <c r="H626" s="752"/>
    </row>
    <row r="627" customFormat="false" ht="12.75" hidden="false" customHeight="false" outlineLevel="0" collapsed="false">
      <c r="A627" s="749"/>
      <c r="B627" s="750"/>
      <c r="C627" s="751"/>
      <c r="D627" s="752"/>
      <c r="E627" s="752"/>
      <c r="F627" s="752"/>
      <c r="G627" s="752"/>
      <c r="H627" s="752"/>
    </row>
    <row r="628" customFormat="false" ht="12.75" hidden="false" customHeight="false" outlineLevel="0" collapsed="false">
      <c r="A628" s="749"/>
      <c r="B628" s="750"/>
      <c r="C628" s="751"/>
      <c r="D628" s="752"/>
      <c r="E628" s="752"/>
      <c r="F628" s="752"/>
      <c r="G628" s="752"/>
      <c r="H628" s="752"/>
    </row>
    <row r="629" customFormat="false" ht="12.75" hidden="false" customHeight="false" outlineLevel="0" collapsed="false">
      <c r="A629" s="749"/>
      <c r="B629" s="750"/>
      <c r="C629" s="751"/>
      <c r="D629" s="752"/>
      <c r="E629" s="752"/>
      <c r="F629" s="752"/>
      <c r="G629" s="752"/>
      <c r="H629" s="752"/>
    </row>
    <row r="630" customFormat="false" ht="12.75" hidden="false" customHeight="false" outlineLevel="0" collapsed="false">
      <c r="A630" s="749"/>
      <c r="B630" s="750"/>
      <c r="C630" s="751"/>
      <c r="D630" s="752"/>
      <c r="E630" s="752"/>
      <c r="F630" s="752"/>
      <c r="G630" s="752"/>
      <c r="H630" s="752"/>
    </row>
    <row r="631" customFormat="false" ht="12.75" hidden="false" customHeight="false" outlineLevel="0" collapsed="false">
      <c r="A631" s="749"/>
      <c r="B631" s="750"/>
      <c r="C631" s="751"/>
      <c r="D631" s="752"/>
      <c r="E631" s="752"/>
      <c r="F631" s="752"/>
      <c r="G631" s="752"/>
      <c r="H631" s="752"/>
    </row>
    <row r="632" customFormat="false" ht="12.75" hidden="false" customHeight="false" outlineLevel="0" collapsed="false">
      <c r="A632" s="749"/>
      <c r="B632" s="750"/>
      <c r="C632" s="751"/>
      <c r="D632" s="752"/>
      <c r="E632" s="752"/>
      <c r="F632" s="752"/>
      <c r="G632" s="752"/>
      <c r="H632" s="752"/>
    </row>
    <row r="633" customFormat="false" ht="12.75" hidden="false" customHeight="false" outlineLevel="0" collapsed="false">
      <c r="A633" s="749"/>
      <c r="B633" s="750"/>
      <c r="C633" s="751"/>
      <c r="D633" s="752"/>
      <c r="E633" s="752"/>
      <c r="F633" s="752"/>
      <c r="G633" s="752"/>
      <c r="H633" s="752"/>
    </row>
    <row r="634" customFormat="false" ht="12.75" hidden="false" customHeight="false" outlineLevel="0" collapsed="false">
      <c r="A634" s="749"/>
      <c r="B634" s="750"/>
      <c r="C634" s="751"/>
      <c r="D634" s="752"/>
      <c r="E634" s="752"/>
      <c r="F634" s="752"/>
      <c r="G634" s="752"/>
      <c r="H634" s="752"/>
    </row>
    <row r="635" customFormat="false" ht="12.75" hidden="false" customHeight="false" outlineLevel="0" collapsed="false">
      <c r="A635" s="749"/>
      <c r="B635" s="750"/>
      <c r="C635" s="751"/>
      <c r="D635" s="752"/>
      <c r="E635" s="752"/>
      <c r="F635" s="752"/>
      <c r="G635" s="752"/>
      <c r="H635" s="752"/>
    </row>
    <row r="636" customFormat="false" ht="12.75" hidden="false" customHeight="false" outlineLevel="0" collapsed="false">
      <c r="A636" s="749"/>
      <c r="B636" s="750"/>
      <c r="C636" s="751"/>
      <c r="D636" s="752"/>
      <c r="E636" s="752"/>
      <c r="F636" s="752"/>
      <c r="G636" s="752"/>
      <c r="H636" s="752"/>
    </row>
    <row r="637" customFormat="false" ht="12.75" hidden="false" customHeight="false" outlineLevel="0" collapsed="false">
      <c r="A637" s="749"/>
      <c r="B637" s="750"/>
      <c r="C637" s="751"/>
      <c r="D637" s="752"/>
      <c r="E637" s="752"/>
      <c r="F637" s="752"/>
      <c r="G637" s="752"/>
      <c r="H637" s="752"/>
    </row>
    <row r="638" customFormat="false" ht="12.75" hidden="false" customHeight="false" outlineLevel="0" collapsed="false">
      <c r="A638" s="749"/>
      <c r="B638" s="750"/>
      <c r="C638" s="751"/>
      <c r="D638" s="752"/>
      <c r="E638" s="752"/>
      <c r="F638" s="752"/>
      <c r="G638" s="752"/>
      <c r="H638" s="752"/>
    </row>
    <row r="639" customFormat="false" ht="12.75" hidden="false" customHeight="false" outlineLevel="0" collapsed="false">
      <c r="A639" s="749"/>
      <c r="B639" s="750"/>
      <c r="C639" s="751"/>
      <c r="D639" s="752"/>
      <c r="E639" s="752"/>
      <c r="F639" s="752"/>
      <c r="G639" s="752"/>
      <c r="H639" s="752"/>
    </row>
    <row r="640" customFormat="false" ht="12.75" hidden="false" customHeight="false" outlineLevel="0" collapsed="false">
      <c r="A640" s="749"/>
      <c r="B640" s="750"/>
      <c r="C640" s="751"/>
      <c r="D640" s="752"/>
      <c r="E640" s="752"/>
      <c r="F640" s="752"/>
      <c r="G640" s="752"/>
      <c r="H640" s="752"/>
    </row>
    <row r="641" customFormat="false" ht="12.75" hidden="false" customHeight="false" outlineLevel="0" collapsed="false">
      <c r="A641" s="749"/>
      <c r="B641" s="750"/>
      <c r="C641" s="751"/>
      <c r="D641" s="752"/>
      <c r="E641" s="752"/>
      <c r="F641" s="752"/>
      <c r="G641" s="752"/>
      <c r="H641" s="752"/>
    </row>
    <row r="642" customFormat="false" ht="12.75" hidden="false" customHeight="false" outlineLevel="0" collapsed="false">
      <c r="A642" s="749"/>
      <c r="B642" s="750"/>
      <c r="C642" s="751"/>
      <c r="D642" s="752"/>
      <c r="E642" s="752"/>
      <c r="F642" s="752"/>
      <c r="G642" s="752"/>
      <c r="H642" s="752"/>
    </row>
    <row r="643" customFormat="false" ht="12.75" hidden="false" customHeight="false" outlineLevel="0" collapsed="false">
      <c r="A643" s="749"/>
      <c r="B643" s="750"/>
      <c r="C643" s="751"/>
      <c r="D643" s="752"/>
      <c r="E643" s="752"/>
      <c r="F643" s="752"/>
      <c r="G643" s="752"/>
      <c r="H643" s="752"/>
    </row>
    <row r="644" customFormat="false" ht="12.75" hidden="false" customHeight="false" outlineLevel="0" collapsed="false">
      <c r="A644" s="749"/>
      <c r="B644" s="750"/>
      <c r="C644" s="751"/>
      <c r="D644" s="752"/>
      <c r="E644" s="752"/>
      <c r="F644" s="752"/>
      <c r="G644" s="752"/>
      <c r="H644" s="752"/>
    </row>
    <row r="645" customFormat="false" ht="12.75" hidden="false" customHeight="false" outlineLevel="0" collapsed="false">
      <c r="A645" s="749"/>
      <c r="B645" s="750"/>
      <c r="C645" s="751"/>
      <c r="D645" s="752"/>
      <c r="E645" s="752"/>
      <c r="F645" s="752"/>
      <c r="G645" s="752"/>
      <c r="H645" s="752"/>
    </row>
    <row r="646" customFormat="false" ht="12.75" hidden="false" customHeight="false" outlineLevel="0" collapsed="false">
      <c r="A646" s="749"/>
      <c r="B646" s="750"/>
      <c r="C646" s="751"/>
      <c r="D646" s="752"/>
      <c r="E646" s="752"/>
      <c r="F646" s="752"/>
      <c r="G646" s="752"/>
      <c r="H646" s="752"/>
    </row>
    <row r="647" customFormat="false" ht="12.75" hidden="false" customHeight="false" outlineLevel="0" collapsed="false">
      <c r="A647" s="749"/>
      <c r="B647" s="750"/>
      <c r="C647" s="751"/>
      <c r="D647" s="752"/>
      <c r="E647" s="752"/>
      <c r="F647" s="752"/>
      <c r="G647" s="752"/>
      <c r="H647" s="752"/>
    </row>
    <row r="648" customFormat="false" ht="12.75" hidden="false" customHeight="false" outlineLevel="0" collapsed="false">
      <c r="A648" s="749"/>
      <c r="B648" s="750"/>
      <c r="C648" s="751"/>
      <c r="D648" s="752"/>
      <c r="E648" s="752"/>
      <c r="F648" s="752"/>
      <c r="G648" s="752"/>
      <c r="H648" s="752"/>
    </row>
    <row r="649" customFormat="false" ht="12.75" hidden="false" customHeight="false" outlineLevel="0" collapsed="false">
      <c r="A649" s="749"/>
      <c r="B649" s="750"/>
      <c r="C649" s="751"/>
      <c r="D649" s="752"/>
      <c r="E649" s="752"/>
      <c r="F649" s="752"/>
      <c r="G649" s="752"/>
      <c r="H649" s="752"/>
    </row>
    <row r="650" customFormat="false" ht="12.75" hidden="false" customHeight="false" outlineLevel="0" collapsed="false">
      <c r="A650" s="749"/>
      <c r="B650" s="750"/>
      <c r="C650" s="751"/>
      <c r="D650" s="752"/>
      <c r="E650" s="752"/>
      <c r="F650" s="752"/>
      <c r="G650" s="752"/>
      <c r="H650" s="752"/>
    </row>
    <row r="651" customFormat="false" ht="12.75" hidden="false" customHeight="false" outlineLevel="0" collapsed="false">
      <c r="A651" s="749"/>
      <c r="B651" s="750"/>
      <c r="C651" s="751"/>
      <c r="D651" s="752"/>
      <c r="E651" s="752"/>
      <c r="F651" s="752"/>
      <c r="G651" s="752"/>
      <c r="H651" s="752"/>
    </row>
    <row r="652" customFormat="false" ht="12.75" hidden="false" customHeight="false" outlineLevel="0" collapsed="false">
      <c r="A652" s="749"/>
      <c r="B652" s="750"/>
      <c r="C652" s="751"/>
      <c r="D652" s="752"/>
      <c r="E652" s="752"/>
      <c r="F652" s="752"/>
      <c r="G652" s="752"/>
      <c r="H652" s="752"/>
    </row>
    <row r="653" customFormat="false" ht="12.75" hidden="false" customHeight="false" outlineLevel="0" collapsed="false">
      <c r="A653" s="749"/>
      <c r="B653" s="750"/>
      <c r="C653" s="751"/>
      <c r="D653" s="752"/>
      <c r="E653" s="752"/>
      <c r="F653" s="752"/>
      <c r="G653" s="752"/>
      <c r="H653" s="752"/>
    </row>
    <row r="654" customFormat="false" ht="12.75" hidden="false" customHeight="false" outlineLevel="0" collapsed="false">
      <c r="A654" s="749"/>
      <c r="B654" s="750"/>
      <c r="C654" s="751"/>
      <c r="D654" s="752"/>
      <c r="E654" s="752"/>
      <c r="F654" s="752"/>
      <c r="G654" s="752"/>
      <c r="H654" s="752"/>
    </row>
    <row r="655" customFormat="false" ht="12.75" hidden="false" customHeight="false" outlineLevel="0" collapsed="false">
      <c r="A655" s="749"/>
      <c r="B655" s="750"/>
      <c r="C655" s="751"/>
      <c r="D655" s="752"/>
      <c r="E655" s="752"/>
      <c r="F655" s="752"/>
      <c r="G655" s="752"/>
      <c r="H655" s="752"/>
    </row>
    <row r="656" customFormat="false" ht="12.75" hidden="false" customHeight="false" outlineLevel="0" collapsed="false">
      <c r="A656" s="749"/>
      <c r="B656" s="750"/>
      <c r="C656" s="751"/>
      <c r="D656" s="752"/>
      <c r="E656" s="752"/>
      <c r="F656" s="752"/>
      <c r="G656" s="752"/>
      <c r="H656" s="752"/>
    </row>
    <row r="657" customFormat="false" ht="12.75" hidden="false" customHeight="false" outlineLevel="0" collapsed="false">
      <c r="A657" s="749"/>
      <c r="B657" s="750"/>
      <c r="C657" s="751"/>
      <c r="D657" s="752"/>
      <c r="E657" s="752"/>
      <c r="F657" s="752"/>
      <c r="G657" s="752"/>
      <c r="H657" s="752"/>
    </row>
    <row r="658" customFormat="false" ht="12.75" hidden="false" customHeight="false" outlineLevel="0" collapsed="false">
      <c r="A658" s="749"/>
      <c r="B658" s="750"/>
      <c r="C658" s="751"/>
      <c r="D658" s="752"/>
      <c r="E658" s="752"/>
      <c r="F658" s="752"/>
      <c r="G658" s="752"/>
      <c r="H658" s="752"/>
    </row>
    <row r="659" customFormat="false" ht="12.75" hidden="false" customHeight="false" outlineLevel="0" collapsed="false">
      <c r="A659" s="749"/>
      <c r="B659" s="750"/>
      <c r="C659" s="751"/>
      <c r="D659" s="752"/>
      <c r="E659" s="752"/>
      <c r="F659" s="752"/>
      <c r="G659" s="752"/>
      <c r="H659" s="752"/>
    </row>
    <row r="660" customFormat="false" ht="12.75" hidden="false" customHeight="false" outlineLevel="0" collapsed="false">
      <c r="A660" s="749"/>
      <c r="B660" s="750"/>
      <c r="C660" s="751"/>
      <c r="D660" s="752"/>
      <c r="E660" s="752"/>
      <c r="F660" s="752"/>
      <c r="G660" s="752"/>
      <c r="H660" s="752"/>
    </row>
    <row r="661" customFormat="false" ht="12.75" hidden="false" customHeight="false" outlineLevel="0" collapsed="false">
      <c r="A661" s="749"/>
      <c r="B661" s="750"/>
      <c r="C661" s="751"/>
      <c r="D661" s="752"/>
      <c r="E661" s="752"/>
      <c r="F661" s="752"/>
      <c r="G661" s="752"/>
      <c r="H661" s="752"/>
    </row>
    <row r="662" customFormat="false" ht="12.75" hidden="false" customHeight="false" outlineLevel="0" collapsed="false">
      <c r="A662" s="749"/>
      <c r="B662" s="750"/>
      <c r="C662" s="751"/>
      <c r="D662" s="752"/>
      <c r="E662" s="752"/>
      <c r="F662" s="752"/>
      <c r="G662" s="752"/>
      <c r="H662" s="752"/>
    </row>
    <row r="663" customFormat="false" ht="12.75" hidden="false" customHeight="false" outlineLevel="0" collapsed="false">
      <c r="A663" s="749"/>
      <c r="B663" s="750"/>
      <c r="C663" s="751"/>
      <c r="D663" s="752"/>
      <c r="E663" s="752"/>
      <c r="F663" s="752"/>
      <c r="G663" s="752"/>
      <c r="H663" s="752"/>
    </row>
    <row r="664" customFormat="false" ht="12.75" hidden="false" customHeight="false" outlineLevel="0" collapsed="false">
      <c r="A664" s="749"/>
      <c r="B664" s="750"/>
      <c r="C664" s="751"/>
      <c r="D664" s="752"/>
      <c r="E664" s="752"/>
      <c r="F664" s="752"/>
      <c r="G664" s="752"/>
      <c r="H664" s="752"/>
    </row>
    <row r="665" customFormat="false" ht="12.75" hidden="false" customHeight="false" outlineLevel="0" collapsed="false">
      <c r="A665" s="749"/>
      <c r="B665" s="750"/>
      <c r="C665" s="751"/>
      <c r="D665" s="752"/>
      <c r="E665" s="752"/>
      <c r="F665" s="752"/>
      <c r="G665" s="752"/>
      <c r="H665" s="752"/>
    </row>
    <row r="666" customFormat="false" ht="12.75" hidden="false" customHeight="false" outlineLevel="0" collapsed="false">
      <c r="A666" s="749"/>
      <c r="B666" s="750"/>
      <c r="C666" s="751"/>
      <c r="D666" s="752"/>
      <c r="E666" s="752"/>
      <c r="F666" s="752"/>
      <c r="G666" s="752"/>
      <c r="H666" s="752"/>
    </row>
    <row r="667" customFormat="false" ht="12.75" hidden="false" customHeight="false" outlineLevel="0" collapsed="false">
      <c r="A667" s="749"/>
      <c r="B667" s="750"/>
      <c r="C667" s="751"/>
      <c r="D667" s="752"/>
      <c r="E667" s="752"/>
      <c r="F667" s="752"/>
      <c r="G667" s="752"/>
      <c r="H667" s="752"/>
    </row>
    <row r="668" customFormat="false" ht="12.75" hidden="false" customHeight="false" outlineLevel="0" collapsed="false">
      <c r="A668" s="749"/>
      <c r="B668" s="750"/>
      <c r="C668" s="751"/>
      <c r="D668" s="752"/>
      <c r="E668" s="752"/>
      <c r="F668" s="752"/>
      <c r="G668" s="752"/>
      <c r="H668" s="752"/>
    </row>
    <row r="669" customFormat="false" ht="12.75" hidden="false" customHeight="false" outlineLevel="0" collapsed="false">
      <c r="A669" s="749"/>
      <c r="B669" s="750"/>
      <c r="C669" s="751"/>
      <c r="D669" s="752"/>
      <c r="E669" s="752"/>
      <c r="F669" s="752"/>
      <c r="G669" s="752"/>
      <c r="H669" s="752"/>
    </row>
    <row r="670" customFormat="false" ht="12.75" hidden="false" customHeight="false" outlineLevel="0" collapsed="false">
      <c r="A670" s="749"/>
      <c r="B670" s="750"/>
      <c r="C670" s="751"/>
      <c r="D670" s="752"/>
      <c r="E670" s="752"/>
      <c r="F670" s="752"/>
      <c r="G670" s="752"/>
      <c r="H670" s="752"/>
    </row>
    <row r="671" customFormat="false" ht="12.75" hidden="false" customHeight="false" outlineLevel="0" collapsed="false">
      <c r="A671" s="749"/>
      <c r="B671" s="750"/>
      <c r="C671" s="751"/>
      <c r="D671" s="752"/>
      <c r="E671" s="752"/>
      <c r="F671" s="752"/>
      <c r="G671" s="752"/>
      <c r="H671" s="752"/>
    </row>
    <row r="672" customFormat="false" ht="12.75" hidden="false" customHeight="false" outlineLevel="0" collapsed="false">
      <c r="A672" s="749"/>
      <c r="B672" s="750"/>
      <c r="C672" s="751"/>
      <c r="D672" s="752"/>
      <c r="E672" s="752"/>
      <c r="F672" s="752"/>
      <c r="G672" s="752"/>
      <c r="H672" s="752"/>
    </row>
    <row r="673" customFormat="false" ht="12.75" hidden="false" customHeight="false" outlineLevel="0" collapsed="false">
      <c r="A673" s="749"/>
      <c r="B673" s="750"/>
      <c r="C673" s="751"/>
      <c r="D673" s="752"/>
      <c r="E673" s="752"/>
      <c r="F673" s="752"/>
      <c r="G673" s="752"/>
      <c r="H673" s="752"/>
    </row>
    <row r="674" customFormat="false" ht="12.75" hidden="false" customHeight="false" outlineLevel="0" collapsed="false">
      <c r="A674" s="749"/>
      <c r="B674" s="750"/>
      <c r="C674" s="751"/>
      <c r="D674" s="752"/>
      <c r="E674" s="752"/>
      <c r="F674" s="752"/>
      <c r="G674" s="752"/>
      <c r="H674" s="752"/>
    </row>
    <row r="675" customFormat="false" ht="12.75" hidden="false" customHeight="false" outlineLevel="0" collapsed="false">
      <c r="A675" s="749"/>
      <c r="B675" s="750"/>
      <c r="C675" s="751"/>
      <c r="D675" s="752"/>
      <c r="E675" s="752"/>
      <c r="F675" s="752"/>
      <c r="G675" s="752"/>
      <c r="H675" s="752"/>
    </row>
    <row r="676" customFormat="false" ht="12.75" hidden="false" customHeight="false" outlineLevel="0" collapsed="false">
      <c r="A676" s="749"/>
      <c r="B676" s="750"/>
      <c r="C676" s="751"/>
      <c r="D676" s="752"/>
      <c r="E676" s="752"/>
      <c r="F676" s="752"/>
      <c r="G676" s="752"/>
      <c r="H676" s="752"/>
    </row>
    <row r="677" customFormat="false" ht="12.75" hidden="false" customHeight="false" outlineLevel="0" collapsed="false">
      <c r="A677" s="749"/>
      <c r="B677" s="750"/>
      <c r="C677" s="751"/>
      <c r="D677" s="752"/>
      <c r="E677" s="752"/>
      <c r="F677" s="752"/>
      <c r="G677" s="752"/>
      <c r="H677" s="752"/>
    </row>
    <row r="678" customFormat="false" ht="12.75" hidden="false" customHeight="false" outlineLevel="0" collapsed="false">
      <c r="A678" s="749"/>
      <c r="B678" s="750"/>
      <c r="C678" s="751"/>
      <c r="D678" s="752"/>
      <c r="E678" s="752"/>
      <c r="F678" s="752"/>
      <c r="G678" s="752"/>
      <c r="H678" s="752"/>
    </row>
    <row r="679" customFormat="false" ht="12.75" hidden="false" customHeight="false" outlineLevel="0" collapsed="false">
      <c r="A679" s="749"/>
      <c r="B679" s="750"/>
      <c r="C679" s="751"/>
      <c r="D679" s="752"/>
      <c r="E679" s="752"/>
      <c r="F679" s="752"/>
      <c r="G679" s="752"/>
      <c r="H679" s="752"/>
    </row>
    <row r="680" customFormat="false" ht="12.75" hidden="false" customHeight="false" outlineLevel="0" collapsed="false">
      <c r="A680" s="749"/>
      <c r="B680" s="750"/>
      <c r="C680" s="751"/>
      <c r="D680" s="752"/>
      <c r="E680" s="752"/>
      <c r="F680" s="752"/>
      <c r="G680" s="752"/>
      <c r="H680" s="752"/>
    </row>
    <row r="681" customFormat="false" ht="12.75" hidden="false" customHeight="false" outlineLevel="0" collapsed="false">
      <c r="A681" s="749"/>
      <c r="B681" s="750"/>
      <c r="C681" s="751"/>
      <c r="D681" s="752"/>
      <c r="E681" s="752"/>
      <c r="F681" s="752"/>
      <c r="G681" s="752"/>
      <c r="H681" s="752"/>
    </row>
    <row r="682" customFormat="false" ht="12.75" hidden="false" customHeight="false" outlineLevel="0" collapsed="false">
      <c r="A682" s="749"/>
      <c r="B682" s="750"/>
      <c r="C682" s="751"/>
      <c r="D682" s="752"/>
      <c r="E682" s="752"/>
      <c r="F682" s="752"/>
      <c r="G682" s="752"/>
      <c r="H682" s="752"/>
    </row>
    <row r="683" customFormat="false" ht="12.75" hidden="false" customHeight="false" outlineLevel="0" collapsed="false">
      <c r="A683" s="749"/>
      <c r="B683" s="750"/>
      <c r="C683" s="751"/>
      <c r="D683" s="752"/>
      <c r="E683" s="752"/>
      <c r="F683" s="752"/>
      <c r="G683" s="752"/>
      <c r="H683" s="752"/>
    </row>
    <row r="684" customFormat="false" ht="12.75" hidden="false" customHeight="false" outlineLevel="0" collapsed="false">
      <c r="A684" s="749"/>
      <c r="B684" s="750"/>
      <c r="C684" s="751"/>
      <c r="D684" s="752"/>
      <c r="E684" s="752"/>
      <c r="F684" s="752"/>
      <c r="G684" s="752"/>
      <c r="H684" s="752"/>
    </row>
    <row r="685" customFormat="false" ht="12.75" hidden="false" customHeight="false" outlineLevel="0" collapsed="false">
      <c r="A685" s="749"/>
      <c r="B685" s="750"/>
      <c r="C685" s="751"/>
      <c r="D685" s="752"/>
      <c r="E685" s="752"/>
      <c r="F685" s="752"/>
      <c r="G685" s="752"/>
      <c r="H685" s="752"/>
    </row>
    <row r="686" customFormat="false" ht="12.75" hidden="false" customHeight="false" outlineLevel="0" collapsed="false">
      <c r="A686" s="749"/>
      <c r="B686" s="750"/>
      <c r="C686" s="751"/>
      <c r="D686" s="752"/>
      <c r="E686" s="752"/>
      <c r="F686" s="752"/>
      <c r="G686" s="752"/>
      <c r="H686" s="752"/>
    </row>
    <row r="687" customFormat="false" ht="12.75" hidden="false" customHeight="false" outlineLevel="0" collapsed="false">
      <c r="A687" s="749"/>
      <c r="B687" s="750"/>
      <c r="C687" s="751"/>
      <c r="D687" s="752"/>
      <c r="E687" s="752"/>
      <c r="F687" s="752"/>
      <c r="G687" s="752"/>
      <c r="H687" s="752"/>
    </row>
    <row r="688" customFormat="false" ht="12.75" hidden="false" customHeight="false" outlineLevel="0" collapsed="false">
      <c r="A688" s="749"/>
      <c r="B688" s="750"/>
      <c r="C688" s="751"/>
      <c r="D688" s="752"/>
      <c r="E688" s="752"/>
      <c r="F688" s="752"/>
      <c r="G688" s="752"/>
      <c r="H688" s="752"/>
    </row>
    <row r="689" customFormat="false" ht="12.75" hidden="false" customHeight="false" outlineLevel="0" collapsed="false">
      <c r="A689" s="749"/>
      <c r="B689" s="750"/>
      <c r="C689" s="751"/>
      <c r="D689" s="752"/>
      <c r="E689" s="752"/>
      <c r="F689" s="752"/>
      <c r="G689" s="752"/>
      <c r="H689" s="752"/>
    </row>
    <row r="690" customFormat="false" ht="12.75" hidden="false" customHeight="false" outlineLevel="0" collapsed="false">
      <c r="A690" s="749"/>
      <c r="B690" s="750"/>
      <c r="C690" s="751"/>
      <c r="D690" s="752"/>
      <c r="E690" s="752"/>
      <c r="F690" s="752"/>
      <c r="G690" s="752"/>
      <c r="H690" s="752"/>
    </row>
    <row r="691" customFormat="false" ht="12.75" hidden="false" customHeight="false" outlineLevel="0" collapsed="false">
      <c r="A691" s="749"/>
      <c r="B691" s="750"/>
      <c r="C691" s="751"/>
      <c r="D691" s="752"/>
      <c r="E691" s="752"/>
      <c r="F691" s="752"/>
      <c r="G691" s="752"/>
      <c r="H691" s="752"/>
    </row>
    <row r="692" customFormat="false" ht="12.75" hidden="false" customHeight="false" outlineLevel="0" collapsed="false">
      <c r="A692" s="749"/>
      <c r="B692" s="750"/>
      <c r="C692" s="751"/>
      <c r="D692" s="752"/>
      <c r="E692" s="752"/>
      <c r="F692" s="752"/>
      <c r="G692" s="752"/>
      <c r="H692" s="752"/>
    </row>
    <row r="693" customFormat="false" ht="12.75" hidden="false" customHeight="false" outlineLevel="0" collapsed="false">
      <c r="A693" s="749"/>
      <c r="B693" s="750"/>
      <c r="C693" s="751"/>
      <c r="D693" s="752"/>
      <c r="E693" s="752"/>
      <c r="F693" s="752"/>
      <c r="G693" s="752"/>
      <c r="H693" s="752"/>
    </row>
    <row r="694" customFormat="false" ht="12.75" hidden="false" customHeight="false" outlineLevel="0" collapsed="false">
      <c r="A694" s="749"/>
      <c r="B694" s="750"/>
      <c r="C694" s="751"/>
      <c r="D694" s="752"/>
      <c r="E694" s="752"/>
      <c r="F694" s="752"/>
      <c r="G694" s="752"/>
      <c r="H694" s="752"/>
    </row>
    <row r="695" customFormat="false" ht="12.75" hidden="false" customHeight="false" outlineLevel="0" collapsed="false">
      <c r="A695" s="749"/>
      <c r="B695" s="750"/>
      <c r="C695" s="751"/>
      <c r="D695" s="752"/>
      <c r="E695" s="752"/>
      <c r="F695" s="752"/>
      <c r="G695" s="752"/>
      <c r="H695" s="752"/>
    </row>
    <row r="696" customFormat="false" ht="12.75" hidden="false" customHeight="false" outlineLevel="0" collapsed="false">
      <c r="A696" s="749"/>
      <c r="B696" s="750"/>
      <c r="C696" s="751"/>
      <c r="D696" s="752"/>
      <c r="E696" s="752"/>
      <c r="F696" s="752"/>
      <c r="G696" s="752"/>
      <c r="H696" s="752"/>
    </row>
    <row r="697" customFormat="false" ht="12.75" hidden="false" customHeight="false" outlineLevel="0" collapsed="false">
      <c r="A697" s="749"/>
      <c r="B697" s="750"/>
      <c r="C697" s="751"/>
      <c r="D697" s="752"/>
      <c r="E697" s="752"/>
      <c r="F697" s="752"/>
      <c r="G697" s="752"/>
      <c r="H697" s="752"/>
    </row>
    <row r="698" customFormat="false" ht="12.75" hidden="false" customHeight="false" outlineLevel="0" collapsed="false">
      <c r="A698" s="749"/>
      <c r="B698" s="750"/>
      <c r="C698" s="751"/>
      <c r="D698" s="752"/>
      <c r="E698" s="752"/>
      <c r="F698" s="752"/>
      <c r="G698" s="752"/>
      <c r="H698" s="752"/>
    </row>
    <row r="699" customFormat="false" ht="12.75" hidden="false" customHeight="false" outlineLevel="0" collapsed="false">
      <c r="A699" s="749"/>
      <c r="B699" s="750"/>
      <c r="C699" s="751"/>
      <c r="D699" s="752"/>
      <c r="E699" s="752"/>
      <c r="F699" s="752"/>
      <c r="G699" s="752"/>
      <c r="H699" s="752"/>
    </row>
    <row r="700" customFormat="false" ht="12.75" hidden="false" customHeight="false" outlineLevel="0" collapsed="false">
      <c r="A700" s="749"/>
      <c r="B700" s="750"/>
      <c r="C700" s="751"/>
      <c r="D700" s="752"/>
      <c r="E700" s="752"/>
      <c r="F700" s="752"/>
      <c r="G700" s="752"/>
      <c r="H700" s="752"/>
    </row>
    <row r="701" customFormat="false" ht="12.75" hidden="false" customHeight="false" outlineLevel="0" collapsed="false">
      <c r="A701" s="749"/>
      <c r="B701" s="750"/>
      <c r="C701" s="751"/>
      <c r="D701" s="752"/>
      <c r="E701" s="752"/>
      <c r="F701" s="752"/>
      <c r="G701" s="752"/>
      <c r="H701" s="752"/>
    </row>
    <row r="702" customFormat="false" ht="12.75" hidden="false" customHeight="false" outlineLevel="0" collapsed="false">
      <c r="A702" s="749"/>
      <c r="B702" s="750"/>
      <c r="C702" s="751"/>
      <c r="D702" s="752"/>
      <c r="E702" s="752"/>
      <c r="F702" s="752"/>
      <c r="G702" s="752"/>
      <c r="H702" s="752"/>
    </row>
    <row r="703" customFormat="false" ht="12.75" hidden="false" customHeight="false" outlineLevel="0" collapsed="false">
      <c r="A703" s="749"/>
      <c r="B703" s="750"/>
      <c r="C703" s="751"/>
      <c r="D703" s="752"/>
      <c r="E703" s="752"/>
      <c r="F703" s="752"/>
      <c r="G703" s="752"/>
      <c r="H703" s="752"/>
    </row>
    <row r="704" customFormat="false" ht="12.75" hidden="false" customHeight="false" outlineLevel="0" collapsed="false">
      <c r="A704" s="749"/>
      <c r="B704" s="750"/>
      <c r="C704" s="751"/>
      <c r="D704" s="752"/>
      <c r="E704" s="752"/>
      <c r="F704" s="752"/>
      <c r="G704" s="752"/>
      <c r="H704" s="752"/>
    </row>
    <row r="705" customFormat="false" ht="12.75" hidden="false" customHeight="false" outlineLevel="0" collapsed="false">
      <c r="A705" s="749"/>
      <c r="B705" s="750"/>
      <c r="C705" s="751"/>
      <c r="D705" s="752"/>
      <c r="E705" s="752"/>
      <c r="F705" s="752"/>
      <c r="G705" s="752"/>
      <c r="H705" s="752"/>
    </row>
    <row r="706" customFormat="false" ht="12.75" hidden="false" customHeight="false" outlineLevel="0" collapsed="false">
      <c r="A706" s="749"/>
      <c r="B706" s="750"/>
      <c r="C706" s="751"/>
      <c r="D706" s="752"/>
      <c r="E706" s="752"/>
      <c r="F706" s="752"/>
      <c r="G706" s="752"/>
      <c r="H706" s="752"/>
    </row>
    <row r="707" customFormat="false" ht="12.75" hidden="false" customHeight="false" outlineLevel="0" collapsed="false">
      <c r="A707" s="749"/>
      <c r="B707" s="750"/>
      <c r="C707" s="751"/>
      <c r="D707" s="752"/>
      <c r="E707" s="752"/>
      <c r="F707" s="752"/>
      <c r="G707" s="752"/>
      <c r="H707" s="752"/>
    </row>
    <row r="708" customFormat="false" ht="12.75" hidden="false" customHeight="false" outlineLevel="0" collapsed="false">
      <c r="A708" s="749"/>
      <c r="B708" s="750"/>
      <c r="C708" s="751"/>
      <c r="D708" s="752"/>
      <c r="E708" s="752"/>
      <c r="F708" s="752"/>
      <c r="G708" s="752"/>
      <c r="H708" s="752"/>
    </row>
    <row r="709" customFormat="false" ht="12.75" hidden="false" customHeight="false" outlineLevel="0" collapsed="false">
      <c r="A709" s="749"/>
      <c r="B709" s="750"/>
      <c r="C709" s="751"/>
      <c r="D709" s="752"/>
      <c r="E709" s="752"/>
      <c r="F709" s="752"/>
      <c r="G709" s="752"/>
      <c r="H709" s="752"/>
    </row>
    <row r="710" customFormat="false" ht="12.75" hidden="false" customHeight="false" outlineLevel="0" collapsed="false">
      <c r="A710" s="749"/>
      <c r="B710" s="750"/>
      <c r="C710" s="751"/>
      <c r="D710" s="752"/>
      <c r="E710" s="752"/>
      <c r="F710" s="752"/>
      <c r="G710" s="752"/>
      <c r="H710" s="752"/>
    </row>
    <row r="711" customFormat="false" ht="12.75" hidden="false" customHeight="false" outlineLevel="0" collapsed="false">
      <c r="A711" s="749"/>
      <c r="B711" s="750"/>
      <c r="C711" s="751"/>
      <c r="D711" s="752"/>
      <c r="E711" s="752"/>
      <c r="F711" s="752"/>
      <c r="G711" s="752"/>
      <c r="H711" s="752"/>
    </row>
    <row r="712" customFormat="false" ht="12.75" hidden="false" customHeight="false" outlineLevel="0" collapsed="false">
      <c r="A712" s="749"/>
      <c r="B712" s="750"/>
      <c r="C712" s="751"/>
      <c r="D712" s="752"/>
      <c r="E712" s="752"/>
      <c r="F712" s="752"/>
      <c r="G712" s="752"/>
      <c r="H712" s="752"/>
    </row>
    <row r="713" customFormat="false" ht="12.75" hidden="false" customHeight="false" outlineLevel="0" collapsed="false">
      <c r="A713" s="749"/>
      <c r="B713" s="750"/>
      <c r="C713" s="751"/>
      <c r="D713" s="752"/>
      <c r="E713" s="752"/>
      <c r="F713" s="752"/>
      <c r="G713" s="752"/>
      <c r="H713" s="752"/>
    </row>
    <row r="714" customFormat="false" ht="12.75" hidden="false" customHeight="false" outlineLevel="0" collapsed="false">
      <c r="A714" s="749"/>
      <c r="B714" s="750"/>
      <c r="C714" s="751"/>
      <c r="D714" s="752"/>
      <c r="E714" s="752"/>
      <c r="F714" s="752"/>
      <c r="G714" s="752"/>
      <c r="H714" s="752"/>
    </row>
    <row r="715" customFormat="false" ht="12.75" hidden="false" customHeight="false" outlineLevel="0" collapsed="false">
      <c r="A715" s="749"/>
      <c r="B715" s="750"/>
      <c r="C715" s="751"/>
      <c r="D715" s="752"/>
      <c r="E715" s="752"/>
      <c r="F715" s="752"/>
      <c r="G715" s="752"/>
      <c r="H715" s="752"/>
    </row>
    <row r="716" customFormat="false" ht="12.75" hidden="false" customHeight="false" outlineLevel="0" collapsed="false">
      <c r="A716" s="749"/>
      <c r="B716" s="750"/>
      <c r="C716" s="751"/>
      <c r="D716" s="752"/>
      <c r="E716" s="752"/>
      <c r="F716" s="752"/>
      <c r="G716" s="752"/>
      <c r="H716" s="752"/>
    </row>
    <row r="717" customFormat="false" ht="12.75" hidden="false" customHeight="false" outlineLevel="0" collapsed="false">
      <c r="A717" s="749"/>
      <c r="B717" s="750"/>
      <c r="C717" s="751"/>
      <c r="D717" s="752"/>
      <c r="E717" s="752"/>
      <c r="F717" s="752"/>
      <c r="G717" s="752"/>
      <c r="H717" s="752"/>
    </row>
    <row r="718" customFormat="false" ht="12.75" hidden="false" customHeight="false" outlineLevel="0" collapsed="false">
      <c r="A718" s="749"/>
      <c r="B718" s="750"/>
      <c r="C718" s="751"/>
      <c r="D718" s="752"/>
      <c r="E718" s="752"/>
      <c r="F718" s="752"/>
      <c r="G718" s="752"/>
      <c r="H718" s="752"/>
    </row>
    <row r="719" customFormat="false" ht="12.75" hidden="false" customHeight="false" outlineLevel="0" collapsed="false">
      <c r="A719" s="749"/>
      <c r="B719" s="750"/>
      <c r="C719" s="751"/>
      <c r="D719" s="752"/>
      <c r="E719" s="752"/>
      <c r="F719" s="752"/>
      <c r="G719" s="752"/>
      <c r="H719" s="752"/>
    </row>
    <row r="720" customFormat="false" ht="12.75" hidden="false" customHeight="false" outlineLevel="0" collapsed="false">
      <c r="A720" s="753"/>
      <c r="B720" s="750"/>
      <c r="C720" s="751"/>
      <c r="D720" s="752"/>
      <c r="E720" s="752"/>
      <c r="F720" s="752"/>
      <c r="G720" s="752"/>
      <c r="H720" s="752"/>
    </row>
    <row r="721" customFormat="false" ht="12.75" hidden="false" customHeight="false" outlineLevel="0" collapsed="false">
      <c r="A721" s="753"/>
      <c r="B721" s="750"/>
      <c r="C721" s="751"/>
      <c r="D721" s="752"/>
      <c r="E721" s="752"/>
      <c r="F721" s="752"/>
      <c r="G721" s="752"/>
      <c r="H721" s="752"/>
    </row>
    <row r="722" customFormat="false" ht="12.75" hidden="false" customHeight="false" outlineLevel="0" collapsed="false">
      <c r="A722" s="753"/>
      <c r="B722" s="750"/>
      <c r="C722" s="751"/>
      <c r="D722" s="752"/>
      <c r="E722" s="752"/>
      <c r="F722" s="752"/>
      <c r="G722" s="752"/>
      <c r="H722" s="752"/>
    </row>
    <row r="723" customFormat="false" ht="12.75" hidden="false" customHeight="false" outlineLevel="0" collapsed="false">
      <c r="A723" s="753"/>
      <c r="B723" s="750"/>
      <c r="C723" s="751"/>
      <c r="D723" s="752"/>
      <c r="E723" s="752"/>
      <c r="F723" s="752"/>
      <c r="G723" s="752"/>
      <c r="H723" s="752"/>
    </row>
    <row r="724" customFormat="false" ht="12.75" hidden="false" customHeight="false" outlineLevel="0" collapsed="false">
      <c r="A724" s="753"/>
      <c r="B724" s="750"/>
      <c r="C724" s="751"/>
      <c r="D724" s="752"/>
      <c r="E724" s="752"/>
      <c r="F724" s="752"/>
      <c r="G724" s="752"/>
      <c r="H724" s="752"/>
    </row>
    <row r="725" customFormat="false" ht="12.75" hidden="false" customHeight="false" outlineLevel="0" collapsed="false">
      <c r="A725" s="753"/>
      <c r="B725" s="750"/>
      <c r="C725" s="751"/>
      <c r="D725" s="752"/>
      <c r="E725" s="752"/>
      <c r="F725" s="752"/>
      <c r="G725" s="752"/>
      <c r="H725" s="752"/>
    </row>
    <row r="726" customFormat="false" ht="12.75" hidden="false" customHeight="false" outlineLevel="0" collapsed="false">
      <c r="A726" s="753"/>
      <c r="B726" s="750"/>
      <c r="C726" s="751"/>
      <c r="D726" s="752"/>
      <c r="E726" s="752"/>
      <c r="F726" s="752"/>
      <c r="G726" s="752"/>
      <c r="H726" s="752"/>
    </row>
    <row r="727" customFormat="false" ht="12.75" hidden="false" customHeight="false" outlineLevel="0" collapsed="false">
      <c r="A727" s="753"/>
      <c r="B727" s="750"/>
      <c r="C727" s="751"/>
      <c r="D727" s="752"/>
      <c r="E727" s="752"/>
      <c r="F727" s="752"/>
      <c r="G727" s="752"/>
      <c r="H727" s="752"/>
    </row>
    <row r="728" customFormat="false" ht="12.75" hidden="false" customHeight="false" outlineLevel="0" collapsed="false">
      <c r="A728" s="753"/>
      <c r="B728" s="750"/>
      <c r="C728" s="751"/>
      <c r="D728" s="752"/>
      <c r="E728" s="752"/>
      <c r="F728" s="752"/>
      <c r="G728" s="752"/>
      <c r="H728" s="752"/>
    </row>
    <row r="729" customFormat="false" ht="12.75" hidden="false" customHeight="false" outlineLevel="0" collapsed="false">
      <c r="A729" s="753"/>
      <c r="B729" s="750"/>
      <c r="C729" s="751"/>
      <c r="D729" s="752"/>
      <c r="E729" s="752"/>
      <c r="F729" s="752"/>
      <c r="G729" s="752"/>
      <c r="H729" s="752"/>
    </row>
    <row r="730" customFormat="false" ht="12.75" hidden="false" customHeight="false" outlineLevel="0" collapsed="false">
      <c r="A730" s="753"/>
      <c r="B730" s="750"/>
      <c r="C730" s="751"/>
      <c r="D730" s="752"/>
      <c r="E730" s="752"/>
      <c r="F730" s="752"/>
      <c r="G730" s="752"/>
      <c r="H730" s="752"/>
    </row>
    <row r="731" customFormat="false" ht="12.75" hidden="false" customHeight="false" outlineLevel="0" collapsed="false">
      <c r="A731" s="753"/>
      <c r="B731" s="750"/>
      <c r="C731" s="751"/>
      <c r="D731" s="752"/>
      <c r="E731" s="752"/>
      <c r="F731" s="752"/>
      <c r="G731" s="752"/>
      <c r="H731" s="752"/>
    </row>
    <row r="732" customFormat="false" ht="12.75" hidden="false" customHeight="false" outlineLevel="0" collapsed="false">
      <c r="A732" s="753"/>
      <c r="B732" s="750"/>
      <c r="C732" s="751"/>
      <c r="D732" s="752"/>
      <c r="E732" s="752"/>
      <c r="F732" s="752"/>
      <c r="G732" s="752"/>
      <c r="H732" s="752"/>
    </row>
    <row r="733" customFormat="false" ht="12.75" hidden="false" customHeight="false" outlineLevel="0" collapsed="false">
      <c r="A733" s="753"/>
      <c r="B733" s="750"/>
      <c r="C733" s="751"/>
      <c r="D733" s="752"/>
      <c r="E733" s="752"/>
      <c r="F733" s="752"/>
      <c r="G733" s="752"/>
      <c r="H733" s="752"/>
    </row>
    <row r="734" customFormat="false" ht="12.75" hidden="false" customHeight="false" outlineLevel="0" collapsed="false">
      <c r="A734" s="753"/>
      <c r="B734" s="750"/>
      <c r="C734" s="751"/>
      <c r="D734" s="752"/>
      <c r="E734" s="752"/>
      <c r="F734" s="752"/>
      <c r="G734" s="752"/>
      <c r="H734" s="752"/>
    </row>
    <row r="735" customFormat="false" ht="12.75" hidden="false" customHeight="false" outlineLevel="0" collapsed="false">
      <c r="A735" s="753"/>
      <c r="B735" s="750"/>
      <c r="C735" s="751"/>
      <c r="D735" s="752"/>
      <c r="E735" s="752"/>
      <c r="F735" s="752"/>
      <c r="G735" s="752"/>
      <c r="H735" s="752"/>
    </row>
    <row r="736" customFormat="false" ht="12.75" hidden="false" customHeight="false" outlineLevel="0" collapsed="false">
      <c r="A736" s="753"/>
      <c r="B736" s="750"/>
      <c r="C736" s="751"/>
      <c r="D736" s="752"/>
      <c r="E736" s="752"/>
      <c r="F736" s="752"/>
      <c r="G736" s="752"/>
      <c r="H736" s="752"/>
    </row>
    <row r="737" customFormat="false" ht="12.75" hidden="false" customHeight="false" outlineLevel="0" collapsed="false">
      <c r="A737" s="753"/>
      <c r="B737" s="750"/>
      <c r="C737" s="751"/>
      <c r="D737" s="752"/>
      <c r="E737" s="752"/>
      <c r="F737" s="752"/>
      <c r="G737" s="752"/>
      <c r="H737" s="752"/>
    </row>
    <row r="738" customFormat="false" ht="12.75" hidden="false" customHeight="false" outlineLevel="0" collapsed="false">
      <c r="A738" s="753"/>
      <c r="B738" s="750"/>
      <c r="C738" s="751"/>
      <c r="D738" s="752"/>
      <c r="E738" s="752"/>
      <c r="F738" s="752"/>
      <c r="G738" s="752"/>
      <c r="H738" s="752"/>
    </row>
    <row r="739" customFormat="false" ht="12.75" hidden="false" customHeight="false" outlineLevel="0" collapsed="false">
      <c r="A739" s="753"/>
      <c r="B739" s="750"/>
      <c r="C739" s="751"/>
      <c r="D739" s="752"/>
      <c r="E739" s="752"/>
      <c r="F739" s="752"/>
      <c r="G739" s="752"/>
      <c r="H739" s="752"/>
    </row>
    <row r="740" customFormat="false" ht="12.75" hidden="false" customHeight="false" outlineLevel="0" collapsed="false">
      <c r="A740" s="753"/>
      <c r="B740" s="750"/>
      <c r="C740" s="751"/>
      <c r="D740" s="752"/>
      <c r="E740" s="752"/>
      <c r="F740" s="752"/>
      <c r="G740" s="752"/>
      <c r="H740" s="752"/>
    </row>
    <row r="741" customFormat="false" ht="12.75" hidden="false" customHeight="false" outlineLevel="0" collapsed="false">
      <c r="A741" s="753"/>
      <c r="B741" s="750"/>
      <c r="C741" s="751"/>
      <c r="D741" s="752"/>
      <c r="E741" s="752"/>
      <c r="F741" s="752"/>
      <c r="G741" s="752"/>
      <c r="H741" s="752"/>
    </row>
    <row r="742" customFormat="false" ht="12.75" hidden="false" customHeight="false" outlineLevel="0" collapsed="false">
      <c r="A742" s="753"/>
      <c r="B742" s="750"/>
      <c r="C742" s="751"/>
      <c r="D742" s="752"/>
      <c r="E742" s="752"/>
      <c r="F742" s="752"/>
      <c r="G742" s="752"/>
      <c r="H742" s="752"/>
    </row>
    <row r="743" customFormat="false" ht="12.75" hidden="false" customHeight="false" outlineLevel="0" collapsed="false">
      <c r="A743" s="753"/>
      <c r="B743" s="750"/>
      <c r="C743" s="751"/>
      <c r="D743" s="752"/>
      <c r="E743" s="752"/>
      <c r="F743" s="752"/>
      <c r="G743" s="752"/>
      <c r="H743" s="752"/>
    </row>
    <row r="744" customFormat="false" ht="12.75" hidden="false" customHeight="false" outlineLevel="0" collapsed="false">
      <c r="A744" s="753"/>
      <c r="B744" s="750"/>
      <c r="C744" s="751"/>
      <c r="D744" s="752"/>
      <c r="E744" s="752"/>
      <c r="F744" s="752"/>
      <c r="G744" s="752"/>
      <c r="H744" s="752"/>
    </row>
    <row r="745" customFormat="false" ht="12.75" hidden="false" customHeight="false" outlineLevel="0" collapsed="false">
      <c r="A745" s="753"/>
      <c r="B745" s="750"/>
      <c r="C745" s="751"/>
      <c r="D745" s="752"/>
      <c r="E745" s="752"/>
      <c r="F745" s="752"/>
      <c r="G745" s="752"/>
      <c r="H745" s="752"/>
    </row>
    <row r="746" customFormat="false" ht="12.75" hidden="false" customHeight="false" outlineLevel="0" collapsed="false">
      <c r="A746" s="753"/>
      <c r="B746" s="750"/>
      <c r="C746" s="751"/>
      <c r="D746" s="752"/>
      <c r="E746" s="752"/>
      <c r="F746" s="752"/>
      <c r="G746" s="752"/>
      <c r="H746" s="752"/>
    </row>
    <row r="747" customFormat="false" ht="12.75" hidden="false" customHeight="false" outlineLevel="0" collapsed="false">
      <c r="A747" s="753"/>
      <c r="B747" s="750"/>
      <c r="C747" s="751"/>
      <c r="D747" s="752"/>
      <c r="E747" s="752"/>
      <c r="F747" s="752"/>
      <c r="G747" s="752"/>
      <c r="H747" s="752"/>
    </row>
    <row r="748" customFormat="false" ht="12.75" hidden="false" customHeight="false" outlineLevel="0" collapsed="false">
      <c r="A748" s="753"/>
      <c r="B748" s="750"/>
      <c r="C748" s="751"/>
      <c r="D748" s="752"/>
      <c r="E748" s="752"/>
      <c r="F748" s="752"/>
      <c r="G748" s="752"/>
      <c r="H748" s="752"/>
    </row>
    <row r="749" customFormat="false" ht="12.75" hidden="false" customHeight="false" outlineLevel="0" collapsed="false">
      <c r="A749" s="753"/>
      <c r="B749" s="750"/>
      <c r="C749" s="751"/>
      <c r="D749" s="752"/>
      <c r="E749" s="752"/>
      <c r="F749" s="752"/>
      <c r="G749" s="752"/>
      <c r="H749" s="752"/>
    </row>
    <row r="750" customFormat="false" ht="12.75" hidden="false" customHeight="false" outlineLevel="0" collapsed="false">
      <c r="A750" s="753"/>
      <c r="B750" s="750"/>
      <c r="C750" s="751"/>
      <c r="D750" s="752"/>
      <c r="E750" s="752"/>
      <c r="F750" s="752"/>
      <c r="G750" s="752"/>
      <c r="H750" s="752"/>
    </row>
    <row r="751" customFormat="false" ht="12.75" hidden="false" customHeight="false" outlineLevel="0" collapsed="false">
      <c r="A751" s="753"/>
      <c r="B751" s="750"/>
      <c r="C751" s="751"/>
      <c r="D751" s="752"/>
      <c r="E751" s="752"/>
      <c r="F751" s="752"/>
      <c r="G751" s="752"/>
      <c r="H751" s="752"/>
    </row>
    <row r="752" customFormat="false" ht="12.75" hidden="false" customHeight="false" outlineLevel="0" collapsed="false">
      <c r="A752" s="753"/>
      <c r="B752" s="750"/>
      <c r="C752" s="751"/>
      <c r="D752" s="752"/>
      <c r="E752" s="752"/>
      <c r="F752" s="752"/>
      <c r="G752" s="752"/>
      <c r="H752" s="752"/>
    </row>
    <row r="753" customFormat="false" ht="12.75" hidden="false" customHeight="false" outlineLevel="0" collapsed="false">
      <c r="A753" s="753"/>
      <c r="B753" s="750"/>
      <c r="C753" s="751"/>
      <c r="D753" s="752"/>
      <c r="E753" s="752"/>
      <c r="F753" s="752"/>
      <c r="G753" s="752"/>
      <c r="H753" s="752"/>
    </row>
    <row r="754" customFormat="false" ht="12.75" hidden="false" customHeight="false" outlineLevel="0" collapsed="false">
      <c r="A754" s="753"/>
      <c r="B754" s="750"/>
      <c r="C754" s="751"/>
      <c r="D754" s="752"/>
      <c r="E754" s="752"/>
      <c r="F754" s="752"/>
      <c r="G754" s="752"/>
      <c r="H754" s="752"/>
    </row>
    <row r="755" customFormat="false" ht="12.75" hidden="false" customHeight="false" outlineLevel="0" collapsed="false">
      <c r="A755" s="753"/>
      <c r="B755" s="750"/>
      <c r="C755" s="751"/>
      <c r="D755" s="752"/>
      <c r="E755" s="752"/>
      <c r="F755" s="752"/>
      <c r="G755" s="752"/>
      <c r="H755" s="752"/>
    </row>
    <row r="756" customFormat="false" ht="12.75" hidden="false" customHeight="false" outlineLevel="0" collapsed="false">
      <c r="A756" s="753"/>
      <c r="B756" s="750"/>
      <c r="C756" s="751"/>
      <c r="D756" s="752"/>
      <c r="E756" s="752"/>
      <c r="F756" s="752"/>
      <c r="G756" s="752"/>
      <c r="H756" s="752"/>
    </row>
    <row r="757" customFormat="false" ht="12.75" hidden="false" customHeight="false" outlineLevel="0" collapsed="false">
      <c r="A757" s="753"/>
      <c r="B757" s="750"/>
      <c r="C757" s="751"/>
      <c r="D757" s="752"/>
      <c r="E757" s="752"/>
      <c r="F757" s="752"/>
      <c r="G757" s="752"/>
      <c r="H757" s="752"/>
    </row>
    <row r="758" customFormat="false" ht="12.75" hidden="false" customHeight="false" outlineLevel="0" collapsed="false">
      <c r="A758" s="753"/>
      <c r="B758" s="750"/>
      <c r="C758" s="751"/>
      <c r="D758" s="752"/>
      <c r="E758" s="752"/>
      <c r="F758" s="752"/>
      <c r="G758" s="752"/>
      <c r="H758" s="752"/>
    </row>
    <row r="759" customFormat="false" ht="12.75" hidden="false" customHeight="false" outlineLevel="0" collapsed="false">
      <c r="A759" s="753"/>
      <c r="B759" s="750"/>
      <c r="C759" s="751"/>
      <c r="D759" s="752"/>
      <c r="E759" s="752"/>
      <c r="F759" s="752"/>
      <c r="G759" s="752"/>
      <c r="H759" s="752"/>
    </row>
    <row r="760" customFormat="false" ht="12.75" hidden="false" customHeight="false" outlineLevel="0" collapsed="false">
      <c r="A760" s="753"/>
      <c r="B760" s="750"/>
      <c r="C760" s="751"/>
      <c r="D760" s="752"/>
      <c r="E760" s="752"/>
      <c r="F760" s="752"/>
      <c r="G760" s="752"/>
      <c r="H760" s="752"/>
    </row>
    <row r="761" customFormat="false" ht="12.75" hidden="false" customHeight="false" outlineLevel="0" collapsed="false">
      <c r="A761" s="753"/>
      <c r="B761" s="750"/>
      <c r="C761" s="751"/>
      <c r="D761" s="752"/>
      <c r="E761" s="752"/>
      <c r="F761" s="752"/>
      <c r="G761" s="752"/>
      <c r="H761" s="752"/>
    </row>
    <row r="762" customFormat="false" ht="12.75" hidden="false" customHeight="false" outlineLevel="0" collapsed="false">
      <c r="A762" s="753"/>
      <c r="B762" s="750"/>
      <c r="C762" s="751"/>
      <c r="D762" s="752"/>
      <c r="E762" s="752"/>
      <c r="F762" s="752"/>
      <c r="G762" s="752"/>
      <c r="H762" s="752"/>
    </row>
    <row r="763" customFormat="false" ht="12.75" hidden="false" customHeight="false" outlineLevel="0" collapsed="false">
      <c r="A763" s="753"/>
      <c r="B763" s="750"/>
      <c r="C763" s="751"/>
      <c r="D763" s="752"/>
      <c r="E763" s="752"/>
      <c r="F763" s="752"/>
      <c r="G763" s="752"/>
      <c r="H763" s="752"/>
    </row>
    <row r="764" customFormat="false" ht="12.75" hidden="false" customHeight="false" outlineLevel="0" collapsed="false">
      <c r="A764" s="753"/>
      <c r="B764" s="750"/>
      <c r="C764" s="751"/>
      <c r="D764" s="752"/>
      <c r="E764" s="752"/>
      <c r="F764" s="752"/>
      <c r="G764" s="752"/>
      <c r="H764" s="752"/>
    </row>
    <row r="765" customFormat="false" ht="12.75" hidden="false" customHeight="false" outlineLevel="0" collapsed="false">
      <c r="A765" s="753"/>
      <c r="B765" s="750"/>
      <c r="C765" s="751"/>
      <c r="D765" s="752"/>
      <c r="E765" s="752"/>
      <c r="F765" s="752"/>
      <c r="G765" s="752"/>
      <c r="H765" s="752"/>
    </row>
    <row r="766" customFormat="false" ht="12.75" hidden="false" customHeight="false" outlineLevel="0" collapsed="false">
      <c r="A766" s="753"/>
      <c r="B766" s="750"/>
      <c r="C766" s="751"/>
      <c r="D766" s="752"/>
      <c r="E766" s="752"/>
      <c r="F766" s="752"/>
      <c r="G766" s="752"/>
      <c r="H766" s="752"/>
    </row>
    <row r="767" customFormat="false" ht="12.75" hidden="false" customHeight="false" outlineLevel="0" collapsed="false">
      <c r="A767" s="753"/>
      <c r="B767" s="750"/>
      <c r="C767" s="751"/>
      <c r="D767" s="752"/>
      <c r="E767" s="752"/>
      <c r="F767" s="752"/>
      <c r="G767" s="752"/>
      <c r="H767" s="752"/>
    </row>
    <row r="768" customFormat="false" ht="12.75" hidden="false" customHeight="false" outlineLevel="0" collapsed="false">
      <c r="A768" s="753"/>
      <c r="B768" s="750"/>
      <c r="C768" s="751"/>
      <c r="D768" s="752"/>
      <c r="E768" s="752"/>
      <c r="F768" s="752"/>
      <c r="G768" s="752"/>
      <c r="H768" s="752"/>
    </row>
    <row r="769" customFormat="false" ht="12.75" hidden="false" customHeight="false" outlineLevel="0" collapsed="false">
      <c r="A769" s="753"/>
      <c r="B769" s="750"/>
      <c r="C769" s="751"/>
      <c r="D769" s="752"/>
      <c r="E769" s="752"/>
      <c r="F769" s="752"/>
      <c r="G769" s="752"/>
      <c r="H769" s="752"/>
    </row>
    <row r="770" customFormat="false" ht="12.75" hidden="false" customHeight="false" outlineLevel="0" collapsed="false">
      <c r="A770" s="753"/>
      <c r="B770" s="750"/>
      <c r="C770" s="751"/>
      <c r="D770" s="752"/>
      <c r="E770" s="752"/>
      <c r="F770" s="752"/>
      <c r="G770" s="752"/>
      <c r="H770" s="752"/>
    </row>
    <row r="771" customFormat="false" ht="12.75" hidden="false" customHeight="false" outlineLevel="0" collapsed="false">
      <c r="A771" s="753"/>
      <c r="B771" s="750"/>
      <c r="C771" s="751"/>
      <c r="D771" s="752"/>
      <c r="E771" s="752"/>
      <c r="F771" s="752"/>
      <c r="G771" s="752"/>
      <c r="H771" s="752"/>
    </row>
    <row r="772" customFormat="false" ht="12.75" hidden="false" customHeight="false" outlineLevel="0" collapsed="false">
      <c r="A772" s="753"/>
      <c r="B772" s="750"/>
      <c r="C772" s="751"/>
      <c r="D772" s="752"/>
      <c r="E772" s="752"/>
      <c r="F772" s="752"/>
      <c r="G772" s="752"/>
      <c r="H772" s="752"/>
    </row>
    <row r="773" customFormat="false" ht="12.75" hidden="false" customHeight="false" outlineLevel="0" collapsed="false">
      <c r="A773" s="753"/>
      <c r="B773" s="750"/>
      <c r="C773" s="751"/>
      <c r="D773" s="752"/>
      <c r="E773" s="752"/>
      <c r="F773" s="752"/>
      <c r="G773" s="752"/>
      <c r="H773" s="752"/>
    </row>
    <row r="774" customFormat="false" ht="12.75" hidden="false" customHeight="false" outlineLevel="0" collapsed="false">
      <c r="A774" s="753"/>
      <c r="B774" s="750"/>
      <c r="C774" s="751"/>
      <c r="D774" s="752"/>
      <c r="E774" s="752"/>
      <c r="F774" s="752"/>
      <c r="G774" s="752"/>
      <c r="H774" s="752"/>
    </row>
    <row r="775" customFormat="false" ht="12.75" hidden="false" customHeight="false" outlineLevel="0" collapsed="false">
      <c r="A775" s="753"/>
      <c r="B775" s="750"/>
      <c r="C775" s="751"/>
      <c r="D775" s="752"/>
      <c r="E775" s="752"/>
      <c r="F775" s="752"/>
      <c r="G775" s="752"/>
      <c r="H775" s="752"/>
    </row>
    <row r="776" customFormat="false" ht="12.75" hidden="false" customHeight="false" outlineLevel="0" collapsed="false">
      <c r="A776" s="753"/>
      <c r="B776" s="750"/>
      <c r="C776" s="751"/>
      <c r="D776" s="752"/>
      <c r="E776" s="752"/>
      <c r="F776" s="752"/>
      <c r="G776" s="752"/>
      <c r="H776" s="752"/>
    </row>
    <row r="777" customFormat="false" ht="12.75" hidden="false" customHeight="false" outlineLevel="0" collapsed="false">
      <c r="A777" s="753"/>
      <c r="B777" s="750"/>
      <c r="C777" s="751"/>
      <c r="D777" s="752"/>
      <c r="E777" s="752"/>
      <c r="F777" s="752"/>
      <c r="G777" s="752"/>
      <c r="H777" s="752"/>
    </row>
    <row r="778" customFormat="false" ht="12.75" hidden="false" customHeight="false" outlineLevel="0" collapsed="false">
      <c r="A778" s="753"/>
      <c r="B778" s="750"/>
      <c r="C778" s="751"/>
      <c r="D778" s="752"/>
      <c r="E778" s="752"/>
      <c r="F778" s="752"/>
      <c r="G778" s="752"/>
      <c r="H778" s="752"/>
    </row>
    <row r="779" customFormat="false" ht="12.75" hidden="false" customHeight="false" outlineLevel="0" collapsed="false">
      <c r="A779" s="754"/>
      <c r="B779" s="755"/>
      <c r="C779" s="756"/>
      <c r="D779" s="621"/>
      <c r="E779" s="621"/>
      <c r="F779" s="621"/>
      <c r="G779" s="621"/>
      <c r="H779" s="621"/>
    </row>
    <row r="780" customFormat="false" ht="12.75" hidden="false" customHeight="false" outlineLevel="0" collapsed="false">
      <c r="A780" s="754"/>
      <c r="B780" s="755"/>
      <c r="C780" s="756"/>
      <c r="D780" s="621"/>
      <c r="E780" s="621"/>
      <c r="F780" s="621"/>
      <c r="G780" s="621"/>
      <c r="H780" s="621"/>
    </row>
    <row r="781" customFormat="false" ht="12.75" hidden="false" customHeight="false" outlineLevel="0" collapsed="false">
      <c r="A781" s="754"/>
      <c r="B781" s="755"/>
      <c r="C781" s="756"/>
      <c r="D781" s="621"/>
      <c r="E781" s="621"/>
      <c r="F781" s="621"/>
      <c r="G781" s="621"/>
      <c r="H781" s="621"/>
    </row>
    <row r="782" customFormat="false" ht="12.75" hidden="false" customHeight="false" outlineLevel="0" collapsed="false">
      <c r="A782" s="754"/>
      <c r="B782" s="755"/>
      <c r="C782" s="756"/>
      <c r="D782" s="621"/>
      <c r="E782" s="621"/>
      <c r="F782" s="621"/>
      <c r="G782" s="621"/>
      <c r="H782" s="621"/>
    </row>
    <row r="783" customFormat="false" ht="12.75" hidden="false" customHeight="false" outlineLevel="0" collapsed="false">
      <c r="A783" s="754"/>
      <c r="B783" s="755"/>
      <c r="C783" s="756"/>
      <c r="D783" s="621"/>
      <c r="E783" s="621"/>
      <c r="F783" s="621"/>
      <c r="G783" s="621"/>
      <c r="H783" s="621"/>
    </row>
    <row r="784" customFormat="false" ht="12.75" hidden="false" customHeight="false" outlineLevel="0" collapsed="false">
      <c r="A784" s="754"/>
      <c r="B784" s="755"/>
      <c r="C784" s="756"/>
      <c r="D784" s="621"/>
      <c r="E784" s="621"/>
      <c r="F784" s="621"/>
      <c r="G784" s="621"/>
      <c r="H784" s="621"/>
    </row>
    <row r="785" customFormat="false" ht="12.75" hidden="false" customHeight="false" outlineLevel="0" collapsed="false">
      <c r="A785" s="754"/>
      <c r="B785" s="755"/>
      <c r="C785" s="756"/>
      <c r="D785" s="621"/>
      <c r="E785" s="621"/>
      <c r="F785" s="621"/>
      <c r="G785" s="621"/>
      <c r="H785" s="621"/>
    </row>
    <row r="786" customFormat="false" ht="12.75" hidden="false" customHeight="false" outlineLevel="0" collapsed="false">
      <c r="A786" s="754"/>
      <c r="B786" s="755"/>
      <c r="C786" s="756"/>
      <c r="D786" s="621"/>
      <c r="E786" s="621"/>
      <c r="F786" s="621"/>
      <c r="G786" s="621"/>
      <c r="H786" s="621"/>
    </row>
    <row r="787" customFormat="false" ht="12.75" hidden="false" customHeight="false" outlineLevel="0" collapsed="false">
      <c r="A787" s="754"/>
      <c r="B787" s="755"/>
      <c r="C787" s="756"/>
      <c r="D787" s="621"/>
      <c r="E787" s="621"/>
      <c r="F787" s="621"/>
      <c r="G787" s="621"/>
      <c r="H787" s="621"/>
    </row>
    <row r="788" customFormat="false" ht="12.75" hidden="false" customHeight="false" outlineLevel="0" collapsed="false">
      <c r="A788" s="754"/>
      <c r="B788" s="755"/>
      <c r="C788" s="756"/>
      <c r="D788" s="621"/>
      <c r="E788" s="621"/>
      <c r="F788" s="621"/>
      <c r="G788" s="621"/>
      <c r="H788" s="621"/>
    </row>
    <row r="789" customFormat="false" ht="12.75" hidden="false" customHeight="false" outlineLevel="0" collapsed="false">
      <c r="A789" s="754"/>
      <c r="B789" s="755"/>
      <c r="C789" s="756"/>
      <c r="D789" s="621"/>
      <c r="E789" s="621"/>
      <c r="F789" s="621"/>
      <c r="G789" s="621"/>
      <c r="H789" s="621"/>
    </row>
    <row r="790" customFormat="false" ht="12.75" hidden="false" customHeight="false" outlineLevel="0" collapsed="false">
      <c r="A790" s="754"/>
      <c r="B790" s="755"/>
      <c r="C790" s="756"/>
      <c r="D790" s="621"/>
      <c r="E790" s="621"/>
      <c r="F790" s="621"/>
      <c r="G790" s="621"/>
      <c r="H790" s="621"/>
    </row>
    <row r="791" customFormat="false" ht="12.75" hidden="false" customHeight="false" outlineLevel="0" collapsed="false">
      <c r="A791" s="754"/>
      <c r="B791" s="755"/>
      <c r="C791" s="756"/>
      <c r="D791" s="621"/>
      <c r="E791" s="621"/>
      <c r="F791" s="621"/>
      <c r="G791" s="621"/>
      <c r="H791" s="621"/>
    </row>
    <row r="792" customFormat="false" ht="12.75" hidden="false" customHeight="false" outlineLevel="0" collapsed="false">
      <c r="A792" s="754"/>
      <c r="B792" s="755"/>
      <c r="C792" s="756"/>
      <c r="D792" s="621"/>
      <c r="E792" s="621"/>
      <c r="F792" s="621"/>
      <c r="G792" s="621"/>
      <c r="H792" s="621"/>
    </row>
    <row r="793" customFormat="false" ht="12.75" hidden="false" customHeight="false" outlineLevel="0" collapsed="false">
      <c r="A793" s="754"/>
      <c r="B793" s="755"/>
      <c r="C793" s="756"/>
      <c r="D793" s="621"/>
      <c r="E793" s="621"/>
      <c r="F793" s="621"/>
      <c r="G793" s="621"/>
      <c r="H793" s="621"/>
    </row>
    <row r="794" customFormat="false" ht="12.75" hidden="false" customHeight="false" outlineLevel="0" collapsed="false">
      <c r="A794" s="754"/>
      <c r="B794" s="755"/>
      <c r="C794" s="756"/>
      <c r="D794" s="621"/>
      <c r="E794" s="621"/>
      <c r="F794" s="621"/>
      <c r="G794" s="621"/>
      <c r="H794" s="621"/>
    </row>
    <row r="795" customFormat="false" ht="12.75" hidden="false" customHeight="false" outlineLevel="0" collapsed="false">
      <c r="A795" s="754"/>
      <c r="B795" s="755"/>
      <c r="C795" s="756"/>
      <c r="D795" s="621"/>
      <c r="E795" s="621"/>
      <c r="F795" s="621"/>
      <c r="G795" s="621"/>
      <c r="H795" s="621"/>
    </row>
    <row r="796" customFormat="false" ht="12.75" hidden="false" customHeight="false" outlineLevel="0" collapsed="false">
      <c r="A796" s="754"/>
      <c r="B796" s="755"/>
      <c r="C796" s="756"/>
      <c r="D796" s="621"/>
      <c r="E796" s="621"/>
      <c r="F796" s="621"/>
      <c r="G796" s="621"/>
      <c r="H796" s="621"/>
    </row>
    <row r="797" customFormat="false" ht="12.75" hidden="false" customHeight="false" outlineLevel="0" collapsed="false">
      <c r="A797" s="754"/>
      <c r="B797" s="755"/>
      <c r="C797" s="756"/>
      <c r="D797" s="621"/>
      <c r="E797" s="621"/>
      <c r="F797" s="621"/>
      <c r="G797" s="621"/>
      <c r="H797" s="621"/>
    </row>
    <row r="798" customFormat="false" ht="12.75" hidden="false" customHeight="false" outlineLevel="0" collapsed="false">
      <c r="A798" s="754"/>
      <c r="B798" s="755"/>
      <c r="C798" s="756"/>
      <c r="D798" s="621"/>
      <c r="E798" s="621"/>
      <c r="F798" s="621"/>
      <c r="G798" s="621"/>
      <c r="H798" s="621"/>
    </row>
    <row r="799" customFormat="false" ht="12.75" hidden="false" customHeight="false" outlineLevel="0" collapsed="false">
      <c r="A799" s="754"/>
      <c r="B799" s="755"/>
      <c r="C799" s="756"/>
      <c r="D799" s="621"/>
      <c r="E799" s="621"/>
      <c r="F799" s="621"/>
      <c r="G799" s="621"/>
      <c r="H799" s="621"/>
    </row>
    <row r="800" customFormat="false" ht="12.75" hidden="false" customHeight="false" outlineLevel="0" collapsed="false">
      <c r="A800" s="754"/>
      <c r="B800" s="755"/>
      <c r="C800" s="756"/>
      <c r="D800" s="621"/>
      <c r="E800" s="621"/>
      <c r="F800" s="621"/>
      <c r="G800" s="621"/>
      <c r="H800" s="621"/>
    </row>
    <row r="801" customFormat="false" ht="12.75" hidden="false" customHeight="false" outlineLevel="0" collapsed="false">
      <c r="A801" s="754"/>
      <c r="B801" s="755"/>
      <c r="C801" s="756"/>
      <c r="D801" s="621"/>
      <c r="E801" s="621"/>
      <c r="F801" s="621"/>
      <c r="G801" s="621"/>
      <c r="H801" s="621"/>
    </row>
    <row r="802" customFormat="false" ht="12.75" hidden="false" customHeight="false" outlineLevel="0" collapsed="false">
      <c r="A802" s="754"/>
      <c r="B802" s="755"/>
      <c r="C802" s="756"/>
      <c r="D802" s="621"/>
      <c r="E802" s="621"/>
      <c r="F802" s="621"/>
      <c r="G802" s="621"/>
      <c r="H802" s="621"/>
    </row>
    <row r="803" customFormat="false" ht="12.75" hidden="false" customHeight="false" outlineLevel="0" collapsed="false">
      <c r="A803" s="754"/>
      <c r="B803" s="755"/>
      <c r="C803" s="756"/>
      <c r="D803" s="621"/>
      <c r="E803" s="621"/>
      <c r="F803" s="621"/>
      <c r="G803" s="621"/>
      <c r="H803" s="621"/>
    </row>
    <row r="804" customFormat="false" ht="12.75" hidden="false" customHeight="false" outlineLevel="0" collapsed="false">
      <c r="A804" s="754"/>
      <c r="B804" s="755"/>
      <c r="C804" s="756"/>
      <c r="D804" s="621"/>
      <c r="E804" s="621"/>
      <c r="F804" s="621"/>
      <c r="G804" s="621"/>
      <c r="H804" s="621"/>
    </row>
    <row r="805" customFormat="false" ht="12.75" hidden="false" customHeight="false" outlineLevel="0" collapsed="false">
      <c r="A805" s="754"/>
      <c r="B805" s="755"/>
      <c r="C805" s="756"/>
      <c r="D805" s="621"/>
      <c r="E805" s="621"/>
      <c r="F805" s="621"/>
      <c r="G805" s="621"/>
      <c r="H805" s="621"/>
    </row>
    <row r="806" customFormat="false" ht="12.75" hidden="false" customHeight="false" outlineLevel="0" collapsed="false">
      <c r="A806" s="754"/>
      <c r="B806" s="755"/>
      <c r="C806" s="756"/>
      <c r="D806" s="621"/>
      <c r="E806" s="621"/>
      <c r="F806" s="621"/>
      <c r="G806" s="621"/>
      <c r="H806" s="621"/>
    </row>
    <row r="807" customFormat="false" ht="12.75" hidden="false" customHeight="false" outlineLevel="0" collapsed="false">
      <c r="A807" s="754"/>
      <c r="B807" s="755"/>
      <c r="C807" s="756"/>
      <c r="D807" s="621"/>
      <c r="E807" s="621"/>
      <c r="F807" s="621"/>
      <c r="G807" s="621"/>
      <c r="H807" s="621"/>
    </row>
    <row r="808" customFormat="false" ht="12.75" hidden="false" customHeight="false" outlineLevel="0" collapsed="false">
      <c r="A808" s="754"/>
      <c r="B808" s="755"/>
      <c r="C808" s="756"/>
      <c r="D808" s="621"/>
      <c r="E808" s="621"/>
      <c r="F808" s="621"/>
      <c r="G808" s="621"/>
      <c r="H808" s="621"/>
    </row>
    <row r="809" customFormat="false" ht="12.75" hidden="false" customHeight="false" outlineLevel="0" collapsed="false">
      <c r="A809" s="754"/>
      <c r="B809" s="755"/>
      <c r="C809" s="756"/>
      <c r="D809" s="621"/>
      <c r="E809" s="621"/>
      <c r="F809" s="621"/>
      <c r="G809" s="621"/>
      <c r="H809" s="621"/>
    </row>
    <row r="810" customFormat="false" ht="12.75" hidden="false" customHeight="false" outlineLevel="0" collapsed="false">
      <c r="A810" s="754"/>
      <c r="B810" s="755"/>
      <c r="C810" s="756"/>
      <c r="D810" s="621"/>
      <c r="E810" s="621"/>
      <c r="F810" s="621"/>
      <c r="G810" s="621"/>
      <c r="H810" s="621"/>
    </row>
    <row r="811" customFormat="false" ht="12.75" hidden="false" customHeight="false" outlineLevel="0" collapsed="false">
      <c r="A811" s="754"/>
      <c r="B811" s="755"/>
      <c r="C811" s="756"/>
      <c r="D811" s="621"/>
      <c r="E811" s="621"/>
      <c r="F811" s="621"/>
      <c r="G811" s="621"/>
      <c r="H811" s="621"/>
    </row>
    <row r="812" customFormat="false" ht="12.75" hidden="false" customHeight="false" outlineLevel="0" collapsed="false">
      <c r="A812" s="754"/>
      <c r="B812" s="755"/>
      <c r="C812" s="756"/>
      <c r="D812" s="621"/>
      <c r="E812" s="621"/>
      <c r="F812" s="621"/>
      <c r="G812" s="621"/>
      <c r="H812" s="621"/>
    </row>
    <row r="813" customFormat="false" ht="12.75" hidden="false" customHeight="false" outlineLevel="0" collapsed="false">
      <c r="A813" s="754"/>
      <c r="B813" s="755"/>
      <c r="C813" s="756"/>
      <c r="D813" s="621"/>
      <c r="E813" s="621"/>
      <c r="F813" s="621"/>
      <c r="G813" s="621"/>
      <c r="H813" s="621"/>
    </row>
    <row r="814" customFormat="false" ht="12.75" hidden="false" customHeight="false" outlineLevel="0" collapsed="false">
      <c r="A814" s="754"/>
      <c r="B814" s="755"/>
      <c r="C814" s="756"/>
      <c r="D814" s="621"/>
      <c r="E814" s="621"/>
      <c r="F814" s="621"/>
      <c r="G814" s="621"/>
      <c r="H814" s="621"/>
    </row>
    <row r="815" customFormat="false" ht="12.75" hidden="false" customHeight="false" outlineLevel="0" collapsed="false">
      <c r="A815" s="754"/>
      <c r="B815" s="755"/>
      <c r="C815" s="756"/>
      <c r="D815" s="621"/>
      <c r="E815" s="621"/>
      <c r="F815" s="621"/>
      <c r="G815" s="621"/>
      <c r="H815" s="621"/>
    </row>
    <row r="816" customFormat="false" ht="12.75" hidden="false" customHeight="false" outlineLevel="0" collapsed="false">
      <c r="A816" s="754"/>
      <c r="B816" s="755"/>
      <c r="C816" s="756"/>
      <c r="D816" s="621"/>
      <c r="E816" s="621"/>
      <c r="F816" s="621"/>
      <c r="G816" s="621"/>
      <c r="H816" s="621"/>
    </row>
    <row r="817" customFormat="false" ht="12.75" hidden="false" customHeight="false" outlineLevel="0" collapsed="false">
      <c r="A817" s="754"/>
      <c r="B817" s="755"/>
      <c r="C817" s="756"/>
      <c r="D817" s="621"/>
      <c r="E817" s="621"/>
      <c r="F817" s="621"/>
      <c r="G817" s="621"/>
      <c r="H817" s="621"/>
    </row>
    <row r="818" customFormat="false" ht="12.75" hidden="false" customHeight="false" outlineLevel="0" collapsed="false">
      <c r="A818" s="754"/>
      <c r="B818" s="755"/>
      <c r="C818" s="756"/>
      <c r="D818" s="621"/>
      <c r="E818" s="621"/>
      <c r="F818" s="621"/>
      <c r="G818" s="621"/>
      <c r="H818" s="621"/>
    </row>
    <row r="819" customFormat="false" ht="12.75" hidden="false" customHeight="false" outlineLevel="0" collapsed="false">
      <c r="A819" s="754"/>
      <c r="B819" s="755"/>
      <c r="C819" s="756"/>
      <c r="D819" s="621"/>
      <c r="E819" s="621"/>
      <c r="F819" s="621"/>
      <c r="G819" s="621"/>
      <c r="H819" s="621"/>
    </row>
    <row r="820" customFormat="false" ht="12.75" hidden="false" customHeight="false" outlineLevel="0" collapsed="false">
      <c r="A820" s="754"/>
      <c r="B820" s="755"/>
      <c r="C820" s="756"/>
      <c r="D820" s="621"/>
      <c r="E820" s="621"/>
      <c r="F820" s="621"/>
      <c r="G820" s="621"/>
      <c r="H820" s="621"/>
    </row>
    <row r="821" customFormat="false" ht="12.75" hidden="false" customHeight="false" outlineLevel="0" collapsed="false">
      <c r="A821" s="754"/>
      <c r="B821" s="755"/>
      <c r="C821" s="756"/>
      <c r="D821" s="621"/>
      <c r="E821" s="621"/>
      <c r="F821" s="621"/>
      <c r="G821" s="621"/>
      <c r="H821" s="621"/>
    </row>
    <row r="822" customFormat="false" ht="12.75" hidden="false" customHeight="false" outlineLevel="0" collapsed="false">
      <c r="A822" s="754"/>
      <c r="B822" s="755"/>
      <c r="C822" s="756"/>
      <c r="D822" s="621"/>
      <c r="E822" s="621"/>
      <c r="F822" s="621"/>
      <c r="G822" s="621"/>
      <c r="H822" s="621"/>
    </row>
    <row r="823" customFormat="false" ht="12.75" hidden="false" customHeight="false" outlineLevel="0" collapsed="false">
      <c r="A823" s="757"/>
    </row>
    <row r="824" customFormat="false" ht="12.75" hidden="false" customHeight="false" outlineLevel="0" collapsed="false">
      <c r="A824" s="757"/>
    </row>
    <row r="825" customFormat="false" ht="12.75" hidden="false" customHeight="false" outlineLevel="0" collapsed="false">
      <c r="A825" s="757"/>
    </row>
    <row r="826" customFormat="false" ht="12.75" hidden="false" customHeight="false" outlineLevel="0" collapsed="false">
      <c r="A826" s="757"/>
    </row>
    <row r="827" customFormat="false" ht="12.75" hidden="false" customHeight="false" outlineLevel="0" collapsed="false">
      <c r="A827" s="757"/>
    </row>
    <row r="828" customFormat="false" ht="12.75" hidden="false" customHeight="false" outlineLevel="0" collapsed="false">
      <c r="A828" s="757"/>
    </row>
    <row r="829" customFormat="false" ht="12.75" hidden="false" customHeight="false" outlineLevel="0" collapsed="false">
      <c r="A829" s="757"/>
    </row>
    <row r="830" customFormat="false" ht="12.75" hidden="false" customHeight="false" outlineLevel="0" collapsed="false">
      <c r="A830" s="757"/>
    </row>
    <row r="831" customFormat="false" ht="12.75" hidden="false" customHeight="false" outlineLevel="0" collapsed="false">
      <c r="A831" s="757"/>
    </row>
    <row r="832" customFormat="false" ht="12.75" hidden="false" customHeight="false" outlineLevel="0" collapsed="false">
      <c r="A832" s="757"/>
    </row>
    <row r="833" s="758" customFormat="true" ht="12.75" hidden="false" customHeight="false" outlineLevel="0" collapsed="false">
      <c r="A833" s="757"/>
      <c r="B833" s="537"/>
      <c r="C833" s="537"/>
    </row>
    <row r="834" s="758" customFormat="true" ht="12.75" hidden="false" customHeight="false" outlineLevel="0" collapsed="false">
      <c r="A834" s="757"/>
      <c r="B834" s="537"/>
      <c r="C834" s="537"/>
    </row>
    <row r="835" s="758" customFormat="true" ht="12.75" hidden="false" customHeight="false" outlineLevel="0" collapsed="false">
      <c r="A835" s="757"/>
      <c r="B835" s="537"/>
      <c r="C835" s="537"/>
    </row>
    <row r="836" s="758" customFormat="true" ht="12.75" hidden="false" customHeight="false" outlineLevel="0" collapsed="false">
      <c r="A836" s="757"/>
      <c r="B836" s="537"/>
      <c r="C836" s="537"/>
    </row>
    <row r="837" s="758" customFormat="true" ht="12.75" hidden="false" customHeight="false" outlineLevel="0" collapsed="false">
      <c r="A837" s="757"/>
      <c r="B837" s="537"/>
      <c r="C837" s="537"/>
    </row>
    <row r="838" s="758" customFormat="true" ht="12.75" hidden="false" customHeight="false" outlineLevel="0" collapsed="false">
      <c r="A838" s="757"/>
      <c r="B838" s="537"/>
      <c r="C838" s="537"/>
    </row>
    <row r="839" s="758" customFormat="true" ht="12.75" hidden="false" customHeight="false" outlineLevel="0" collapsed="false">
      <c r="A839" s="757"/>
      <c r="B839" s="537"/>
      <c r="C839" s="537"/>
    </row>
    <row r="840" s="758" customFormat="true" ht="12.75" hidden="false" customHeight="false" outlineLevel="0" collapsed="false">
      <c r="A840" s="757"/>
      <c r="B840" s="537"/>
      <c r="C840" s="537"/>
    </row>
    <row r="841" s="758" customFormat="true" ht="12.75" hidden="false" customHeight="false" outlineLevel="0" collapsed="false">
      <c r="A841" s="757"/>
      <c r="B841" s="537"/>
      <c r="C841" s="537"/>
    </row>
    <row r="842" s="758" customFormat="true" ht="12.75" hidden="false" customHeight="false" outlineLevel="0" collapsed="false">
      <c r="A842" s="757"/>
      <c r="B842" s="537"/>
      <c r="C842" s="537"/>
    </row>
    <row r="843" s="758" customFormat="true" ht="12.75" hidden="false" customHeight="false" outlineLevel="0" collapsed="false">
      <c r="A843" s="757"/>
      <c r="B843" s="537"/>
      <c r="C843" s="537"/>
    </row>
    <row r="844" s="758" customFormat="true" ht="12.75" hidden="false" customHeight="false" outlineLevel="0" collapsed="false">
      <c r="A844" s="757"/>
      <c r="B844" s="537"/>
      <c r="C844" s="537"/>
    </row>
    <row r="845" s="758" customFormat="true" ht="12.75" hidden="false" customHeight="false" outlineLevel="0" collapsed="false">
      <c r="A845" s="757"/>
      <c r="B845" s="537"/>
      <c r="C845" s="537"/>
    </row>
    <row r="846" s="758" customFormat="true" ht="12.75" hidden="false" customHeight="false" outlineLevel="0" collapsed="false">
      <c r="A846" s="757"/>
      <c r="B846" s="537"/>
      <c r="C846" s="537"/>
    </row>
    <row r="847" s="758" customFormat="true" ht="12.75" hidden="false" customHeight="false" outlineLevel="0" collapsed="false">
      <c r="A847" s="757"/>
      <c r="B847" s="537"/>
      <c r="C847" s="537"/>
    </row>
    <row r="848" s="758" customFormat="true" ht="12.75" hidden="false" customHeight="false" outlineLevel="0" collapsed="false">
      <c r="A848" s="757"/>
      <c r="B848" s="537"/>
      <c r="C848" s="537"/>
    </row>
    <row r="849" s="758" customFormat="true" ht="12.75" hidden="false" customHeight="false" outlineLevel="0" collapsed="false">
      <c r="A849" s="757"/>
      <c r="B849" s="537"/>
      <c r="C849" s="537"/>
    </row>
    <row r="850" s="758" customFormat="true" ht="12.75" hidden="false" customHeight="false" outlineLevel="0" collapsed="false">
      <c r="A850" s="757"/>
      <c r="B850" s="537"/>
      <c r="C850" s="537"/>
    </row>
    <row r="851" s="758" customFormat="true" ht="12.75" hidden="false" customHeight="false" outlineLevel="0" collapsed="false">
      <c r="A851" s="757"/>
      <c r="B851" s="537"/>
      <c r="C851" s="537"/>
    </row>
    <row r="852" s="758" customFormat="true" ht="12.75" hidden="false" customHeight="false" outlineLevel="0" collapsed="false">
      <c r="A852" s="757"/>
      <c r="B852" s="537"/>
      <c r="C852" s="537"/>
    </row>
    <row r="853" s="758" customFormat="true" ht="12.75" hidden="false" customHeight="false" outlineLevel="0" collapsed="false">
      <c r="A853" s="757"/>
      <c r="B853" s="537"/>
      <c r="C853" s="537"/>
    </row>
    <row r="854" s="758" customFormat="true" ht="12.75" hidden="false" customHeight="false" outlineLevel="0" collapsed="false">
      <c r="A854" s="757"/>
      <c r="B854" s="537"/>
      <c r="C854" s="537"/>
    </row>
    <row r="855" s="758" customFormat="true" ht="12.75" hidden="false" customHeight="false" outlineLevel="0" collapsed="false">
      <c r="A855" s="757"/>
      <c r="B855" s="537"/>
      <c r="C855" s="537"/>
    </row>
    <row r="856" s="758" customFormat="true" ht="12.75" hidden="false" customHeight="false" outlineLevel="0" collapsed="false">
      <c r="A856" s="757"/>
      <c r="B856" s="537"/>
      <c r="C856" s="537"/>
    </row>
    <row r="857" s="758" customFormat="true" ht="12.75" hidden="false" customHeight="false" outlineLevel="0" collapsed="false">
      <c r="A857" s="757"/>
      <c r="B857" s="537"/>
      <c r="C857" s="537"/>
    </row>
    <row r="858" s="758" customFormat="true" ht="12.75" hidden="false" customHeight="false" outlineLevel="0" collapsed="false">
      <c r="A858" s="757"/>
      <c r="B858" s="537"/>
      <c r="C858" s="537"/>
    </row>
    <row r="859" s="758" customFormat="true" ht="12.75" hidden="false" customHeight="false" outlineLevel="0" collapsed="false">
      <c r="A859" s="757"/>
      <c r="B859" s="537"/>
      <c r="C859" s="537"/>
    </row>
    <row r="860" s="758" customFormat="true" ht="12.75" hidden="false" customHeight="false" outlineLevel="0" collapsed="false">
      <c r="A860" s="757"/>
      <c r="B860" s="537"/>
      <c r="C860" s="537"/>
    </row>
    <row r="861" s="758" customFormat="true" ht="12.75" hidden="false" customHeight="false" outlineLevel="0" collapsed="false">
      <c r="A861" s="757"/>
      <c r="B861" s="537"/>
      <c r="C861" s="537"/>
    </row>
    <row r="862" s="758" customFormat="true" ht="12.75" hidden="false" customHeight="false" outlineLevel="0" collapsed="false">
      <c r="A862" s="757"/>
      <c r="B862" s="537"/>
      <c r="C862" s="537"/>
    </row>
    <row r="863" s="758" customFormat="true" ht="12.75" hidden="false" customHeight="false" outlineLevel="0" collapsed="false">
      <c r="A863" s="757"/>
      <c r="B863" s="537"/>
      <c r="C863" s="537"/>
    </row>
    <row r="864" s="758" customFormat="true" ht="12.75" hidden="false" customHeight="false" outlineLevel="0" collapsed="false">
      <c r="A864" s="757"/>
      <c r="B864" s="537"/>
      <c r="C864" s="537"/>
    </row>
    <row r="865" s="758" customFormat="true" ht="12.75" hidden="false" customHeight="false" outlineLevel="0" collapsed="false">
      <c r="A865" s="757"/>
      <c r="B865" s="537"/>
      <c r="C865" s="537"/>
    </row>
    <row r="866" s="758" customFormat="true" ht="12.75" hidden="false" customHeight="false" outlineLevel="0" collapsed="false">
      <c r="A866" s="757"/>
      <c r="B866" s="537"/>
      <c r="C866" s="537"/>
    </row>
    <row r="867" s="758" customFormat="true" ht="12.75" hidden="false" customHeight="false" outlineLevel="0" collapsed="false">
      <c r="A867" s="757"/>
      <c r="B867" s="537"/>
      <c r="C867" s="537"/>
    </row>
    <row r="868" s="758" customFormat="true" ht="12.75" hidden="false" customHeight="false" outlineLevel="0" collapsed="false">
      <c r="A868" s="757"/>
      <c r="B868" s="537"/>
      <c r="C868" s="537"/>
    </row>
    <row r="869" s="758" customFormat="true" ht="12.75" hidden="false" customHeight="false" outlineLevel="0" collapsed="false">
      <c r="A869" s="757"/>
      <c r="B869" s="537"/>
      <c r="C869" s="537"/>
    </row>
    <row r="870" s="758" customFormat="true" ht="12.75" hidden="false" customHeight="false" outlineLevel="0" collapsed="false">
      <c r="A870" s="757"/>
      <c r="B870" s="537"/>
      <c r="C870" s="537"/>
    </row>
    <row r="871" s="758" customFormat="true" ht="12.75" hidden="false" customHeight="false" outlineLevel="0" collapsed="false">
      <c r="A871" s="757"/>
      <c r="B871" s="537"/>
      <c r="C871" s="537"/>
    </row>
    <row r="872" s="758" customFormat="true" ht="12.75" hidden="false" customHeight="false" outlineLevel="0" collapsed="false">
      <c r="A872" s="757"/>
      <c r="B872" s="537"/>
      <c r="C872" s="537"/>
    </row>
    <row r="873" s="758" customFormat="true" ht="12.75" hidden="false" customHeight="false" outlineLevel="0" collapsed="false">
      <c r="A873" s="757"/>
      <c r="B873" s="537"/>
      <c r="C873" s="537"/>
    </row>
    <row r="874" s="758" customFormat="true" ht="12.75" hidden="false" customHeight="false" outlineLevel="0" collapsed="false">
      <c r="A874" s="757"/>
      <c r="B874" s="537"/>
      <c r="C874" s="537"/>
    </row>
    <row r="875" s="758" customFormat="true" ht="12.75" hidden="false" customHeight="false" outlineLevel="0" collapsed="false">
      <c r="A875" s="757"/>
      <c r="B875" s="537"/>
      <c r="C875" s="537"/>
    </row>
    <row r="876" s="758" customFormat="true" ht="12.75" hidden="false" customHeight="false" outlineLevel="0" collapsed="false">
      <c r="A876" s="757"/>
      <c r="B876" s="537"/>
      <c r="C876" s="537"/>
    </row>
    <row r="877" s="758" customFormat="true" ht="12.75" hidden="false" customHeight="false" outlineLevel="0" collapsed="false">
      <c r="A877" s="757"/>
      <c r="B877" s="537"/>
      <c r="C877" s="537"/>
    </row>
    <row r="878" s="758" customFormat="true" ht="12.75" hidden="false" customHeight="false" outlineLevel="0" collapsed="false">
      <c r="A878" s="757"/>
      <c r="B878" s="537"/>
      <c r="C878" s="537"/>
    </row>
    <row r="879" s="758" customFormat="true" ht="12.75" hidden="false" customHeight="false" outlineLevel="0" collapsed="false">
      <c r="A879" s="757"/>
      <c r="B879" s="537"/>
      <c r="C879" s="537"/>
    </row>
    <row r="880" s="758" customFormat="true" ht="12.75" hidden="false" customHeight="false" outlineLevel="0" collapsed="false">
      <c r="A880" s="757"/>
      <c r="B880" s="537"/>
      <c r="C880" s="537"/>
    </row>
    <row r="881" s="758" customFormat="true" ht="12.75" hidden="false" customHeight="false" outlineLevel="0" collapsed="false">
      <c r="A881" s="757"/>
      <c r="B881" s="537"/>
      <c r="C881" s="537"/>
    </row>
    <row r="882" s="758" customFormat="true" ht="12.75" hidden="false" customHeight="false" outlineLevel="0" collapsed="false">
      <c r="A882" s="757"/>
      <c r="B882" s="537"/>
      <c r="C882" s="537"/>
    </row>
    <row r="883" s="758" customFormat="true" ht="12.75" hidden="false" customHeight="false" outlineLevel="0" collapsed="false">
      <c r="A883" s="757"/>
      <c r="B883" s="537"/>
      <c r="C883" s="537"/>
    </row>
    <row r="884" s="758" customFormat="true" ht="12.75" hidden="false" customHeight="false" outlineLevel="0" collapsed="false">
      <c r="A884" s="757"/>
      <c r="B884" s="537"/>
      <c r="C884" s="537"/>
    </row>
    <row r="885" s="758" customFormat="true" ht="12.75" hidden="false" customHeight="false" outlineLevel="0" collapsed="false">
      <c r="A885" s="757"/>
      <c r="B885" s="537"/>
      <c r="C885" s="537"/>
    </row>
    <row r="886" s="758" customFormat="true" ht="12.75" hidden="false" customHeight="false" outlineLevel="0" collapsed="false">
      <c r="A886" s="757"/>
      <c r="B886" s="537"/>
      <c r="C886" s="537"/>
    </row>
    <row r="887" s="758" customFormat="true" ht="12.75" hidden="false" customHeight="false" outlineLevel="0" collapsed="false">
      <c r="A887" s="757"/>
      <c r="B887" s="537"/>
      <c r="C887" s="537"/>
    </row>
    <row r="888" s="758" customFormat="true" ht="12.75" hidden="false" customHeight="false" outlineLevel="0" collapsed="false">
      <c r="A888" s="757"/>
      <c r="B888" s="537"/>
      <c r="C888" s="537"/>
    </row>
    <row r="889" s="758" customFormat="true" ht="12.75" hidden="false" customHeight="false" outlineLevel="0" collapsed="false">
      <c r="A889" s="757"/>
      <c r="B889" s="537"/>
      <c r="C889" s="537"/>
    </row>
    <row r="890" s="758" customFormat="true" ht="12.75" hidden="false" customHeight="false" outlineLevel="0" collapsed="false">
      <c r="A890" s="757"/>
      <c r="B890" s="537"/>
      <c r="C890" s="537"/>
    </row>
    <row r="891" s="758" customFormat="true" ht="12.75" hidden="false" customHeight="false" outlineLevel="0" collapsed="false">
      <c r="A891" s="757"/>
      <c r="B891" s="537"/>
      <c r="C891" s="537"/>
    </row>
    <row r="892" s="758" customFormat="true" ht="12.75" hidden="false" customHeight="false" outlineLevel="0" collapsed="false">
      <c r="A892" s="757"/>
      <c r="B892" s="537"/>
      <c r="C892" s="537"/>
    </row>
    <row r="893" s="758" customFormat="true" ht="12.75" hidden="false" customHeight="false" outlineLevel="0" collapsed="false">
      <c r="A893" s="757"/>
      <c r="B893" s="537"/>
      <c r="C893" s="537"/>
    </row>
    <row r="894" s="758" customFormat="true" ht="12.75" hidden="false" customHeight="false" outlineLevel="0" collapsed="false">
      <c r="A894" s="757"/>
      <c r="B894" s="537"/>
      <c r="C894" s="537"/>
    </row>
    <row r="895" s="758" customFormat="true" ht="12.75" hidden="false" customHeight="false" outlineLevel="0" collapsed="false">
      <c r="A895" s="757"/>
      <c r="B895" s="537"/>
      <c r="C895" s="537"/>
    </row>
    <row r="896" s="758" customFormat="true" ht="12.75" hidden="false" customHeight="false" outlineLevel="0" collapsed="false">
      <c r="A896" s="757"/>
      <c r="B896" s="537"/>
      <c r="C896" s="537"/>
    </row>
    <row r="897" s="758" customFormat="true" ht="12.75" hidden="false" customHeight="false" outlineLevel="0" collapsed="false">
      <c r="A897" s="757"/>
      <c r="B897" s="537"/>
      <c r="C897" s="537"/>
    </row>
    <row r="898" s="758" customFormat="true" ht="12.75" hidden="false" customHeight="false" outlineLevel="0" collapsed="false">
      <c r="A898" s="757"/>
      <c r="B898" s="537"/>
      <c r="C898" s="537"/>
    </row>
    <row r="899" s="758" customFormat="true" ht="12.75" hidden="false" customHeight="false" outlineLevel="0" collapsed="false">
      <c r="A899" s="757"/>
      <c r="B899" s="537"/>
      <c r="C899" s="537"/>
    </row>
    <row r="900" s="758" customFormat="true" ht="12.75" hidden="false" customHeight="false" outlineLevel="0" collapsed="false">
      <c r="A900" s="757"/>
      <c r="B900" s="537"/>
      <c r="C900" s="537"/>
    </row>
    <row r="901" s="758" customFormat="true" ht="12.75" hidden="false" customHeight="false" outlineLevel="0" collapsed="false">
      <c r="A901" s="757"/>
      <c r="B901" s="537"/>
      <c r="C901" s="537"/>
    </row>
    <row r="902" s="758" customFormat="true" ht="12.75" hidden="false" customHeight="false" outlineLevel="0" collapsed="false">
      <c r="A902" s="757"/>
      <c r="B902" s="537"/>
      <c r="C902" s="537"/>
    </row>
    <row r="903" s="758" customFormat="true" ht="12.75" hidden="false" customHeight="false" outlineLevel="0" collapsed="false">
      <c r="A903" s="757"/>
      <c r="B903" s="537"/>
      <c r="C903" s="537"/>
    </row>
    <row r="904" s="758" customFormat="true" ht="12.75" hidden="false" customHeight="false" outlineLevel="0" collapsed="false">
      <c r="A904" s="757"/>
      <c r="B904" s="537"/>
      <c r="C904" s="537"/>
    </row>
    <row r="905" s="758" customFormat="true" ht="12.75" hidden="false" customHeight="false" outlineLevel="0" collapsed="false">
      <c r="A905" s="757"/>
      <c r="B905" s="537"/>
      <c r="C905" s="537"/>
    </row>
    <row r="906" s="758" customFormat="true" ht="12.75" hidden="false" customHeight="false" outlineLevel="0" collapsed="false">
      <c r="A906" s="757"/>
      <c r="B906" s="537"/>
      <c r="C906" s="537"/>
    </row>
    <row r="907" s="758" customFormat="true" ht="12.75" hidden="false" customHeight="false" outlineLevel="0" collapsed="false">
      <c r="A907" s="757"/>
      <c r="B907" s="537"/>
      <c r="C907" s="537"/>
    </row>
    <row r="908" s="758" customFormat="true" ht="12.75" hidden="false" customHeight="false" outlineLevel="0" collapsed="false">
      <c r="A908" s="757"/>
      <c r="B908" s="537"/>
      <c r="C908" s="537"/>
    </row>
    <row r="909" s="758" customFormat="true" ht="12.75" hidden="false" customHeight="false" outlineLevel="0" collapsed="false">
      <c r="A909" s="757"/>
      <c r="B909" s="537"/>
      <c r="C909" s="537"/>
    </row>
    <row r="910" s="758" customFormat="true" ht="12.75" hidden="false" customHeight="false" outlineLevel="0" collapsed="false">
      <c r="A910" s="757"/>
      <c r="B910" s="537"/>
      <c r="C910" s="537"/>
    </row>
    <row r="911" s="758" customFormat="true" ht="12.75" hidden="false" customHeight="false" outlineLevel="0" collapsed="false">
      <c r="A911" s="757"/>
      <c r="B911" s="537"/>
      <c r="C911" s="537"/>
    </row>
    <row r="912" s="758" customFormat="true" ht="12.75" hidden="false" customHeight="false" outlineLevel="0" collapsed="false">
      <c r="A912" s="757"/>
      <c r="B912" s="537"/>
      <c r="C912" s="537"/>
    </row>
    <row r="913" s="758" customFormat="true" ht="12.75" hidden="false" customHeight="false" outlineLevel="0" collapsed="false">
      <c r="A913" s="757"/>
      <c r="B913" s="537"/>
      <c r="C913" s="537"/>
    </row>
    <row r="914" s="758" customFormat="true" ht="12.75" hidden="false" customHeight="false" outlineLevel="0" collapsed="false">
      <c r="A914" s="757"/>
      <c r="B914" s="537"/>
      <c r="C914" s="537"/>
    </row>
    <row r="915" s="758" customFormat="true" ht="12.75" hidden="false" customHeight="false" outlineLevel="0" collapsed="false">
      <c r="A915" s="757"/>
      <c r="B915" s="537"/>
      <c r="C915" s="537"/>
    </row>
    <row r="916" s="758" customFormat="true" ht="12.75" hidden="false" customHeight="false" outlineLevel="0" collapsed="false">
      <c r="A916" s="757"/>
      <c r="B916" s="537"/>
      <c r="C916" s="537"/>
    </row>
    <row r="917" s="758" customFormat="true" ht="12.75" hidden="false" customHeight="false" outlineLevel="0" collapsed="false">
      <c r="A917" s="757"/>
      <c r="B917" s="537"/>
      <c r="C917" s="537"/>
    </row>
    <row r="918" s="758" customFormat="true" ht="12.75" hidden="false" customHeight="false" outlineLevel="0" collapsed="false">
      <c r="A918" s="757"/>
      <c r="B918" s="537"/>
      <c r="C918" s="537"/>
    </row>
    <row r="919" s="758" customFormat="true" ht="12.75" hidden="false" customHeight="false" outlineLevel="0" collapsed="false">
      <c r="A919" s="757"/>
      <c r="B919" s="537"/>
      <c r="C919" s="537"/>
    </row>
    <row r="920" s="758" customFormat="true" ht="12.75" hidden="false" customHeight="false" outlineLevel="0" collapsed="false">
      <c r="A920" s="757"/>
      <c r="B920" s="537"/>
      <c r="C920" s="537"/>
    </row>
    <row r="921" s="758" customFormat="true" ht="12.75" hidden="false" customHeight="false" outlineLevel="0" collapsed="false">
      <c r="A921" s="757"/>
      <c r="B921" s="537"/>
      <c r="C921" s="537"/>
    </row>
    <row r="922" s="758" customFormat="true" ht="12.75" hidden="false" customHeight="false" outlineLevel="0" collapsed="false">
      <c r="A922" s="757"/>
      <c r="B922" s="537"/>
      <c r="C922" s="537"/>
    </row>
    <row r="923" s="758" customFormat="true" ht="12.75" hidden="false" customHeight="false" outlineLevel="0" collapsed="false">
      <c r="A923" s="757"/>
      <c r="B923" s="537"/>
      <c r="C923" s="537"/>
    </row>
    <row r="924" s="758" customFormat="true" ht="12.75" hidden="false" customHeight="false" outlineLevel="0" collapsed="false">
      <c r="A924" s="757"/>
      <c r="B924" s="537"/>
      <c r="C924" s="537"/>
    </row>
    <row r="925" s="758" customFormat="true" ht="12.75" hidden="false" customHeight="false" outlineLevel="0" collapsed="false">
      <c r="A925" s="757"/>
      <c r="B925" s="537"/>
      <c r="C925" s="537"/>
    </row>
    <row r="926" s="758" customFormat="true" ht="12.75" hidden="false" customHeight="false" outlineLevel="0" collapsed="false">
      <c r="A926" s="757"/>
      <c r="B926" s="537"/>
      <c r="C926" s="537"/>
    </row>
    <row r="927" s="758" customFormat="true" ht="12.75" hidden="false" customHeight="false" outlineLevel="0" collapsed="false">
      <c r="A927" s="757"/>
      <c r="B927" s="537"/>
      <c r="C927" s="537"/>
    </row>
    <row r="928" s="758" customFormat="true" ht="12.75" hidden="false" customHeight="false" outlineLevel="0" collapsed="false">
      <c r="A928" s="757"/>
      <c r="B928" s="537"/>
      <c r="C928" s="537"/>
    </row>
    <row r="929" s="758" customFormat="true" ht="12.75" hidden="false" customHeight="false" outlineLevel="0" collapsed="false">
      <c r="A929" s="757"/>
      <c r="B929" s="537"/>
      <c r="C929" s="537"/>
    </row>
    <row r="930" s="758" customFormat="true" ht="12.75" hidden="false" customHeight="false" outlineLevel="0" collapsed="false">
      <c r="A930" s="757"/>
      <c r="B930" s="537"/>
      <c r="C930" s="537"/>
    </row>
    <row r="931" s="758" customFormat="true" ht="12.75" hidden="false" customHeight="false" outlineLevel="0" collapsed="false">
      <c r="A931" s="757"/>
      <c r="B931" s="537"/>
      <c r="C931" s="537"/>
    </row>
    <row r="932" s="758" customFormat="true" ht="12.75" hidden="false" customHeight="false" outlineLevel="0" collapsed="false">
      <c r="A932" s="757"/>
      <c r="B932" s="537"/>
      <c r="C932" s="537"/>
    </row>
    <row r="933" s="758" customFormat="true" ht="12.75" hidden="false" customHeight="false" outlineLevel="0" collapsed="false">
      <c r="A933" s="757"/>
      <c r="B933" s="537"/>
      <c r="C933" s="537"/>
    </row>
    <row r="934" s="758" customFormat="true" ht="12.75" hidden="false" customHeight="false" outlineLevel="0" collapsed="false">
      <c r="A934" s="757"/>
      <c r="B934" s="537"/>
      <c r="C934" s="537"/>
    </row>
    <row r="935" s="758" customFormat="true" ht="12.75" hidden="false" customHeight="false" outlineLevel="0" collapsed="false">
      <c r="A935" s="757"/>
      <c r="B935" s="537"/>
      <c r="C935" s="537"/>
    </row>
    <row r="936" s="758" customFormat="true" ht="12.75" hidden="false" customHeight="false" outlineLevel="0" collapsed="false">
      <c r="A936" s="757"/>
      <c r="B936" s="537"/>
      <c r="C936" s="537"/>
    </row>
    <row r="937" s="758" customFormat="true" ht="12.75" hidden="false" customHeight="false" outlineLevel="0" collapsed="false">
      <c r="A937" s="757"/>
      <c r="B937" s="537"/>
      <c r="C937" s="537"/>
    </row>
    <row r="938" s="758" customFormat="true" ht="12.75" hidden="false" customHeight="false" outlineLevel="0" collapsed="false">
      <c r="A938" s="757"/>
      <c r="B938" s="537"/>
      <c r="C938" s="537"/>
    </row>
    <row r="939" s="758" customFormat="true" ht="12.75" hidden="false" customHeight="false" outlineLevel="0" collapsed="false">
      <c r="A939" s="757"/>
      <c r="B939" s="537"/>
      <c r="C939" s="537"/>
    </row>
    <row r="940" s="758" customFormat="true" ht="12.75" hidden="false" customHeight="false" outlineLevel="0" collapsed="false">
      <c r="A940" s="757"/>
      <c r="B940" s="537"/>
      <c r="C940" s="537"/>
    </row>
    <row r="941" s="758" customFormat="true" ht="12.75" hidden="false" customHeight="false" outlineLevel="0" collapsed="false">
      <c r="A941" s="757"/>
      <c r="B941" s="537"/>
      <c r="C941" s="537"/>
    </row>
    <row r="942" s="758" customFormat="true" ht="12.75" hidden="false" customHeight="false" outlineLevel="0" collapsed="false">
      <c r="A942" s="757"/>
      <c r="B942" s="537"/>
      <c r="C942" s="537"/>
    </row>
    <row r="943" s="758" customFormat="true" ht="12.75" hidden="false" customHeight="false" outlineLevel="0" collapsed="false">
      <c r="A943" s="757"/>
      <c r="B943" s="537"/>
      <c r="C943" s="537"/>
    </row>
    <row r="944" s="758" customFormat="true" ht="12.75" hidden="false" customHeight="false" outlineLevel="0" collapsed="false">
      <c r="A944" s="757"/>
      <c r="B944" s="537"/>
      <c r="C944" s="537"/>
    </row>
    <row r="945" s="758" customFormat="true" ht="12.75" hidden="false" customHeight="false" outlineLevel="0" collapsed="false">
      <c r="A945" s="757"/>
      <c r="B945" s="537"/>
      <c r="C945" s="537"/>
    </row>
    <row r="946" s="758" customFormat="true" ht="12.75" hidden="false" customHeight="false" outlineLevel="0" collapsed="false">
      <c r="A946" s="757"/>
      <c r="B946" s="537"/>
      <c r="C946" s="537"/>
    </row>
    <row r="947" s="758" customFormat="true" ht="12.75" hidden="false" customHeight="false" outlineLevel="0" collapsed="false">
      <c r="A947" s="757"/>
      <c r="B947" s="537"/>
      <c r="C947" s="537"/>
    </row>
    <row r="948" s="758" customFormat="true" ht="12.75" hidden="false" customHeight="false" outlineLevel="0" collapsed="false">
      <c r="A948" s="757"/>
      <c r="B948" s="537"/>
      <c r="C948" s="537"/>
    </row>
    <row r="949" s="758" customFormat="true" ht="12.75" hidden="false" customHeight="false" outlineLevel="0" collapsed="false">
      <c r="A949" s="757"/>
      <c r="B949" s="537"/>
      <c r="C949" s="537"/>
    </row>
    <row r="950" s="758" customFormat="true" ht="12.75" hidden="false" customHeight="false" outlineLevel="0" collapsed="false">
      <c r="A950" s="757"/>
      <c r="B950" s="537"/>
      <c r="C950" s="537"/>
    </row>
    <row r="951" s="758" customFormat="true" ht="12.75" hidden="false" customHeight="false" outlineLevel="0" collapsed="false">
      <c r="A951" s="757"/>
      <c r="B951" s="537"/>
      <c r="C951" s="537"/>
    </row>
    <row r="952" s="758" customFormat="true" ht="12.75" hidden="false" customHeight="false" outlineLevel="0" collapsed="false">
      <c r="A952" s="757"/>
      <c r="B952" s="537"/>
      <c r="C952" s="537"/>
    </row>
    <row r="953" s="758" customFormat="true" ht="12.75" hidden="false" customHeight="false" outlineLevel="0" collapsed="false">
      <c r="A953" s="757"/>
      <c r="B953" s="537"/>
      <c r="C953" s="537"/>
    </row>
    <row r="954" s="758" customFormat="true" ht="12.75" hidden="false" customHeight="false" outlineLevel="0" collapsed="false">
      <c r="A954" s="757"/>
      <c r="B954" s="537"/>
      <c r="C954" s="537"/>
    </row>
  </sheetData>
  <mergeCells count="25">
    <mergeCell ref="C1:G1"/>
    <mergeCell ref="A4:H4"/>
    <mergeCell ref="C11:D11"/>
    <mergeCell ref="A14:A15"/>
    <mergeCell ref="J14:L14"/>
    <mergeCell ref="A21:A23"/>
    <mergeCell ref="A34:A38"/>
    <mergeCell ref="A61:A66"/>
    <mergeCell ref="J82:L82"/>
    <mergeCell ref="A87:A91"/>
    <mergeCell ref="A112:A116"/>
    <mergeCell ref="A137:A141"/>
    <mergeCell ref="A162:A166"/>
    <mergeCell ref="A187:A191"/>
    <mergeCell ref="A197:A200"/>
    <mergeCell ref="A202:A203"/>
    <mergeCell ref="A270:A272"/>
    <mergeCell ref="A352:A356"/>
    <mergeCell ref="A359:A364"/>
    <mergeCell ref="A410:A414"/>
    <mergeCell ref="A430:A434"/>
    <mergeCell ref="A463:A467"/>
    <mergeCell ref="A517:A521"/>
    <mergeCell ref="A597:A601"/>
    <mergeCell ref="A607:A609"/>
  </mergeCells>
  <printOptions headings="false" gridLines="false" gridLinesSet="true" horizontalCentered="true" verticalCentered="false"/>
  <pageMargins left="0.25" right="0.25" top="0.75" bottom="0.75" header="0.3" footer="0.3"/>
  <pageSetup paperSize="9" scale="100" fitToWidth="1" fitToHeight="0" pageOrder="downThenOver" orientation="portrait" blackAndWhite="false" draft="false" cellComments="none" horizontalDpi="300" verticalDpi="300" copies="1"/>
  <headerFooter differentFirst="false" differentOddEven="false">
    <oddHeader>&amp;L&amp;"arial,Regular"&amp;10&amp;K737373ADNOC Classification: Internal&amp;1#</oddHeader>
    <oddFooter>&amp;C&amp;26Page &amp;P of &amp;N</oddFooter>
  </headerFooter>
  <rowBreaks count="2" manualBreakCount="2">
    <brk id="210" man="true" max="16383" min="0"/>
    <brk id="240" man="true" max="16383" min="0"/>
  </rowBreaks>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597"/>
  <sheetViews>
    <sheetView showFormulas="false" showGridLines="true" showRowColHeaders="true" showZeros="true" rightToLeft="false" tabSelected="false" showOutlineSymbols="true" defaultGridColor="true" view="pageBreakPreview" topLeftCell="A596" colorId="64" zoomScale="140" zoomScaleNormal="100" zoomScalePageLayoutView="140" workbookViewId="0">
      <selection pane="topLeft" activeCell="A2" activeCellId="0" sqref="A2"/>
    </sheetView>
  </sheetViews>
  <sheetFormatPr defaultColWidth="8.59765625" defaultRowHeight="14.25" customHeight="false" zeroHeight="false" outlineLevelRow="0" outlineLevelCol="0"/>
  <cols>
    <col collapsed="false" customWidth="true" hidden="false" outlineLevel="0" max="1" min="1" style="37" width="20"/>
    <col collapsed="false" customWidth="true" hidden="false" outlineLevel="0" max="2" min="2" style="37" width="75"/>
    <col collapsed="false" customWidth="true" hidden="false" outlineLevel="0" max="5" min="3" style="37" width="15"/>
    <col collapsed="false" customWidth="true" hidden="false" outlineLevel="0" max="8" min="6" style="37" width="18"/>
    <col collapsed="false" customWidth="true" hidden="false" outlineLevel="0" max="9" min="9" style="37" width="14"/>
  </cols>
  <sheetData>
    <row r="1" customFormat="false" ht="14.25" hidden="false" customHeight="false" outlineLevel="0" collapsed="false">
      <c r="A1" s="759" t="s">
        <v>907</v>
      </c>
      <c r="B1" s="759" t="s">
        <v>139</v>
      </c>
      <c r="C1" s="759" t="s">
        <v>908</v>
      </c>
      <c r="D1" s="759" t="s">
        <v>909</v>
      </c>
      <c r="E1" s="759" t="s">
        <v>910</v>
      </c>
      <c r="F1" s="759" t="s">
        <v>911</v>
      </c>
      <c r="G1" s="759" t="s">
        <v>912</v>
      </c>
      <c r="H1" s="759" t="s">
        <v>913</v>
      </c>
      <c r="I1" s="759" t="s">
        <v>914</v>
      </c>
    </row>
    <row r="2" customFormat="false" ht="86.25" hidden="false" customHeight="true" outlineLevel="0" collapsed="false">
      <c r="A2" s="760" t="s">
        <v>375</v>
      </c>
      <c r="B2" s="761" t="s">
        <v>503</v>
      </c>
      <c r="C2" s="762" t="n">
        <v>0.6</v>
      </c>
      <c r="D2" s="763" t="n">
        <v>3.937</v>
      </c>
      <c r="E2" s="763" t="n">
        <v>2.949</v>
      </c>
      <c r="F2" s="764" t="s">
        <v>915</v>
      </c>
      <c r="G2" s="764" t="s">
        <v>916</v>
      </c>
      <c r="H2" s="764" t="s">
        <v>917</v>
      </c>
      <c r="I2" s="764" t="s">
        <v>35</v>
      </c>
    </row>
    <row r="3" customFormat="false" ht="72" hidden="false" customHeight="true" outlineLevel="0" collapsed="false">
      <c r="A3" s="760"/>
      <c r="B3" s="761" t="s">
        <v>504</v>
      </c>
      <c r="C3" s="762" t="n">
        <v>4.96</v>
      </c>
      <c r="D3" s="763" t="n">
        <v>3.937</v>
      </c>
      <c r="E3" s="763" t="n">
        <v>2.969</v>
      </c>
      <c r="F3" s="764" t="s">
        <v>35</v>
      </c>
      <c r="G3" s="764" t="s">
        <v>35</v>
      </c>
      <c r="H3" s="764" t="s">
        <v>918</v>
      </c>
      <c r="I3" s="764" t="s">
        <v>35</v>
      </c>
    </row>
    <row r="4" customFormat="false" ht="14.25" hidden="false" customHeight="false" outlineLevel="0" collapsed="false">
      <c r="A4" s="37" t="s">
        <v>505</v>
      </c>
      <c r="B4" s="37" t="s">
        <v>506</v>
      </c>
      <c r="C4" s="216" t="n">
        <v>31</v>
      </c>
    </row>
    <row r="5" customFormat="false" ht="14.25" hidden="false" customHeight="false" outlineLevel="0" collapsed="false">
      <c r="A5" s="37" t="s">
        <v>507</v>
      </c>
      <c r="B5" s="37" t="s">
        <v>506</v>
      </c>
      <c r="C5" s="216" t="n">
        <v>31</v>
      </c>
    </row>
    <row r="6" customFormat="false" ht="14.25" hidden="false" customHeight="false" outlineLevel="0" collapsed="false">
      <c r="A6" s="37" t="s">
        <v>508</v>
      </c>
      <c r="B6" s="37" t="s">
        <v>506</v>
      </c>
      <c r="C6" s="216" t="n">
        <v>31</v>
      </c>
    </row>
    <row r="7" customFormat="false" ht="14.25" hidden="false" customHeight="false" outlineLevel="0" collapsed="false">
      <c r="A7" s="37" t="s">
        <v>509</v>
      </c>
      <c r="B7" s="37" t="s">
        <v>506</v>
      </c>
      <c r="C7" s="216" t="n">
        <v>31</v>
      </c>
    </row>
    <row r="8" customFormat="false" ht="14.25" hidden="false" customHeight="false" outlineLevel="0" collapsed="false">
      <c r="A8" s="37" t="s">
        <v>510</v>
      </c>
      <c r="B8" s="37" t="s">
        <v>506</v>
      </c>
      <c r="C8" s="216" t="n">
        <v>31</v>
      </c>
    </row>
    <row r="9" customFormat="false" ht="72" hidden="false" customHeight="true" outlineLevel="0" collapsed="false">
      <c r="A9" s="765" t="s">
        <v>511</v>
      </c>
      <c r="B9" s="766" t="s">
        <v>512</v>
      </c>
      <c r="C9" s="767" t="n">
        <v>5.18</v>
      </c>
      <c r="D9" s="768" t="n">
        <v>3.908</v>
      </c>
      <c r="E9" s="768" t="n">
        <v>2.959</v>
      </c>
      <c r="F9" s="769" t="s">
        <v>35</v>
      </c>
      <c r="G9" s="769" t="s">
        <v>35</v>
      </c>
      <c r="H9" s="769" t="s">
        <v>918</v>
      </c>
      <c r="I9" s="769" t="s">
        <v>35</v>
      </c>
    </row>
    <row r="10" customFormat="false" ht="129" hidden="false" customHeight="true" outlineLevel="0" collapsed="false">
      <c r="A10" s="765"/>
      <c r="B10" s="766" t="s">
        <v>513</v>
      </c>
      <c r="C10" s="767" t="n">
        <v>30.88</v>
      </c>
      <c r="D10" s="768" t="n">
        <v>5.7</v>
      </c>
      <c r="E10" s="768" t="n">
        <v>2.953</v>
      </c>
      <c r="F10" s="769" t="s">
        <v>919</v>
      </c>
      <c r="G10" s="769" t="s">
        <v>920</v>
      </c>
      <c r="H10" s="769" t="s">
        <v>921</v>
      </c>
      <c r="I10" s="769" t="s">
        <v>35</v>
      </c>
    </row>
    <row r="11" customFormat="false" ht="72" hidden="false" customHeight="true" outlineLevel="0" collapsed="false">
      <c r="A11" s="765"/>
      <c r="B11" s="766" t="s">
        <v>514</v>
      </c>
      <c r="C11" s="767" t="n">
        <v>2.78</v>
      </c>
      <c r="D11" s="768" t="n">
        <v>3.937</v>
      </c>
      <c r="E11" s="768" t="n">
        <v>2.969</v>
      </c>
      <c r="F11" s="769" t="s">
        <v>35</v>
      </c>
      <c r="G11" s="769" t="s">
        <v>35</v>
      </c>
      <c r="H11" s="769" t="s">
        <v>922</v>
      </c>
      <c r="I11" s="769" t="s">
        <v>35</v>
      </c>
    </row>
    <row r="12" customFormat="false" ht="14.25" hidden="false" customHeight="false" outlineLevel="0" collapsed="false">
      <c r="A12" s="37" t="s">
        <v>515</v>
      </c>
      <c r="B12" s="37" t="s">
        <v>506</v>
      </c>
      <c r="C12" s="216" t="n">
        <v>31</v>
      </c>
    </row>
    <row r="13" customFormat="false" ht="14.25" hidden="false" customHeight="false" outlineLevel="0" collapsed="false">
      <c r="A13" s="37" t="s">
        <v>516</v>
      </c>
      <c r="B13" s="37" t="s">
        <v>506</v>
      </c>
      <c r="C13" s="216" t="n">
        <v>31</v>
      </c>
    </row>
    <row r="14" customFormat="false" ht="14.25" hidden="false" customHeight="false" outlineLevel="0" collapsed="false">
      <c r="A14" s="37" t="s">
        <v>517</v>
      </c>
      <c r="B14" s="37" t="s">
        <v>506</v>
      </c>
      <c r="C14" s="216" t="n">
        <v>31</v>
      </c>
    </row>
    <row r="15" customFormat="false" ht="14.25" hidden="false" customHeight="false" outlineLevel="0" collapsed="false">
      <c r="A15" s="37" t="s">
        <v>518</v>
      </c>
      <c r="B15" s="37" t="s">
        <v>506</v>
      </c>
      <c r="C15" s="216" t="n">
        <v>31</v>
      </c>
    </row>
    <row r="16" customFormat="false" ht="14.25" hidden="false" customHeight="false" outlineLevel="0" collapsed="false">
      <c r="A16" s="37" t="s">
        <v>519</v>
      </c>
      <c r="B16" s="37" t="s">
        <v>506</v>
      </c>
      <c r="C16" s="216" t="n">
        <v>31</v>
      </c>
    </row>
    <row r="17" customFormat="false" ht="14.25" hidden="false" customHeight="false" outlineLevel="0" collapsed="false">
      <c r="A17" s="37" t="s">
        <v>520</v>
      </c>
      <c r="B17" s="37" t="s">
        <v>506</v>
      </c>
      <c r="C17" s="216" t="n">
        <v>31</v>
      </c>
    </row>
    <row r="18" customFormat="false" ht="14.25" hidden="false" customHeight="false" outlineLevel="0" collapsed="false">
      <c r="A18" s="37" t="s">
        <v>521</v>
      </c>
      <c r="B18" s="37" t="s">
        <v>506</v>
      </c>
      <c r="C18" s="216" t="n">
        <v>31</v>
      </c>
    </row>
    <row r="19" customFormat="false" ht="14.25" hidden="false" customHeight="false" outlineLevel="0" collapsed="false">
      <c r="A19" s="37" t="s">
        <v>522</v>
      </c>
      <c r="B19" s="37" t="s">
        <v>506</v>
      </c>
      <c r="C19" s="216" t="n">
        <v>31</v>
      </c>
    </row>
    <row r="20" customFormat="false" ht="14.25" hidden="false" customHeight="false" outlineLevel="0" collapsed="false">
      <c r="A20" s="37" t="s">
        <v>523</v>
      </c>
      <c r="B20" s="37" t="s">
        <v>506</v>
      </c>
      <c r="C20" s="216" t="n">
        <v>31</v>
      </c>
    </row>
    <row r="21" customFormat="false" ht="14.25" hidden="false" customHeight="false" outlineLevel="0" collapsed="false">
      <c r="A21" s="37" t="s">
        <v>524</v>
      </c>
      <c r="B21" s="37" t="s">
        <v>506</v>
      </c>
      <c r="C21" s="216" t="n">
        <v>31</v>
      </c>
    </row>
    <row r="22" customFormat="false" ht="72" hidden="false" customHeight="true" outlineLevel="0" collapsed="false">
      <c r="A22" s="770" t="s">
        <v>388</v>
      </c>
      <c r="B22" s="771" t="s">
        <v>525</v>
      </c>
      <c r="C22" s="772" t="n">
        <v>5.18</v>
      </c>
      <c r="D22" s="773" t="n">
        <v>3.908</v>
      </c>
      <c r="E22" s="773" t="n">
        <v>2.959</v>
      </c>
      <c r="F22" s="774" t="s">
        <v>35</v>
      </c>
      <c r="G22" s="774" t="s">
        <v>35</v>
      </c>
      <c r="H22" s="774" t="s">
        <v>918</v>
      </c>
      <c r="I22" s="774" t="s">
        <v>35</v>
      </c>
    </row>
    <row r="23" customFormat="false" ht="72" hidden="false" customHeight="true" outlineLevel="0" collapsed="false">
      <c r="A23" s="770"/>
      <c r="B23" s="771" t="s">
        <v>526</v>
      </c>
      <c r="C23" s="772" t="n">
        <v>4.91</v>
      </c>
      <c r="D23" s="773" t="n">
        <v>3.929</v>
      </c>
      <c r="E23" s="773" t="n">
        <v>2.921</v>
      </c>
      <c r="F23" s="774" t="s">
        <v>35</v>
      </c>
      <c r="G23" s="774" t="s">
        <v>35</v>
      </c>
      <c r="H23" s="774" t="s">
        <v>923</v>
      </c>
      <c r="I23" s="774" t="s">
        <v>35</v>
      </c>
    </row>
    <row r="24" customFormat="false" ht="100.5" hidden="false" customHeight="true" outlineLevel="0" collapsed="false">
      <c r="A24" s="770"/>
      <c r="B24" s="771" t="s">
        <v>527</v>
      </c>
      <c r="C24" s="772" t="n">
        <v>5.22</v>
      </c>
      <c r="D24" s="773" t="n">
        <v>4.8</v>
      </c>
      <c r="E24" s="773" t="n">
        <v>2.91</v>
      </c>
      <c r="F24" s="774" t="s">
        <v>924</v>
      </c>
      <c r="G24" s="774" t="s">
        <v>925</v>
      </c>
      <c r="H24" s="774" t="s">
        <v>926</v>
      </c>
      <c r="I24" s="774" t="s">
        <v>35</v>
      </c>
    </row>
    <row r="25" customFormat="false" ht="72" hidden="false" customHeight="true" outlineLevel="0" collapsed="false">
      <c r="A25" s="770"/>
      <c r="B25" s="771" t="s">
        <v>528</v>
      </c>
      <c r="C25" s="772" t="n">
        <v>4.8</v>
      </c>
      <c r="D25" s="773" t="n">
        <v>3.908</v>
      </c>
      <c r="E25" s="773" t="n">
        <v>2.959</v>
      </c>
      <c r="F25" s="774" t="s">
        <v>35</v>
      </c>
      <c r="G25" s="774" t="s">
        <v>35</v>
      </c>
      <c r="H25" s="774" t="s">
        <v>927</v>
      </c>
      <c r="I25" s="774" t="s">
        <v>35</v>
      </c>
    </row>
    <row r="26" customFormat="false" ht="72" hidden="false" customHeight="true" outlineLevel="0" collapsed="false">
      <c r="A26" s="770"/>
      <c r="B26" s="771" t="s">
        <v>529</v>
      </c>
      <c r="C26" s="772" t="n">
        <v>9.83</v>
      </c>
      <c r="D26" s="773" t="n">
        <v>3.937</v>
      </c>
      <c r="E26" s="773" t="n">
        <v>2.969</v>
      </c>
      <c r="F26" s="774" t="s">
        <v>35</v>
      </c>
      <c r="G26" s="774" t="s">
        <v>35</v>
      </c>
      <c r="H26" s="774" t="s">
        <v>928</v>
      </c>
      <c r="I26" s="774" t="s">
        <v>35</v>
      </c>
    </row>
    <row r="27" customFormat="false" ht="14.25" hidden="false" customHeight="false" outlineLevel="0" collapsed="false">
      <c r="A27" s="37" t="s">
        <v>530</v>
      </c>
      <c r="B27" s="37" t="s">
        <v>506</v>
      </c>
      <c r="C27" s="216" t="n">
        <v>31</v>
      </c>
    </row>
    <row r="28" customFormat="false" ht="14.25" hidden="false" customHeight="false" outlineLevel="0" collapsed="false">
      <c r="A28" s="37" t="s">
        <v>531</v>
      </c>
      <c r="B28" s="37" t="s">
        <v>506</v>
      </c>
      <c r="C28" s="216" t="n">
        <v>31</v>
      </c>
    </row>
    <row r="29" customFormat="false" ht="14.25" hidden="false" customHeight="false" outlineLevel="0" collapsed="false">
      <c r="A29" s="37" t="s">
        <v>532</v>
      </c>
      <c r="B29" s="37" t="s">
        <v>506</v>
      </c>
      <c r="C29" s="216" t="n">
        <v>31</v>
      </c>
    </row>
    <row r="30" customFormat="false" ht="14.25" hidden="false" customHeight="false" outlineLevel="0" collapsed="false">
      <c r="A30" s="37" t="s">
        <v>533</v>
      </c>
      <c r="B30" s="37" t="s">
        <v>506</v>
      </c>
      <c r="C30" s="216" t="n">
        <v>31</v>
      </c>
    </row>
    <row r="31" customFormat="false" ht="14.25" hidden="false" customHeight="false" outlineLevel="0" collapsed="false">
      <c r="A31" s="37" t="s">
        <v>534</v>
      </c>
      <c r="B31" s="37" t="s">
        <v>506</v>
      </c>
      <c r="C31" s="216" t="n">
        <v>31</v>
      </c>
    </row>
    <row r="32" customFormat="false" ht="14.25" hidden="false" customHeight="false" outlineLevel="0" collapsed="false">
      <c r="A32" s="37" t="s">
        <v>535</v>
      </c>
      <c r="B32" s="37" t="s">
        <v>506</v>
      </c>
      <c r="C32" s="216" t="n">
        <v>31</v>
      </c>
    </row>
    <row r="33" customFormat="false" ht="14.25" hidden="false" customHeight="false" outlineLevel="0" collapsed="false">
      <c r="A33" s="37" t="s">
        <v>536</v>
      </c>
      <c r="B33" s="37" t="s">
        <v>506</v>
      </c>
      <c r="C33" s="216" t="n">
        <v>31</v>
      </c>
    </row>
    <row r="34" customFormat="false" ht="14.25" hidden="false" customHeight="false" outlineLevel="0" collapsed="false">
      <c r="A34" s="37" t="s">
        <v>537</v>
      </c>
      <c r="B34" s="37" t="s">
        <v>506</v>
      </c>
      <c r="C34" s="216" t="n">
        <v>31</v>
      </c>
    </row>
    <row r="35" customFormat="false" ht="14.25" hidden="false" customHeight="false" outlineLevel="0" collapsed="false">
      <c r="A35" s="37" t="s">
        <v>538</v>
      </c>
      <c r="B35" s="37" t="s">
        <v>506</v>
      </c>
      <c r="C35" s="216" t="n">
        <v>31</v>
      </c>
    </row>
    <row r="36" customFormat="false" ht="14.25" hidden="false" customHeight="false" outlineLevel="0" collapsed="false">
      <c r="A36" s="37" t="s">
        <v>539</v>
      </c>
      <c r="B36" s="37" t="s">
        <v>506</v>
      </c>
      <c r="C36" s="216" t="n">
        <v>31</v>
      </c>
    </row>
    <row r="37" customFormat="false" ht="14.25" hidden="false" customHeight="false" outlineLevel="0" collapsed="false">
      <c r="A37" s="37" t="s">
        <v>540</v>
      </c>
      <c r="B37" s="37" t="s">
        <v>506</v>
      </c>
      <c r="C37" s="216" t="n">
        <v>31</v>
      </c>
    </row>
    <row r="38" customFormat="false" ht="14.25" hidden="false" customHeight="false" outlineLevel="0" collapsed="false">
      <c r="A38" s="37" t="s">
        <v>541</v>
      </c>
      <c r="B38" s="37" t="s">
        <v>506</v>
      </c>
      <c r="C38" s="216" t="n">
        <v>31</v>
      </c>
    </row>
    <row r="39" customFormat="false" ht="14.25" hidden="false" customHeight="false" outlineLevel="0" collapsed="false">
      <c r="A39" s="37" t="s">
        <v>542</v>
      </c>
      <c r="B39" s="37" t="s">
        <v>506</v>
      </c>
      <c r="C39" s="216" t="n">
        <v>31</v>
      </c>
    </row>
    <row r="40" customFormat="false" ht="14.25" hidden="false" customHeight="false" outlineLevel="0" collapsed="false">
      <c r="A40" s="37" t="s">
        <v>543</v>
      </c>
      <c r="B40" s="37" t="s">
        <v>506</v>
      </c>
      <c r="C40" s="216" t="n">
        <v>31</v>
      </c>
    </row>
    <row r="41" customFormat="false" ht="14.25" hidden="false" customHeight="false" outlineLevel="0" collapsed="false">
      <c r="A41" s="37" t="s">
        <v>544</v>
      </c>
      <c r="B41" s="37" t="s">
        <v>506</v>
      </c>
      <c r="C41" s="216" t="n">
        <v>31</v>
      </c>
    </row>
    <row r="42" customFormat="false" ht="14.25" hidden="false" customHeight="false" outlineLevel="0" collapsed="false">
      <c r="A42" s="37" t="s">
        <v>545</v>
      </c>
      <c r="B42" s="37" t="s">
        <v>506</v>
      </c>
      <c r="C42" s="216" t="n">
        <v>31</v>
      </c>
    </row>
    <row r="43" customFormat="false" ht="14.25" hidden="false" customHeight="false" outlineLevel="0" collapsed="false">
      <c r="A43" s="37" t="s">
        <v>546</v>
      </c>
      <c r="B43" s="37" t="s">
        <v>506</v>
      </c>
      <c r="C43" s="216" t="n">
        <v>31</v>
      </c>
    </row>
    <row r="44" customFormat="false" ht="14.25" hidden="false" customHeight="false" outlineLevel="0" collapsed="false">
      <c r="A44" s="37" t="s">
        <v>547</v>
      </c>
      <c r="B44" s="37" t="s">
        <v>506</v>
      </c>
      <c r="C44" s="216" t="n">
        <v>31</v>
      </c>
    </row>
    <row r="45" customFormat="false" ht="14.25" hidden="false" customHeight="false" outlineLevel="0" collapsed="false">
      <c r="A45" s="37" t="s">
        <v>548</v>
      </c>
      <c r="B45" s="37" t="s">
        <v>506</v>
      </c>
      <c r="C45" s="216" t="n">
        <v>31</v>
      </c>
    </row>
    <row r="46" customFormat="false" ht="14.25" hidden="false" customHeight="false" outlineLevel="0" collapsed="false">
      <c r="A46" s="37" t="s">
        <v>549</v>
      </c>
      <c r="B46" s="37" t="s">
        <v>506</v>
      </c>
      <c r="C46" s="216" t="n">
        <v>31</v>
      </c>
    </row>
    <row r="47" customFormat="false" ht="14.25" hidden="false" customHeight="false" outlineLevel="0" collapsed="false">
      <c r="A47" s="37" t="s">
        <v>550</v>
      </c>
      <c r="B47" s="37" t="s">
        <v>506</v>
      </c>
      <c r="C47" s="216" t="n">
        <v>31</v>
      </c>
    </row>
    <row r="48" customFormat="false" ht="14.25" hidden="false" customHeight="false" outlineLevel="0" collapsed="false">
      <c r="A48" s="37" t="s">
        <v>551</v>
      </c>
      <c r="B48" s="37" t="s">
        <v>506</v>
      </c>
      <c r="C48" s="216" t="n">
        <v>31</v>
      </c>
    </row>
    <row r="49" customFormat="false" ht="72" hidden="false" customHeight="true" outlineLevel="0" collapsed="false">
      <c r="A49" s="775" t="s">
        <v>397</v>
      </c>
      <c r="B49" s="776" t="s">
        <v>525</v>
      </c>
      <c r="C49" s="777" t="n">
        <v>5.16</v>
      </c>
      <c r="D49" s="778" t="n">
        <v>3.908</v>
      </c>
      <c r="E49" s="778" t="n">
        <v>2.959</v>
      </c>
      <c r="F49" s="779" t="s">
        <v>35</v>
      </c>
      <c r="G49" s="779" t="s">
        <v>35</v>
      </c>
      <c r="H49" s="779" t="s">
        <v>918</v>
      </c>
      <c r="I49" s="779" t="s">
        <v>35</v>
      </c>
    </row>
    <row r="50" customFormat="false" ht="100.5" hidden="false" customHeight="true" outlineLevel="0" collapsed="false">
      <c r="A50" s="775"/>
      <c r="B50" s="776" t="s">
        <v>552</v>
      </c>
      <c r="C50" s="777" t="n">
        <v>1.15</v>
      </c>
      <c r="D50" s="778" t="n">
        <v>3.885</v>
      </c>
      <c r="E50" s="778" t="n">
        <v>2.637</v>
      </c>
      <c r="F50" s="779" t="s">
        <v>929</v>
      </c>
      <c r="G50" s="779" t="s">
        <v>930</v>
      </c>
      <c r="H50" s="779" t="s">
        <v>931</v>
      </c>
      <c r="I50" s="779" t="s">
        <v>35</v>
      </c>
    </row>
    <row r="51" customFormat="false" ht="72" hidden="false" customHeight="true" outlineLevel="0" collapsed="false">
      <c r="A51" s="775"/>
      <c r="B51" s="776" t="s">
        <v>553</v>
      </c>
      <c r="C51" s="777" t="n">
        <v>4.92</v>
      </c>
      <c r="D51" s="778" t="n">
        <v>3.908</v>
      </c>
      <c r="E51" s="778" t="n">
        <v>2.959</v>
      </c>
      <c r="F51" s="779" t="s">
        <v>35</v>
      </c>
      <c r="G51" s="779" t="s">
        <v>35</v>
      </c>
      <c r="H51" s="779" t="s">
        <v>932</v>
      </c>
      <c r="I51" s="779" t="s">
        <v>35</v>
      </c>
    </row>
    <row r="52" customFormat="false" ht="72" hidden="false" customHeight="true" outlineLevel="0" collapsed="false">
      <c r="A52" s="775"/>
      <c r="B52" s="776" t="s">
        <v>554</v>
      </c>
      <c r="C52" s="777" t="n">
        <v>9.92</v>
      </c>
      <c r="D52" s="778" t="n">
        <v>3.908</v>
      </c>
      <c r="E52" s="778" t="n">
        <v>2.959</v>
      </c>
      <c r="F52" s="779" t="s">
        <v>35</v>
      </c>
      <c r="G52" s="779" t="s">
        <v>35</v>
      </c>
      <c r="H52" s="779" t="s">
        <v>933</v>
      </c>
      <c r="I52" s="779" t="s">
        <v>35</v>
      </c>
    </row>
    <row r="53" customFormat="false" ht="144" hidden="false" customHeight="true" outlineLevel="0" collapsed="false">
      <c r="A53" s="775"/>
      <c r="B53" s="776" t="s">
        <v>555</v>
      </c>
      <c r="C53" s="777" t="n">
        <v>9.71</v>
      </c>
      <c r="D53" s="778" t="n">
        <v>5.91</v>
      </c>
      <c r="E53" s="778" t="n">
        <v>2.919</v>
      </c>
      <c r="F53" s="779" t="s">
        <v>934</v>
      </c>
      <c r="G53" s="779" t="s">
        <v>935</v>
      </c>
      <c r="H53" s="779" t="s">
        <v>936</v>
      </c>
      <c r="I53" s="779" t="s">
        <v>35</v>
      </c>
    </row>
    <row r="54" customFormat="false" ht="72" hidden="false" customHeight="true" outlineLevel="0" collapsed="false">
      <c r="A54" s="775"/>
      <c r="B54" s="776" t="s">
        <v>556</v>
      </c>
      <c r="C54" s="777" t="n">
        <v>4.99</v>
      </c>
      <c r="D54" s="778" t="n">
        <v>3.937</v>
      </c>
      <c r="E54" s="778" t="n">
        <v>2.969</v>
      </c>
      <c r="F54" s="779" t="s">
        <v>35</v>
      </c>
      <c r="G54" s="779" t="s">
        <v>35</v>
      </c>
      <c r="H54" s="779" t="s">
        <v>928</v>
      </c>
      <c r="I54" s="779" t="s">
        <v>35</v>
      </c>
    </row>
    <row r="55" customFormat="false" ht="14.25" hidden="false" customHeight="false" outlineLevel="0" collapsed="false">
      <c r="A55" s="37" t="s">
        <v>557</v>
      </c>
      <c r="B55" s="37" t="s">
        <v>506</v>
      </c>
      <c r="C55" s="216" t="n">
        <v>31</v>
      </c>
    </row>
    <row r="56" customFormat="false" ht="14.25" hidden="false" customHeight="false" outlineLevel="0" collapsed="false">
      <c r="A56" s="37" t="s">
        <v>558</v>
      </c>
      <c r="B56" s="37" t="s">
        <v>506</v>
      </c>
      <c r="C56" s="216" t="n">
        <v>31</v>
      </c>
    </row>
    <row r="57" customFormat="false" ht="14.25" hidden="false" customHeight="false" outlineLevel="0" collapsed="false">
      <c r="A57" s="37" t="s">
        <v>559</v>
      </c>
      <c r="B57" s="37" t="s">
        <v>506</v>
      </c>
      <c r="C57" s="216" t="n">
        <v>31</v>
      </c>
    </row>
    <row r="58" customFormat="false" ht="14.25" hidden="false" customHeight="false" outlineLevel="0" collapsed="false">
      <c r="A58" s="37" t="s">
        <v>560</v>
      </c>
      <c r="B58" s="37" t="s">
        <v>506</v>
      </c>
      <c r="C58" s="216" t="n">
        <v>31</v>
      </c>
    </row>
    <row r="59" customFormat="false" ht="14.25" hidden="false" customHeight="false" outlineLevel="0" collapsed="false">
      <c r="A59" s="37" t="s">
        <v>561</v>
      </c>
      <c r="B59" s="37" t="s">
        <v>506</v>
      </c>
      <c r="C59" s="216" t="n">
        <v>31</v>
      </c>
    </row>
    <row r="60" customFormat="false" ht="14.25" hidden="false" customHeight="false" outlineLevel="0" collapsed="false">
      <c r="A60" s="37" t="s">
        <v>562</v>
      </c>
      <c r="B60" s="37" t="s">
        <v>506</v>
      </c>
      <c r="C60" s="216" t="n">
        <v>31</v>
      </c>
    </row>
    <row r="61" customFormat="false" ht="14.25" hidden="false" customHeight="false" outlineLevel="0" collapsed="false">
      <c r="A61" s="37" t="s">
        <v>563</v>
      </c>
      <c r="B61" s="37" t="s">
        <v>506</v>
      </c>
      <c r="C61" s="216" t="n">
        <v>31</v>
      </c>
    </row>
    <row r="62" customFormat="false" ht="14.25" hidden="false" customHeight="false" outlineLevel="0" collapsed="false">
      <c r="A62" s="37" t="s">
        <v>564</v>
      </c>
      <c r="B62" s="37" t="s">
        <v>506</v>
      </c>
      <c r="C62" s="216" t="n">
        <v>31</v>
      </c>
    </row>
    <row r="63" customFormat="false" ht="14.25" hidden="false" customHeight="false" outlineLevel="0" collapsed="false">
      <c r="A63" s="37" t="s">
        <v>565</v>
      </c>
      <c r="B63" s="37" t="s">
        <v>506</v>
      </c>
      <c r="C63" s="216" t="n">
        <v>31</v>
      </c>
    </row>
    <row r="64" customFormat="false" ht="14.25" hidden="false" customHeight="false" outlineLevel="0" collapsed="false">
      <c r="A64" s="37" t="s">
        <v>566</v>
      </c>
      <c r="B64" s="37" t="s">
        <v>506</v>
      </c>
      <c r="C64" s="216" t="n">
        <v>31</v>
      </c>
    </row>
    <row r="65" customFormat="false" ht="14.25" hidden="false" customHeight="false" outlineLevel="0" collapsed="false">
      <c r="A65" s="37" t="s">
        <v>567</v>
      </c>
      <c r="B65" s="37" t="s">
        <v>506</v>
      </c>
      <c r="C65" s="216" t="n">
        <v>31</v>
      </c>
    </row>
    <row r="66" customFormat="false" ht="14.25" hidden="false" customHeight="false" outlineLevel="0" collapsed="false">
      <c r="A66" s="37" t="s">
        <v>568</v>
      </c>
      <c r="B66" s="37" t="s">
        <v>506</v>
      </c>
      <c r="C66" s="216" t="n">
        <v>31</v>
      </c>
    </row>
    <row r="67" customFormat="false" ht="14.25" hidden="false" customHeight="false" outlineLevel="0" collapsed="false">
      <c r="A67" s="37" t="s">
        <v>569</v>
      </c>
      <c r="B67" s="37" t="s">
        <v>506</v>
      </c>
      <c r="C67" s="216" t="n">
        <v>31</v>
      </c>
    </row>
    <row r="68" customFormat="false" ht="14.25" hidden="false" customHeight="false" outlineLevel="0" collapsed="false">
      <c r="A68" s="37" t="s">
        <v>570</v>
      </c>
      <c r="B68" s="37" t="s">
        <v>506</v>
      </c>
      <c r="C68" s="216" t="n">
        <v>31</v>
      </c>
    </row>
    <row r="69" customFormat="false" ht="14.25" hidden="false" customHeight="false" outlineLevel="0" collapsed="false">
      <c r="A69" s="37" t="s">
        <v>571</v>
      </c>
      <c r="B69" s="37" t="s">
        <v>506</v>
      </c>
      <c r="C69" s="216" t="n">
        <v>31</v>
      </c>
    </row>
    <row r="70" customFormat="false" ht="14.25" hidden="false" customHeight="false" outlineLevel="0" collapsed="false">
      <c r="A70" s="37" t="s">
        <v>572</v>
      </c>
      <c r="B70" s="37" t="s">
        <v>506</v>
      </c>
      <c r="C70" s="216" t="n">
        <v>31</v>
      </c>
    </row>
    <row r="71" customFormat="false" ht="14.25" hidden="false" customHeight="false" outlineLevel="0" collapsed="false">
      <c r="A71" s="37" t="s">
        <v>573</v>
      </c>
      <c r="B71" s="37" t="s">
        <v>506</v>
      </c>
      <c r="C71" s="216" t="n">
        <v>31</v>
      </c>
    </row>
    <row r="72" customFormat="false" ht="14.25" hidden="false" customHeight="false" outlineLevel="0" collapsed="false">
      <c r="A72" s="37" t="s">
        <v>574</v>
      </c>
      <c r="B72" s="37" t="s">
        <v>506</v>
      </c>
      <c r="C72" s="216" t="n">
        <v>31</v>
      </c>
    </row>
    <row r="73" customFormat="false" ht="14.25" hidden="false" customHeight="false" outlineLevel="0" collapsed="false">
      <c r="A73" s="37" t="s">
        <v>575</v>
      </c>
      <c r="B73" s="37" t="s">
        <v>506</v>
      </c>
      <c r="C73" s="216" t="n">
        <v>31</v>
      </c>
    </row>
    <row r="74" customFormat="false" ht="14.25" hidden="false" customHeight="false" outlineLevel="0" collapsed="false">
      <c r="A74" s="37" t="s">
        <v>576</v>
      </c>
      <c r="B74" s="37" t="s">
        <v>506</v>
      </c>
      <c r="C74" s="216" t="n">
        <v>31</v>
      </c>
    </row>
    <row r="75" customFormat="false" ht="72" hidden="false" customHeight="true" outlineLevel="0" collapsed="false">
      <c r="A75" s="780" t="s">
        <v>403</v>
      </c>
      <c r="B75" s="781" t="s">
        <v>525</v>
      </c>
      <c r="C75" s="782" t="n">
        <v>5.2</v>
      </c>
      <c r="D75" s="783" t="n">
        <v>3.908</v>
      </c>
      <c r="E75" s="783" t="n">
        <v>2.959</v>
      </c>
      <c r="F75" s="784" t="s">
        <v>35</v>
      </c>
      <c r="G75" s="784" t="s">
        <v>35</v>
      </c>
      <c r="H75" s="784" t="s">
        <v>918</v>
      </c>
      <c r="I75" s="784" t="s">
        <v>35</v>
      </c>
    </row>
    <row r="76" customFormat="false" ht="72" hidden="false" customHeight="true" outlineLevel="0" collapsed="false">
      <c r="A76" s="780"/>
      <c r="B76" s="781" t="s">
        <v>577</v>
      </c>
      <c r="C76" s="782" t="n">
        <v>4.96</v>
      </c>
      <c r="D76" s="783" t="n">
        <v>3.929</v>
      </c>
      <c r="E76" s="783" t="n">
        <v>2.921</v>
      </c>
      <c r="F76" s="784" t="s">
        <v>35</v>
      </c>
      <c r="G76" s="784" t="s">
        <v>35</v>
      </c>
      <c r="H76" s="784" t="s">
        <v>923</v>
      </c>
      <c r="I76" s="784" t="s">
        <v>35</v>
      </c>
    </row>
    <row r="77" customFormat="false" ht="129" hidden="false" customHeight="true" outlineLevel="0" collapsed="false">
      <c r="A77" s="780"/>
      <c r="B77" s="781" t="s">
        <v>578</v>
      </c>
      <c r="C77" s="782" t="n">
        <v>8.69</v>
      </c>
      <c r="D77" s="783" t="n">
        <v>5.82</v>
      </c>
      <c r="E77" s="783" t="n">
        <v>2.9</v>
      </c>
      <c r="F77" s="784" t="s">
        <v>937</v>
      </c>
      <c r="G77" s="784" t="s">
        <v>938</v>
      </c>
      <c r="H77" s="784" t="s">
        <v>939</v>
      </c>
      <c r="I77" s="784" t="s">
        <v>35</v>
      </c>
    </row>
    <row r="78" customFormat="false" ht="72" hidden="false" customHeight="true" outlineLevel="0" collapsed="false">
      <c r="A78" s="780"/>
      <c r="B78" s="781" t="s">
        <v>528</v>
      </c>
      <c r="C78" s="782" t="n">
        <v>4.85</v>
      </c>
      <c r="D78" s="783" t="n">
        <v>3.908</v>
      </c>
      <c r="E78" s="783" t="n">
        <v>2.959</v>
      </c>
      <c r="F78" s="784" t="s">
        <v>35</v>
      </c>
      <c r="G78" s="784" t="s">
        <v>35</v>
      </c>
      <c r="H78" s="784" t="s">
        <v>927</v>
      </c>
      <c r="I78" s="784" t="s">
        <v>35</v>
      </c>
    </row>
    <row r="79" customFormat="false" ht="72" hidden="false" customHeight="true" outlineLevel="0" collapsed="false">
      <c r="A79" s="780"/>
      <c r="B79" s="781" t="s">
        <v>579</v>
      </c>
      <c r="C79" s="782" t="n">
        <v>9.95</v>
      </c>
      <c r="D79" s="783" t="n">
        <v>3.937</v>
      </c>
      <c r="E79" s="783" t="n">
        <v>2.969</v>
      </c>
      <c r="F79" s="784" t="s">
        <v>35</v>
      </c>
      <c r="G79" s="784" t="s">
        <v>35</v>
      </c>
      <c r="H79" s="784" t="s">
        <v>940</v>
      </c>
      <c r="I79" s="784" t="s">
        <v>35</v>
      </c>
    </row>
    <row r="80" customFormat="false" ht="14.25" hidden="false" customHeight="false" outlineLevel="0" collapsed="false">
      <c r="A80" s="37" t="s">
        <v>580</v>
      </c>
      <c r="B80" s="37" t="s">
        <v>506</v>
      </c>
      <c r="C80" s="216" t="n">
        <v>31</v>
      </c>
    </row>
    <row r="81" customFormat="false" ht="14.25" hidden="false" customHeight="false" outlineLevel="0" collapsed="false">
      <c r="A81" s="37" t="s">
        <v>581</v>
      </c>
      <c r="B81" s="37" t="s">
        <v>506</v>
      </c>
      <c r="C81" s="216" t="n">
        <v>31</v>
      </c>
    </row>
    <row r="82" customFormat="false" ht="14.25" hidden="false" customHeight="false" outlineLevel="0" collapsed="false">
      <c r="A82" s="37" t="s">
        <v>582</v>
      </c>
      <c r="B82" s="37" t="s">
        <v>506</v>
      </c>
      <c r="C82" s="216" t="n">
        <v>31</v>
      </c>
    </row>
    <row r="83" customFormat="false" ht="14.25" hidden="false" customHeight="false" outlineLevel="0" collapsed="false">
      <c r="A83" s="37" t="s">
        <v>583</v>
      </c>
      <c r="B83" s="37" t="s">
        <v>506</v>
      </c>
      <c r="C83" s="216" t="n">
        <v>31</v>
      </c>
    </row>
    <row r="84" customFormat="false" ht="14.25" hidden="false" customHeight="false" outlineLevel="0" collapsed="false">
      <c r="A84" s="37" t="s">
        <v>584</v>
      </c>
      <c r="B84" s="37" t="s">
        <v>506</v>
      </c>
      <c r="C84" s="216" t="n">
        <v>31</v>
      </c>
    </row>
    <row r="85" customFormat="false" ht="14.25" hidden="false" customHeight="false" outlineLevel="0" collapsed="false">
      <c r="A85" s="37" t="s">
        <v>585</v>
      </c>
      <c r="B85" s="37" t="s">
        <v>506</v>
      </c>
      <c r="C85" s="216" t="n">
        <v>31</v>
      </c>
    </row>
    <row r="86" customFormat="false" ht="14.25" hidden="false" customHeight="false" outlineLevel="0" collapsed="false">
      <c r="A86" s="37" t="s">
        <v>586</v>
      </c>
      <c r="B86" s="37" t="s">
        <v>506</v>
      </c>
      <c r="C86" s="216" t="n">
        <v>31</v>
      </c>
    </row>
    <row r="87" customFormat="false" ht="14.25" hidden="false" customHeight="false" outlineLevel="0" collapsed="false">
      <c r="A87" s="37" t="s">
        <v>587</v>
      </c>
      <c r="B87" s="37" t="s">
        <v>506</v>
      </c>
      <c r="C87" s="216" t="n">
        <v>31</v>
      </c>
    </row>
    <row r="88" customFormat="false" ht="14.25" hidden="false" customHeight="false" outlineLevel="0" collapsed="false">
      <c r="A88" s="37" t="s">
        <v>588</v>
      </c>
      <c r="B88" s="37" t="s">
        <v>506</v>
      </c>
      <c r="C88" s="216" t="n">
        <v>31</v>
      </c>
    </row>
    <row r="89" customFormat="false" ht="14.25" hidden="false" customHeight="false" outlineLevel="0" collapsed="false">
      <c r="A89" s="37" t="s">
        <v>589</v>
      </c>
      <c r="B89" s="37" t="s">
        <v>506</v>
      </c>
      <c r="C89" s="216" t="n">
        <v>31</v>
      </c>
    </row>
    <row r="90" customFormat="false" ht="14.25" hidden="false" customHeight="false" outlineLevel="0" collapsed="false">
      <c r="A90" s="37" t="s">
        <v>590</v>
      </c>
      <c r="B90" s="37" t="s">
        <v>506</v>
      </c>
      <c r="C90" s="216" t="n">
        <v>31</v>
      </c>
    </row>
    <row r="91" customFormat="false" ht="14.25" hidden="false" customHeight="false" outlineLevel="0" collapsed="false">
      <c r="A91" s="37" t="s">
        <v>591</v>
      </c>
      <c r="B91" s="37" t="s">
        <v>506</v>
      </c>
      <c r="C91" s="216" t="n">
        <v>31</v>
      </c>
    </row>
    <row r="92" customFormat="false" ht="14.25" hidden="false" customHeight="false" outlineLevel="0" collapsed="false">
      <c r="A92" s="37" t="s">
        <v>592</v>
      </c>
      <c r="B92" s="37" t="s">
        <v>506</v>
      </c>
      <c r="C92" s="216" t="n">
        <v>31</v>
      </c>
    </row>
    <row r="93" customFormat="false" ht="14.25" hidden="false" customHeight="false" outlineLevel="0" collapsed="false">
      <c r="A93" s="37" t="s">
        <v>593</v>
      </c>
      <c r="B93" s="37" t="s">
        <v>506</v>
      </c>
      <c r="C93" s="216" t="n">
        <v>31</v>
      </c>
    </row>
    <row r="94" customFormat="false" ht="14.25" hidden="false" customHeight="false" outlineLevel="0" collapsed="false">
      <c r="A94" s="37" t="s">
        <v>594</v>
      </c>
      <c r="B94" s="37" t="s">
        <v>506</v>
      </c>
      <c r="C94" s="216" t="n">
        <v>31</v>
      </c>
    </row>
    <row r="95" customFormat="false" ht="14.25" hidden="false" customHeight="false" outlineLevel="0" collapsed="false">
      <c r="A95" s="37" t="s">
        <v>595</v>
      </c>
      <c r="B95" s="37" t="s">
        <v>506</v>
      </c>
      <c r="C95" s="216" t="n">
        <v>31</v>
      </c>
    </row>
    <row r="96" customFormat="false" ht="14.25" hidden="false" customHeight="false" outlineLevel="0" collapsed="false">
      <c r="A96" s="37" t="s">
        <v>596</v>
      </c>
      <c r="B96" s="37" t="s">
        <v>506</v>
      </c>
      <c r="C96" s="216" t="n">
        <v>31</v>
      </c>
    </row>
    <row r="97" customFormat="false" ht="14.25" hidden="false" customHeight="false" outlineLevel="0" collapsed="false">
      <c r="A97" s="37" t="s">
        <v>597</v>
      </c>
      <c r="B97" s="37" t="s">
        <v>506</v>
      </c>
      <c r="C97" s="216" t="n">
        <v>31</v>
      </c>
    </row>
    <row r="98" customFormat="false" ht="14.25" hidden="false" customHeight="false" outlineLevel="0" collapsed="false">
      <c r="A98" s="37" t="s">
        <v>598</v>
      </c>
      <c r="B98" s="37" t="s">
        <v>506</v>
      </c>
      <c r="C98" s="216" t="n">
        <v>31</v>
      </c>
    </row>
    <row r="99" customFormat="false" ht="14.25" hidden="false" customHeight="false" outlineLevel="0" collapsed="false">
      <c r="A99" s="37" t="s">
        <v>599</v>
      </c>
      <c r="B99" s="37" t="s">
        <v>506</v>
      </c>
      <c r="C99" s="216" t="n">
        <v>31</v>
      </c>
    </row>
    <row r="100" customFormat="false" ht="72" hidden="false" customHeight="true" outlineLevel="0" collapsed="false">
      <c r="A100" s="785" t="s">
        <v>408</v>
      </c>
      <c r="B100" s="786" t="s">
        <v>525</v>
      </c>
      <c r="C100" s="787" t="n">
        <v>5.18</v>
      </c>
      <c r="D100" s="788" t="n">
        <v>3.908</v>
      </c>
      <c r="E100" s="788" t="n">
        <v>2.959</v>
      </c>
      <c r="F100" s="789" t="s">
        <v>35</v>
      </c>
      <c r="G100" s="789" t="s">
        <v>35</v>
      </c>
      <c r="H100" s="789" t="s">
        <v>918</v>
      </c>
      <c r="I100" s="789" t="s">
        <v>35</v>
      </c>
    </row>
    <row r="101" customFormat="false" ht="72" hidden="false" customHeight="true" outlineLevel="0" collapsed="false">
      <c r="A101" s="785"/>
      <c r="B101" s="786" t="s">
        <v>600</v>
      </c>
      <c r="C101" s="787" t="n">
        <v>4.97</v>
      </c>
      <c r="D101" s="788" t="n">
        <v>3.929</v>
      </c>
      <c r="E101" s="788" t="n">
        <v>2.921</v>
      </c>
      <c r="F101" s="789" t="s">
        <v>35</v>
      </c>
      <c r="G101" s="789" t="s">
        <v>35</v>
      </c>
      <c r="H101" s="789" t="s">
        <v>923</v>
      </c>
      <c r="I101" s="789" t="s">
        <v>35</v>
      </c>
    </row>
    <row r="102" customFormat="false" ht="129" hidden="false" customHeight="true" outlineLevel="0" collapsed="false">
      <c r="A102" s="785"/>
      <c r="B102" s="786" t="s">
        <v>601</v>
      </c>
      <c r="C102" s="787" t="n">
        <v>8.69</v>
      </c>
      <c r="D102" s="788" t="n">
        <v>5.82</v>
      </c>
      <c r="E102" s="788" t="n">
        <v>2.9</v>
      </c>
      <c r="F102" s="789" t="s">
        <v>937</v>
      </c>
      <c r="G102" s="789" t="s">
        <v>941</v>
      </c>
      <c r="H102" s="789" t="s">
        <v>939</v>
      </c>
      <c r="I102" s="789" t="s">
        <v>35</v>
      </c>
    </row>
    <row r="103" customFormat="false" ht="72" hidden="false" customHeight="true" outlineLevel="0" collapsed="false">
      <c r="A103" s="785"/>
      <c r="B103" s="786" t="s">
        <v>528</v>
      </c>
      <c r="C103" s="787" t="n">
        <v>4.8</v>
      </c>
      <c r="D103" s="788" t="n">
        <v>3.908</v>
      </c>
      <c r="E103" s="788" t="n">
        <v>2.959</v>
      </c>
      <c r="F103" s="789" t="s">
        <v>35</v>
      </c>
      <c r="G103" s="789" t="s">
        <v>35</v>
      </c>
      <c r="H103" s="789" t="s">
        <v>927</v>
      </c>
      <c r="I103" s="789" t="s">
        <v>35</v>
      </c>
    </row>
    <row r="104" customFormat="false" ht="72" hidden="false" customHeight="true" outlineLevel="0" collapsed="false">
      <c r="A104" s="785"/>
      <c r="B104" s="786" t="s">
        <v>579</v>
      </c>
      <c r="C104" s="787" t="n">
        <v>9.95</v>
      </c>
      <c r="D104" s="788" t="n">
        <v>3.937</v>
      </c>
      <c r="E104" s="788" t="n">
        <v>2.969</v>
      </c>
      <c r="F104" s="789" t="s">
        <v>35</v>
      </c>
      <c r="G104" s="789" t="s">
        <v>35</v>
      </c>
      <c r="H104" s="789" t="s">
        <v>940</v>
      </c>
      <c r="I104" s="789" t="s">
        <v>35</v>
      </c>
    </row>
    <row r="105" customFormat="false" ht="14.25" hidden="false" customHeight="false" outlineLevel="0" collapsed="false">
      <c r="A105" s="37" t="s">
        <v>602</v>
      </c>
      <c r="B105" s="37" t="s">
        <v>506</v>
      </c>
      <c r="C105" s="216" t="n">
        <v>31</v>
      </c>
    </row>
    <row r="106" customFormat="false" ht="14.25" hidden="false" customHeight="false" outlineLevel="0" collapsed="false">
      <c r="A106" s="37" t="s">
        <v>603</v>
      </c>
      <c r="B106" s="37" t="s">
        <v>506</v>
      </c>
      <c r="C106" s="216" t="n">
        <v>31</v>
      </c>
    </row>
    <row r="107" customFormat="false" ht="14.25" hidden="false" customHeight="false" outlineLevel="0" collapsed="false">
      <c r="A107" s="37" t="s">
        <v>604</v>
      </c>
      <c r="B107" s="37" t="s">
        <v>506</v>
      </c>
      <c r="C107" s="216" t="n">
        <v>31</v>
      </c>
    </row>
    <row r="108" customFormat="false" ht="14.25" hidden="false" customHeight="false" outlineLevel="0" collapsed="false">
      <c r="A108" s="37" t="s">
        <v>605</v>
      </c>
      <c r="B108" s="37" t="s">
        <v>506</v>
      </c>
      <c r="C108" s="216" t="n">
        <v>31</v>
      </c>
    </row>
    <row r="109" customFormat="false" ht="14.25" hidden="false" customHeight="false" outlineLevel="0" collapsed="false">
      <c r="A109" s="37" t="s">
        <v>606</v>
      </c>
      <c r="B109" s="37" t="s">
        <v>506</v>
      </c>
      <c r="C109" s="216" t="n">
        <v>31</v>
      </c>
    </row>
    <row r="110" customFormat="false" ht="14.25" hidden="false" customHeight="false" outlineLevel="0" collapsed="false">
      <c r="A110" s="37" t="s">
        <v>607</v>
      </c>
      <c r="B110" s="37" t="s">
        <v>506</v>
      </c>
      <c r="C110" s="216" t="n">
        <v>31</v>
      </c>
    </row>
    <row r="111" customFormat="false" ht="14.25" hidden="false" customHeight="false" outlineLevel="0" collapsed="false">
      <c r="A111" s="37" t="s">
        <v>608</v>
      </c>
      <c r="B111" s="37" t="s">
        <v>506</v>
      </c>
      <c r="C111" s="216" t="n">
        <v>31</v>
      </c>
    </row>
    <row r="112" customFormat="false" ht="14.25" hidden="false" customHeight="false" outlineLevel="0" collapsed="false">
      <c r="A112" s="37" t="s">
        <v>609</v>
      </c>
      <c r="B112" s="37" t="s">
        <v>506</v>
      </c>
      <c r="C112" s="216" t="n">
        <v>31</v>
      </c>
    </row>
    <row r="113" customFormat="false" ht="14.25" hidden="false" customHeight="false" outlineLevel="0" collapsed="false">
      <c r="A113" s="37" t="s">
        <v>610</v>
      </c>
      <c r="B113" s="37" t="s">
        <v>506</v>
      </c>
      <c r="C113" s="216" t="n">
        <v>31</v>
      </c>
    </row>
    <row r="114" customFormat="false" ht="14.25" hidden="false" customHeight="false" outlineLevel="0" collapsed="false">
      <c r="A114" s="37" t="s">
        <v>611</v>
      </c>
      <c r="B114" s="37" t="s">
        <v>506</v>
      </c>
      <c r="C114" s="216" t="n">
        <v>31</v>
      </c>
    </row>
    <row r="115" customFormat="false" ht="14.25" hidden="false" customHeight="false" outlineLevel="0" collapsed="false">
      <c r="A115" s="37" t="s">
        <v>612</v>
      </c>
      <c r="B115" s="37" t="s">
        <v>506</v>
      </c>
      <c r="C115" s="216" t="n">
        <v>31</v>
      </c>
    </row>
    <row r="116" customFormat="false" ht="14.25" hidden="false" customHeight="false" outlineLevel="0" collapsed="false">
      <c r="A116" s="37" t="s">
        <v>613</v>
      </c>
      <c r="B116" s="37" t="s">
        <v>506</v>
      </c>
      <c r="C116" s="216" t="n">
        <v>31</v>
      </c>
    </row>
    <row r="117" customFormat="false" ht="14.25" hidden="false" customHeight="false" outlineLevel="0" collapsed="false">
      <c r="A117" s="37" t="s">
        <v>614</v>
      </c>
      <c r="B117" s="37" t="s">
        <v>506</v>
      </c>
      <c r="C117" s="216" t="n">
        <v>31</v>
      </c>
    </row>
    <row r="118" customFormat="false" ht="14.25" hidden="false" customHeight="false" outlineLevel="0" collapsed="false">
      <c r="A118" s="37" t="s">
        <v>615</v>
      </c>
      <c r="B118" s="37" t="s">
        <v>506</v>
      </c>
      <c r="C118" s="216" t="n">
        <v>31</v>
      </c>
    </row>
    <row r="119" customFormat="false" ht="14.25" hidden="false" customHeight="false" outlineLevel="0" collapsed="false">
      <c r="A119" s="37" t="s">
        <v>616</v>
      </c>
      <c r="B119" s="37" t="s">
        <v>506</v>
      </c>
      <c r="C119" s="216" t="n">
        <v>31</v>
      </c>
    </row>
    <row r="120" customFormat="false" ht="14.25" hidden="false" customHeight="false" outlineLevel="0" collapsed="false">
      <c r="A120" s="37" t="s">
        <v>617</v>
      </c>
      <c r="B120" s="37" t="s">
        <v>506</v>
      </c>
      <c r="C120" s="216" t="n">
        <v>31</v>
      </c>
    </row>
    <row r="121" customFormat="false" ht="14.25" hidden="false" customHeight="false" outlineLevel="0" collapsed="false">
      <c r="A121" s="37" t="s">
        <v>618</v>
      </c>
      <c r="B121" s="37" t="s">
        <v>506</v>
      </c>
      <c r="C121" s="216" t="n">
        <v>31</v>
      </c>
    </row>
    <row r="122" customFormat="false" ht="14.25" hidden="false" customHeight="false" outlineLevel="0" collapsed="false">
      <c r="A122" s="37" t="s">
        <v>619</v>
      </c>
      <c r="B122" s="37" t="s">
        <v>506</v>
      </c>
      <c r="C122" s="216" t="n">
        <v>31</v>
      </c>
    </row>
    <row r="123" customFormat="false" ht="14.25" hidden="false" customHeight="false" outlineLevel="0" collapsed="false">
      <c r="A123" s="37" t="s">
        <v>620</v>
      </c>
      <c r="B123" s="37" t="s">
        <v>506</v>
      </c>
      <c r="C123" s="216" t="n">
        <v>31</v>
      </c>
    </row>
    <row r="124" customFormat="false" ht="14.25" hidden="false" customHeight="false" outlineLevel="0" collapsed="false">
      <c r="A124" s="37" t="s">
        <v>621</v>
      </c>
      <c r="B124" s="37" t="s">
        <v>506</v>
      </c>
      <c r="C124" s="216" t="n">
        <v>31</v>
      </c>
    </row>
    <row r="125" customFormat="false" ht="72" hidden="false" customHeight="true" outlineLevel="0" collapsed="false">
      <c r="A125" s="790" t="s">
        <v>412</v>
      </c>
      <c r="B125" s="791" t="s">
        <v>525</v>
      </c>
      <c r="C125" s="792" t="n">
        <v>5.19</v>
      </c>
      <c r="D125" s="793" t="n">
        <v>3.908</v>
      </c>
      <c r="E125" s="793" t="n">
        <v>2.959</v>
      </c>
      <c r="F125" s="794" t="s">
        <v>35</v>
      </c>
      <c r="G125" s="794" t="s">
        <v>35</v>
      </c>
      <c r="H125" s="794" t="s">
        <v>918</v>
      </c>
      <c r="I125" s="794" t="s">
        <v>35</v>
      </c>
    </row>
    <row r="126" customFormat="false" ht="72" hidden="false" customHeight="true" outlineLevel="0" collapsed="false">
      <c r="A126" s="790"/>
      <c r="B126" s="791" t="s">
        <v>577</v>
      </c>
      <c r="C126" s="792" t="n">
        <v>4.96</v>
      </c>
      <c r="D126" s="793" t="n">
        <v>3.929</v>
      </c>
      <c r="E126" s="793" t="n">
        <v>2.921</v>
      </c>
      <c r="F126" s="794" t="s">
        <v>35</v>
      </c>
      <c r="G126" s="794" t="s">
        <v>35</v>
      </c>
      <c r="H126" s="794" t="s">
        <v>923</v>
      </c>
      <c r="I126" s="794" t="s">
        <v>35</v>
      </c>
    </row>
    <row r="127" customFormat="false" ht="129" hidden="false" customHeight="true" outlineLevel="0" collapsed="false">
      <c r="A127" s="790"/>
      <c r="B127" s="791" t="s">
        <v>622</v>
      </c>
      <c r="C127" s="792" t="n">
        <v>8.69</v>
      </c>
      <c r="D127" s="793" t="n">
        <v>5.82</v>
      </c>
      <c r="E127" s="793" t="n">
        <v>2.9</v>
      </c>
      <c r="F127" s="794" t="s">
        <v>937</v>
      </c>
      <c r="G127" s="794" t="s">
        <v>942</v>
      </c>
      <c r="H127" s="794" t="s">
        <v>939</v>
      </c>
      <c r="I127" s="794" t="s">
        <v>35</v>
      </c>
    </row>
    <row r="128" customFormat="false" ht="72" hidden="false" customHeight="true" outlineLevel="0" collapsed="false">
      <c r="A128" s="790"/>
      <c r="B128" s="791" t="s">
        <v>528</v>
      </c>
      <c r="C128" s="792" t="n">
        <v>4.88</v>
      </c>
      <c r="D128" s="793" t="n">
        <v>3.908</v>
      </c>
      <c r="E128" s="793" t="n">
        <v>2.959</v>
      </c>
      <c r="F128" s="794" t="s">
        <v>35</v>
      </c>
      <c r="G128" s="794" t="s">
        <v>35</v>
      </c>
      <c r="H128" s="794" t="s">
        <v>927</v>
      </c>
      <c r="I128" s="794" t="s">
        <v>35</v>
      </c>
    </row>
    <row r="129" customFormat="false" ht="72" hidden="false" customHeight="true" outlineLevel="0" collapsed="false">
      <c r="A129" s="790"/>
      <c r="B129" s="791" t="s">
        <v>579</v>
      </c>
      <c r="C129" s="792" t="n">
        <v>9.93</v>
      </c>
      <c r="D129" s="793" t="n">
        <v>3.937</v>
      </c>
      <c r="E129" s="793" t="n">
        <v>2.969</v>
      </c>
      <c r="F129" s="794" t="s">
        <v>35</v>
      </c>
      <c r="G129" s="794" t="s">
        <v>35</v>
      </c>
      <c r="H129" s="794" t="s">
        <v>940</v>
      </c>
      <c r="I129" s="794" t="s">
        <v>35</v>
      </c>
    </row>
    <row r="130" customFormat="false" ht="14.25" hidden="false" customHeight="false" outlineLevel="0" collapsed="false">
      <c r="A130" s="37" t="s">
        <v>623</v>
      </c>
      <c r="B130" s="37" t="s">
        <v>506</v>
      </c>
      <c r="C130" s="216" t="n">
        <v>31</v>
      </c>
    </row>
    <row r="131" customFormat="false" ht="14.25" hidden="false" customHeight="false" outlineLevel="0" collapsed="false">
      <c r="A131" s="37" t="s">
        <v>624</v>
      </c>
      <c r="B131" s="37" t="s">
        <v>506</v>
      </c>
      <c r="C131" s="216" t="n">
        <v>31</v>
      </c>
    </row>
    <row r="132" customFormat="false" ht="14.25" hidden="false" customHeight="false" outlineLevel="0" collapsed="false">
      <c r="A132" s="37" t="s">
        <v>625</v>
      </c>
      <c r="B132" s="37" t="s">
        <v>506</v>
      </c>
      <c r="C132" s="216" t="n">
        <v>31</v>
      </c>
    </row>
    <row r="133" customFormat="false" ht="14.25" hidden="false" customHeight="false" outlineLevel="0" collapsed="false">
      <c r="A133" s="37" t="s">
        <v>626</v>
      </c>
      <c r="B133" s="37" t="s">
        <v>506</v>
      </c>
      <c r="C133" s="216" t="n">
        <v>31</v>
      </c>
    </row>
    <row r="134" customFormat="false" ht="14.25" hidden="false" customHeight="false" outlineLevel="0" collapsed="false">
      <c r="A134" s="37" t="s">
        <v>627</v>
      </c>
      <c r="B134" s="37" t="s">
        <v>506</v>
      </c>
      <c r="C134" s="216" t="n">
        <v>31</v>
      </c>
    </row>
    <row r="135" customFormat="false" ht="14.25" hidden="false" customHeight="false" outlineLevel="0" collapsed="false">
      <c r="A135" s="37" t="s">
        <v>628</v>
      </c>
      <c r="B135" s="37" t="s">
        <v>506</v>
      </c>
      <c r="C135" s="216" t="n">
        <v>31</v>
      </c>
    </row>
    <row r="136" customFormat="false" ht="14.25" hidden="false" customHeight="false" outlineLevel="0" collapsed="false">
      <c r="A136" s="37" t="s">
        <v>629</v>
      </c>
      <c r="B136" s="37" t="s">
        <v>506</v>
      </c>
      <c r="C136" s="216" t="n">
        <v>31</v>
      </c>
    </row>
    <row r="137" customFormat="false" ht="14.25" hidden="false" customHeight="false" outlineLevel="0" collapsed="false">
      <c r="A137" s="37" t="s">
        <v>630</v>
      </c>
      <c r="B137" s="37" t="s">
        <v>506</v>
      </c>
      <c r="C137" s="216" t="n">
        <v>31</v>
      </c>
    </row>
    <row r="138" customFormat="false" ht="14.25" hidden="false" customHeight="false" outlineLevel="0" collapsed="false">
      <c r="A138" s="37" t="s">
        <v>631</v>
      </c>
      <c r="B138" s="37" t="s">
        <v>506</v>
      </c>
      <c r="C138" s="216" t="n">
        <v>31</v>
      </c>
    </row>
    <row r="139" customFormat="false" ht="14.25" hidden="false" customHeight="false" outlineLevel="0" collapsed="false">
      <c r="A139" s="37" t="s">
        <v>632</v>
      </c>
      <c r="B139" s="37" t="s">
        <v>506</v>
      </c>
      <c r="C139" s="216" t="n">
        <v>31</v>
      </c>
    </row>
    <row r="140" customFormat="false" ht="14.25" hidden="false" customHeight="false" outlineLevel="0" collapsed="false">
      <c r="A140" s="37" t="s">
        <v>633</v>
      </c>
      <c r="B140" s="37" t="s">
        <v>506</v>
      </c>
      <c r="C140" s="216" t="n">
        <v>31</v>
      </c>
    </row>
    <row r="141" customFormat="false" ht="14.25" hidden="false" customHeight="false" outlineLevel="0" collapsed="false">
      <c r="A141" s="37" t="s">
        <v>634</v>
      </c>
      <c r="B141" s="37" t="s">
        <v>506</v>
      </c>
      <c r="C141" s="216" t="n">
        <v>31</v>
      </c>
    </row>
    <row r="142" customFormat="false" ht="14.25" hidden="false" customHeight="false" outlineLevel="0" collapsed="false">
      <c r="A142" s="37" t="s">
        <v>635</v>
      </c>
      <c r="B142" s="37" t="s">
        <v>506</v>
      </c>
      <c r="C142" s="216" t="n">
        <v>31</v>
      </c>
    </row>
    <row r="143" customFormat="false" ht="14.25" hidden="false" customHeight="false" outlineLevel="0" collapsed="false">
      <c r="A143" s="37" t="s">
        <v>636</v>
      </c>
      <c r="B143" s="37" t="s">
        <v>506</v>
      </c>
      <c r="C143" s="216" t="n">
        <v>31</v>
      </c>
    </row>
    <row r="144" customFormat="false" ht="14.25" hidden="false" customHeight="false" outlineLevel="0" collapsed="false">
      <c r="A144" s="37" t="s">
        <v>637</v>
      </c>
      <c r="B144" s="37" t="s">
        <v>506</v>
      </c>
      <c r="C144" s="216" t="n">
        <v>31</v>
      </c>
    </row>
    <row r="145" customFormat="false" ht="14.25" hidden="false" customHeight="false" outlineLevel="0" collapsed="false">
      <c r="A145" s="37" t="s">
        <v>638</v>
      </c>
      <c r="B145" s="37" t="s">
        <v>506</v>
      </c>
      <c r="C145" s="216" t="n">
        <v>31</v>
      </c>
    </row>
    <row r="146" customFormat="false" ht="14.25" hidden="false" customHeight="false" outlineLevel="0" collapsed="false">
      <c r="A146" s="37" t="s">
        <v>639</v>
      </c>
      <c r="B146" s="37" t="s">
        <v>506</v>
      </c>
      <c r="C146" s="216" t="n">
        <v>31</v>
      </c>
    </row>
    <row r="147" customFormat="false" ht="14.25" hidden="false" customHeight="false" outlineLevel="0" collapsed="false">
      <c r="A147" s="37" t="s">
        <v>640</v>
      </c>
      <c r="B147" s="37" t="s">
        <v>506</v>
      </c>
      <c r="C147" s="216" t="n">
        <v>31</v>
      </c>
    </row>
    <row r="148" customFormat="false" ht="14.25" hidden="false" customHeight="false" outlineLevel="0" collapsed="false">
      <c r="A148" s="37" t="s">
        <v>641</v>
      </c>
      <c r="B148" s="37" t="s">
        <v>506</v>
      </c>
      <c r="C148" s="216" t="n">
        <v>31</v>
      </c>
    </row>
    <row r="149" customFormat="false" ht="14.25" hidden="false" customHeight="false" outlineLevel="0" collapsed="false">
      <c r="A149" s="37" t="s">
        <v>642</v>
      </c>
      <c r="B149" s="37" t="s">
        <v>506</v>
      </c>
      <c r="C149" s="216" t="n">
        <v>31</v>
      </c>
    </row>
    <row r="150" customFormat="false" ht="72" hidden="false" customHeight="true" outlineLevel="0" collapsed="false">
      <c r="A150" s="795" t="s">
        <v>415</v>
      </c>
      <c r="B150" s="796" t="s">
        <v>525</v>
      </c>
      <c r="C150" s="797" t="n">
        <v>5.18</v>
      </c>
      <c r="D150" s="798" t="n">
        <v>3.908</v>
      </c>
      <c r="E150" s="798" t="n">
        <v>2.959</v>
      </c>
      <c r="F150" s="799" t="s">
        <v>35</v>
      </c>
      <c r="G150" s="799" t="s">
        <v>35</v>
      </c>
      <c r="H150" s="799" t="s">
        <v>918</v>
      </c>
      <c r="I150" s="799" t="s">
        <v>35</v>
      </c>
    </row>
    <row r="151" customFormat="false" ht="72" hidden="false" customHeight="true" outlineLevel="0" collapsed="false">
      <c r="A151" s="795"/>
      <c r="B151" s="796" t="s">
        <v>577</v>
      </c>
      <c r="C151" s="797" t="n">
        <v>4.96</v>
      </c>
      <c r="D151" s="798" t="n">
        <v>3.929</v>
      </c>
      <c r="E151" s="798" t="n">
        <v>2.921</v>
      </c>
      <c r="F151" s="799" t="s">
        <v>35</v>
      </c>
      <c r="G151" s="799" t="s">
        <v>35</v>
      </c>
      <c r="H151" s="799" t="s">
        <v>923</v>
      </c>
      <c r="I151" s="799" t="s">
        <v>35</v>
      </c>
    </row>
    <row r="152" customFormat="false" ht="129" hidden="false" customHeight="true" outlineLevel="0" collapsed="false">
      <c r="A152" s="795"/>
      <c r="B152" s="796" t="s">
        <v>643</v>
      </c>
      <c r="C152" s="797" t="n">
        <v>8.69</v>
      </c>
      <c r="D152" s="798" t="n">
        <v>5.82</v>
      </c>
      <c r="E152" s="798" t="n">
        <v>2.9</v>
      </c>
      <c r="F152" s="799" t="s">
        <v>937</v>
      </c>
      <c r="G152" s="799" t="s">
        <v>943</v>
      </c>
      <c r="H152" s="799" t="s">
        <v>939</v>
      </c>
      <c r="I152" s="799" t="s">
        <v>35</v>
      </c>
    </row>
    <row r="153" customFormat="false" ht="72" hidden="false" customHeight="true" outlineLevel="0" collapsed="false">
      <c r="A153" s="795"/>
      <c r="B153" s="796" t="s">
        <v>644</v>
      </c>
      <c r="C153" s="797" t="n">
        <v>9.78</v>
      </c>
      <c r="D153" s="798" t="n">
        <v>3.908</v>
      </c>
      <c r="E153" s="798" t="n">
        <v>2.959</v>
      </c>
      <c r="F153" s="799" t="s">
        <v>35</v>
      </c>
      <c r="G153" s="799" t="s">
        <v>35</v>
      </c>
      <c r="H153" s="799" t="s">
        <v>944</v>
      </c>
      <c r="I153" s="799" t="s">
        <v>35</v>
      </c>
    </row>
    <row r="154" customFormat="false" ht="72" hidden="false" customHeight="true" outlineLevel="0" collapsed="false">
      <c r="A154" s="795"/>
      <c r="B154" s="796" t="s">
        <v>504</v>
      </c>
      <c r="C154" s="797" t="n">
        <v>4.96</v>
      </c>
      <c r="D154" s="798" t="n">
        <v>3.937</v>
      </c>
      <c r="E154" s="798" t="n">
        <v>2.969</v>
      </c>
      <c r="F154" s="799" t="s">
        <v>35</v>
      </c>
      <c r="G154" s="799" t="s">
        <v>35</v>
      </c>
      <c r="H154" s="799" t="s">
        <v>918</v>
      </c>
      <c r="I154" s="799" t="s">
        <v>35</v>
      </c>
    </row>
    <row r="155" customFormat="false" ht="14.25" hidden="false" customHeight="false" outlineLevel="0" collapsed="false">
      <c r="A155" s="37" t="s">
        <v>645</v>
      </c>
      <c r="B155" s="37" t="s">
        <v>506</v>
      </c>
      <c r="C155" s="216" t="n">
        <v>31</v>
      </c>
    </row>
    <row r="156" customFormat="false" ht="14.25" hidden="false" customHeight="false" outlineLevel="0" collapsed="false">
      <c r="A156" s="37" t="s">
        <v>646</v>
      </c>
      <c r="B156" s="37" t="s">
        <v>506</v>
      </c>
      <c r="C156" s="216" t="n">
        <v>31</v>
      </c>
    </row>
    <row r="157" customFormat="false" ht="14.25" hidden="false" customHeight="false" outlineLevel="0" collapsed="false">
      <c r="A157" s="37" t="s">
        <v>647</v>
      </c>
      <c r="B157" s="37" t="s">
        <v>506</v>
      </c>
      <c r="C157" s="216" t="n">
        <v>31</v>
      </c>
    </row>
    <row r="158" customFormat="false" ht="14.25" hidden="false" customHeight="false" outlineLevel="0" collapsed="false">
      <c r="A158" s="37" t="s">
        <v>648</v>
      </c>
      <c r="B158" s="37" t="s">
        <v>506</v>
      </c>
      <c r="C158" s="216" t="n">
        <v>31</v>
      </c>
    </row>
    <row r="159" customFormat="false" ht="14.25" hidden="false" customHeight="false" outlineLevel="0" collapsed="false">
      <c r="A159" s="37" t="s">
        <v>650</v>
      </c>
      <c r="B159" s="37" t="s">
        <v>506</v>
      </c>
      <c r="C159" s="216" t="n">
        <v>31</v>
      </c>
    </row>
    <row r="160" customFormat="false" ht="14.25" hidden="false" customHeight="false" outlineLevel="0" collapsed="false">
      <c r="A160" s="37" t="s">
        <v>651</v>
      </c>
      <c r="B160" s="37" t="s">
        <v>506</v>
      </c>
      <c r="C160" s="216" t="n">
        <v>31</v>
      </c>
    </row>
    <row r="161" customFormat="false" ht="14.25" hidden="false" customHeight="false" outlineLevel="0" collapsed="false">
      <c r="A161" s="37" t="s">
        <v>652</v>
      </c>
      <c r="B161" s="37" t="s">
        <v>506</v>
      </c>
      <c r="C161" s="216" t="n">
        <v>31</v>
      </c>
    </row>
    <row r="162" customFormat="false" ht="14.25" hidden="false" customHeight="false" outlineLevel="0" collapsed="false">
      <c r="A162" s="37" t="s">
        <v>653</v>
      </c>
      <c r="B162" s="37" t="s">
        <v>506</v>
      </c>
      <c r="C162" s="216" t="n">
        <v>31</v>
      </c>
    </row>
    <row r="163" customFormat="false" ht="14.25" hidden="false" customHeight="false" outlineLevel="0" collapsed="false">
      <c r="A163" s="37" t="s">
        <v>654</v>
      </c>
      <c r="B163" s="37" t="s">
        <v>506</v>
      </c>
      <c r="C163" s="216" t="n">
        <v>31</v>
      </c>
    </row>
    <row r="164" customFormat="false" ht="14.25" hidden="false" customHeight="false" outlineLevel="0" collapsed="false">
      <c r="A164" s="37" t="s">
        <v>656</v>
      </c>
      <c r="B164" s="37" t="s">
        <v>506</v>
      </c>
      <c r="C164" s="216" t="n">
        <v>31</v>
      </c>
    </row>
    <row r="165" customFormat="false" ht="14.25" hidden="false" customHeight="false" outlineLevel="0" collapsed="false">
      <c r="A165" s="37" t="s">
        <v>657</v>
      </c>
      <c r="B165" s="37" t="s">
        <v>506</v>
      </c>
      <c r="C165" s="216" t="n">
        <v>31</v>
      </c>
    </row>
    <row r="166" customFormat="false" ht="14.25" hidden="false" customHeight="false" outlineLevel="0" collapsed="false">
      <c r="A166" s="37" t="s">
        <v>658</v>
      </c>
      <c r="B166" s="37" t="s">
        <v>506</v>
      </c>
      <c r="C166" s="216" t="n">
        <v>31</v>
      </c>
    </row>
    <row r="167" customFormat="false" ht="14.25" hidden="false" customHeight="false" outlineLevel="0" collapsed="false">
      <c r="A167" s="37" t="s">
        <v>659</v>
      </c>
      <c r="B167" s="37" t="s">
        <v>506</v>
      </c>
      <c r="C167" s="216" t="n">
        <v>31</v>
      </c>
    </row>
    <row r="168" customFormat="false" ht="14.25" hidden="false" customHeight="false" outlineLevel="0" collapsed="false">
      <c r="A168" s="37" t="s">
        <v>660</v>
      </c>
      <c r="B168" s="37" t="s">
        <v>506</v>
      </c>
      <c r="C168" s="216" t="n">
        <v>31</v>
      </c>
    </row>
    <row r="169" customFormat="false" ht="14.25" hidden="false" customHeight="false" outlineLevel="0" collapsed="false">
      <c r="A169" s="37" t="s">
        <v>661</v>
      </c>
      <c r="B169" s="37" t="s">
        <v>506</v>
      </c>
      <c r="C169" s="216" t="n">
        <v>31</v>
      </c>
    </row>
    <row r="170" customFormat="false" ht="14.25" hidden="false" customHeight="false" outlineLevel="0" collapsed="false">
      <c r="A170" s="37" t="s">
        <v>662</v>
      </c>
      <c r="B170" s="37" t="s">
        <v>506</v>
      </c>
      <c r="C170" s="216" t="n">
        <v>31</v>
      </c>
    </row>
    <row r="171" customFormat="false" ht="14.25" hidden="false" customHeight="false" outlineLevel="0" collapsed="false">
      <c r="A171" s="37" t="s">
        <v>663</v>
      </c>
      <c r="B171" s="37" t="s">
        <v>506</v>
      </c>
      <c r="C171" s="216" t="n">
        <v>31</v>
      </c>
    </row>
    <row r="172" customFormat="false" ht="14.25" hidden="false" customHeight="false" outlineLevel="0" collapsed="false">
      <c r="A172" s="37" t="s">
        <v>664</v>
      </c>
      <c r="B172" s="37" t="s">
        <v>506</v>
      </c>
      <c r="C172" s="216" t="n">
        <v>31</v>
      </c>
    </row>
    <row r="173" customFormat="false" ht="14.25" hidden="false" customHeight="false" outlineLevel="0" collapsed="false">
      <c r="A173" s="37" t="s">
        <v>665</v>
      </c>
      <c r="B173" s="37" t="s">
        <v>506</v>
      </c>
      <c r="C173" s="216" t="n">
        <v>31</v>
      </c>
    </row>
    <row r="174" customFormat="false" ht="14.25" hidden="false" customHeight="false" outlineLevel="0" collapsed="false">
      <c r="A174" s="37" t="s">
        <v>666</v>
      </c>
      <c r="B174" s="37" t="s">
        <v>506</v>
      </c>
      <c r="C174" s="216" t="n">
        <v>31</v>
      </c>
    </row>
    <row r="175" customFormat="false" ht="72" hidden="false" customHeight="true" outlineLevel="0" collapsed="false">
      <c r="A175" s="800" t="s">
        <v>419</v>
      </c>
      <c r="B175" s="801" t="s">
        <v>512</v>
      </c>
      <c r="C175" s="802" t="n">
        <v>5.02</v>
      </c>
      <c r="D175" s="803" t="n">
        <v>3.908</v>
      </c>
      <c r="E175" s="803" t="n">
        <v>2.959</v>
      </c>
      <c r="F175" s="804" t="s">
        <v>35</v>
      </c>
      <c r="G175" s="804" t="s">
        <v>35</v>
      </c>
      <c r="H175" s="804" t="s">
        <v>918</v>
      </c>
      <c r="I175" s="804" t="s">
        <v>35</v>
      </c>
    </row>
    <row r="176" customFormat="false" ht="100.5" hidden="false" customHeight="true" outlineLevel="0" collapsed="false">
      <c r="A176" s="800"/>
      <c r="B176" s="801" t="s">
        <v>667</v>
      </c>
      <c r="C176" s="802" t="n">
        <v>5.75</v>
      </c>
      <c r="D176" s="803" t="n">
        <v>3.937</v>
      </c>
      <c r="E176" s="803" t="n">
        <v>2.949</v>
      </c>
      <c r="F176" s="804" t="s">
        <v>945</v>
      </c>
      <c r="G176" s="804" t="s">
        <v>946</v>
      </c>
      <c r="H176" s="804" t="s">
        <v>947</v>
      </c>
      <c r="I176" s="804" t="s">
        <v>35</v>
      </c>
    </row>
    <row r="177" customFormat="false" ht="144" hidden="false" customHeight="true" outlineLevel="0" collapsed="false">
      <c r="A177" s="800"/>
      <c r="B177" s="801" t="s">
        <v>668</v>
      </c>
      <c r="C177" s="802" t="n">
        <v>4.44</v>
      </c>
      <c r="D177" s="803" t="n">
        <v>5.46</v>
      </c>
      <c r="E177" s="803" t="n">
        <v>2.813</v>
      </c>
      <c r="F177" s="804" t="s">
        <v>948</v>
      </c>
      <c r="G177" s="804" t="s">
        <v>949</v>
      </c>
      <c r="H177" s="804" t="s">
        <v>950</v>
      </c>
      <c r="I177" s="804" t="s">
        <v>35</v>
      </c>
    </row>
    <row r="178" customFormat="false" ht="129" hidden="false" customHeight="true" outlineLevel="0" collapsed="false">
      <c r="A178" s="800"/>
      <c r="B178" s="801" t="s">
        <v>669</v>
      </c>
      <c r="C178" s="802" t="n">
        <v>5.75</v>
      </c>
      <c r="D178" s="803" t="n">
        <v>3.937</v>
      </c>
      <c r="E178" s="803" t="n">
        <v>2.949</v>
      </c>
      <c r="F178" s="804" t="s">
        <v>945</v>
      </c>
      <c r="G178" s="804" t="s">
        <v>951</v>
      </c>
      <c r="H178" s="804" t="s">
        <v>947</v>
      </c>
      <c r="I178" s="804" t="s">
        <v>35</v>
      </c>
    </row>
    <row r="179" customFormat="false" ht="72" hidden="false" customHeight="true" outlineLevel="0" collapsed="false">
      <c r="A179" s="800"/>
      <c r="B179" s="801" t="s">
        <v>579</v>
      </c>
      <c r="C179" s="802" t="n">
        <v>9.93</v>
      </c>
      <c r="D179" s="803" t="n">
        <v>3.937</v>
      </c>
      <c r="E179" s="803" t="n">
        <v>2.969</v>
      </c>
      <c r="F179" s="804" t="s">
        <v>35</v>
      </c>
      <c r="G179" s="804" t="s">
        <v>35</v>
      </c>
      <c r="H179" s="804" t="s">
        <v>940</v>
      </c>
      <c r="I179" s="804" t="s">
        <v>35</v>
      </c>
    </row>
    <row r="180" customFormat="false" ht="14.25" hidden="false" customHeight="false" outlineLevel="0" collapsed="false">
      <c r="A180" s="37" t="s">
        <v>670</v>
      </c>
      <c r="B180" s="37" t="s">
        <v>506</v>
      </c>
      <c r="C180" s="216" t="n">
        <v>31</v>
      </c>
    </row>
    <row r="181" customFormat="false" ht="14.25" hidden="false" customHeight="false" outlineLevel="0" collapsed="false">
      <c r="A181" s="37" t="s">
        <v>671</v>
      </c>
      <c r="B181" s="37" t="s">
        <v>506</v>
      </c>
      <c r="C181" s="216" t="n">
        <v>31</v>
      </c>
    </row>
    <row r="182" customFormat="false" ht="14.25" hidden="false" customHeight="false" outlineLevel="0" collapsed="false">
      <c r="A182" s="37" t="s">
        <v>672</v>
      </c>
      <c r="B182" s="37" t="s">
        <v>506</v>
      </c>
      <c r="C182" s="216" t="n">
        <v>31</v>
      </c>
    </row>
    <row r="183" customFormat="false" ht="14.25" hidden="false" customHeight="false" outlineLevel="0" collapsed="false">
      <c r="A183" s="37" t="s">
        <v>673</v>
      </c>
      <c r="B183" s="37" t="s">
        <v>506</v>
      </c>
      <c r="C183" s="216" t="n">
        <v>31</v>
      </c>
    </row>
    <row r="184" customFormat="false" ht="14.25" hidden="false" customHeight="false" outlineLevel="0" collapsed="false">
      <c r="A184" s="37" t="s">
        <v>674</v>
      </c>
      <c r="B184" s="37" t="s">
        <v>506</v>
      </c>
      <c r="C184" s="216" t="n">
        <v>31</v>
      </c>
    </row>
    <row r="185" customFormat="false" ht="72" hidden="false" customHeight="true" outlineLevel="0" collapsed="false">
      <c r="A185" s="805" t="s">
        <v>675</v>
      </c>
      <c r="B185" s="806" t="s">
        <v>676</v>
      </c>
      <c r="C185" s="807" t="n">
        <v>5.08</v>
      </c>
      <c r="D185" s="808" t="n">
        <v>3.937</v>
      </c>
      <c r="E185" s="808" t="n">
        <v>2.969</v>
      </c>
      <c r="F185" s="809" t="s">
        <v>35</v>
      </c>
      <c r="G185" s="809" t="s">
        <v>35</v>
      </c>
      <c r="H185" s="809" t="s">
        <v>952</v>
      </c>
      <c r="I185" s="809" t="s">
        <v>35</v>
      </c>
    </row>
    <row r="186" customFormat="false" ht="72" hidden="false" customHeight="true" outlineLevel="0" collapsed="false">
      <c r="A186" s="805"/>
      <c r="B186" s="806" t="s">
        <v>677</v>
      </c>
      <c r="C186" s="807" t="n">
        <v>2.48</v>
      </c>
      <c r="D186" s="808" t="n">
        <v>4.5</v>
      </c>
      <c r="E186" s="808" t="n">
        <v>2.969</v>
      </c>
      <c r="F186" s="809" t="s">
        <v>35</v>
      </c>
      <c r="G186" s="809" t="s">
        <v>35</v>
      </c>
      <c r="H186" s="809" t="s">
        <v>953</v>
      </c>
      <c r="I186" s="809" t="s">
        <v>35</v>
      </c>
    </row>
    <row r="187" customFormat="false" ht="114.75" hidden="false" customHeight="true" outlineLevel="0" collapsed="false">
      <c r="A187" s="805"/>
      <c r="B187" s="806" t="s">
        <v>678</v>
      </c>
      <c r="C187" s="807" t="n">
        <v>1.9</v>
      </c>
      <c r="D187" s="808" t="n">
        <v>11</v>
      </c>
      <c r="E187" s="808" t="n">
        <v>3.9</v>
      </c>
      <c r="F187" s="809" t="s">
        <v>954</v>
      </c>
      <c r="G187" s="809" t="s">
        <v>955</v>
      </c>
      <c r="H187" s="809" t="s">
        <v>956</v>
      </c>
      <c r="I187" s="809" t="s">
        <v>35</v>
      </c>
    </row>
    <row r="188" customFormat="false" ht="86.25" hidden="false" customHeight="true" outlineLevel="0" collapsed="false">
      <c r="A188" s="805"/>
      <c r="B188" s="806" t="s">
        <v>679</v>
      </c>
      <c r="C188" s="807" t="n">
        <v>24.82</v>
      </c>
      <c r="D188" s="808" t="n">
        <v>4.937</v>
      </c>
      <c r="E188" s="808" t="n">
        <v>3.913</v>
      </c>
      <c r="F188" s="809" t="s">
        <v>35</v>
      </c>
      <c r="G188" s="809" t="s">
        <v>35</v>
      </c>
      <c r="H188" s="809" t="s">
        <v>957</v>
      </c>
      <c r="I188" s="809" t="s">
        <v>35</v>
      </c>
    </row>
    <row r="190" customFormat="false" ht="91" hidden="false" customHeight="false" outlineLevel="0" collapsed="false">
      <c r="A190" s="810" t="s">
        <v>375</v>
      </c>
      <c r="B190" s="811" t="s">
        <v>503</v>
      </c>
      <c r="C190" s="812" t="n">
        <v>0.6</v>
      </c>
      <c r="D190" s="813" t="n">
        <v>3.937</v>
      </c>
      <c r="E190" s="813" t="n">
        <v>2.949</v>
      </c>
      <c r="F190" s="814" t="s">
        <v>915</v>
      </c>
      <c r="G190" s="814" t="s">
        <v>916</v>
      </c>
      <c r="H190" s="814" t="s">
        <v>917</v>
      </c>
      <c r="I190" s="814" t="s">
        <v>35</v>
      </c>
    </row>
    <row r="191" customFormat="false" ht="76.1" hidden="false" customHeight="false" outlineLevel="0" collapsed="false">
      <c r="A191" s="810"/>
      <c r="B191" s="811" t="s">
        <v>504</v>
      </c>
      <c r="C191" s="812" t="n">
        <v>4.96</v>
      </c>
      <c r="D191" s="813" t="n">
        <v>3.937</v>
      </c>
      <c r="E191" s="813" t="n">
        <v>2.969</v>
      </c>
      <c r="F191" s="814" t="s">
        <v>35</v>
      </c>
      <c r="G191" s="814" t="s">
        <v>35</v>
      </c>
      <c r="H191" s="814" t="s">
        <v>918</v>
      </c>
      <c r="I191" s="814" t="s">
        <v>35</v>
      </c>
    </row>
    <row r="192" customFormat="false" ht="14.25" hidden="false" customHeight="false" outlineLevel="0" collapsed="false">
      <c r="A192" s="37" t="s">
        <v>505</v>
      </c>
      <c r="B192" s="37" t="s">
        <v>380</v>
      </c>
      <c r="C192" s="216" t="n">
        <v>31</v>
      </c>
    </row>
    <row r="193" customFormat="false" ht="14.25" hidden="false" customHeight="false" outlineLevel="0" collapsed="false">
      <c r="A193" s="37" t="s">
        <v>507</v>
      </c>
      <c r="B193" s="37" t="s">
        <v>380</v>
      </c>
      <c r="C193" s="216" t="n">
        <v>31</v>
      </c>
    </row>
    <row r="194" customFormat="false" ht="14.25" hidden="false" customHeight="false" outlineLevel="0" collapsed="false">
      <c r="A194" s="37" t="s">
        <v>508</v>
      </c>
      <c r="B194" s="37" t="s">
        <v>380</v>
      </c>
      <c r="C194" s="216" t="n">
        <v>31</v>
      </c>
    </row>
    <row r="195" customFormat="false" ht="14.25" hidden="false" customHeight="false" outlineLevel="0" collapsed="false">
      <c r="A195" s="37" t="s">
        <v>509</v>
      </c>
      <c r="B195" s="37" t="s">
        <v>380</v>
      </c>
      <c r="C195" s="216" t="n">
        <v>31</v>
      </c>
    </row>
    <row r="196" customFormat="false" ht="14.25" hidden="false" customHeight="false" outlineLevel="0" collapsed="false">
      <c r="A196" s="37" t="s">
        <v>510</v>
      </c>
      <c r="B196" s="37" t="s">
        <v>380</v>
      </c>
      <c r="C196" s="216" t="n">
        <v>31</v>
      </c>
    </row>
    <row r="197" customFormat="false" ht="14.25" hidden="false" customHeight="false" outlineLevel="0" collapsed="false">
      <c r="A197" s="37" t="s">
        <v>515</v>
      </c>
      <c r="B197" s="37" t="s">
        <v>380</v>
      </c>
      <c r="C197" s="216" t="n">
        <v>31</v>
      </c>
    </row>
    <row r="198" customFormat="false" ht="14.25" hidden="false" customHeight="false" outlineLevel="0" collapsed="false">
      <c r="A198" s="37" t="s">
        <v>516</v>
      </c>
      <c r="B198" s="37" t="s">
        <v>380</v>
      </c>
      <c r="C198" s="216" t="n">
        <v>31</v>
      </c>
    </row>
    <row r="199" customFormat="false" ht="14.25" hidden="false" customHeight="false" outlineLevel="0" collapsed="false">
      <c r="A199" s="37" t="s">
        <v>517</v>
      </c>
      <c r="B199" s="37" t="s">
        <v>380</v>
      </c>
      <c r="C199" s="216" t="n">
        <v>31</v>
      </c>
    </row>
    <row r="200" customFormat="false" ht="14.25" hidden="false" customHeight="false" outlineLevel="0" collapsed="false">
      <c r="A200" s="37" t="s">
        <v>518</v>
      </c>
      <c r="B200" s="37" t="s">
        <v>380</v>
      </c>
      <c r="C200" s="216" t="n">
        <v>31</v>
      </c>
    </row>
    <row r="201" customFormat="false" ht="14.25" hidden="false" customHeight="false" outlineLevel="0" collapsed="false">
      <c r="A201" s="37" t="s">
        <v>519</v>
      </c>
      <c r="B201" s="37" t="s">
        <v>380</v>
      </c>
      <c r="C201" s="216" t="n">
        <v>31</v>
      </c>
    </row>
    <row r="202" customFormat="false" ht="14.25" hidden="false" customHeight="false" outlineLevel="0" collapsed="false">
      <c r="A202" s="37" t="s">
        <v>520</v>
      </c>
      <c r="B202" s="37" t="s">
        <v>380</v>
      </c>
      <c r="C202" s="216" t="n">
        <v>31</v>
      </c>
    </row>
    <row r="203" customFormat="false" ht="14.25" hidden="false" customHeight="false" outlineLevel="0" collapsed="false">
      <c r="A203" s="37" t="s">
        <v>521</v>
      </c>
      <c r="B203" s="37" t="s">
        <v>380</v>
      </c>
      <c r="C203" s="216" t="n">
        <v>31</v>
      </c>
    </row>
    <row r="204" customFormat="false" ht="14.25" hidden="false" customHeight="false" outlineLevel="0" collapsed="false">
      <c r="A204" s="37" t="s">
        <v>522</v>
      </c>
      <c r="B204" s="37" t="s">
        <v>380</v>
      </c>
      <c r="C204" s="216" t="n">
        <v>31</v>
      </c>
    </row>
    <row r="205" customFormat="false" ht="14.25" hidden="false" customHeight="false" outlineLevel="0" collapsed="false">
      <c r="A205" s="37" t="s">
        <v>523</v>
      </c>
      <c r="B205" s="37" t="s">
        <v>380</v>
      </c>
      <c r="C205" s="216" t="n">
        <v>31</v>
      </c>
    </row>
    <row r="206" customFormat="false" ht="14.25" hidden="false" customHeight="false" outlineLevel="0" collapsed="false">
      <c r="A206" s="37" t="s">
        <v>524</v>
      </c>
      <c r="B206" s="37" t="s">
        <v>380</v>
      </c>
      <c r="C206" s="216" t="n">
        <v>31</v>
      </c>
    </row>
    <row r="207" customFormat="false" ht="14.25" hidden="false" customHeight="false" outlineLevel="0" collapsed="false">
      <c r="A207" s="37" t="s">
        <v>530</v>
      </c>
      <c r="B207" s="37" t="s">
        <v>380</v>
      </c>
      <c r="C207" s="216" t="n">
        <v>31</v>
      </c>
    </row>
    <row r="208" customFormat="false" ht="14.25" hidden="false" customHeight="false" outlineLevel="0" collapsed="false">
      <c r="A208" s="37" t="s">
        <v>531</v>
      </c>
      <c r="B208" s="37" t="s">
        <v>380</v>
      </c>
      <c r="C208" s="216" t="n">
        <v>31</v>
      </c>
    </row>
    <row r="209" customFormat="false" ht="14.25" hidden="false" customHeight="false" outlineLevel="0" collapsed="false">
      <c r="A209" s="37" t="s">
        <v>532</v>
      </c>
      <c r="B209" s="37" t="s">
        <v>380</v>
      </c>
      <c r="C209" s="216" t="n">
        <v>31</v>
      </c>
    </row>
    <row r="210" customFormat="false" ht="14.25" hidden="false" customHeight="false" outlineLevel="0" collapsed="false">
      <c r="A210" s="37" t="s">
        <v>533</v>
      </c>
      <c r="B210" s="37" t="s">
        <v>380</v>
      </c>
      <c r="C210" s="216" t="n">
        <v>31</v>
      </c>
    </row>
    <row r="211" customFormat="false" ht="14.25" hidden="false" customHeight="false" outlineLevel="0" collapsed="false">
      <c r="A211" s="37" t="s">
        <v>534</v>
      </c>
      <c r="B211" s="37" t="s">
        <v>380</v>
      </c>
      <c r="C211" s="216" t="n">
        <v>31</v>
      </c>
    </row>
    <row r="212" customFormat="false" ht="14.25" hidden="false" customHeight="false" outlineLevel="0" collapsed="false">
      <c r="A212" s="37" t="s">
        <v>535</v>
      </c>
      <c r="B212" s="37" t="s">
        <v>380</v>
      </c>
      <c r="C212" s="216" t="n">
        <v>31</v>
      </c>
    </row>
    <row r="213" customFormat="false" ht="14.25" hidden="false" customHeight="false" outlineLevel="0" collapsed="false">
      <c r="A213" s="37" t="s">
        <v>536</v>
      </c>
      <c r="B213" s="37" t="s">
        <v>380</v>
      </c>
      <c r="C213" s="216" t="n">
        <v>31</v>
      </c>
    </row>
    <row r="214" customFormat="false" ht="14.25" hidden="false" customHeight="false" outlineLevel="0" collapsed="false">
      <c r="A214" s="37" t="s">
        <v>537</v>
      </c>
      <c r="B214" s="37" t="s">
        <v>380</v>
      </c>
      <c r="C214" s="216" t="n">
        <v>31</v>
      </c>
    </row>
    <row r="215" customFormat="false" ht="14.25" hidden="false" customHeight="false" outlineLevel="0" collapsed="false">
      <c r="A215" s="37" t="s">
        <v>538</v>
      </c>
      <c r="B215" s="37" t="s">
        <v>380</v>
      </c>
      <c r="C215" s="216" t="n">
        <v>31</v>
      </c>
    </row>
    <row r="216" customFormat="false" ht="14.25" hidden="false" customHeight="false" outlineLevel="0" collapsed="false">
      <c r="A216" s="37" t="s">
        <v>539</v>
      </c>
      <c r="B216" s="37" t="s">
        <v>380</v>
      </c>
      <c r="C216" s="216" t="n">
        <v>31</v>
      </c>
    </row>
    <row r="217" customFormat="false" ht="14.25" hidden="false" customHeight="false" outlineLevel="0" collapsed="false">
      <c r="A217" s="37" t="s">
        <v>540</v>
      </c>
      <c r="B217" s="37" t="s">
        <v>380</v>
      </c>
      <c r="C217" s="216" t="n">
        <v>31</v>
      </c>
    </row>
    <row r="218" customFormat="false" ht="14.25" hidden="false" customHeight="false" outlineLevel="0" collapsed="false">
      <c r="A218" s="37" t="s">
        <v>541</v>
      </c>
      <c r="B218" s="37" t="s">
        <v>380</v>
      </c>
      <c r="C218" s="216" t="n">
        <v>31</v>
      </c>
    </row>
    <row r="219" customFormat="false" ht="14.25" hidden="false" customHeight="false" outlineLevel="0" collapsed="false">
      <c r="A219" s="37" t="s">
        <v>542</v>
      </c>
      <c r="B219" s="37" t="s">
        <v>380</v>
      </c>
      <c r="C219" s="216" t="n">
        <v>31</v>
      </c>
    </row>
    <row r="220" customFormat="false" ht="14.25" hidden="false" customHeight="false" outlineLevel="0" collapsed="false">
      <c r="A220" s="37" t="s">
        <v>543</v>
      </c>
      <c r="B220" s="37" t="s">
        <v>380</v>
      </c>
      <c r="C220" s="216" t="n">
        <v>31</v>
      </c>
    </row>
    <row r="221" customFormat="false" ht="14.25" hidden="false" customHeight="false" outlineLevel="0" collapsed="false">
      <c r="A221" s="37" t="s">
        <v>544</v>
      </c>
      <c r="B221" s="37" t="s">
        <v>380</v>
      </c>
      <c r="C221" s="216" t="n">
        <v>31</v>
      </c>
    </row>
    <row r="222" customFormat="false" ht="14.25" hidden="false" customHeight="false" outlineLevel="0" collapsed="false">
      <c r="A222" s="37" t="s">
        <v>545</v>
      </c>
      <c r="B222" s="37" t="s">
        <v>380</v>
      </c>
      <c r="C222" s="216" t="n">
        <v>31</v>
      </c>
    </row>
    <row r="223" customFormat="false" ht="14.25" hidden="false" customHeight="false" outlineLevel="0" collapsed="false">
      <c r="A223" s="37" t="s">
        <v>546</v>
      </c>
      <c r="B223" s="37" t="s">
        <v>380</v>
      </c>
      <c r="C223" s="216" t="n">
        <v>31</v>
      </c>
    </row>
    <row r="224" customFormat="false" ht="14.25" hidden="false" customHeight="false" outlineLevel="0" collapsed="false">
      <c r="A224" s="37" t="s">
        <v>547</v>
      </c>
      <c r="B224" s="37" t="s">
        <v>380</v>
      </c>
      <c r="C224" s="216" t="n">
        <v>31</v>
      </c>
    </row>
    <row r="225" customFormat="false" ht="14.25" hidden="false" customHeight="false" outlineLevel="0" collapsed="false">
      <c r="A225" s="37" t="s">
        <v>548</v>
      </c>
      <c r="B225" s="37" t="s">
        <v>380</v>
      </c>
      <c r="C225" s="216" t="n">
        <v>31</v>
      </c>
    </row>
    <row r="226" customFormat="false" ht="14.25" hidden="false" customHeight="false" outlineLevel="0" collapsed="false">
      <c r="A226" s="37" t="s">
        <v>549</v>
      </c>
      <c r="B226" s="37" t="s">
        <v>380</v>
      </c>
      <c r="C226" s="216" t="n">
        <v>31</v>
      </c>
    </row>
    <row r="227" customFormat="false" ht="14.25" hidden="false" customHeight="false" outlineLevel="0" collapsed="false">
      <c r="A227" s="37" t="s">
        <v>550</v>
      </c>
      <c r="B227" s="37" t="s">
        <v>380</v>
      </c>
      <c r="C227" s="216" t="n">
        <v>31</v>
      </c>
    </row>
    <row r="228" customFormat="false" ht="14.25" hidden="false" customHeight="false" outlineLevel="0" collapsed="false">
      <c r="A228" s="37" t="s">
        <v>551</v>
      </c>
      <c r="B228" s="37" t="s">
        <v>380</v>
      </c>
      <c r="C228" s="216" t="n">
        <v>31</v>
      </c>
    </row>
    <row r="229" customFormat="false" ht="14.25" hidden="false" customHeight="false" outlineLevel="0" collapsed="false">
      <c r="A229" s="37" t="s">
        <v>557</v>
      </c>
      <c r="B229" s="37" t="s">
        <v>380</v>
      </c>
      <c r="C229" s="216" t="n">
        <v>31</v>
      </c>
    </row>
    <row r="230" customFormat="false" ht="14.25" hidden="false" customHeight="false" outlineLevel="0" collapsed="false">
      <c r="A230" s="37" t="s">
        <v>558</v>
      </c>
      <c r="B230" s="37" t="s">
        <v>380</v>
      </c>
      <c r="C230" s="216" t="n">
        <v>31</v>
      </c>
    </row>
    <row r="231" customFormat="false" ht="14.25" hidden="false" customHeight="false" outlineLevel="0" collapsed="false">
      <c r="A231" s="37" t="s">
        <v>559</v>
      </c>
      <c r="B231" s="37" t="s">
        <v>380</v>
      </c>
      <c r="C231" s="216" t="n">
        <v>31</v>
      </c>
    </row>
    <row r="232" customFormat="false" ht="14.25" hidden="false" customHeight="false" outlineLevel="0" collapsed="false">
      <c r="A232" s="37" t="s">
        <v>560</v>
      </c>
      <c r="B232" s="37" t="s">
        <v>380</v>
      </c>
      <c r="C232" s="216" t="n">
        <v>31</v>
      </c>
    </row>
    <row r="233" customFormat="false" ht="14.25" hidden="false" customHeight="false" outlineLevel="0" collapsed="false">
      <c r="A233" s="37" t="s">
        <v>561</v>
      </c>
      <c r="B233" s="37" t="s">
        <v>380</v>
      </c>
      <c r="C233" s="216" t="n">
        <v>31</v>
      </c>
    </row>
    <row r="234" customFormat="false" ht="14.25" hidden="false" customHeight="false" outlineLevel="0" collapsed="false">
      <c r="A234" s="37" t="s">
        <v>562</v>
      </c>
      <c r="B234" s="37" t="s">
        <v>380</v>
      </c>
      <c r="C234" s="216" t="n">
        <v>31</v>
      </c>
    </row>
    <row r="235" customFormat="false" ht="14.25" hidden="false" customHeight="false" outlineLevel="0" collapsed="false">
      <c r="A235" s="37" t="s">
        <v>563</v>
      </c>
      <c r="B235" s="37" t="s">
        <v>380</v>
      </c>
      <c r="C235" s="216" t="n">
        <v>31</v>
      </c>
    </row>
    <row r="236" customFormat="false" ht="14.25" hidden="false" customHeight="false" outlineLevel="0" collapsed="false">
      <c r="A236" s="37" t="s">
        <v>564</v>
      </c>
      <c r="B236" s="37" t="s">
        <v>380</v>
      </c>
      <c r="C236" s="216" t="n">
        <v>31</v>
      </c>
    </row>
    <row r="237" customFormat="false" ht="14.25" hidden="false" customHeight="false" outlineLevel="0" collapsed="false">
      <c r="A237" s="37" t="s">
        <v>565</v>
      </c>
      <c r="B237" s="37" t="s">
        <v>380</v>
      </c>
      <c r="C237" s="216" t="n">
        <v>31</v>
      </c>
    </row>
    <row r="238" customFormat="false" ht="14.25" hidden="false" customHeight="false" outlineLevel="0" collapsed="false">
      <c r="A238" s="37" t="s">
        <v>566</v>
      </c>
      <c r="B238" s="37" t="s">
        <v>380</v>
      </c>
      <c r="C238" s="216" t="n">
        <v>31</v>
      </c>
    </row>
    <row r="239" customFormat="false" ht="14.25" hidden="false" customHeight="false" outlineLevel="0" collapsed="false">
      <c r="A239" s="37" t="s">
        <v>567</v>
      </c>
      <c r="B239" s="37" t="s">
        <v>380</v>
      </c>
      <c r="C239" s="216" t="n">
        <v>31</v>
      </c>
    </row>
    <row r="240" customFormat="false" ht="14.25" hidden="false" customHeight="false" outlineLevel="0" collapsed="false">
      <c r="A240" s="37" t="s">
        <v>568</v>
      </c>
      <c r="B240" s="37" t="s">
        <v>380</v>
      </c>
      <c r="C240" s="216" t="n">
        <v>31</v>
      </c>
    </row>
    <row r="241" customFormat="false" ht="14.25" hidden="false" customHeight="false" outlineLevel="0" collapsed="false">
      <c r="A241" s="37" t="s">
        <v>569</v>
      </c>
      <c r="B241" s="37" t="s">
        <v>380</v>
      </c>
      <c r="C241" s="216" t="n">
        <v>31</v>
      </c>
    </row>
    <row r="242" customFormat="false" ht="14.25" hidden="false" customHeight="false" outlineLevel="0" collapsed="false">
      <c r="A242" s="37" t="s">
        <v>570</v>
      </c>
      <c r="B242" s="37" t="s">
        <v>380</v>
      </c>
      <c r="C242" s="216" t="n">
        <v>31</v>
      </c>
    </row>
    <row r="243" customFormat="false" ht="14.25" hidden="false" customHeight="false" outlineLevel="0" collapsed="false">
      <c r="A243" s="37" t="s">
        <v>571</v>
      </c>
      <c r="B243" s="37" t="s">
        <v>380</v>
      </c>
      <c r="C243" s="216" t="n">
        <v>31</v>
      </c>
    </row>
    <row r="244" customFormat="false" ht="14.25" hidden="false" customHeight="false" outlineLevel="0" collapsed="false">
      <c r="A244" s="37" t="s">
        <v>572</v>
      </c>
      <c r="B244" s="37" t="s">
        <v>380</v>
      </c>
      <c r="C244" s="216" t="n">
        <v>31</v>
      </c>
    </row>
    <row r="245" customFormat="false" ht="14.25" hidden="false" customHeight="false" outlineLevel="0" collapsed="false">
      <c r="A245" s="37" t="s">
        <v>573</v>
      </c>
      <c r="B245" s="37" t="s">
        <v>380</v>
      </c>
      <c r="C245" s="216" t="n">
        <v>31</v>
      </c>
    </row>
    <row r="246" customFormat="false" ht="14.25" hidden="false" customHeight="false" outlineLevel="0" collapsed="false">
      <c r="A246" s="37" t="s">
        <v>574</v>
      </c>
      <c r="B246" s="37" t="s">
        <v>380</v>
      </c>
      <c r="C246" s="216" t="n">
        <v>31</v>
      </c>
    </row>
    <row r="247" customFormat="false" ht="14.25" hidden="false" customHeight="false" outlineLevel="0" collapsed="false">
      <c r="A247" s="37" t="s">
        <v>575</v>
      </c>
      <c r="B247" s="37" t="s">
        <v>380</v>
      </c>
      <c r="C247" s="216" t="n">
        <v>31</v>
      </c>
    </row>
    <row r="248" customFormat="false" ht="14.25" hidden="false" customHeight="false" outlineLevel="0" collapsed="false">
      <c r="A248" s="37" t="s">
        <v>576</v>
      </c>
      <c r="B248" s="37" t="s">
        <v>380</v>
      </c>
      <c r="C248" s="216" t="n">
        <v>31</v>
      </c>
    </row>
    <row r="249" customFormat="false" ht="14.25" hidden="false" customHeight="false" outlineLevel="0" collapsed="false">
      <c r="A249" s="37" t="s">
        <v>580</v>
      </c>
      <c r="B249" s="37" t="s">
        <v>380</v>
      </c>
      <c r="C249" s="216" t="n">
        <v>31</v>
      </c>
    </row>
    <row r="250" customFormat="false" ht="14.25" hidden="false" customHeight="false" outlineLevel="0" collapsed="false">
      <c r="A250" s="37" t="s">
        <v>581</v>
      </c>
      <c r="B250" s="37" t="s">
        <v>380</v>
      </c>
      <c r="C250" s="216" t="n">
        <v>31</v>
      </c>
    </row>
    <row r="251" customFormat="false" ht="14.25" hidden="false" customHeight="false" outlineLevel="0" collapsed="false">
      <c r="A251" s="37" t="s">
        <v>582</v>
      </c>
      <c r="B251" s="37" t="s">
        <v>380</v>
      </c>
      <c r="C251" s="216" t="n">
        <v>31</v>
      </c>
    </row>
    <row r="252" customFormat="false" ht="14.25" hidden="false" customHeight="false" outlineLevel="0" collapsed="false">
      <c r="A252" s="37" t="s">
        <v>583</v>
      </c>
      <c r="B252" s="37" t="s">
        <v>380</v>
      </c>
      <c r="C252" s="216" t="n">
        <v>31</v>
      </c>
    </row>
    <row r="253" customFormat="false" ht="14.25" hidden="false" customHeight="false" outlineLevel="0" collapsed="false">
      <c r="A253" s="37" t="s">
        <v>584</v>
      </c>
      <c r="B253" s="37" t="s">
        <v>380</v>
      </c>
      <c r="C253" s="216" t="n">
        <v>31</v>
      </c>
    </row>
    <row r="254" customFormat="false" ht="14.25" hidden="false" customHeight="false" outlineLevel="0" collapsed="false">
      <c r="A254" s="37" t="s">
        <v>585</v>
      </c>
      <c r="B254" s="37" t="s">
        <v>380</v>
      </c>
      <c r="C254" s="216" t="n">
        <v>31</v>
      </c>
    </row>
    <row r="255" customFormat="false" ht="14.25" hidden="false" customHeight="false" outlineLevel="0" collapsed="false">
      <c r="A255" s="37" t="s">
        <v>586</v>
      </c>
      <c r="B255" s="37" t="s">
        <v>380</v>
      </c>
      <c r="C255" s="216" t="n">
        <v>31</v>
      </c>
    </row>
    <row r="256" customFormat="false" ht="14.25" hidden="false" customHeight="false" outlineLevel="0" collapsed="false">
      <c r="A256" s="37" t="s">
        <v>587</v>
      </c>
      <c r="B256" s="37" t="s">
        <v>380</v>
      </c>
      <c r="C256" s="216" t="n">
        <v>31</v>
      </c>
    </row>
    <row r="257" customFormat="false" ht="14.25" hidden="false" customHeight="false" outlineLevel="0" collapsed="false">
      <c r="A257" s="37" t="s">
        <v>588</v>
      </c>
      <c r="B257" s="37" t="s">
        <v>380</v>
      </c>
      <c r="C257" s="216" t="n">
        <v>31</v>
      </c>
    </row>
    <row r="258" customFormat="false" ht="76.1" hidden="false" customHeight="false" outlineLevel="0" collapsed="false">
      <c r="A258" s="815" t="s">
        <v>511</v>
      </c>
      <c r="B258" s="816" t="s">
        <v>512</v>
      </c>
      <c r="C258" s="817" t="n">
        <v>5.18</v>
      </c>
      <c r="D258" s="818" t="n">
        <v>3.908</v>
      </c>
      <c r="E258" s="818" t="n">
        <v>2.959</v>
      </c>
      <c r="F258" s="819" t="s">
        <v>35</v>
      </c>
      <c r="G258" s="819" t="s">
        <v>35</v>
      </c>
      <c r="H258" s="819" t="s">
        <v>918</v>
      </c>
      <c r="I258" s="819" t="s">
        <v>35</v>
      </c>
    </row>
    <row r="259" customFormat="false" ht="135.8" hidden="false" customHeight="false" outlineLevel="0" collapsed="false">
      <c r="A259" s="815"/>
      <c r="B259" s="816" t="s">
        <v>513</v>
      </c>
      <c r="C259" s="817" t="n">
        <v>30.88</v>
      </c>
      <c r="D259" s="818" t="n">
        <v>5.7</v>
      </c>
      <c r="E259" s="818" t="n">
        <v>2.953</v>
      </c>
      <c r="F259" s="819" t="s">
        <v>919</v>
      </c>
      <c r="G259" s="819" t="s">
        <v>920</v>
      </c>
      <c r="H259" s="819" t="s">
        <v>921</v>
      </c>
      <c r="I259" s="819" t="s">
        <v>35</v>
      </c>
    </row>
    <row r="260" customFormat="false" ht="76.1" hidden="false" customHeight="false" outlineLevel="0" collapsed="false">
      <c r="A260" s="815"/>
      <c r="B260" s="816" t="s">
        <v>514</v>
      </c>
      <c r="C260" s="817" t="n">
        <v>2.78</v>
      </c>
      <c r="D260" s="818" t="n">
        <v>3.937</v>
      </c>
      <c r="E260" s="818" t="n">
        <v>2.969</v>
      </c>
      <c r="F260" s="819" t="s">
        <v>35</v>
      </c>
      <c r="G260" s="819" t="s">
        <v>35</v>
      </c>
      <c r="H260" s="819" t="s">
        <v>922</v>
      </c>
      <c r="I260" s="819" t="s">
        <v>35</v>
      </c>
    </row>
    <row r="261" customFormat="false" ht="14.25" hidden="false" customHeight="false" outlineLevel="0" collapsed="false">
      <c r="A261" s="37" t="s">
        <v>589</v>
      </c>
      <c r="B261" s="37" t="s">
        <v>380</v>
      </c>
      <c r="C261" s="216" t="n">
        <v>31</v>
      </c>
    </row>
    <row r="262" customFormat="false" ht="14.25" hidden="false" customHeight="false" outlineLevel="0" collapsed="false">
      <c r="A262" s="37" t="s">
        <v>590</v>
      </c>
      <c r="B262" s="37" t="s">
        <v>380</v>
      </c>
      <c r="C262" s="216" t="n">
        <v>31</v>
      </c>
    </row>
    <row r="263" customFormat="false" ht="14.25" hidden="false" customHeight="false" outlineLevel="0" collapsed="false">
      <c r="A263" s="37" t="s">
        <v>591</v>
      </c>
      <c r="B263" s="37" t="s">
        <v>380</v>
      </c>
      <c r="C263" s="216" t="n">
        <v>31</v>
      </c>
    </row>
    <row r="264" customFormat="false" ht="14.25" hidden="false" customHeight="false" outlineLevel="0" collapsed="false">
      <c r="A264" s="37" t="s">
        <v>592</v>
      </c>
      <c r="B264" s="37" t="s">
        <v>380</v>
      </c>
      <c r="C264" s="216" t="n">
        <v>31</v>
      </c>
    </row>
    <row r="265" customFormat="false" ht="14.25" hidden="false" customHeight="false" outlineLevel="0" collapsed="false">
      <c r="A265" s="37" t="s">
        <v>593</v>
      </c>
      <c r="B265" s="37" t="s">
        <v>380</v>
      </c>
      <c r="C265" s="216" t="n">
        <v>31</v>
      </c>
    </row>
    <row r="266" customFormat="false" ht="14.25" hidden="false" customHeight="false" outlineLevel="0" collapsed="false">
      <c r="A266" s="37" t="s">
        <v>594</v>
      </c>
      <c r="B266" s="37" t="s">
        <v>380</v>
      </c>
      <c r="C266" s="216" t="n">
        <v>31</v>
      </c>
    </row>
    <row r="267" customFormat="false" ht="14.25" hidden="false" customHeight="false" outlineLevel="0" collapsed="false">
      <c r="A267" s="37" t="s">
        <v>595</v>
      </c>
      <c r="B267" s="37" t="s">
        <v>380</v>
      </c>
      <c r="C267" s="216" t="n">
        <v>31</v>
      </c>
    </row>
    <row r="268" customFormat="false" ht="14.25" hidden="false" customHeight="false" outlineLevel="0" collapsed="false">
      <c r="A268" s="37" t="s">
        <v>596</v>
      </c>
      <c r="B268" s="37" t="s">
        <v>380</v>
      </c>
      <c r="C268" s="216" t="n">
        <v>31</v>
      </c>
    </row>
    <row r="269" customFormat="false" ht="14.25" hidden="false" customHeight="false" outlineLevel="0" collapsed="false">
      <c r="A269" s="37" t="s">
        <v>597</v>
      </c>
      <c r="B269" s="37" t="s">
        <v>380</v>
      </c>
      <c r="C269" s="216" t="n">
        <v>31</v>
      </c>
    </row>
    <row r="270" customFormat="false" ht="14.25" hidden="false" customHeight="false" outlineLevel="0" collapsed="false">
      <c r="A270" s="37" t="s">
        <v>598</v>
      </c>
      <c r="B270" s="37" t="s">
        <v>380</v>
      </c>
      <c r="C270" s="216" t="n">
        <v>31</v>
      </c>
    </row>
    <row r="271" customFormat="false" ht="14.25" hidden="false" customHeight="false" outlineLevel="0" collapsed="false">
      <c r="A271" s="37" t="s">
        <v>599</v>
      </c>
      <c r="B271" s="37" t="s">
        <v>380</v>
      </c>
      <c r="C271" s="216" t="n">
        <v>31</v>
      </c>
    </row>
    <row r="272" customFormat="false" ht="14.25" hidden="false" customHeight="false" outlineLevel="0" collapsed="false">
      <c r="A272" s="37" t="s">
        <v>602</v>
      </c>
      <c r="B272" s="37" t="s">
        <v>380</v>
      </c>
      <c r="C272" s="216" t="n">
        <v>31</v>
      </c>
    </row>
    <row r="273" customFormat="false" ht="14.25" hidden="false" customHeight="false" outlineLevel="0" collapsed="false">
      <c r="A273" s="37" t="s">
        <v>603</v>
      </c>
      <c r="B273" s="37" t="s">
        <v>380</v>
      </c>
      <c r="C273" s="216" t="n">
        <v>31</v>
      </c>
    </row>
    <row r="274" customFormat="false" ht="14.25" hidden="false" customHeight="false" outlineLevel="0" collapsed="false">
      <c r="A274" s="37" t="s">
        <v>604</v>
      </c>
      <c r="B274" s="37" t="s">
        <v>380</v>
      </c>
      <c r="C274" s="216" t="n">
        <v>31</v>
      </c>
    </row>
    <row r="275" customFormat="false" ht="14.25" hidden="false" customHeight="false" outlineLevel="0" collapsed="false">
      <c r="A275" s="37" t="s">
        <v>605</v>
      </c>
      <c r="B275" s="37" t="s">
        <v>380</v>
      </c>
      <c r="C275" s="216" t="n">
        <v>31</v>
      </c>
    </row>
    <row r="276" customFormat="false" ht="14.25" hidden="false" customHeight="false" outlineLevel="0" collapsed="false">
      <c r="A276" s="37" t="s">
        <v>606</v>
      </c>
      <c r="B276" s="37" t="s">
        <v>380</v>
      </c>
      <c r="C276" s="216" t="n">
        <v>31</v>
      </c>
    </row>
    <row r="277" customFormat="false" ht="14.25" hidden="false" customHeight="false" outlineLevel="0" collapsed="false">
      <c r="A277" s="37" t="s">
        <v>607</v>
      </c>
      <c r="B277" s="37" t="s">
        <v>380</v>
      </c>
      <c r="C277" s="216" t="n">
        <v>31</v>
      </c>
    </row>
    <row r="278" customFormat="false" ht="14.25" hidden="false" customHeight="false" outlineLevel="0" collapsed="false">
      <c r="A278" s="37" t="s">
        <v>608</v>
      </c>
      <c r="B278" s="37" t="s">
        <v>380</v>
      </c>
      <c r="C278" s="216" t="n">
        <v>31</v>
      </c>
    </row>
    <row r="279" customFormat="false" ht="14.25" hidden="false" customHeight="false" outlineLevel="0" collapsed="false">
      <c r="A279" s="37" t="s">
        <v>609</v>
      </c>
      <c r="B279" s="37" t="s">
        <v>380</v>
      </c>
      <c r="C279" s="216" t="n">
        <v>31</v>
      </c>
    </row>
    <row r="280" customFormat="false" ht="14.25" hidden="false" customHeight="false" outlineLevel="0" collapsed="false">
      <c r="A280" s="37" t="s">
        <v>610</v>
      </c>
      <c r="B280" s="37" t="s">
        <v>380</v>
      </c>
      <c r="C280" s="216" t="n">
        <v>31</v>
      </c>
    </row>
    <row r="281" customFormat="false" ht="14.25" hidden="false" customHeight="false" outlineLevel="0" collapsed="false">
      <c r="A281" s="37" t="s">
        <v>611</v>
      </c>
      <c r="B281" s="37" t="s">
        <v>380</v>
      </c>
      <c r="C281" s="216" t="n">
        <v>31</v>
      </c>
    </row>
    <row r="282" customFormat="false" ht="14.25" hidden="false" customHeight="false" outlineLevel="0" collapsed="false">
      <c r="A282" s="37" t="s">
        <v>612</v>
      </c>
      <c r="B282" s="37" t="s">
        <v>380</v>
      </c>
      <c r="C282" s="216" t="n">
        <v>31</v>
      </c>
    </row>
    <row r="283" customFormat="false" ht="14.25" hidden="false" customHeight="false" outlineLevel="0" collapsed="false">
      <c r="A283" s="37" t="s">
        <v>613</v>
      </c>
      <c r="B283" s="37" t="s">
        <v>380</v>
      </c>
      <c r="C283" s="216" t="n">
        <v>31</v>
      </c>
    </row>
    <row r="284" customFormat="false" ht="14.25" hidden="false" customHeight="false" outlineLevel="0" collapsed="false">
      <c r="A284" s="37" t="s">
        <v>614</v>
      </c>
      <c r="B284" s="37" t="s">
        <v>380</v>
      </c>
      <c r="C284" s="216" t="n">
        <v>31</v>
      </c>
    </row>
    <row r="285" customFormat="false" ht="14.25" hidden="false" customHeight="false" outlineLevel="0" collapsed="false">
      <c r="A285" s="37" t="s">
        <v>615</v>
      </c>
      <c r="B285" s="37" t="s">
        <v>380</v>
      </c>
      <c r="C285" s="216" t="n">
        <v>31</v>
      </c>
    </row>
    <row r="286" customFormat="false" ht="14.25" hidden="false" customHeight="false" outlineLevel="0" collapsed="false">
      <c r="A286" s="37" t="s">
        <v>616</v>
      </c>
      <c r="B286" s="37" t="s">
        <v>380</v>
      </c>
      <c r="C286" s="216" t="n">
        <v>31</v>
      </c>
    </row>
    <row r="287" customFormat="false" ht="14.25" hidden="false" customHeight="false" outlineLevel="0" collapsed="false">
      <c r="A287" s="37" t="s">
        <v>617</v>
      </c>
      <c r="B287" s="37" t="s">
        <v>380</v>
      </c>
      <c r="C287" s="216" t="n">
        <v>31</v>
      </c>
    </row>
    <row r="288" customFormat="false" ht="14.25" hidden="false" customHeight="false" outlineLevel="0" collapsed="false">
      <c r="A288" s="37" t="s">
        <v>618</v>
      </c>
      <c r="B288" s="37" t="s">
        <v>380</v>
      </c>
      <c r="C288" s="216" t="n">
        <v>31</v>
      </c>
    </row>
    <row r="289" customFormat="false" ht="14.25" hidden="false" customHeight="false" outlineLevel="0" collapsed="false">
      <c r="A289" s="37" t="s">
        <v>619</v>
      </c>
      <c r="B289" s="37" t="s">
        <v>380</v>
      </c>
      <c r="C289" s="216" t="n">
        <v>31</v>
      </c>
    </row>
    <row r="290" customFormat="false" ht="14.25" hidden="false" customHeight="false" outlineLevel="0" collapsed="false">
      <c r="A290" s="37" t="s">
        <v>620</v>
      </c>
      <c r="B290" s="37" t="s">
        <v>380</v>
      </c>
      <c r="C290" s="216" t="n">
        <v>31</v>
      </c>
    </row>
    <row r="291" customFormat="false" ht="14.25" hidden="false" customHeight="false" outlineLevel="0" collapsed="false">
      <c r="A291" s="37" t="s">
        <v>621</v>
      </c>
      <c r="B291" s="37" t="s">
        <v>380</v>
      </c>
      <c r="C291" s="216" t="n">
        <v>31</v>
      </c>
    </row>
    <row r="292" customFormat="false" ht="14.25" hidden="false" customHeight="false" outlineLevel="0" collapsed="false">
      <c r="A292" s="37" t="s">
        <v>623</v>
      </c>
      <c r="B292" s="37" t="s">
        <v>380</v>
      </c>
      <c r="C292" s="216" t="n">
        <v>31</v>
      </c>
    </row>
    <row r="293" customFormat="false" ht="14.25" hidden="false" customHeight="false" outlineLevel="0" collapsed="false">
      <c r="A293" s="37" t="s">
        <v>624</v>
      </c>
      <c r="B293" s="37" t="s">
        <v>380</v>
      </c>
      <c r="C293" s="216" t="n">
        <v>31</v>
      </c>
    </row>
    <row r="294" customFormat="false" ht="14.25" hidden="false" customHeight="false" outlineLevel="0" collapsed="false">
      <c r="A294" s="37" t="s">
        <v>625</v>
      </c>
      <c r="B294" s="37" t="s">
        <v>380</v>
      </c>
      <c r="C294" s="216" t="n">
        <v>31</v>
      </c>
    </row>
    <row r="295" customFormat="false" ht="14.25" hidden="false" customHeight="false" outlineLevel="0" collapsed="false">
      <c r="A295" s="37" t="s">
        <v>626</v>
      </c>
      <c r="B295" s="37" t="s">
        <v>380</v>
      </c>
      <c r="C295" s="216" t="n">
        <v>31</v>
      </c>
    </row>
    <row r="296" customFormat="false" ht="14.25" hidden="false" customHeight="false" outlineLevel="0" collapsed="false">
      <c r="A296" s="37" t="s">
        <v>627</v>
      </c>
      <c r="B296" s="37" t="s">
        <v>380</v>
      </c>
      <c r="C296" s="216" t="n">
        <v>31</v>
      </c>
    </row>
    <row r="297" customFormat="false" ht="14.25" hidden="false" customHeight="false" outlineLevel="0" collapsed="false">
      <c r="A297" s="37" t="s">
        <v>628</v>
      </c>
      <c r="B297" s="37" t="s">
        <v>380</v>
      </c>
      <c r="C297" s="216" t="n">
        <v>31</v>
      </c>
    </row>
    <row r="298" customFormat="false" ht="14.25" hidden="false" customHeight="false" outlineLevel="0" collapsed="false">
      <c r="A298" s="37" t="s">
        <v>629</v>
      </c>
      <c r="B298" s="37" t="s">
        <v>380</v>
      </c>
      <c r="C298" s="216" t="n">
        <v>31</v>
      </c>
    </row>
    <row r="299" customFormat="false" ht="14.25" hidden="false" customHeight="false" outlineLevel="0" collapsed="false">
      <c r="A299" s="37" t="s">
        <v>630</v>
      </c>
      <c r="B299" s="37" t="s">
        <v>380</v>
      </c>
      <c r="C299" s="216" t="n">
        <v>31</v>
      </c>
    </row>
    <row r="300" customFormat="false" ht="14.25" hidden="false" customHeight="false" outlineLevel="0" collapsed="false">
      <c r="A300" s="37" t="s">
        <v>631</v>
      </c>
      <c r="B300" s="37" t="s">
        <v>380</v>
      </c>
      <c r="C300" s="216" t="n">
        <v>31</v>
      </c>
    </row>
    <row r="301" customFormat="false" ht="14.25" hidden="false" customHeight="false" outlineLevel="0" collapsed="false">
      <c r="A301" s="37" t="s">
        <v>632</v>
      </c>
      <c r="B301" s="37" t="s">
        <v>380</v>
      </c>
      <c r="C301" s="216" t="n">
        <v>31</v>
      </c>
    </row>
    <row r="302" customFormat="false" ht="14.25" hidden="false" customHeight="false" outlineLevel="0" collapsed="false">
      <c r="A302" s="37" t="s">
        <v>633</v>
      </c>
      <c r="B302" s="37" t="s">
        <v>380</v>
      </c>
      <c r="C302" s="216" t="n">
        <v>31</v>
      </c>
    </row>
    <row r="303" customFormat="false" ht="14.25" hidden="false" customHeight="false" outlineLevel="0" collapsed="false">
      <c r="A303" s="37" t="s">
        <v>634</v>
      </c>
      <c r="B303" s="37" t="s">
        <v>380</v>
      </c>
      <c r="C303" s="216" t="n">
        <v>31</v>
      </c>
    </row>
    <row r="304" customFormat="false" ht="14.25" hidden="false" customHeight="false" outlineLevel="0" collapsed="false">
      <c r="A304" s="37" t="s">
        <v>635</v>
      </c>
      <c r="B304" s="37" t="s">
        <v>380</v>
      </c>
      <c r="C304" s="216" t="n">
        <v>31</v>
      </c>
    </row>
    <row r="305" customFormat="false" ht="14.25" hidden="false" customHeight="false" outlineLevel="0" collapsed="false">
      <c r="A305" s="37" t="s">
        <v>636</v>
      </c>
      <c r="B305" s="37" t="s">
        <v>380</v>
      </c>
      <c r="C305" s="216" t="n">
        <v>31</v>
      </c>
    </row>
    <row r="306" customFormat="false" ht="14.25" hidden="false" customHeight="false" outlineLevel="0" collapsed="false">
      <c r="A306" s="37" t="s">
        <v>637</v>
      </c>
      <c r="B306" s="37" t="s">
        <v>380</v>
      </c>
      <c r="C306" s="216" t="n">
        <v>31</v>
      </c>
    </row>
    <row r="307" customFormat="false" ht="14.25" hidden="false" customHeight="false" outlineLevel="0" collapsed="false">
      <c r="A307" s="37" t="s">
        <v>638</v>
      </c>
      <c r="B307" s="37" t="s">
        <v>380</v>
      </c>
      <c r="C307" s="216" t="n">
        <v>31</v>
      </c>
    </row>
    <row r="308" customFormat="false" ht="14.25" hidden="false" customHeight="false" outlineLevel="0" collapsed="false">
      <c r="A308" s="37" t="s">
        <v>639</v>
      </c>
      <c r="B308" s="37" t="s">
        <v>380</v>
      </c>
      <c r="C308" s="216" t="n">
        <v>31</v>
      </c>
    </row>
    <row r="309" customFormat="false" ht="14.25" hidden="false" customHeight="false" outlineLevel="0" collapsed="false">
      <c r="A309" s="37" t="s">
        <v>640</v>
      </c>
      <c r="B309" s="37" t="s">
        <v>380</v>
      </c>
      <c r="C309" s="216" t="n">
        <v>31</v>
      </c>
    </row>
    <row r="310" customFormat="false" ht="14.25" hidden="false" customHeight="false" outlineLevel="0" collapsed="false">
      <c r="A310" s="37" t="s">
        <v>641</v>
      </c>
      <c r="B310" s="37" t="s">
        <v>380</v>
      </c>
      <c r="C310" s="216" t="n">
        <v>31</v>
      </c>
    </row>
    <row r="311" customFormat="false" ht="14.25" hidden="false" customHeight="false" outlineLevel="0" collapsed="false">
      <c r="A311" s="37" t="s">
        <v>642</v>
      </c>
      <c r="B311" s="37" t="s">
        <v>380</v>
      </c>
      <c r="C311" s="216" t="n">
        <v>31</v>
      </c>
    </row>
    <row r="312" customFormat="false" ht="14.25" hidden="false" customHeight="false" outlineLevel="0" collapsed="false">
      <c r="A312" s="37" t="s">
        <v>645</v>
      </c>
      <c r="B312" s="37" t="s">
        <v>380</v>
      </c>
      <c r="C312" s="216" t="n">
        <v>31</v>
      </c>
    </row>
    <row r="313" customFormat="false" ht="14.25" hidden="false" customHeight="false" outlineLevel="0" collapsed="false">
      <c r="A313" s="37" t="s">
        <v>646</v>
      </c>
      <c r="B313" s="37" t="s">
        <v>380</v>
      </c>
      <c r="C313" s="216" t="n">
        <v>31</v>
      </c>
    </row>
    <row r="314" customFormat="false" ht="14.25" hidden="false" customHeight="false" outlineLevel="0" collapsed="false">
      <c r="A314" s="37" t="s">
        <v>647</v>
      </c>
      <c r="B314" s="37" t="s">
        <v>380</v>
      </c>
      <c r="C314" s="216" t="n">
        <v>31</v>
      </c>
    </row>
    <row r="315" customFormat="false" ht="14.25" hidden="false" customHeight="false" outlineLevel="0" collapsed="false">
      <c r="A315" s="37" t="s">
        <v>648</v>
      </c>
      <c r="B315" s="37" t="s">
        <v>380</v>
      </c>
      <c r="C315" s="216" t="n">
        <v>31</v>
      </c>
    </row>
    <row r="316" customFormat="false" ht="14.25" hidden="false" customHeight="false" outlineLevel="0" collapsed="false">
      <c r="A316" s="37" t="s">
        <v>650</v>
      </c>
      <c r="B316" s="37" t="s">
        <v>380</v>
      </c>
      <c r="C316" s="216" t="n">
        <v>31</v>
      </c>
    </row>
    <row r="317" customFormat="false" ht="14.25" hidden="false" customHeight="false" outlineLevel="0" collapsed="false">
      <c r="A317" s="37" t="s">
        <v>651</v>
      </c>
      <c r="B317" s="37" t="s">
        <v>380</v>
      </c>
      <c r="C317" s="216" t="n">
        <v>31</v>
      </c>
    </row>
    <row r="318" customFormat="false" ht="14.25" hidden="false" customHeight="false" outlineLevel="0" collapsed="false">
      <c r="A318" s="37" t="s">
        <v>652</v>
      </c>
      <c r="B318" s="37" t="s">
        <v>380</v>
      </c>
      <c r="C318" s="216" t="n">
        <v>31</v>
      </c>
    </row>
    <row r="319" customFormat="false" ht="14.25" hidden="false" customHeight="false" outlineLevel="0" collapsed="false">
      <c r="A319" s="37" t="s">
        <v>653</v>
      </c>
      <c r="B319" s="37" t="s">
        <v>380</v>
      </c>
      <c r="C319" s="216" t="n">
        <v>31</v>
      </c>
    </row>
    <row r="320" customFormat="false" ht="14.25" hidden="false" customHeight="false" outlineLevel="0" collapsed="false">
      <c r="A320" s="37" t="s">
        <v>654</v>
      </c>
      <c r="B320" s="37" t="s">
        <v>380</v>
      </c>
      <c r="C320" s="216" t="n">
        <v>31</v>
      </c>
    </row>
    <row r="321" customFormat="false" ht="14.25" hidden="false" customHeight="false" outlineLevel="0" collapsed="false">
      <c r="A321" s="37" t="s">
        <v>656</v>
      </c>
      <c r="B321" s="37" t="s">
        <v>380</v>
      </c>
      <c r="C321" s="216" t="n">
        <v>31</v>
      </c>
    </row>
    <row r="322" customFormat="false" ht="14.25" hidden="false" customHeight="false" outlineLevel="0" collapsed="false">
      <c r="A322" s="37" t="s">
        <v>657</v>
      </c>
      <c r="B322" s="37" t="s">
        <v>380</v>
      </c>
      <c r="C322" s="216" t="n">
        <v>31</v>
      </c>
    </row>
    <row r="323" customFormat="false" ht="14.25" hidden="false" customHeight="false" outlineLevel="0" collapsed="false">
      <c r="A323" s="37" t="s">
        <v>658</v>
      </c>
      <c r="B323" s="37" t="s">
        <v>380</v>
      </c>
      <c r="C323" s="216" t="n">
        <v>31</v>
      </c>
    </row>
    <row r="324" customFormat="false" ht="14.25" hidden="false" customHeight="false" outlineLevel="0" collapsed="false">
      <c r="A324" s="37" t="s">
        <v>659</v>
      </c>
      <c r="B324" s="37" t="s">
        <v>380</v>
      </c>
      <c r="C324" s="216" t="n">
        <v>31</v>
      </c>
    </row>
    <row r="325" customFormat="false" ht="14.25" hidden="false" customHeight="false" outlineLevel="0" collapsed="false">
      <c r="A325" s="37" t="s">
        <v>660</v>
      </c>
      <c r="B325" s="37" t="s">
        <v>380</v>
      </c>
      <c r="C325" s="216" t="n">
        <v>31</v>
      </c>
    </row>
    <row r="326" customFormat="false" ht="14.25" hidden="false" customHeight="false" outlineLevel="0" collapsed="false">
      <c r="A326" s="37" t="s">
        <v>661</v>
      </c>
      <c r="B326" s="37" t="s">
        <v>380</v>
      </c>
      <c r="C326" s="216" t="n">
        <v>31</v>
      </c>
    </row>
    <row r="327" customFormat="false" ht="14.25" hidden="false" customHeight="false" outlineLevel="0" collapsed="false">
      <c r="A327" s="37" t="s">
        <v>662</v>
      </c>
      <c r="B327" s="37" t="s">
        <v>380</v>
      </c>
      <c r="C327" s="216" t="n">
        <v>31</v>
      </c>
    </row>
    <row r="328" customFormat="false" ht="14.25" hidden="false" customHeight="false" outlineLevel="0" collapsed="false">
      <c r="A328" s="37" t="s">
        <v>663</v>
      </c>
      <c r="B328" s="37" t="s">
        <v>380</v>
      </c>
      <c r="C328" s="216" t="n">
        <v>31</v>
      </c>
    </row>
    <row r="329" customFormat="false" ht="14.25" hidden="false" customHeight="false" outlineLevel="0" collapsed="false">
      <c r="A329" s="37" t="s">
        <v>664</v>
      </c>
      <c r="B329" s="37" t="s">
        <v>380</v>
      </c>
      <c r="C329" s="216" t="n">
        <v>31</v>
      </c>
    </row>
    <row r="330" customFormat="false" ht="14.25" hidden="false" customHeight="false" outlineLevel="0" collapsed="false">
      <c r="A330" s="37" t="s">
        <v>665</v>
      </c>
      <c r="B330" s="37" t="s">
        <v>380</v>
      </c>
      <c r="C330" s="216" t="n">
        <v>31</v>
      </c>
    </row>
    <row r="331" customFormat="false" ht="14.25" hidden="false" customHeight="false" outlineLevel="0" collapsed="false">
      <c r="A331" s="37" t="s">
        <v>666</v>
      </c>
      <c r="B331" s="37" t="s">
        <v>380</v>
      </c>
      <c r="C331" s="216" t="n">
        <v>31</v>
      </c>
    </row>
    <row r="332" customFormat="false" ht="14.25" hidden="false" customHeight="false" outlineLevel="0" collapsed="false">
      <c r="A332" s="37" t="s">
        <v>670</v>
      </c>
      <c r="B332" s="37" t="s">
        <v>380</v>
      </c>
      <c r="C332" s="216" t="n">
        <v>31</v>
      </c>
    </row>
    <row r="333" customFormat="false" ht="14.25" hidden="false" customHeight="false" outlineLevel="0" collapsed="false">
      <c r="A333" s="37" t="s">
        <v>671</v>
      </c>
      <c r="B333" s="37" t="s">
        <v>380</v>
      </c>
      <c r="C333" s="216" t="n">
        <v>31</v>
      </c>
    </row>
    <row r="334" customFormat="false" ht="14.25" hidden="false" customHeight="false" outlineLevel="0" collapsed="false">
      <c r="A334" s="37" t="s">
        <v>672</v>
      </c>
      <c r="B334" s="37" t="s">
        <v>380</v>
      </c>
      <c r="C334" s="216" t="n">
        <v>31</v>
      </c>
    </row>
    <row r="335" customFormat="false" ht="14.25" hidden="false" customHeight="false" outlineLevel="0" collapsed="false">
      <c r="A335" s="37" t="s">
        <v>673</v>
      </c>
      <c r="B335" s="37" t="s">
        <v>380</v>
      </c>
      <c r="C335" s="216" t="n">
        <v>31</v>
      </c>
    </row>
    <row r="336" customFormat="false" ht="14.25" hidden="false" customHeight="false" outlineLevel="0" collapsed="false">
      <c r="A336" s="37" t="s">
        <v>674</v>
      </c>
      <c r="B336" s="37" t="s">
        <v>380</v>
      </c>
      <c r="C336" s="216" t="n">
        <v>31</v>
      </c>
    </row>
    <row r="337" customFormat="false" ht="14.25" hidden="false" customHeight="false" outlineLevel="0" collapsed="false">
      <c r="A337" s="37" t="s">
        <v>685</v>
      </c>
      <c r="B337" s="37" t="s">
        <v>380</v>
      </c>
      <c r="C337" s="216" t="n">
        <v>31</v>
      </c>
    </row>
    <row r="338" customFormat="false" ht="14.25" hidden="false" customHeight="false" outlineLevel="0" collapsed="false">
      <c r="A338" s="37" t="s">
        <v>686</v>
      </c>
      <c r="B338" s="37" t="s">
        <v>380</v>
      </c>
      <c r="C338" s="216" t="n">
        <v>31</v>
      </c>
    </row>
    <row r="339" customFormat="false" ht="14.25" hidden="false" customHeight="false" outlineLevel="0" collapsed="false">
      <c r="A339" s="37" t="s">
        <v>687</v>
      </c>
      <c r="B339" s="37" t="s">
        <v>380</v>
      </c>
      <c r="C339" s="216" t="n">
        <v>31</v>
      </c>
    </row>
    <row r="340" customFormat="false" ht="76.1" hidden="false" customHeight="false" outlineLevel="0" collapsed="false">
      <c r="A340" s="820" t="s">
        <v>388</v>
      </c>
      <c r="B340" s="821" t="s">
        <v>525</v>
      </c>
      <c r="C340" s="822" t="n">
        <v>5.18</v>
      </c>
      <c r="D340" s="823" t="n">
        <v>3.908</v>
      </c>
      <c r="E340" s="823" t="n">
        <v>2.959</v>
      </c>
      <c r="F340" s="824" t="s">
        <v>35</v>
      </c>
      <c r="G340" s="824" t="s">
        <v>35</v>
      </c>
      <c r="H340" s="824" t="s">
        <v>918</v>
      </c>
      <c r="I340" s="824" t="s">
        <v>35</v>
      </c>
    </row>
    <row r="341" customFormat="false" ht="76.1" hidden="false" customHeight="false" outlineLevel="0" collapsed="false">
      <c r="A341" s="820"/>
      <c r="B341" s="821" t="s">
        <v>526</v>
      </c>
      <c r="C341" s="822" t="n">
        <v>4.91</v>
      </c>
      <c r="D341" s="823" t="n">
        <v>3.929</v>
      </c>
      <c r="E341" s="823" t="n">
        <v>2.921</v>
      </c>
      <c r="F341" s="824" t="s">
        <v>35</v>
      </c>
      <c r="G341" s="824" t="s">
        <v>35</v>
      </c>
      <c r="H341" s="824" t="s">
        <v>923</v>
      </c>
      <c r="I341" s="824" t="s">
        <v>35</v>
      </c>
    </row>
    <row r="342" customFormat="false" ht="105.95" hidden="false" customHeight="false" outlineLevel="0" collapsed="false">
      <c r="A342" s="820"/>
      <c r="B342" s="821" t="s">
        <v>527</v>
      </c>
      <c r="C342" s="822" t="n">
        <v>5.22</v>
      </c>
      <c r="D342" s="823" t="n">
        <v>4.8</v>
      </c>
      <c r="E342" s="823" t="n">
        <v>2.91</v>
      </c>
      <c r="F342" s="824" t="s">
        <v>924</v>
      </c>
      <c r="G342" s="824" t="s">
        <v>925</v>
      </c>
      <c r="H342" s="824" t="s">
        <v>926</v>
      </c>
      <c r="I342" s="824" t="s">
        <v>35</v>
      </c>
    </row>
    <row r="343" customFormat="false" ht="76.1" hidden="false" customHeight="false" outlineLevel="0" collapsed="false">
      <c r="A343" s="820"/>
      <c r="B343" s="821" t="s">
        <v>528</v>
      </c>
      <c r="C343" s="822" t="n">
        <v>4.8</v>
      </c>
      <c r="D343" s="823" t="n">
        <v>3.908</v>
      </c>
      <c r="E343" s="823" t="n">
        <v>2.959</v>
      </c>
      <c r="F343" s="824" t="s">
        <v>35</v>
      </c>
      <c r="G343" s="824" t="s">
        <v>35</v>
      </c>
      <c r="H343" s="824" t="s">
        <v>927</v>
      </c>
      <c r="I343" s="824" t="s">
        <v>35</v>
      </c>
    </row>
    <row r="344" customFormat="false" ht="76.1" hidden="false" customHeight="false" outlineLevel="0" collapsed="false">
      <c r="A344" s="820"/>
      <c r="B344" s="821" t="s">
        <v>529</v>
      </c>
      <c r="C344" s="822" t="n">
        <v>9.83</v>
      </c>
      <c r="D344" s="823" t="n">
        <v>3.937</v>
      </c>
      <c r="E344" s="823" t="n">
        <v>2.969</v>
      </c>
      <c r="F344" s="824" t="s">
        <v>35</v>
      </c>
      <c r="G344" s="824" t="s">
        <v>35</v>
      </c>
      <c r="H344" s="824" t="s">
        <v>928</v>
      </c>
      <c r="I344" s="824" t="s">
        <v>35</v>
      </c>
    </row>
    <row r="345" customFormat="false" ht="14.25" hidden="false" customHeight="false" outlineLevel="0" collapsed="false">
      <c r="A345" s="37" t="s">
        <v>688</v>
      </c>
      <c r="B345" s="37" t="s">
        <v>380</v>
      </c>
      <c r="C345" s="216" t="n">
        <v>31</v>
      </c>
    </row>
    <row r="346" customFormat="false" ht="14.25" hidden="false" customHeight="false" outlineLevel="0" collapsed="false">
      <c r="A346" s="37" t="s">
        <v>689</v>
      </c>
      <c r="B346" s="37" t="s">
        <v>380</v>
      </c>
      <c r="C346" s="216" t="n">
        <v>31</v>
      </c>
    </row>
    <row r="347" customFormat="false" ht="76.1" hidden="false" customHeight="false" outlineLevel="0" collapsed="false">
      <c r="A347" s="825" t="s">
        <v>397</v>
      </c>
      <c r="B347" s="826" t="s">
        <v>525</v>
      </c>
      <c r="C347" s="827" t="n">
        <v>5.16</v>
      </c>
      <c r="D347" s="828" t="n">
        <v>3.908</v>
      </c>
      <c r="E347" s="828" t="n">
        <v>2.959</v>
      </c>
      <c r="F347" s="829" t="s">
        <v>35</v>
      </c>
      <c r="G347" s="829" t="s">
        <v>35</v>
      </c>
      <c r="H347" s="829" t="s">
        <v>918</v>
      </c>
      <c r="I347" s="829" t="s">
        <v>35</v>
      </c>
    </row>
    <row r="348" customFormat="false" ht="105.95" hidden="false" customHeight="false" outlineLevel="0" collapsed="false">
      <c r="A348" s="825"/>
      <c r="B348" s="826" t="s">
        <v>552</v>
      </c>
      <c r="C348" s="827" t="n">
        <v>1.15</v>
      </c>
      <c r="D348" s="828" t="n">
        <v>3.885</v>
      </c>
      <c r="E348" s="828" t="n">
        <v>2.637</v>
      </c>
      <c r="F348" s="829" t="s">
        <v>929</v>
      </c>
      <c r="G348" s="829" t="s">
        <v>930</v>
      </c>
      <c r="H348" s="829" t="s">
        <v>931</v>
      </c>
      <c r="I348" s="829" t="s">
        <v>35</v>
      </c>
    </row>
    <row r="349" customFormat="false" ht="76.1" hidden="false" customHeight="false" outlineLevel="0" collapsed="false">
      <c r="A349" s="825"/>
      <c r="B349" s="826" t="s">
        <v>553</v>
      </c>
      <c r="C349" s="827" t="n">
        <v>4.92</v>
      </c>
      <c r="D349" s="828" t="n">
        <v>3.908</v>
      </c>
      <c r="E349" s="828" t="n">
        <v>2.959</v>
      </c>
      <c r="F349" s="829" t="s">
        <v>35</v>
      </c>
      <c r="G349" s="829" t="s">
        <v>35</v>
      </c>
      <c r="H349" s="829" t="s">
        <v>932</v>
      </c>
      <c r="I349" s="829" t="s">
        <v>35</v>
      </c>
    </row>
    <row r="350" customFormat="false" ht="76.1" hidden="false" customHeight="false" outlineLevel="0" collapsed="false">
      <c r="A350" s="825"/>
      <c r="B350" s="826" t="s">
        <v>554</v>
      </c>
      <c r="C350" s="827" t="n">
        <v>9.92</v>
      </c>
      <c r="D350" s="828" t="n">
        <v>3.908</v>
      </c>
      <c r="E350" s="828" t="n">
        <v>2.959</v>
      </c>
      <c r="F350" s="829" t="s">
        <v>35</v>
      </c>
      <c r="G350" s="829" t="s">
        <v>35</v>
      </c>
      <c r="H350" s="829" t="s">
        <v>933</v>
      </c>
      <c r="I350" s="829" t="s">
        <v>35</v>
      </c>
    </row>
    <row r="351" customFormat="false" ht="150.7" hidden="false" customHeight="false" outlineLevel="0" collapsed="false">
      <c r="A351" s="825"/>
      <c r="B351" s="826" t="s">
        <v>555</v>
      </c>
      <c r="C351" s="827" t="n">
        <v>9.71</v>
      </c>
      <c r="D351" s="828" t="n">
        <v>5.91</v>
      </c>
      <c r="E351" s="828" t="n">
        <v>2.919</v>
      </c>
      <c r="F351" s="829" t="s">
        <v>934</v>
      </c>
      <c r="G351" s="829" t="s">
        <v>935</v>
      </c>
      <c r="H351" s="829" t="s">
        <v>936</v>
      </c>
      <c r="I351" s="829" t="s">
        <v>35</v>
      </c>
    </row>
    <row r="352" customFormat="false" ht="76.1" hidden="false" customHeight="false" outlineLevel="0" collapsed="false">
      <c r="A352" s="825"/>
      <c r="B352" s="826" t="s">
        <v>556</v>
      </c>
      <c r="C352" s="827" t="n">
        <v>4.99</v>
      </c>
      <c r="D352" s="828" t="n">
        <v>3.937</v>
      </c>
      <c r="E352" s="828" t="n">
        <v>2.969</v>
      </c>
      <c r="F352" s="829" t="s">
        <v>35</v>
      </c>
      <c r="G352" s="829" t="s">
        <v>35</v>
      </c>
      <c r="H352" s="829" t="s">
        <v>928</v>
      </c>
      <c r="I352" s="829" t="s">
        <v>35</v>
      </c>
    </row>
    <row r="353" customFormat="false" ht="14.25" hidden="false" customHeight="false" outlineLevel="0" collapsed="false">
      <c r="A353" s="37" t="s">
        <v>690</v>
      </c>
      <c r="B353" s="37" t="s">
        <v>380</v>
      </c>
      <c r="C353" s="216" t="n">
        <v>31</v>
      </c>
    </row>
    <row r="354" customFormat="false" ht="14.25" hidden="false" customHeight="false" outlineLevel="0" collapsed="false">
      <c r="A354" s="37" t="s">
        <v>691</v>
      </c>
      <c r="B354" s="37" t="s">
        <v>380</v>
      </c>
      <c r="C354" s="216" t="n">
        <v>31</v>
      </c>
    </row>
    <row r="355" customFormat="false" ht="14.25" hidden="false" customHeight="false" outlineLevel="0" collapsed="false">
      <c r="A355" s="37" t="s">
        <v>692</v>
      </c>
      <c r="B355" s="37" t="s">
        <v>380</v>
      </c>
      <c r="C355" s="216" t="n">
        <v>31</v>
      </c>
    </row>
    <row r="356" customFormat="false" ht="14.25" hidden="false" customHeight="false" outlineLevel="0" collapsed="false">
      <c r="A356" s="37" t="s">
        <v>693</v>
      </c>
      <c r="B356" s="37" t="s">
        <v>380</v>
      </c>
      <c r="C356" s="216" t="n">
        <v>31</v>
      </c>
    </row>
    <row r="357" customFormat="false" ht="14.25" hidden="false" customHeight="false" outlineLevel="0" collapsed="false">
      <c r="A357" s="37" t="s">
        <v>694</v>
      </c>
      <c r="B357" s="37" t="s">
        <v>380</v>
      </c>
      <c r="C357" s="216" t="n">
        <v>31</v>
      </c>
    </row>
    <row r="358" customFormat="false" ht="14.25" hidden="false" customHeight="false" outlineLevel="0" collapsed="false">
      <c r="A358" s="37" t="s">
        <v>695</v>
      </c>
      <c r="B358" s="37" t="s">
        <v>380</v>
      </c>
      <c r="C358" s="216" t="n">
        <v>31</v>
      </c>
    </row>
    <row r="359" customFormat="false" ht="14.25" hidden="false" customHeight="false" outlineLevel="0" collapsed="false">
      <c r="A359" s="37" t="s">
        <v>696</v>
      </c>
      <c r="B359" s="37" t="s">
        <v>380</v>
      </c>
      <c r="C359" s="216" t="n">
        <v>31</v>
      </c>
    </row>
    <row r="360" customFormat="false" ht="14.25" hidden="false" customHeight="false" outlineLevel="0" collapsed="false">
      <c r="A360" s="37" t="s">
        <v>697</v>
      </c>
      <c r="B360" s="37" t="s">
        <v>380</v>
      </c>
      <c r="C360" s="216" t="n">
        <v>31</v>
      </c>
    </row>
    <row r="361" customFormat="false" ht="14.25" hidden="false" customHeight="false" outlineLevel="0" collapsed="false">
      <c r="A361" s="37" t="s">
        <v>698</v>
      </c>
      <c r="B361" s="37" t="s">
        <v>380</v>
      </c>
      <c r="C361" s="216" t="n">
        <v>31</v>
      </c>
    </row>
    <row r="362" customFormat="false" ht="14.25" hidden="false" customHeight="false" outlineLevel="0" collapsed="false">
      <c r="A362" s="37" t="s">
        <v>699</v>
      </c>
      <c r="B362" s="37" t="s">
        <v>380</v>
      </c>
      <c r="C362" s="216" t="n">
        <v>31</v>
      </c>
    </row>
    <row r="363" customFormat="false" ht="14.25" hidden="false" customHeight="false" outlineLevel="0" collapsed="false">
      <c r="A363" s="37" t="s">
        <v>700</v>
      </c>
      <c r="B363" s="37" t="s">
        <v>380</v>
      </c>
      <c r="C363" s="216" t="n">
        <v>31</v>
      </c>
    </row>
    <row r="364" customFormat="false" ht="14.25" hidden="false" customHeight="false" outlineLevel="0" collapsed="false">
      <c r="A364" s="37" t="s">
        <v>701</v>
      </c>
      <c r="B364" s="37" t="s">
        <v>380</v>
      </c>
      <c r="C364" s="216" t="n">
        <v>31</v>
      </c>
    </row>
    <row r="365" customFormat="false" ht="14.25" hidden="false" customHeight="false" outlineLevel="0" collapsed="false">
      <c r="A365" s="37" t="s">
        <v>702</v>
      </c>
      <c r="B365" s="37" t="s">
        <v>380</v>
      </c>
      <c r="C365" s="216" t="n">
        <v>31</v>
      </c>
    </row>
    <row r="366" customFormat="false" ht="14.25" hidden="false" customHeight="false" outlineLevel="0" collapsed="false">
      <c r="A366" s="37" t="s">
        <v>703</v>
      </c>
      <c r="B366" s="37" t="s">
        <v>380</v>
      </c>
      <c r="C366" s="216" t="n">
        <v>31</v>
      </c>
    </row>
    <row r="367" customFormat="false" ht="14.25" hidden="false" customHeight="false" outlineLevel="0" collapsed="false">
      <c r="A367" s="37" t="s">
        <v>704</v>
      </c>
      <c r="B367" s="37" t="s">
        <v>380</v>
      </c>
      <c r="C367" s="216" t="n">
        <v>31</v>
      </c>
    </row>
    <row r="368" customFormat="false" ht="14.25" hidden="false" customHeight="false" outlineLevel="0" collapsed="false">
      <c r="A368" s="37" t="s">
        <v>705</v>
      </c>
      <c r="B368" s="37" t="s">
        <v>380</v>
      </c>
      <c r="C368" s="216" t="n">
        <v>31</v>
      </c>
    </row>
    <row r="369" customFormat="false" ht="14.25" hidden="false" customHeight="false" outlineLevel="0" collapsed="false">
      <c r="A369" s="37" t="s">
        <v>706</v>
      </c>
      <c r="B369" s="37" t="s">
        <v>380</v>
      </c>
      <c r="C369" s="216" t="n">
        <v>31</v>
      </c>
    </row>
    <row r="370" customFormat="false" ht="14.25" hidden="false" customHeight="false" outlineLevel="0" collapsed="false">
      <c r="A370" s="37" t="s">
        <v>707</v>
      </c>
      <c r="B370" s="37" t="s">
        <v>380</v>
      </c>
      <c r="C370" s="216" t="n">
        <v>31</v>
      </c>
    </row>
    <row r="371" customFormat="false" ht="14.25" hidden="false" customHeight="false" outlineLevel="0" collapsed="false">
      <c r="A371" s="37" t="s">
        <v>708</v>
      </c>
      <c r="B371" s="37" t="s">
        <v>380</v>
      </c>
      <c r="C371" s="216" t="n">
        <v>31</v>
      </c>
    </row>
    <row r="372" customFormat="false" ht="14.25" hidden="false" customHeight="false" outlineLevel="0" collapsed="false">
      <c r="A372" s="37" t="s">
        <v>709</v>
      </c>
      <c r="B372" s="37" t="s">
        <v>380</v>
      </c>
      <c r="C372" s="216" t="n">
        <v>31</v>
      </c>
    </row>
    <row r="373" customFormat="false" ht="14.25" hidden="false" customHeight="false" outlineLevel="0" collapsed="false">
      <c r="A373" s="37" t="s">
        <v>710</v>
      </c>
      <c r="B373" s="37" t="s">
        <v>380</v>
      </c>
      <c r="C373" s="216" t="n">
        <v>31</v>
      </c>
    </row>
    <row r="374" customFormat="false" ht="14.25" hidden="false" customHeight="false" outlineLevel="0" collapsed="false">
      <c r="A374" s="37" t="s">
        <v>711</v>
      </c>
      <c r="B374" s="37" t="s">
        <v>380</v>
      </c>
      <c r="C374" s="216" t="n">
        <v>31</v>
      </c>
    </row>
    <row r="375" customFormat="false" ht="14.25" hidden="false" customHeight="false" outlineLevel="0" collapsed="false">
      <c r="A375" s="37" t="s">
        <v>712</v>
      </c>
      <c r="B375" s="37" t="s">
        <v>380</v>
      </c>
      <c r="C375" s="216" t="n">
        <v>31</v>
      </c>
    </row>
    <row r="376" customFormat="false" ht="14.25" hidden="false" customHeight="false" outlineLevel="0" collapsed="false">
      <c r="A376" s="37" t="s">
        <v>713</v>
      </c>
      <c r="B376" s="37" t="s">
        <v>380</v>
      </c>
      <c r="C376" s="216" t="n">
        <v>31</v>
      </c>
    </row>
    <row r="377" customFormat="false" ht="14.25" hidden="false" customHeight="false" outlineLevel="0" collapsed="false">
      <c r="A377" s="37" t="s">
        <v>714</v>
      </c>
      <c r="B377" s="37" t="s">
        <v>380</v>
      </c>
      <c r="C377" s="216" t="n">
        <v>31</v>
      </c>
    </row>
    <row r="378" customFormat="false" ht="14.25" hidden="false" customHeight="false" outlineLevel="0" collapsed="false">
      <c r="A378" s="37" t="s">
        <v>715</v>
      </c>
      <c r="B378" s="37" t="s">
        <v>380</v>
      </c>
      <c r="C378" s="216" t="n">
        <v>31</v>
      </c>
    </row>
    <row r="379" customFormat="false" ht="14.25" hidden="false" customHeight="false" outlineLevel="0" collapsed="false">
      <c r="A379" s="37" t="s">
        <v>716</v>
      </c>
      <c r="B379" s="37" t="s">
        <v>380</v>
      </c>
      <c r="C379" s="216" t="n">
        <v>31</v>
      </c>
    </row>
    <row r="380" customFormat="false" ht="14.25" hidden="false" customHeight="false" outlineLevel="0" collapsed="false">
      <c r="A380" s="37" t="s">
        <v>717</v>
      </c>
      <c r="B380" s="37" t="s">
        <v>380</v>
      </c>
      <c r="C380" s="216" t="n">
        <v>31</v>
      </c>
    </row>
    <row r="381" customFormat="false" ht="14.25" hidden="false" customHeight="false" outlineLevel="0" collapsed="false">
      <c r="A381" s="37" t="s">
        <v>718</v>
      </c>
      <c r="B381" s="37" t="s">
        <v>380</v>
      </c>
      <c r="C381" s="216" t="n">
        <v>31</v>
      </c>
    </row>
    <row r="382" customFormat="false" ht="14.25" hidden="false" customHeight="false" outlineLevel="0" collapsed="false">
      <c r="A382" s="37" t="s">
        <v>719</v>
      </c>
      <c r="B382" s="37" t="s">
        <v>380</v>
      </c>
      <c r="C382" s="216" t="n">
        <v>31</v>
      </c>
    </row>
    <row r="383" customFormat="false" ht="14.25" hidden="false" customHeight="false" outlineLevel="0" collapsed="false">
      <c r="A383" s="37" t="s">
        <v>720</v>
      </c>
      <c r="B383" s="37" t="s">
        <v>380</v>
      </c>
      <c r="C383" s="216" t="n">
        <v>31</v>
      </c>
    </row>
    <row r="384" customFormat="false" ht="14.25" hidden="false" customHeight="false" outlineLevel="0" collapsed="false">
      <c r="A384" s="37" t="s">
        <v>721</v>
      </c>
      <c r="B384" s="37" t="s">
        <v>380</v>
      </c>
      <c r="C384" s="216" t="n">
        <v>31</v>
      </c>
    </row>
    <row r="385" customFormat="false" ht="14.25" hidden="false" customHeight="false" outlineLevel="0" collapsed="false">
      <c r="A385" s="37" t="s">
        <v>722</v>
      </c>
      <c r="B385" s="37" t="s">
        <v>380</v>
      </c>
      <c r="C385" s="216" t="n">
        <v>31</v>
      </c>
    </row>
    <row r="386" customFormat="false" ht="14.25" hidden="false" customHeight="false" outlineLevel="0" collapsed="false">
      <c r="A386" s="37" t="s">
        <v>723</v>
      </c>
      <c r="B386" s="37" t="s">
        <v>380</v>
      </c>
      <c r="C386" s="216" t="n">
        <v>31</v>
      </c>
    </row>
    <row r="387" customFormat="false" ht="14.25" hidden="false" customHeight="false" outlineLevel="0" collapsed="false">
      <c r="A387" s="37" t="s">
        <v>724</v>
      </c>
      <c r="B387" s="37" t="s">
        <v>380</v>
      </c>
      <c r="C387" s="216" t="n">
        <v>31</v>
      </c>
    </row>
    <row r="388" customFormat="false" ht="14.25" hidden="false" customHeight="false" outlineLevel="0" collapsed="false">
      <c r="A388" s="37" t="s">
        <v>725</v>
      </c>
      <c r="B388" s="37" t="s">
        <v>380</v>
      </c>
      <c r="C388" s="216" t="n">
        <v>31</v>
      </c>
    </row>
    <row r="389" customFormat="false" ht="14.25" hidden="false" customHeight="false" outlineLevel="0" collapsed="false">
      <c r="A389" s="37" t="s">
        <v>726</v>
      </c>
      <c r="B389" s="37" t="s">
        <v>380</v>
      </c>
      <c r="C389" s="216" t="n">
        <v>31</v>
      </c>
    </row>
    <row r="390" customFormat="false" ht="14.25" hidden="false" customHeight="false" outlineLevel="0" collapsed="false">
      <c r="A390" s="37" t="s">
        <v>727</v>
      </c>
      <c r="B390" s="37" t="s">
        <v>380</v>
      </c>
      <c r="C390" s="216" t="n">
        <v>31</v>
      </c>
    </row>
    <row r="391" customFormat="false" ht="14.25" hidden="false" customHeight="false" outlineLevel="0" collapsed="false">
      <c r="A391" s="37" t="s">
        <v>728</v>
      </c>
      <c r="B391" s="37" t="s">
        <v>380</v>
      </c>
      <c r="C391" s="216" t="n">
        <v>31</v>
      </c>
    </row>
    <row r="392" customFormat="false" ht="14.25" hidden="false" customHeight="false" outlineLevel="0" collapsed="false">
      <c r="A392" s="37" t="s">
        <v>729</v>
      </c>
      <c r="B392" s="37" t="s">
        <v>380</v>
      </c>
      <c r="C392" s="216" t="n">
        <v>31</v>
      </c>
    </row>
    <row r="393" customFormat="false" ht="14.25" hidden="false" customHeight="false" outlineLevel="0" collapsed="false">
      <c r="A393" s="37" t="s">
        <v>730</v>
      </c>
      <c r="B393" s="37" t="s">
        <v>380</v>
      </c>
      <c r="C393" s="216" t="n">
        <v>31</v>
      </c>
    </row>
    <row r="394" customFormat="false" ht="14.25" hidden="false" customHeight="false" outlineLevel="0" collapsed="false">
      <c r="A394" s="37" t="s">
        <v>731</v>
      </c>
      <c r="B394" s="37" t="s">
        <v>380</v>
      </c>
      <c r="C394" s="216" t="n">
        <v>31</v>
      </c>
    </row>
    <row r="395" customFormat="false" ht="14.25" hidden="false" customHeight="false" outlineLevel="0" collapsed="false">
      <c r="A395" s="37" t="s">
        <v>732</v>
      </c>
      <c r="B395" s="37" t="s">
        <v>380</v>
      </c>
      <c r="C395" s="216" t="n">
        <v>31</v>
      </c>
    </row>
    <row r="396" customFormat="false" ht="14.25" hidden="false" customHeight="false" outlineLevel="0" collapsed="false">
      <c r="A396" s="37" t="s">
        <v>733</v>
      </c>
      <c r="B396" s="37" t="s">
        <v>380</v>
      </c>
      <c r="C396" s="216" t="n">
        <v>31</v>
      </c>
    </row>
    <row r="397" customFormat="false" ht="14.25" hidden="false" customHeight="false" outlineLevel="0" collapsed="false">
      <c r="A397" s="37" t="s">
        <v>734</v>
      </c>
      <c r="B397" s="37" t="s">
        <v>380</v>
      </c>
      <c r="C397" s="216" t="n">
        <v>31</v>
      </c>
    </row>
    <row r="398" customFormat="false" ht="76.1" hidden="false" customHeight="false" outlineLevel="0" collapsed="false">
      <c r="A398" s="830" t="s">
        <v>403</v>
      </c>
      <c r="B398" s="831" t="s">
        <v>525</v>
      </c>
      <c r="C398" s="832" t="n">
        <v>5.2</v>
      </c>
      <c r="D398" s="833" t="n">
        <v>3.908</v>
      </c>
      <c r="E398" s="833" t="n">
        <v>2.959</v>
      </c>
      <c r="F398" s="834" t="s">
        <v>35</v>
      </c>
      <c r="G398" s="834" t="s">
        <v>35</v>
      </c>
      <c r="H398" s="834" t="s">
        <v>918</v>
      </c>
      <c r="I398" s="834" t="s">
        <v>35</v>
      </c>
    </row>
    <row r="399" customFormat="false" ht="76.1" hidden="false" customHeight="false" outlineLevel="0" collapsed="false">
      <c r="A399" s="830"/>
      <c r="B399" s="831" t="s">
        <v>577</v>
      </c>
      <c r="C399" s="832" t="n">
        <v>4.96</v>
      </c>
      <c r="D399" s="833" t="n">
        <v>3.929</v>
      </c>
      <c r="E399" s="833" t="n">
        <v>2.921</v>
      </c>
      <c r="F399" s="834" t="s">
        <v>35</v>
      </c>
      <c r="G399" s="834" t="s">
        <v>35</v>
      </c>
      <c r="H399" s="834" t="s">
        <v>923</v>
      </c>
      <c r="I399" s="834" t="s">
        <v>35</v>
      </c>
    </row>
    <row r="400" customFormat="false" ht="135.8" hidden="false" customHeight="false" outlineLevel="0" collapsed="false">
      <c r="A400" s="830"/>
      <c r="B400" s="831" t="s">
        <v>578</v>
      </c>
      <c r="C400" s="832" t="n">
        <v>8.69</v>
      </c>
      <c r="D400" s="833" t="n">
        <v>5.82</v>
      </c>
      <c r="E400" s="833" t="n">
        <v>2.9</v>
      </c>
      <c r="F400" s="834" t="s">
        <v>937</v>
      </c>
      <c r="G400" s="834" t="s">
        <v>938</v>
      </c>
      <c r="H400" s="834" t="s">
        <v>939</v>
      </c>
      <c r="I400" s="834" t="s">
        <v>35</v>
      </c>
    </row>
    <row r="401" customFormat="false" ht="76.1" hidden="false" customHeight="false" outlineLevel="0" collapsed="false">
      <c r="A401" s="830"/>
      <c r="B401" s="831" t="s">
        <v>528</v>
      </c>
      <c r="C401" s="832" t="n">
        <v>4.85</v>
      </c>
      <c r="D401" s="833" t="n">
        <v>3.908</v>
      </c>
      <c r="E401" s="833" t="n">
        <v>2.959</v>
      </c>
      <c r="F401" s="834" t="s">
        <v>35</v>
      </c>
      <c r="G401" s="834" t="s">
        <v>35</v>
      </c>
      <c r="H401" s="834" t="s">
        <v>927</v>
      </c>
      <c r="I401" s="834" t="s">
        <v>35</v>
      </c>
    </row>
    <row r="402" customFormat="false" ht="76.1" hidden="false" customHeight="false" outlineLevel="0" collapsed="false">
      <c r="A402" s="830"/>
      <c r="B402" s="831" t="s">
        <v>579</v>
      </c>
      <c r="C402" s="832" t="n">
        <v>9.95</v>
      </c>
      <c r="D402" s="833" t="n">
        <v>3.937</v>
      </c>
      <c r="E402" s="833" t="n">
        <v>2.969</v>
      </c>
      <c r="F402" s="834" t="s">
        <v>35</v>
      </c>
      <c r="G402" s="834" t="s">
        <v>35</v>
      </c>
      <c r="H402" s="834" t="s">
        <v>940</v>
      </c>
      <c r="I402" s="834" t="s">
        <v>35</v>
      </c>
    </row>
    <row r="403" customFormat="false" ht="14.25" hidden="false" customHeight="false" outlineLevel="0" collapsed="false">
      <c r="A403" s="37" t="s">
        <v>735</v>
      </c>
      <c r="B403" s="37" t="s">
        <v>380</v>
      </c>
      <c r="C403" s="216" t="n">
        <v>31</v>
      </c>
    </row>
    <row r="404" customFormat="false" ht="14.25" hidden="false" customHeight="false" outlineLevel="0" collapsed="false">
      <c r="A404" s="37" t="s">
        <v>736</v>
      </c>
      <c r="B404" s="37" t="s">
        <v>380</v>
      </c>
      <c r="C404" s="216" t="n">
        <v>31</v>
      </c>
    </row>
    <row r="405" customFormat="false" ht="14.25" hidden="false" customHeight="false" outlineLevel="0" collapsed="false">
      <c r="A405" s="37" t="s">
        <v>737</v>
      </c>
      <c r="B405" s="37" t="s">
        <v>380</v>
      </c>
      <c r="C405" s="216" t="n">
        <v>31</v>
      </c>
    </row>
    <row r="406" customFormat="false" ht="14.25" hidden="false" customHeight="false" outlineLevel="0" collapsed="false">
      <c r="A406" s="37" t="s">
        <v>738</v>
      </c>
      <c r="B406" s="37" t="s">
        <v>380</v>
      </c>
      <c r="C406" s="216" t="n">
        <v>31</v>
      </c>
    </row>
    <row r="407" customFormat="false" ht="14.25" hidden="false" customHeight="false" outlineLevel="0" collapsed="false">
      <c r="A407" s="37" t="s">
        <v>739</v>
      </c>
      <c r="B407" s="37" t="s">
        <v>380</v>
      </c>
      <c r="C407" s="216" t="n">
        <v>31</v>
      </c>
    </row>
    <row r="408" customFormat="false" ht="14.25" hidden="false" customHeight="false" outlineLevel="0" collapsed="false">
      <c r="A408" s="37" t="s">
        <v>740</v>
      </c>
      <c r="B408" s="37" t="s">
        <v>380</v>
      </c>
      <c r="C408" s="216" t="n">
        <v>31</v>
      </c>
    </row>
    <row r="409" customFormat="false" ht="14.25" hidden="false" customHeight="false" outlineLevel="0" collapsed="false">
      <c r="A409" s="37" t="s">
        <v>741</v>
      </c>
      <c r="B409" s="37" t="s">
        <v>380</v>
      </c>
      <c r="C409" s="216" t="n">
        <v>31</v>
      </c>
    </row>
    <row r="410" customFormat="false" ht="14.25" hidden="false" customHeight="false" outlineLevel="0" collapsed="false">
      <c r="A410" s="37" t="s">
        <v>742</v>
      </c>
      <c r="B410" s="37" t="s">
        <v>380</v>
      </c>
      <c r="C410" s="216" t="n">
        <v>31</v>
      </c>
    </row>
    <row r="411" customFormat="false" ht="14.25" hidden="false" customHeight="false" outlineLevel="0" collapsed="false">
      <c r="A411" s="37" t="s">
        <v>743</v>
      </c>
      <c r="B411" s="37" t="s">
        <v>380</v>
      </c>
      <c r="C411" s="216" t="n">
        <v>31</v>
      </c>
    </row>
    <row r="412" customFormat="false" ht="14.25" hidden="false" customHeight="false" outlineLevel="0" collapsed="false">
      <c r="A412" s="37" t="s">
        <v>744</v>
      </c>
      <c r="B412" s="37" t="s">
        <v>380</v>
      </c>
      <c r="C412" s="216" t="n">
        <v>31</v>
      </c>
    </row>
    <row r="413" customFormat="false" ht="14.25" hidden="false" customHeight="false" outlineLevel="0" collapsed="false">
      <c r="A413" s="37" t="s">
        <v>745</v>
      </c>
      <c r="B413" s="37" t="s">
        <v>380</v>
      </c>
      <c r="C413" s="216" t="n">
        <v>31</v>
      </c>
    </row>
    <row r="414" customFormat="false" ht="14.25" hidden="false" customHeight="false" outlineLevel="0" collapsed="false">
      <c r="A414" s="37" t="s">
        <v>746</v>
      </c>
      <c r="B414" s="37" t="s">
        <v>380</v>
      </c>
      <c r="C414" s="216" t="n">
        <v>31</v>
      </c>
    </row>
    <row r="415" customFormat="false" ht="14.25" hidden="false" customHeight="false" outlineLevel="0" collapsed="false">
      <c r="A415" s="37" t="s">
        <v>747</v>
      </c>
      <c r="B415" s="37" t="s">
        <v>380</v>
      </c>
      <c r="C415" s="216" t="n">
        <v>31</v>
      </c>
    </row>
    <row r="416" customFormat="false" ht="14.25" hidden="false" customHeight="false" outlineLevel="0" collapsed="false">
      <c r="A416" s="37" t="s">
        <v>748</v>
      </c>
      <c r="B416" s="37" t="s">
        <v>380</v>
      </c>
      <c r="C416" s="216" t="n">
        <v>31</v>
      </c>
    </row>
    <row r="417" customFormat="false" ht="14.25" hidden="false" customHeight="false" outlineLevel="0" collapsed="false">
      <c r="A417" s="37" t="s">
        <v>749</v>
      </c>
      <c r="B417" s="37" t="s">
        <v>380</v>
      </c>
      <c r="C417" s="216" t="n">
        <v>31</v>
      </c>
    </row>
    <row r="418" customFormat="false" ht="76.1" hidden="false" customHeight="false" outlineLevel="0" collapsed="false">
      <c r="A418" s="835" t="s">
        <v>408</v>
      </c>
      <c r="B418" s="836" t="s">
        <v>525</v>
      </c>
      <c r="C418" s="837" t="n">
        <v>5.18</v>
      </c>
      <c r="D418" s="838" t="n">
        <v>3.908</v>
      </c>
      <c r="E418" s="838" t="n">
        <v>2.959</v>
      </c>
      <c r="F418" s="839" t="s">
        <v>35</v>
      </c>
      <c r="G418" s="839" t="s">
        <v>35</v>
      </c>
      <c r="H418" s="839" t="s">
        <v>918</v>
      </c>
      <c r="I418" s="839" t="s">
        <v>35</v>
      </c>
    </row>
    <row r="419" customFormat="false" ht="76.1" hidden="false" customHeight="false" outlineLevel="0" collapsed="false">
      <c r="A419" s="835"/>
      <c r="B419" s="836" t="s">
        <v>600</v>
      </c>
      <c r="C419" s="837" t="n">
        <v>4.97</v>
      </c>
      <c r="D419" s="838" t="n">
        <v>3.929</v>
      </c>
      <c r="E419" s="838" t="n">
        <v>2.921</v>
      </c>
      <c r="F419" s="839" t="s">
        <v>35</v>
      </c>
      <c r="G419" s="839" t="s">
        <v>35</v>
      </c>
      <c r="H419" s="839" t="s">
        <v>923</v>
      </c>
      <c r="I419" s="839" t="s">
        <v>35</v>
      </c>
    </row>
    <row r="420" customFormat="false" ht="135.8" hidden="false" customHeight="false" outlineLevel="0" collapsed="false">
      <c r="A420" s="835"/>
      <c r="B420" s="836" t="s">
        <v>601</v>
      </c>
      <c r="C420" s="837" t="n">
        <v>8.69</v>
      </c>
      <c r="D420" s="838" t="n">
        <v>5.82</v>
      </c>
      <c r="E420" s="838" t="n">
        <v>2.9</v>
      </c>
      <c r="F420" s="839" t="s">
        <v>937</v>
      </c>
      <c r="G420" s="839" t="s">
        <v>941</v>
      </c>
      <c r="H420" s="839" t="s">
        <v>939</v>
      </c>
      <c r="I420" s="839" t="s">
        <v>35</v>
      </c>
    </row>
    <row r="421" customFormat="false" ht="76.1" hidden="false" customHeight="false" outlineLevel="0" collapsed="false">
      <c r="A421" s="835"/>
      <c r="B421" s="836" t="s">
        <v>528</v>
      </c>
      <c r="C421" s="837" t="n">
        <v>4.8</v>
      </c>
      <c r="D421" s="838" t="n">
        <v>3.908</v>
      </c>
      <c r="E421" s="838" t="n">
        <v>2.959</v>
      </c>
      <c r="F421" s="839" t="s">
        <v>35</v>
      </c>
      <c r="G421" s="839" t="s">
        <v>35</v>
      </c>
      <c r="H421" s="839" t="s">
        <v>927</v>
      </c>
      <c r="I421" s="839" t="s">
        <v>35</v>
      </c>
    </row>
    <row r="422" customFormat="false" ht="76.1" hidden="false" customHeight="false" outlineLevel="0" collapsed="false">
      <c r="A422" s="835"/>
      <c r="B422" s="836" t="s">
        <v>579</v>
      </c>
      <c r="C422" s="837" t="n">
        <v>9.95</v>
      </c>
      <c r="D422" s="838" t="n">
        <v>3.937</v>
      </c>
      <c r="E422" s="838" t="n">
        <v>2.969</v>
      </c>
      <c r="F422" s="839" t="s">
        <v>35</v>
      </c>
      <c r="G422" s="839" t="s">
        <v>35</v>
      </c>
      <c r="H422" s="839" t="s">
        <v>940</v>
      </c>
      <c r="I422" s="839" t="s">
        <v>35</v>
      </c>
    </row>
    <row r="423" customFormat="false" ht="14.25" hidden="false" customHeight="false" outlineLevel="0" collapsed="false">
      <c r="A423" s="37" t="s">
        <v>750</v>
      </c>
      <c r="B423" s="37" t="s">
        <v>380</v>
      </c>
      <c r="C423" s="216" t="n">
        <v>31</v>
      </c>
    </row>
    <row r="424" customFormat="false" ht="14.25" hidden="false" customHeight="false" outlineLevel="0" collapsed="false">
      <c r="A424" s="37" t="s">
        <v>751</v>
      </c>
      <c r="B424" s="37" t="s">
        <v>380</v>
      </c>
      <c r="C424" s="216" t="n">
        <v>31</v>
      </c>
    </row>
    <row r="425" customFormat="false" ht="14.25" hidden="false" customHeight="false" outlineLevel="0" collapsed="false">
      <c r="A425" s="37" t="s">
        <v>752</v>
      </c>
      <c r="B425" s="37" t="s">
        <v>380</v>
      </c>
      <c r="C425" s="216" t="n">
        <v>31</v>
      </c>
    </row>
    <row r="426" customFormat="false" ht="14.25" hidden="false" customHeight="false" outlineLevel="0" collapsed="false">
      <c r="A426" s="37" t="s">
        <v>753</v>
      </c>
      <c r="B426" s="37" t="s">
        <v>380</v>
      </c>
      <c r="C426" s="216" t="n">
        <v>31</v>
      </c>
    </row>
    <row r="427" customFormat="false" ht="14.25" hidden="false" customHeight="false" outlineLevel="0" collapsed="false">
      <c r="A427" s="37" t="s">
        <v>754</v>
      </c>
      <c r="B427" s="37" t="s">
        <v>380</v>
      </c>
      <c r="C427" s="216" t="n">
        <v>31</v>
      </c>
    </row>
    <row r="428" customFormat="false" ht="14.25" hidden="false" customHeight="false" outlineLevel="0" collapsed="false">
      <c r="A428" s="37" t="s">
        <v>755</v>
      </c>
      <c r="B428" s="37" t="s">
        <v>380</v>
      </c>
      <c r="C428" s="216" t="n">
        <v>31</v>
      </c>
    </row>
    <row r="429" customFormat="false" ht="14.25" hidden="false" customHeight="false" outlineLevel="0" collapsed="false">
      <c r="A429" s="37" t="s">
        <v>756</v>
      </c>
      <c r="B429" s="37" t="s">
        <v>380</v>
      </c>
      <c r="C429" s="216" t="n">
        <v>31</v>
      </c>
    </row>
    <row r="430" customFormat="false" ht="14.25" hidden="false" customHeight="false" outlineLevel="0" collapsed="false">
      <c r="A430" s="37" t="s">
        <v>757</v>
      </c>
      <c r="B430" s="37" t="s">
        <v>380</v>
      </c>
      <c r="C430" s="216" t="n">
        <v>31</v>
      </c>
    </row>
    <row r="431" customFormat="false" ht="14.25" hidden="false" customHeight="false" outlineLevel="0" collapsed="false">
      <c r="A431" s="37" t="s">
        <v>758</v>
      </c>
      <c r="B431" s="37" t="s">
        <v>380</v>
      </c>
      <c r="C431" s="216" t="n">
        <v>31</v>
      </c>
    </row>
    <row r="432" customFormat="false" ht="14.25" hidden="false" customHeight="false" outlineLevel="0" collapsed="false">
      <c r="A432" s="37" t="s">
        <v>759</v>
      </c>
      <c r="B432" s="37" t="s">
        <v>380</v>
      </c>
      <c r="C432" s="216" t="n">
        <v>31</v>
      </c>
    </row>
    <row r="433" customFormat="false" ht="14.25" hidden="false" customHeight="false" outlineLevel="0" collapsed="false">
      <c r="A433" s="37" t="s">
        <v>760</v>
      </c>
      <c r="B433" s="37" t="s">
        <v>380</v>
      </c>
      <c r="C433" s="216" t="n">
        <v>31</v>
      </c>
    </row>
    <row r="434" customFormat="false" ht="14.25" hidden="false" customHeight="false" outlineLevel="0" collapsed="false">
      <c r="A434" s="37" t="s">
        <v>761</v>
      </c>
      <c r="B434" s="37" t="s">
        <v>380</v>
      </c>
      <c r="C434" s="216" t="n">
        <v>31</v>
      </c>
    </row>
    <row r="435" customFormat="false" ht="14.25" hidden="false" customHeight="false" outlineLevel="0" collapsed="false">
      <c r="A435" s="37" t="s">
        <v>762</v>
      </c>
      <c r="B435" s="37" t="s">
        <v>380</v>
      </c>
      <c r="C435" s="216" t="n">
        <v>31</v>
      </c>
    </row>
    <row r="436" customFormat="false" ht="14.25" hidden="false" customHeight="false" outlineLevel="0" collapsed="false">
      <c r="A436" s="37" t="s">
        <v>763</v>
      </c>
      <c r="B436" s="37" t="s">
        <v>380</v>
      </c>
      <c r="C436" s="216" t="n">
        <v>31</v>
      </c>
    </row>
    <row r="437" customFormat="false" ht="14.25" hidden="false" customHeight="false" outlineLevel="0" collapsed="false">
      <c r="A437" s="37" t="s">
        <v>764</v>
      </c>
      <c r="B437" s="37" t="s">
        <v>380</v>
      </c>
      <c r="C437" s="216" t="n">
        <v>31</v>
      </c>
    </row>
    <row r="438" customFormat="false" ht="14.25" hidden="false" customHeight="false" outlineLevel="0" collapsed="false">
      <c r="A438" s="37" t="s">
        <v>765</v>
      </c>
      <c r="B438" s="37" t="s">
        <v>380</v>
      </c>
      <c r="C438" s="216" t="n">
        <v>31</v>
      </c>
    </row>
    <row r="439" customFormat="false" ht="14.25" hidden="false" customHeight="false" outlineLevel="0" collapsed="false">
      <c r="A439" s="37" t="s">
        <v>766</v>
      </c>
      <c r="B439" s="37" t="s">
        <v>380</v>
      </c>
      <c r="C439" s="216" t="n">
        <v>31</v>
      </c>
    </row>
    <row r="440" customFormat="false" ht="14.25" hidden="false" customHeight="false" outlineLevel="0" collapsed="false">
      <c r="A440" s="37" t="s">
        <v>767</v>
      </c>
      <c r="B440" s="37" t="s">
        <v>380</v>
      </c>
      <c r="C440" s="216" t="n">
        <v>31</v>
      </c>
    </row>
    <row r="441" customFormat="false" ht="14.25" hidden="false" customHeight="false" outlineLevel="0" collapsed="false">
      <c r="A441" s="37" t="s">
        <v>768</v>
      </c>
      <c r="B441" s="37" t="s">
        <v>380</v>
      </c>
      <c r="C441" s="216" t="n">
        <v>31</v>
      </c>
    </row>
    <row r="442" customFormat="false" ht="14.25" hidden="false" customHeight="false" outlineLevel="0" collapsed="false">
      <c r="A442" s="37" t="s">
        <v>769</v>
      </c>
      <c r="B442" s="37" t="s">
        <v>380</v>
      </c>
      <c r="C442" s="216" t="n">
        <v>31</v>
      </c>
    </row>
    <row r="443" customFormat="false" ht="14.25" hidden="false" customHeight="false" outlineLevel="0" collapsed="false">
      <c r="A443" s="37" t="s">
        <v>770</v>
      </c>
      <c r="B443" s="37" t="s">
        <v>380</v>
      </c>
      <c r="C443" s="216" t="n">
        <v>31</v>
      </c>
    </row>
    <row r="444" customFormat="false" ht="14.25" hidden="false" customHeight="false" outlineLevel="0" collapsed="false">
      <c r="A444" s="37" t="s">
        <v>771</v>
      </c>
      <c r="B444" s="37" t="s">
        <v>380</v>
      </c>
      <c r="C444" s="216" t="n">
        <v>31</v>
      </c>
    </row>
    <row r="445" customFormat="false" ht="14.25" hidden="false" customHeight="false" outlineLevel="0" collapsed="false">
      <c r="A445" s="37" t="s">
        <v>772</v>
      </c>
      <c r="B445" s="37" t="s">
        <v>380</v>
      </c>
      <c r="C445" s="216" t="n">
        <v>31</v>
      </c>
    </row>
    <row r="446" customFormat="false" ht="14.25" hidden="false" customHeight="false" outlineLevel="0" collapsed="false">
      <c r="A446" s="37" t="s">
        <v>773</v>
      </c>
      <c r="B446" s="37" t="s">
        <v>380</v>
      </c>
      <c r="C446" s="216" t="n">
        <v>31</v>
      </c>
    </row>
    <row r="447" customFormat="false" ht="14.25" hidden="false" customHeight="false" outlineLevel="0" collapsed="false">
      <c r="A447" s="37" t="s">
        <v>774</v>
      </c>
      <c r="B447" s="37" t="s">
        <v>380</v>
      </c>
      <c r="C447" s="216" t="n">
        <v>31</v>
      </c>
    </row>
    <row r="448" customFormat="false" ht="14.25" hidden="false" customHeight="false" outlineLevel="0" collapsed="false">
      <c r="A448" s="37" t="s">
        <v>775</v>
      </c>
      <c r="B448" s="37" t="s">
        <v>380</v>
      </c>
      <c r="C448" s="216" t="n">
        <v>31</v>
      </c>
    </row>
    <row r="449" customFormat="false" ht="14.25" hidden="false" customHeight="false" outlineLevel="0" collapsed="false">
      <c r="A449" s="37" t="s">
        <v>776</v>
      </c>
      <c r="B449" s="37" t="s">
        <v>380</v>
      </c>
      <c r="C449" s="216" t="n">
        <v>31</v>
      </c>
    </row>
    <row r="450" customFormat="false" ht="14.25" hidden="false" customHeight="false" outlineLevel="0" collapsed="false">
      <c r="A450" s="37" t="s">
        <v>777</v>
      </c>
      <c r="B450" s="37" t="s">
        <v>380</v>
      </c>
      <c r="C450" s="216" t="n">
        <v>31</v>
      </c>
    </row>
    <row r="451" customFormat="false" ht="76.1" hidden="false" customHeight="false" outlineLevel="0" collapsed="false">
      <c r="A451" s="840" t="s">
        <v>412</v>
      </c>
      <c r="B451" s="841" t="s">
        <v>525</v>
      </c>
      <c r="C451" s="842" t="n">
        <v>5.19</v>
      </c>
      <c r="D451" s="843" t="n">
        <v>3.908</v>
      </c>
      <c r="E451" s="843" t="n">
        <v>2.959</v>
      </c>
      <c r="F451" s="844" t="s">
        <v>35</v>
      </c>
      <c r="G451" s="844" t="s">
        <v>35</v>
      </c>
      <c r="H451" s="844" t="s">
        <v>918</v>
      </c>
      <c r="I451" s="844" t="s">
        <v>35</v>
      </c>
    </row>
    <row r="452" customFormat="false" ht="76.1" hidden="false" customHeight="false" outlineLevel="0" collapsed="false">
      <c r="A452" s="840"/>
      <c r="B452" s="841" t="s">
        <v>577</v>
      </c>
      <c r="C452" s="842" t="n">
        <v>4.96</v>
      </c>
      <c r="D452" s="843" t="n">
        <v>3.929</v>
      </c>
      <c r="E452" s="843" t="n">
        <v>2.921</v>
      </c>
      <c r="F452" s="844" t="s">
        <v>35</v>
      </c>
      <c r="G452" s="844" t="s">
        <v>35</v>
      </c>
      <c r="H452" s="844" t="s">
        <v>923</v>
      </c>
      <c r="I452" s="844" t="s">
        <v>35</v>
      </c>
    </row>
    <row r="453" customFormat="false" ht="135.8" hidden="false" customHeight="false" outlineLevel="0" collapsed="false">
      <c r="A453" s="840"/>
      <c r="B453" s="841" t="s">
        <v>622</v>
      </c>
      <c r="C453" s="842" t="n">
        <v>8.69</v>
      </c>
      <c r="D453" s="843" t="n">
        <v>5.82</v>
      </c>
      <c r="E453" s="843" t="n">
        <v>2.9</v>
      </c>
      <c r="F453" s="844" t="s">
        <v>937</v>
      </c>
      <c r="G453" s="844" t="s">
        <v>942</v>
      </c>
      <c r="H453" s="844" t="s">
        <v>939</v>
      </c>
      <c r="I453" s="844" t="s">
        <v>35</v>
      </c>
    </row>
    <row r="454" customFormat="false" ht="76.1" hidden="false" customHeight="false" outlineLevel="0" collapsed="false">
      <c r="A454" s="840"/>
      <c r="B454" s="841" t="s">
        <v>528</v>
      </c>
      <c r="C454" s="842" t="n">
        <v>4.88</v>
      </c>
      <c r="D454" s="843" t="n">
        <v>3.908</v>
      </c>
      <c r="E454" s="843" t="n">
        <v>2.959</v>
      </c>
      <c r="F454" s="844" t="s">
        <v>35</v>
      </c>
      <c r="G454" s="844" t="s">
        <v>35</v>
      </c>
      <c r="H454" s="844" t="s">
        <v>927</v>
      </c>
      <c r="I454" s="844" t="s">
        <v>35</v>
      </c>
    </row>
    <row r="455" customFormat="false" ht="76.1" hidden="false" customHeight="false" outlineLevel="0" collapsed="false">
      <c r="A455" s="840"/>
      <c r="B455" s="841" t="s">
        <v>579</v>
      </c>
      <c r="C455" s="842" t="n">
        <v>9.93</v>
      </c>
      <c r="D455" s="843" t="n">
        <v>3.937</v>
      </c>
      <c r="E455" s="843" t="n">
        <v>2.969</v>
      </c>
      <c r="F455" s="844" t="s">
        <v>35</v>
      </c>
      <c r="G455" s="844" t="s">
        <v>35</v>
      </c>
      <c r="H455" s="844" t="s">
        <v>940</v>
      </c>
      <c r="I455" s="844" t="s">
        <v>35</v>
      </c>
    </row>
    <row r="456" customFormat="false" ht="14.25" hidden="false" customHeight="false" outlineLevel="0" collapsed="false">
      <c r="A456" s="37" t="s">
        <v>778</v>
      </c>
      <c r="B456" s="37" t="s">
        <v>380</v>
      </c>
      <c r="C456" s="216" t="n">
        <v>31</v>
      </c>
    </row>
    <row r="457" customFormat="false" ht="14.25" hidden="false" customHeight="false" outlineLevel="0" collapsed="false">
      <c r="A457" s="37" t="s">
        <v>779</v>
      </c>
      <c r="B457" s="37" t="s">
        <v>380</v>
      </c>
      <c r="C457" s="216" t="n">
        <v>31</v>
      </c>
    </row>
    <row r="458" customFormat="false" ht="14.25" hidden="false" customHeight="false" outlineLevel="0" collapsed="false">
      <c r="A458" s="37" t="s">
        <v>780</v>
      </c>
      <c r="B458" s="37" t="s">
        <v>380</v>
      </c>
      <c r="C458" s="216" t="n">
        <v>31</v>
      </c>
    </row>
    <row r="459" customFormat="false" ht="14.25" hidden="false" customHeight="false" outlineLevel="0" collapsed="false">
      <c r="A459" s="37" t="s">
        <v>781</v>
      </c>
      <c r="B459" s="37" t="s">
        <v>380</v>
      </c>
      <c r="C459" s="216" t="n">
        <v>31</v>
      </c>
    </row>
    <row r="460" customFormat="false" ht="14.25" hidden="false" customHeight="false" outlineLevel="0" collapsed="false">
      <c r="A460" s="37" t="s">
        <v>782</v>
      </c>
      <c r="B460" s="37" t="s">
        <v>380</v>
      </c>
      <c r="C460" s="216" t="n">
        <v>31</v>
      </c>
    </row>
    <row r="461" customFormat="false" ht="14.25" hidden="false" customHeight="false" outlineLevel="0" collapsed="false">
      <c r="A461" s="37" t="s">
        <v>783</v>
      </c>
      <c r="B461" s="37" t="s">
        <v>380</v>
      </c>
      <c r="C461" s="216" t="n">
        <v>31</v>
      </c>
    </row>
    <row r="462" customFormat="false" ht="14.25" hidden="false" customHeight="false" outlineLevel="0" collapsed="false">
      <c r="A462" s="37" t="s">
        <v>784</v>
      </c>
      <c r="B462" s="37" t="s">
        <v>380</v>
      </c>
      <c r="C462" s="216" t="n">
        <v>31</v>
      </c>
    </row>
    <row r="463" customFormat="false" ht="14.25" hidden="false" customHeight="false" outlineLevel="0" collapsed="false">
      <c r="A463" s="37" t="s">
        <v>785</v>
      </c>
      <c r="B463" s="37" t="s">
        <v>380</v>
      </c>
      <c r="C463" s="216" t="n">
        <v>31</v>
      </c>
    </row>
    <row r="464" customFormat="false" ht="14.25" hidden="false" customHeight="false" outlineLevel="0" collapsed="false">
      <c r="A464" s="37" t="s">
        <v>786</v>
      </c>
      <c r="B464" s="37" t="s">
        <v>380</v>
      </c>
      <c r="C464" s="216" t="n">
        <v>31</v>
      </c>
    </row>
    <row r="465" customFormat="false" ht="14.25" hidden="false" customHeight="false" outlineLevel="0" collapsed="false">
      <c r="A465" s="37" t="s">
        <v>787</v>
      </c>
      <c r="B465" s="37" t="s">
        <v>380</v>
      </c>
      <c r="C465" s="216" t="n">
        <v>31</v>
      </c>
    </row>
    <row r="466" customFormat="false" ht="14.25" hidden="false" customHeight="false" outlineLevel="0" collapsed="false">
      <c r="A466" s="37" t="s">
        <v>788</v>
      </c>
      <c r="B466" s="37" t="s">
        <v>380</v>
      </c>
      <c r="C466" s="216" t="n">
        <v>31</v>
      </c>
    </row>
    <row r="467" customFormat="false" ht="14.25" hidden="false" customHeight="false" outlineLevel="0" collapsed="false">
      <c r="A467" s="37" t="s">
        <v>789</v>
      </c>
      <c r="B467" s="37" t="s">
        <v>380</v>
      </c>
      <c r="C467" s="216" t="n">
        <v>31</v>
      </c>
    </row>
    <row r="468" customFormat="false" ht="14.25" hidden="false" customHeight="false" outlineLevel="0" collapsed="false">
      <c r="A468" s="37" t="s">
        <v>790</v>
      </c>
      <c r="B468" s="37" t="s">
        <v>380</v>
      </c>
      <c r="C468" s="216" t="n">
        <v>31</v>
      </c>
    </row>
    <row r="469" customFormat="false" ht="14.25" hidden="false" customHeight="false" outlineLevel="0" collapsed="false">
      <c r="A469" s="37" t="s">
        <v>791</v>
      </c>
      <c r="B469" s="37" t="s">
        <v>380</v>
      </c>
      <c r="C469" s="216" t="n">
        <v>31</v>
      </c>
    </row>
    <row r="470" customFormat="false" ht="14.25" hidden="false" customHeight="false" outlineLevel="0" collapsed="false">
      <c r="A470" s="37" t="s">
        <v>792</v>
      </c>
      <c r="B470" s="37" t="s">
        <v>380</v>
      </c>
      <c r="C470" s="216" t="n">
        <v>31</v>
      </c>
    </row>
    <row r="471" customFormat="false" ht="14.25" hidden="false" customHeight="false" outlineLevel="0" collapsed="false">
      <c r="A471" s="37" t="s">
        <v>793</v>
      </c>
      <c r="B471" s="37" t="s">
        <v>380</v>
      </c>
      <c r="C471" s="216" t="n">
        <v>31</v>
      </c>
    </row>
    <row r="472" customFormat="false" ht="14.25" hidden="false" customHeight="false" outlineLevel="0" collapsed="false">
      <c r="A472" s="37" t="s">
        <v>794</v>
      </c>
      <c r="B472" s="37" t="s">
        <v>380</v>
      </c>
      <c r="C472" s="216" t="n">
        <v>31</v>
      </c>
    </row>
    <row r="473" customFormat="false" ht="14.25" hidden="false" customHeight="false" outlineLevel="0" collapsed="false">
      <c r="A473" s="37" t="s">
        <v>795</v>
      </c>
      <c r="B473" s="37" t="s">
        <v>380</v>
      </c>
      <c r="C473" s="216" t="n">
        <v>31</v>
      </c>
    </row>
    <row r="474" customFormat="false" ht="14.25" hidden="false" customHeight="false" outlineLevel="0" collapsed="false">
      <c r="A474" s="37" t="s">
        <v>796</v>
      </c>
      <c r="B474" s="37" t="s">
        <v>380</v>
      </c>
      <c r="C474" s="216" t="n">
        <v>31</v>
      </c>
    </row>
    <row r="475" customFormat="false" ht="14.25" hidden="false" customHeight="false" outlineLevel="0" collapsed="false">
      <c r="A475" s="37" t="s">
        <v>797</v>
      </c>
      <c r="B475" s="37" t="s">
        <v>380</v>
      </c>
      <c r="C475" s="216" t="n">
        <v>31</v>
      </c>
    </row>
    <row r="476" customFormat="false" ht="14.25" hidden="false" customHeight="false" outlineLevel="0" collapsed="false">
      <c r="A476" s="37" t="s">
        <v>798</v>
      </c>
      <c r="B476" s="37" t="s">
        <v>380</v>
      </c>
      <c r="C476" s="216" t="n">
        <v>31</v>
      </c>
    </row>
    <row r="477" customFormat="false" ht="14.25" hidden="false" customHeight="false" outlineLevel="0" collapsed="false">
      <c r="A477" s="37" t="s">
        <v>799</v>
      </c>
      <c r="B477" s="37" t="s">
        <v>380</v>
      </c>
      <c r="C477" s="216" t="n">
        <v>31</v>
      </c>
    </row>
    <row r="478" customFormat="false" ht="14.25" hidden="false" customHeight="false" outlineLevel="0" collapsed="false">
      <c r="A478" s="37" t="s">
        <v>800</v>
      </c>
      <c r="B478" s="37" t="s">
        <v>380</v>
      </c>
      <c r="C478" s="216" t="n">
        <v>31</v>
      </c>
    </row>
    <row r="479" customFormat="false" ht="14.25" hidden="false" customHeight="false" outlineLevel="0" collapsed="false">
      <c r="A479" s="37" t="s">
        <v>801</v>
      </c>
      <c r="B479" s="37" t="s">
        <v>380</v>
      </c>
      <c r="C479" s="216" t="n">
        <v>31</v>
      </c>
    </row>
    <row r="480" customFormat="false" ht="14.25" hidden="false" customHeight="false" outlineLevel="0" collapsed="false">
      <c r="A480" s="37" t="s">
        <v>802</v>
      </c>
      <c r="B480" s="37" t="s">
        <v>380</v>
      </c>
      <c r="C480" s="216" t="n">
        <v>31</v>
      </c>
    </row>
    <row r="481" customFormat="false" ht="14.25" hidden="false" customHeight="false" outlineLevel="0" collapsed="false">
      <c r="A481" s="37" t="s">
        <v>803</v>
      </c>
      <c r="B481" s="37" t="s">
        <v>380</v>
      </c>
      <c r="C481" s="216" t="n">
        <v>31</v>
      </c>
    </row>
    <row r="482" customFormat="false" ht="14.25" hidden="false" customHeight="false" outlineLevel="0" collapsed="false">
      <c r="A482" s="37" t="s">
        <v>804</v>
      </c>
      <c r="B482" s="37" t="s">
        <v>380</v>
      </c>
      <c r="C482" s="216" t="n">
        <v>31</v>
      </c>
    </row>
    <row r="483" customFormat="false" ht="14.25" hidden="false" customHeight="false" outlineLevel="0" collapsed="false">
      <c r="A483" s="37" t="s">
        <v>805</v>
      </c>
      <c r="B483" s="37" t="s">
        <v>380</v>
      </c>
      <c r="C483" s="216" t="n">
        <v>31</v>
      </c>
    </row>
    <row r="484" customFormat="false" ht="14.25" hidden="false" customHeight="false" outlineLevel="0" collapsed="false">
      <c r="A484" s="37" t="s">
        <v>806</v>
      </c>
      <c r="B484" s="37" t="s">
        <v>380</v>
      </c>
      <c r="C484" s="216" t="n">
        <v>31</v>
      </c>
    </row>
    <row r="485" customFormat="false" ht="14.25" hidden="false" customHeight="false" outlineLevel="0" collapsed="false">
      <c r="A485" s="37" t="s">
        <v>807</v>
      </c>
      <c r="B485" s="37" t="s">
        <v>380</v>
      </c>
      <c r="C485" s="216" t="n">
        <v>31</v>
      </c>
    </row>
    <row r="486" customFormat="false" ht="14.25" hidden="false" customHeight="false" outlineLevel="0" collapsed="false">
      <c r="A486" s="37" t="s">
        <v>808</v>
      </c>
      <c r="B486" s="37" t="s">
        <v>380</v>
      </c>
      <c r="C486" s="216" t="n">
        <v>31</v>
      </c>
    </row>
    <row r="487" customFormat="false" ht="14.25" hidden="false" customHeight="false" outlineLevel="0" collapsed="false">
      <c r="A487" s="37" t="s">
        <v>809</v>
      </c>
      <c r="B487" s="37" t="s">
        <v>380</v>
      </c>
      <c r="C487" s="216" t="n">
        <v>31</v>
      </c>
    </row>
    <row r="488" customFormat="false" ht="14.25" hidden="false" customHeight="false" outlineLevel="0" collapsed="false">
      <c r="A488" s="37" t="s">
        <v>810</v>
      </c>
      <c r="B488" s="37" t="s">
        <v>380</v>
      </c>
      <c r="C488" s="216" t="n">
        <v>31</v>
      </c>
    </row>
    <row r="489" customFormat="false" ht="14.25" hidden="false" customHeight="false" outlineLevel="0" collapsed="false">
      <c r="A489" s="37" t="s">
        <v>811</v>
      </c>
      <c r="B489" s="37" t="s">
        <v>380</v>
      </c>
      <c r="C489" s="216" t="n">
        <v>31</v>
      </c>
    </row>
    <row r="490" customFormat="false" ht="14.25" hidden="false" customHeight="false" outlineLevel="0" collapsed="false">
      <c r="A490" s="37" t="s">
        <v>812</v>
      </c>
      <c r="B490" s="37" t="s">
        <v>380</v>
      </c>
      <c r="C490" s="216" t="n">
        <v>31</v>
      </c>
    </row>
    <row r="491" customFormat="false" ht="14.25" hidden="false" customHeight="false" outlineLevel="0" collapsed="false">
      <c r="A491" s="37" t="s">
        <v>813</v>
      </c>
      <c r="B491" s="37" t="s">
        <v>380</v>
      </c>
      <c r="C491" s="216" t="n">
        <v>31</v>
      </c>
    </row>
    <row r="492" customFormat="false" ht="14.25" hidden="false" customHeight="false" outlineLevel="0" collapsed="false">
      <c r="A492" s="37" t="s">
        <v>814</v>
      </c>
      <c r="B492" s="37" t="s">
        <v>380</v>
      </c>
      <c r="C492" s="216" t="n">
        <v>31</v>
      </c>
    </row>
    <row r="493" customFormat="false" ht="14.25" hidden="false" customHeight="false" outlineLevel="0" collapsed="false">
      <c r="A493" s="37" t="s">
        <v>815</v>
      </c>
      <c r="B493" s="37" t="s">
        <v>380</v>
      </c>
      <c r="C493" s="216" t="n">
        <v>31</v>
      </c>
    </row>
    <row r="494" customFormat="false" ht="14.25" hidden="false" customHeight="false" outlineLevel="0" collapsed="false">
      <c r="A494" s="37" t="s">
        <v>816</v>
      </c>
      <c r="B494" s="37" t="s">
        <v>380</v>
      </c>
      <c r="C494" s="216" t="n">
        <v>31</v>
      </c>
    </row>
    <row r="495" customFormat="false" ht="14.25" hidden="false" customHeight="false" outlineLevel="0" collapsed="false">
      <c r="A495" s="37" t="s">
        <v>817</v>
      </c>
      <c r="B495" s="37" t="s">
        <v>380</v>
      </c>
      <c r="C495" s="216" t="n">
        <v>31</v>
      </c>
    </row>
    <row r="496" customFormat="false" ht="14.25" hidden="false" customHeight="false" outlineLevel="0" collapsed="false">
      <c r="A496" s="37" t="s">
        <v>818</v>
      </c>
      <c r="B496" s="37" t="s">
        <v>380</v>
      </c>
      <c r="C496" s="216" t="n">
        <v>31</v>
      </c>
    </row>
    <row r="497" customFormat="false" ht="14.25" hidden="false" customHeight="false" outlineLevel="0" collapsed="false">
      <c r="A497" s="37" t="s">
        <v>819</v>
      </c>
      <c r="B497" s="37" t="s">
        <v>380</v>
      </c>
      <c r="C497" s="216" t="n">
        <v>31</v>
      </c>
    </row>
    <row r="498" customFormat="false" ht="14.25" hidden="false" customHeight="false" outlineLevel="0" collapsed="false">
      <c r="A498" s="37" t="s">
        <v>820</v>
      </c>
      <c r="B498" s="37" t="s">
        <v>380</v>
      </c>
      <c r="C498" s="216" t="n">
        <v>31</v>
      </c>
    </row>
    <row r="499" customFormat="false" ht="14.25" hidden="false" customHeight="false" outlineLevel="0" collapsed="false">
      <c r="A499" s="37" t="s">
        <v>821</v>
      </c>
      <c r="B499" s="37" t="s">
        <v>380</v>
      </c>
      <c r="C499" s="216" t="n">
        <v>31</v>
      </c>
    </row>
    <row r="500" customFormat="false" ht="14.25" hidden="false" customHeight="false" outlineLevel="0" collapsed="false">
      <c r="A500" s="37" t="s">
        <v>822</v>
      </c>
      <c r="B500" s="37" t="s">
        <v>380</v>
      </c>
      <c r="C500" s="216" t="n">
        <v>31</v>
      </c>
    </row>
    <row r="501" customFormat="false" ht="14.25" hidden="false" customHeight="false" outlineLevel="0" collapsed="false">
      <c r="A501" s="37" t="s">
        <v>823</v>
      </c>
      <c r="B501" s="37" t="s">
        <v>380</v>
      </c>
      <c r="C501" s="216" t="n">
        <v>31</v>
      </c>
    </row>
    <row r="502" customFormat="false" ht="14.25" hidden="false" customHeight="false" outlineLevel="0" collapsed="false">
      <c r="A502" s="37" t="s">
        <v>824</v>
      </c>
      <c r="B502" s="37" t="s">
        <v>380</v>
      </c>
      <c r="C502" s="216" t="n">
        <v>31</v>
      </c>
    </row>
    <row r="503" customFormat="false" ht="14.25" hidden="false" customHeight="false" outlineLevel="0" collapsed="false">
      <c r="A503" s="37" t="s">
        <v>825</v>
      </c>
      <c r="B503" s="37" t="s">
        <v>380</v>
      </c>
      <c r="C503" s="216" t="n">
        <v>31</v>
      </c>
    </row>
    <row r="504" customFormat="false" ht="14.25" hidden="false" customHeight="false" outlineLevel="0" collapsed="false">
      <c r="A504" s="37" t="s">
        <v>826</v>
      </c>
      <c r="B504" s="37" t="s">
        <v>380</v>
      </c>
      <c r="C504" s="216" t="n">
        <v>31</v>
      </c>
    </row>
    <row r="505" customFormat="false" ht="76.1" hidden="false" customHeight="false" outlineLevel="0" collapsed="false">
      <c r="A505" s="845" t="s">
        <v>415</v>
      </c>
      <c r="B505" s="846" t="s">
        <v>525</v>
      </c>
      <c r="C505" s="847" t="n">
        <v>5.18</v>
      </c>
      <c r="D505" s="848" t="n">
        <v>3.908</v>
      </c>
      <c r="E505" s="848" t="n">
        <v>2.959</v>
      </c>
      <c r="F505" s="849" t="s">
        <v>35</v>
      </c>
      <c r="G505" s="849" t="s">
        <v>35</v>
      </c>
      <c r="H505" s="849" t="s">
        <v>918</v>
      </c>
      <c r="I505" s="849" t="s">
        <v>35</v>
      </c>
    </row>
    <row r="506" customFormat="false" ht="76.1" hidden="false" customHeight="false" outlineLevel="0" collapsed="false">
      <c r="A506" s="845"/>
      <c r="B506" s="846" t="s">
        <v>577</v>
      </c>
      <c r="C506" s="847" t="n">
        <v>4.96</v>
      </c>
      <c r="D506" s="848" t="n">
        <v>3.929</v>
      </c>
      <c r="E506" s="848" t="n">
        <v>2.921</v>
      </c>
      <c r="F506" s="849" t="s">
        <v>35</v>
      </c>
      <c r="G506" s="849" t="s">
        <v>35</v>
      </c>
      <c r="H506" s="849" t="s">
        <v>923</v>
      </c>
      <c r="I506" s="849" t="s">
        <v>35</v>
      </c>
    </row>
    <row r="507" customFormat="false" ht="135.8" hidden="false" customHeight="false" outlineLevel="0" collapsed="false">
      <c r="A507" s="845"/>
      <c r="B507" s="846" t="s">
        <v>643</v>
      </c>
      <c r="C507" s="847" t="n">
        <v>8.69</v>
      </c>
      <c r="D507" s="848" t="n">
        <v>5.82</v>
      </c>
      <c r="E507" s="848" t="n">
        <v>2.9</v>
      </c>
      <c r="F507" s="849" t="s">
        <v>937</v>
      </c>
      <c r="G507" s="849" t="s">
        <v>943</v>
      </c>
      <c r="H507" s="849" t="s">
        <v>939</v>
      </c>
      <c r="I507" s="849" t="s">
        <v>35</v>
      </c>
    </row>
    <row r="508" customFormat="false" ht="76.1" hidden="false" customHeight="false" outlineLevel="0" collapsed="false">
      <c r="A508" s="845"/>
      <c r="B508" s="846" t="s">
        <v>644</v>
      </c>
      <c r="C508" s="847" t="n">
        <v>9.78</v>
      </c>
      <c r="D508" s="848" t="n">
        <v>3.908</v>
      </c>
      <c r="E508" s="848" t="n">
        <v>2.959</v>
      </c>
      <c r="F508" s="849" t="s">
        <v>35</v>
      </c>
      <c r="G508" s="849" t="s">
        <v>35</v>
      </c>
      <c r="H508" s="849" t="s">
        <v>944</v>
      </c>
      <c r="I508" s="849" t="s">
        <v>35</v>
      </c>
    </row>
    <row r="509" customFormat="false" ht="76.1" hidden="false" customHeight="false" outlineLevel="0" collapsed="false">
      <c r="A509" s="845"/>
      <c r="B509" s="846" t="s">
        <v>504</v>
      </c>
      <c r="C509" s="847" t="n">
        <v>4.96</v>
      </c>
      <c r="D509" s="848" t="n">
        <v>3.937</v>
      </c>
      <c r="E509" s="848" t="n">
        <v>2.969</v>
      </c>
      <c r="F509" s="849" t="s">
        <v>35</v>
      </c>
      <c r="G509" s="849" t="s">
        <v>35</v>
      </c>
      <c r="H509" s="849" t="s">
        <v>918</v>
      </c>
      <c r="I509" s="849" t="s">
        <v>35</v>
      </c>
    </row>
    <row r="510" customFormat="false" ht="14.25" hidden="false" customHeight="false" outlineLevel="0" collapsed="false">
      <c r="A510" s="37" t="s">
        <v>827</v>
      </c>
      <c r="B510" s="37" t="s">
        <v>380</v>
      </c>
      <c r="C510" s="216" t="n">
        <v>31</v>
      </c>
    </row>
    <row r="511" customFormat="false" ht="14.25" hidden="false" customHeight="false" outlineLevel="0" collapsed="false">
      <c r="A511" s="37" t="s">
        <v>828</v>
      </c>
      <c r="B511" s="37" t="s">
        <v>380</v>
      </c>
      <c r="C511" s="216" t="n">
        <v>31</v>
      </c>
    </row>
    <row r="512" customFormat="false" ht="14.25" hidden="false" customHeight="false" outlineLevel="0" collapsed="false">
      <c r="A512" s="37" t="s">
        <v>829</v>
      </c>
      <c r="B512" s="37" t="s">
        <v>380</v>
      </c>
      <c r="C512" s="216" t="n">
        <v>31</v>
      </c>
    </row>
    <row r="513" customFormat="false" ht="14.25" hidden="false" customHeight="false" outlineLevel="0" collapsed="false">
      <c r="A513" s="37" t="s">
        <v>830</v>
      </c>
      <c r="B513" s="37" t="s">
        <v>380</v>
      </c>
      <c r="C513" s="216" t="n">
        <v>31</v>
      </c>
    </row>
    <row r="514" customFormat="false" ht="14.25" hidden="false" customHeight="false" outlineLevel="0" collapsed="false">
      <c r="A514" s="37" t="s">
        <v>831</v>
      </c>
      <c r="B514" s="37" t="s">
        <v>380</v>
      </c>
      <c r="C514" s="216" t="n">
        <v>31</v>
      </c>
    </row>
    <row r="515" customFormat="false" ht="14.25" hidden="false" customHeight="false" outlineLevel="0" collapsed="false">
      <c r="A515" s="37" t="s">
        <v>832</v>
      </c>
      <c r="B515" s="37" t="s">
        <v>380</v>
      </c>
      <c r="C515" s="216" t="n">
        <v>31</v>
      </c>
    </row>
    <row r="516" customFormat="false" ht="14.25" hidden="false" customHeight="false" outlineLevel="0" collapsed="false">
      <c r="A516" s="37" t="s">
        <v>833</v>
      </c>
      <c r="B516" s="37" t="s">
        <v>380</v>
      </c>
      <c r="C516" s="216" t="n">
        <v>31</v>
      </c>
    </row>
    <row r="517" customFormat="false" ht="14.25" hidden="false" customHeight="false" outlineLevel="0" collapsed="false">
      <c r="A517" s="37" t="s">
        <v>834</v>
      </c>
      <c r="B517" s="37" t="s">
        <v>380</v>
      </c>
      <c r="C517" s="216" t="n">
        <v>31</v>
      </c>
    </row>
    <row r="518" customFormat="false" ht="14.25" hidden="false" customHeight="false" outlineLevel="0" collapsed="false">
      <c r="A518" s="37" t="s">
        <v>835</v>
      </c>
      <c r="B518" s="37" t="s">
        <v>380</v>
      </c>
      <c r="C518" s="216" t="n">
        <v>31</v>
      </c>
    </row>
    <row r="519" customFormat="false" ht="14.25" hidden="false" customHeight="false" outlineLevel="0" collapsed="false">
      <c r="A519" s="37" t="s">
        <v>836</v>
      </c>
      <c r="B519" s="37" t="s">
        <v>380</v>
      </c>
      <c r="C519" s="216" t="n">
        <v>31</v>
      </c>
    </row>
    <row r="520" customFormat="false" ht="14.25" hidden="false" customHeight="false" outlineLevel="0" collapsed="false">
      <c r="A520" s="37" t="s">
        <v>837</v>
      </c>
      <c r="B520" s="37" t="s">
        <v>380</v>
      </c>
      <c r="C520" s="216" t="n">
        <v>31</v>
      </c>
    </row>
    <row r="521" customFormat="false" ht="14.25" hidden="false" customHeight="false" outlineLevel="0" collapsed="false">
      <c r="A521" s="37" t="s">
        <v>838</v>
      </c>
      <c r="B521" s="37" t="s">
        <v>380</v>
      </c>
      <c r="C521" s="216" t="n">
        <v>31</v>
      </c>
    </row>
    <row r="522" customFormat="false" ht="14.25" hidden="false" customHeight="false" outlineLevel="0" collapsed="false">
      <c r="A522" s="37" t="s">
        <v>839</v>
      </c>
      <c r="B522" s="37" t="s">
        <v>380</v>
      </c>
      <c r="C522" s="216" t="n">
        <v>31</v>
      </c>
    </row>
    <row r="523" customFormat="false" ht="14.25" hidden="false" customHeight="false" outlineLevel="0" collapsed="false">
      <c r="A523" s="37" t="s">
        <v>840</v>
      </c>
      <c r="B523" s="37" t="s">
        <v>380</v>
      </c>
      <c r="C523" s="216" t="n">
        <v>31</v>
      </c>
    </row>
    <row r="524" customFormat="false" ht="14.25" hidden="false" customHeight="false" outlineLevel="0" collapsed="false">
      <c r="A524" s="37" t="s">
        <v>841</v>
      </c>
      <c r="B524" s="37" t="s">
        <v>380</v>
      </c>
      <c r="C524" s="216" t="n">
        <v>31</v>
      </c>
    </row>
    <row r="525" customFormat="false" ht="14.25" hidden="false" customHeight="false" outlineLevel="0" collapsed="false">
      <c r="A525" s="37" t="s">
        <v>842</v>
      </c>
      <c r="B525" s="37" t="s">
        <v>380</v>
      </c>
      <c r="C525" s="216" t="n">
        <v>31</v>
      </c>
    </row>
    <row r="526" customFormat="false" ht="14.25" hidden="false" customHeight="false" outlineLevel="0" collapsed="false">
      <c r="A526" s="37" t="s">
        <v>843</v>
      </c>
      <c r="B526" s="37" t="s">
        <v>380</v>
      </c>
      <c r="C526" s="216" t="n">
        <v>31</v>
      </c>
    </row>
    <row r="527" customFormat="false" ht="14.25" hidden="false" customHeight="false" outlineLevel="0" collapsed="false">
      <c r="A527" s="37" t="s">
        <v>844</v>
      </c>
      <c r="B527" s="37" t="s">
        <v>380</v>
      </c>
      <c r="C527" s="216" t="n">
        <v>31</v>
      </c>
    </row>
    <row r="528" customFormat="false" ht="14.25" hidden="false" customHeight="false" outlineLevel="0" collapsed="false">
      <c r="A528" s="37" t="s">
        <v>845</v>
      </c>
      <c r="B528" s="37" t="s">
        <v>380</v>
      </c>
      <c r="C528" s="216" t="n">
        <v>31</v>
      </c>
    </row>
    <row r="529" customFormat="false" ht="14.25" hidden="false" customHeight="false" outlineLevel="0" collapsed="false">
      <c r="A529" s="37" t="s">
        <v>846</v>
      </c>
      <c r="B529" s="37" t="s">
        <v>380</v>
      </c>
      <c r="C529" s="216" t="n">
        <v>31</v>
      </c>
    </row>
    <row r="530" customFormat="false" ht="14.25" hidden="false" customHeight="false" outlineLevel="0" collapsed="false">
      <c r="A530" s="37" t="s">
        <v>847</v>
      </c>
      <c r="B530" s="37" t="s">
        <v>380</v>
      </c>
      <c r="C530" s="216" t="n">
        <v>31</v>
      </c>
    </row>
    <row r="531" customFormat="false" ht="14.25" hidden="false" customHeight="false" outlineLevel="0" collapsed="false">
      <c r="A531" s="37" t="s">
        <v>848</v>
      </c>
      <c r="B531" s="37" t="s">
        <v>380</v>
      </c>
      <c r="C531" s="216" t="n">
        <v>31</v>
      </c>
    </row>
    <row r="532" customFormat="false" ht="14.25" hidden="false" customHeight="false" outlineLevel="0" collapsed="false">
      <c r="A532" s="37" t="s">
        <v>849</v>
      </c>
      <c r="B532" s="37" t="s">
        <v>380</v>
      </c>
      <c r="C532" s="216" t="n">
        <v>31</v>
      </c>
    </row>
    <row r="533" customFormat="false" ht="14.25" hidden="false" customHeight="false" outlineLevel="0" collapsed="false">
      <c r="A533" s="37" t="s">
        <v>850</v>
      </c>
      <c r="B533" s="37" t="s">
        <v>380</v>
      </c>
      <c r="C533" s="216" t="n">
        <v>31</v>
      </c>
    </row>
    <row r="534" customFormat="false" ht="14.25" hidden="false" customHeight="false" outlineLevel="0" collapsed="false">
      <c r="A534" s="37" t="s">
        <v>851</v>
      </c>
      <c r="B534" s="37" t="s">
        <v>380</v>
      </c>
      <c r="C534" s="216" t="n">
        <v>31</v>
      </c>
    </row>
    <row r="535" customFormat="false" ht="14.25" hidden="false" customHeight="false" outlineLevel="0" collapsed="false">
      <c r="A535" s="37" t="s">
        <v>852</v>
      </c>
      <c r="B535" s="37" t="s">
        <v>380</v>
      </c>
      <c r="C535" s="216" t="n">
        <v>31</v>
      </c>
    </row>
    <row r="536" customFormat="false" ht="14.25" hidden="false" customHeight="false" outlineLevel="0" collapsed="false">
      <c r="A536" s="37" t="s">
        <v>853</v>
      </c>
      <c r="B536" s="37" t="s">
        <v>380</v>
      </c>
      <c r="C536" s="216" t="n">
        <v>31</v>
      </c>
    </row>
    <row r="537" customFormat="false" ht="14.25" hidden="false" customHeight="false" outlineLevel="0" collapsed="false">
      <c r="A537" s="37" t="s">
        <v>854</v>
      </c>
      <c r="B537" s="37" t="s">
        <v>380</v>
      </c>
      <c r="C537" s="216" t="n">
        <v>31</v>
      </c>
    </row>
    <row r="538" customFormat="false" ht="14.25" hidden="false" customHeight="false" outlineLevel="0" collapsed="false">
      <c r="A538" s="37" t="s">
        <v>855</v>
      </c>
      <c r="B538" s="37" t="s">
        <v>380</v>
      </c>
      <c r="C538" s="216" t="n">
        <v>31</v>
      </c>
    </row>
    <row r="539" customFormat="false" ht="14.25" hidden="false" customHeight="false" outlineLevel="0" collapsed="false">
      <c r="A539" s="37" t="s">
        <v>856</v>
      </c>
      <c r="B539" s="37" t="s">
        <v>380</v>
      </c>
      <c r="C539" s="216" t="n">
        <v>31</v>
      </c>
    </row>
    <row r="540" customFormat="false" ht="14.25" hidden="false" customHeight="false" outlineLevel="0" collapsed="false">
      <c r="A540" s="37" t="s">
        <v>857</v>
      </c>
      <c r="B540" s="37" t="s">
        <v>380</v>
      </c>
      <c r="C540" s="216" t="n">
        <v>31</v>
      </c>
    </row>
    <row r="541" customFormat="false" ht="14.25" hidden="false" customHeight="false" outlineLevel="0" collapsed="false">
      <c r="A541" s="37" t="s">
        <v>858</v>
      </c>
      <c r="B541" s="37" t="s">
        <v>380</v>
      </c>
      <c r="C541" s="216" t="n">
        <v>31</v>
      </c>
    </row>
    <row r="542" customFormat="false" ht="14.25" hidden="false" customHeight="false" outlineLevel="0" collapsed="false">
      <c r="A542" s="37" t="s">
        <v>859</v>
      </c>
      <c r="B542" s="37" t="s">
        <v>380</v>
      </c>
      <c r="C542" s="216" t="n">
        <v>31</v>
      </c>
    </row>
    <row r="543" customFormat="false" ht="14.25" hidden="false" customHeight="false" outlineLevel="0" collapsed="false">
      <c r="A543" s="37" t="s">
        <v>860</v>
      </c>
      <c r="B543" s="37" t="s">
        <v>380</v>
      </c>
      <c r="C543" s="216" t="n">
        <v>31</v>
      </c>
    </row>
    <row r="544" customFormat="false" ht="14.25" hidden="false" customHeight="false" outlineLevel="0" collapsed="false">
      <c r="A544" s="37" t="s">
        <v>861</v>
      </c>
      <c r="B544" s="37" t="s">
        <v>380</v>
      </c>
      <c r="C544" s="216" t="n">
        <v>31</v>
      </c>
    </row>
    <row r="545" customFormat="false" ht="14.25" hidden="false" customHeight="false" outlineLevel="0" collapsed="false">
      <c r="A545" s="37" t="s">
        <v>862</v>
      </c>
      <c r="B545" s="37" t="s">
        <v>380</v>
      </c>
      <c r="C545" s="216" t="n">
        <v>31</v>
      </c>
    </row>
    <row r="546" customFormat="false" ht="14.25" hidden="false" customHeight="false" outlineLevel="0" collapsed="false">
      <c r="A546" s="37" t="s">
        <v>863</v>
      </c>
      <c r="B546" s="37" t="s">
        <v>380</v>
      </c>
      <c r="C546" s="216" t="n">
        <v>31</v>
      </c>
    </row>
    <row r="547" customFormat="false" ht="14.25" hidden="false" customHeight="false" outlineLevel="0" collapsed="false">
      <c r="A547" s="37" t="s">
        <v>864</v>
      </c>
      <c r="B547" s="37" t="s">
        <v>380</v>
      </c>
      <c r="C547" s="216" t="n">
        <v>31</v>
      </c>
    </row>
    <row r="548" customFormat="false" ht="14.25" hidden="false" customHeight="false" outlineLevel="0" collapsed="false">
      <c r="A548" s="37" t="s">
        <v>865</v>
      </c>
      <c r="B548" s="37" t="s">
        <v>380</v>
      </c>
      <c r="C548" s="216" t="n">
        <v>31</v>
      </c>
    </row>
    <row r="549" customFormat="false" ht="14.25" hidden="false" customHeight="false" outlineLevel="0" collapsed="false">
      <c r="A549" s="37" t="s">
        <v>866</v>
      </c>
      <c r="B549" s="37" t="s">
        <v>380</v>
      </c>
      <c r="C549" s="216" t="n">
        <v>31</v>
      </c>
    </row>
    <row r="550" customFormat="false" ht="14.25" hidden="false" customHeight="false" outlineLevel="0" collapsed="false">
      <c r="A550" s="37" t="s">
        <v>867</v>
      </c>
      <c r="B550" s="37" t="s">
        <v>380</v>
      </c>
      <c r="C550" s="216" t="n">
        <v>31</v>
      </c>
    </row>
    <row r="551" customFormat="false" ht="14.25" hidden="false" customHeight="false" outlineLevel="0" collapsed="false">
      <c r="A551" s="37" t="s">
        <v>868</v>
      </c>
      <c r="B551" s="37" t="s">
        <v>380</v>
      </c>
      <c r="C551" s="216" t="n">
        <v>31</v>
      </c>
    </row>
    <row r="552" customFormat="false" ht="14.25" hidden="false" customHeight="false" outlineLevel="0" collapsed="false">
      <c r="A552" s="37" t="s">
        <v>869</v>
      </c>
      <c r="B552" s="37" t="s">
        <v>380</v>
      </c>
      <c r="C552" s="216" t="n">
        <v>31</v>
      </c>
    </row>
    <row r="553" customFormat="false" ht="14.25" hidden="false" customHeight="false" outlineLevel="0" collapsed="false">
      <c r="A553" s="37" t="s">
        <v>870</v>
      </c>
      <c r="B553" s="37" t="s">
        <v>380</v>
      </c>
      <c r="C553" s="216" t="n">
        <v>31</v>
      </c>
    </row>
    <row r="554" customFormat="false" ht="14.25" hidden="false" customHeight="false" outlineLevel="0" collapsed="false">
      <c r="A554" s="37" t="s">
        <v>871</v>
      </c>
      <c r="B554" s="37" t="s">
        <v>380</v>
      </c>
      <c r="C554" s="216" t="n">
        <v>31</v>
      </c>
    </row>
    <row r="555" customFormat="false" ht="14.25" hidden="false" customHeight="false" outlineLevel="0" collapsed="false">
      <c r="A555" s="37" t="s">
        <v>872</v>
      </c>
      <c r="B555" s="37" t="s">
        <v>380</v>
      </c>
      <c r="C555" s="216" t="n">
        <v>31</v>
      </c>
    </row>
    <row r="556" customFormat="false" ht="14.25" hidden="false" customHeight="false" outlineLevel="0" collapsed="false">
      <c r="A556" s="37" t="s">
        <v>873</v>
      </c>
      <c r="B556" s="37" t="s">
        <v>380</v>
      </c>
      <c r="C556" s="216" t="n">
        <v>31</v>
      </c>
    </row>
    <row r="557" customFormat="false" ht="14.25" hidden="false" customHeight="false" outlineLevel="0" collapsed="false">
      <c r="A557" s="37" t="s">
        <v>874</v>
      </c>
      <c r="B557" s="37" t="s">
        <v>380</v>
      </c>
      <c r="C557" s="216" t="n">
        <v>31</v>
      </c>
    </row>
    <row r="558" customFormat="false" ht="14.25" hidden="false" customHeight="false" outlineLevel="0" collapsed="false">
      <c r="A558" s="37" t="s">
        <v>875</v>
      </c>
      <c r="B558" s="37" t="s">
        <v>380</v>
      </c>
      <c r="C558" s="216" t="n">
        <v>31</v>
      </c>
    </row>
    <row r="559" customFormat="false" ht="14.25" hidden="false" customHeight="false" outlineLevel="0" collapsed="false">
      <c r="A559" s="37" t="s">
        <v>876</v>
      </c>
      <c r="B559" s="37" t="s">
        <v>380</v>
      </c>
      <c r="C559" s="216" t="n">
        <v>31</v>
      </c>
    </row>
    <row r="560" customFormat="false" ht="14.25" hidden="false" customHeight="false" outlineLevel="0" collapsed="false">
      <c r="A560" s="37" t="s">
        <v>877</v>
      </c>
      <c r="B560" s="37" t="s">
        <v>380</v>
      </c>
      <c r="C560" s="216" t="n">
        <v>31</v>
      </c>
    </row>
    <row r="561" customFormat="false" ht="14.25" hidden="false" customHeight="false" outlineLevel="0" collapsed="false">
      <c r="A561" s="37" t="s">
        <v>878</v>
      </c>
      <c r="B561" s="37" t="s">
        <v>380</v>
      </c>
      <c r="C561" s="216" t="n">
        <v>31</v>
      </c>
    </row>
    <row r="562" customFormat="false" ht="14.25" hidden="false" customHeight="false" outlineLevel="0" collapsed="false">
      <c r="A562" s="37" t="s">
        <v>879</v>
      </c>
      <c r="B562" s="37" t="s">
        <v>380</v>
      </c>
      <c r="C562" s="216" t="n">
        <v>31</v>
      </c>
    </row>
    <row r="563" customFormat="false" ht="14.25" hidden="false" customHeight="false" outlineLevel="0" collapsed="false">
      <c r="A563" s="37" t="s">
        <v>880</v>
      </c>
      <c r="B563" s="37" t="s">
        <v>380</v>
      </c>
      <c r="C563" s="216" t="n">
        <v>31</v>
      </c>
    </row>
    <row r="564" customFormat="false" ht="14.25" hidden="false" customHeight="false" outlineLevel="0" collapsed="false">
      <c r="A564" s="37" t="s">
        <v>881</v>
      </c>
      <c r="B564" s="37" t="s">
        <v>380</v>
      </c>
      <c r="C564" s="216" t="n">
        <v>31</v>
      </c>
    </row>
    <row r="565" customFormat="false" ht="14.25" hidden="false" customHeight="false" outlineLevel="0" collapsed="false">
      <c r="A565" s="37" t="s">
        <v>882</v>
      </c>
      <c r="B565" s="37" t="s">
        <v>380</v>
      </c>
      <c r="C565" s="216" t="n">
        <v>31</v>
      </c>
    </row>
    <row r="566" customFormat="false" ht="14.25" hidden="false" customHeight="false" outlineLevel="0" collapsed="false">
      <c r="A566" s="37" t="s">
        <v>883</v>
      </c>
      <c r="B566" s="37" t="s">
        <v>380</v>
      </c>
      <c r="C566" s="216" t="n">
        <v>31</v>
      </c>
    </row>
    <row r="567" customFormat="false" ht="14.25" hidden="false" customHeight="false" outlineLevel="0" collapsed="false">
      <c r="A567" s="37" t="s">
        <v>884</v>
      </c>
      <c r="B567" s="37" t="s">
        <v>380</v>
      </c>
      <c r="C567" s="216" t="n">
        <v>31</v>
      </c>
    </row>
    <row r="568" customFormat="false" ht="14.25" hidden="false" customHeight="false" outlineLevel="0" collapsed="false">
      <c r="A568" s="37" t="s">
        <v>885</v>
      </c>
      <c r="B568" s="37" t="s">
        <v>380</v>
      </c>
      <c r="C568" s="216" t="n">
        <v>31</v>
      </c>
    </row>
    <row r="569" customFormat="false" ht="14.25" hidden="false" customHeight="false" outlineLevel="0" collapsed="false">
      <c r="A569" s="37" t="s">
        <v>886</v>
      </c>
      <c r="B569" s="37" t="s">
        <v>380</v>
      </c>
      <c r="C569" s="216" t="n">
        <v>31</v>
      </c>
    </row>
    <row r="570" customFormat="false" ht="14.25" hidden="false" customHeight="false" outlineLevel="0" collapsed="false">
      <c r="A570" s="37" t="s">
        <v>887</v>
      </c>
      <c r="B570" s="37" t="s">
        <v>380</v>
      </c>
      <c r="C570" s="216" t="n">
        <v>31</v>
      </c>
    </row>
    <row r="571" customFormat="false" ht="14.25" hidden="false" customHeight="false" outlineLevel="0" collapsed="false">
      <c r="A571" s="37" t="s">
        <v>888</v>
      </c>
      <c r="B571" s="37" t="s">
        <v>380</v>
      </c>
      <c r="C571" s="216" t="n">
        <v>31</v>
      </c>
    </row>
    <row r="572" customFormat="false" ht="14.25" hidden="false" customHeight="false" outlineLevel="0" collapsed="false">
      <c r="A572" s="37" t="s">
        <v>889</v>
      </c>
      <c r="B572" s="37" t="s">
        <v>380</v>
      </c>
      <c r="C572" s="216" t="n">
        <v>31</v>
      </c>
    </row>
    <row r="573" customFormat="false" ht="14.25" hidden="false" customHeight="false" outlineLevel="0" collapsed="false">
      <c r="A573" s="37" t="s">
        <v>890</v>
      </c>
      <c r="B573" s="37" t="s">
        <v>380</v>
      </c>
      <c r="C573" s="216" t="n">
        <v>31</v>
      </c>
    </row>
    <row r="574" customFormat="false" ht="14.25" hidden="false" customHeight="false" outlineLevel="0" collapsed="false">
      <c r="A574" s="37" t="s">
        <v>891</v>
      </c>
      <c r="B574" s="37" t="s">
        <v>380</v>
      </c>
      <c r="C574" s="216" t="n">
        <v>31</v>
      </c>
    </row>
    <row r="575" customFormat="false" ht="14.25" hidden="false" customHeight="false" outlineLevel="0" collapsed="false">
      <c r="A575" s="37" t="s">
        <v>892</v>
      </c>
      <c r="B575" s="37" t="s">
        <v>380</v>
      </c>
      <c r="C575" s="216" t="n">
        <v>31</v>
      </c>
    </row>
    <row r="576" customFormat="false" ht="14.25" hidden="false" customHeight="false" outlineLevel="0" collapsed="false">
      <c r="A576" s="37" t="s">
        <v>893</v>
      </c>
      <c r="B576" s="37" t="s">
        <v>380</v>
      </c>
      <c r="C576" s="216" t="n">
        <v>31</v>
      </c>
    </row>
    <row r="577" customFormat="false" ht="14.25" hidden="false" customHeight="false" outlineLevel="0" collapsed="false">
      <c r="A577" s="37" t="s">
        <v>894</v>
      </c>
      <c r="B577" s="37" t="s">
        <v>380</v>
      </c>
      <c r="C577" s="216" t="n">
        <v>31</v>
      </c>
    </row>
    <row r="578" customFormat="false" ht="14.25" hidden="false" customHeight="false" outlineLevel="0" collapsed="false">
      <c r="A578" s="37" t="s">
        <v>895</v>
      </c>
      <c r="B578" s="37" t="s">
        <v>380</v>
      </c>
      <c r="C578" s="216" t="n">
        <v>31</v>
      </c>
    </row>
    <row r="579" customFormat="false" ht="14.25" hidden="false" customHeight="false" outlineLevel="0" collapsed="false">
      <c r="A579" s="37" t="s">
        <v>896</v>
      </c>
      <c r="B579" s="37" t="s">
        <v>380</v>
      </c>
      <c r="C579" s="216" t="n">
        <v>31</v>
      </c>
    </row>
    <row r="580" customFormat="false" ht="14.25" hidden="false" customHeight="false" outlineLevel="0" collapsed="false">
      <c r="A580" s="37" t="s">
        <v>897</v>
      </c>
      <c r="B580" s="37" t="s">
        <v>380</v>
      </c>
      <c r="C580" s="216" t="n">
        <v>31</v>
      </c>
    </row>
    <row r="581" customFormat="false" ht="14.25" hidden="false" customHeight="false" outlineLevel="0" collapsed="false">
      <c r="A581" s="37" t="s">
        <v>898</v>
      </c>
      <c r="B581" s="37" t="s">
        <v>380</v>
      </c>
      <c r="C581" s="216" t="n">
        <v>31</v>
      </c>
    </row>
    <row r="582" customFormat="false" ht="14.25" hidden="false" customHeight="false" outlineLevel="0" collapsed="false">
      <c r="A582" s="37" t="s">
        <v>899</v>
      </c>
      <c r="B582" s="37" t="s">
        <v>380</v>
      </c>
      <c r="C582" s="216" t="n">
        <v>31</v>
      </c>
    </row>
    <row r="583" customFormat="false" ht="14.25" hidden="false" customHeight="false" outlineLevel="0" collapsed="false">
      <c r="A583" s="37" t="s">
        <v>900</v>
      </c>
      <c r="B583" s="37" t="s">
        <v>380</v>
      </c>
      <c r="C583" s="216" t="n">
        <v>31</v>
      </c>
    </row>
    <row r="584" customFormat="false" ht="14.25" hidden="false" customHeight="false" outlineLevel="0" collapsed="false">
      <c r="A584" s="37" t="s">
        <v>901</v>
      </c>
      <c r="B584" s="37" t="s">
        <v>380</v>
      </c>
      <c r="C584" s="216" t="n">
        <v>31</v>
      </c>
    </row>
    <row r="585" customFormat="false" ht="76.1" hidden="false" customHeight="false" outlineLevel="0" collapsed="false">
      <c r="A585" s="850" t="s">
        <v>419</v>
      </c>
      <c r="B585" s="851" t="s">
        <v>512</v>
      </c>
      <c r="C585" s="852" t="n">
        <v>5.02</v>
      </c>
      <c r="D585" s="853" t="n">
        <v>3.908</v>
      </c>
      <c r="E585" s="853" t="n">
        <v>2.959</v>
      </c>
      <c r="F585" s="854" t="s">
        <v>35</v>
      </c>
      <c r="G585" s="854" t="s">
        <v>35</v>
      </c>
      <c r="H585" s="854" t="s">
        <v>918</v>
      </c>
      <c r="I585" s="854" t="s">
        <v>35</v>
      </c>
    </row>
    <row r="586" customFormat="false" ht="105.95" hidden="false" customHeight="false" outlineLevel="0" collapsed="false">
      <c r="A586" s="850"/>
      <c r="B586" s="851" t="s">
        <v>667</v>
      </c>
      <c r="C586" s="852" t="n">
        <v>5.75</v>
      </c>
      <c r="D586" s="853" t="n">
        <v>3.937</v>
      </c>
      <c r="E586" s="853" t="n">
        <v>2.949</v>
      </c>
      <c r="F586" s="854" t="s">
        <v>945</v>
      </c>
      <c r="G586" s="854" t="s">
        <v>946</v>
      </c>
      <c r="H586" s="854" t="s">
        <v>947</v>
      </c>
      <c r="I586" s="854" t="s">
        <v>35</v>
      </c>
    </row>
    <row r="587" customFormat="false" ht="150.7" hidden="false" customHeight="false" outlineLevel="0" collapsed="false">
      <c r="A587" s="850"/>
      <c r="B587" s="851" t="s">
        <v>668</v>
      </c>
      <c r="C587" s="852" t="n">
        <v>4.44</v>
      </c>
      <c r="D587" s="853" t="n">
        <v>5.46</v>
      </c>
      <c r="E587" s="853" t="n">
        <v>2.813</v>
      </c>
      <c r="F587" s="854" t="s">
        <v>948</v>
      </c>
      <c r="G587" s="854" t="s">
        <v>949</v>
      </c>
      <c r="H587" s="854" t="s">
        <v>950</v>
      </c>
      <c r="I587" s="854" t="s">
        <v>35</v>
      </c>
    </row>
    <row r="588" customFormat="false" ht="135.8" hidden="false" customHeight="false" outlineLevel="0" collapsed="false">
      <c r="A588" s="850"/>
      <c r="B588" s="851" t="s">
        <v>669</v>
      </c>
      <c r="C588" s="852" t="n">
        <v>5.75</v>
      </c>
      <c r="D588" s="853" t="n">
        <v>3.937</v>
      </c>
      <c r="E588" s="853" t="n">
        <v>2.949</v>
      </c>
      <c r="F588" s="854" t="s">
        <v>945</v>
      </c>
      <c r="G588" s="854" t="s">
        <v>951</v>
      </c>
      <c r="H588" s="854" t="s">
        <v>947</v>
      </c>
      <c r="I588" s="854" t="s">
        <v>35</v>
      </c>
    </row>
    <row r="589" customFormat="false" ht="76.1" hidden="false" customHeight="false" outlineLevel="0" collapsed="false">
      <c r="A589" s="850"/>
      <c r="B589" s="851" t="s">
        <v>579</v>
      </c>
      <c r="C589" s="852" t="n">
        <v>9.93</v>
      </c>
      <c r="D589" s="853" t="n">
        <v>3.937</v>
      </c>
      <c r="E589" s="853" t="n">
        <v>2.969</v>
      </c>
      <c r="F589" s="854" t="s">
        <v>35</v>
      </c>
      <c r="G589" s="854" t="s">
        <v>35</v>
      </c>
      <c r="H589" s="854" t="s">
        <v>940</v>
      </c>
      <c r="I589" s="854" t="s">
        <v>35</v>
      </c>
    </row>
    <row r="590" customFormat="false" ht="14.25" hidden="false" customHeight="false" outlineLevel="0" collapsed="false">
      <c r="A590" s="37" t="s">
        <v>902</v>
      </c>
      <c r="B590" s="37" t="s">
        <v>380</v>
      </c>
      <c r="C590" s="216" t="n">
        <v>31</v>
      </c>
    </row>
    <row r="591" customFormat="false" ht="14.25" hidden="false" customHeight="false" outlineLevel="0" collapsed="false">
      <c r="A591" s="37" t="s">
        <v>903</v>
      </c>
      <c r="B591" s="37" t="s">
        <v>380</v>
      </c>
      <c r="C591" s="216" t="n">
        <v>31</v>
      </c>
    </row>
    <row r="592" customFormat="false" ht="14.25" hidden="false" customHeight="false" outlineLevel="0" collapsed="false">
      <c r="A592" s="37" t="s">
        <v>904</v>
      </c>
      <c r="B592" s="37" t="s">
        <v>380</v>
      </c>
      <c r="C592" s="216" t="n">
        <v>31</v>
      </c>
    </row>
    <row r="593" customFormat="false" ht="14.25" hidden="false" customHeight="false" outlineLevel="0" collapsed="false">
      <c r="A593" s="37" t="s">
        <v>905</v>
      </c>
      <c r="B593" s="37" t="s">
        <v>380</v>
      </c>
      <c r="C593" s="216" t="n">
        <v>31</v>
      </c>
    </row>
    <row r="594" customFormat="false" ht="14.25" hidden="false" customHeight="false" outlineLevel="0" collapsed="false">
      <c r="A594" s="37" t="s">
        <v>906</v>
      </c>
      <c r="B594" s="37" t="s">
        <v>380</v>
      </c>
      <c r="C594" s="216" t="n">
        <v>31</v>
      </c>
    </row>
    <row r="595" customFormat="false" ht="76.1" hidden="false" customHeight="false" outlineLevel="0" collapsed="false">
      <c r="A595" s="855" t="s">
        <v>675</v>
      </c>
      <c r="B595" s="856" t="s">
        <v>676</v>
      </c>
      <c r="C595" s="857" t="n">
        <v>5.08</v>
      </c>
      <c r="D595" s="858" t="n">
        <v>3.937</v>
      </c>
      <c r="E595" s="858" t="n">
        <v>2.969</v>
      </c>
      <c r="F595" s="859" t="s">
        <v>35</v>
      </c>
      <c r="G595" s="859" t="s">
        <v>35</v>
      </c>
      <c r="H595" s="859" t="s">
        <v>952</v>
      </c>
      <c r="I595" s="859" t="s">
        <v>35</v>
      </c>
    </row>
    <row r="596" customFormat="false" ht="76.1" hidden="false" customHeight="false" outlineLevel="0" collapsed="false">
      <c r="A596" s="855"/>
      <c r="B596" s="856" t="s">
        <v>677</v>
      </c>
      <c r="C596" s="857" t="n">
        <v>2.48</v>
      </c>
      <c r="D596" s="858" t="n">
        <v>4.5</v>
      </c>
      <c r="E596" s="858" t="n">
        <v>2.969</v>
      </c>
      <c r="F596" s="859" t="s">
        <v>35</v>
      </c>
      <c r="G596" s="859" t="s">
        <v>35</v>
      </c>
      <c r="H596" s="859" t="s">
        <v>953</v>
      </c>
      <c r="I596" s="859" t="s">
        <v>35</v>
      </c>
    </row>
    <row r="597" customFormat="false" ht="120.85" hidden="false" customHeight="false" outlineLevel="0" collapsed="false">
      <c r="A597" s="855"/>
      <c r="B597" s="856" t="s">
        <v>678</v>
      </c>
      <c r="C597" s="857" t="n">
        <v>1.9</v>
      </c>
      <c r="D597" s="858" t="n">
        <v>11</v>
      </c>
      <c r="E597" s="858" t="n">
        <v>3.9</v>
      </c>
      <c r="F597" s="859" t="s">
        <v>954</v>
      </c>
      <c r="G597" s="859" t="s">
        <v>955</v>
      </c>
      <c r="H597" s="859" t="s">
        <v>956</v>
      </c>
      <c r="I597" s="859" t="s">
        <v>35</v>
      </c>
    </row>
  </sheetData>
  <mergeCells count="20">
    <mergeCell ref="A2:A3"/>
    <mergeCell ref="A9:A11"/>
    <mergeCell ref="A22:A26"/>
    <mergeCell ref="A49:A54"/>
    <mergeCell ref="A75:A79"/>
    <mergeCell ref="A100:A104"/>
    <mergeCell ref="A125:A129"/>
    <mergeCell ref="A150:A154"/>
    <mergeCell ref="A175:A179"/>
    <mergeCell ref="A185:A188"/>
    <mergeCell ref="A190:A191"/>
    <mergeCell ref="A258:A260"/>
    <mergeCell ref="A340:A344"/>
    <mergeCell ref="A347:A352"/>
    <mergeCell ref="A398:A402"/>
    <mergeCell ref="A418:A422"/>
    <mergeCell ref="A451:A455"/>
    <mergeCell ref="A505:A509"/>
    <mergeCell ref="A585:A589"/>
    <mergeCell ref="A595:A597"/>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56"/>
  <sheetViews>
    <sheetView showFormulas="false" showGridLines="true" showRowColHeaders="true" showZeros="true" rightToLeft="false" tabSelected="false" showOutlineSymbols="true" defaultGridColor="true" view="pageBreakPreview" topLeftCell="A1" colorId="64" zoomScale="140" zoomScaleNormal="100" zoomScalePageLayoutView="140" workbookViewId="0">
      <selection pane="topLeft" activeCell="A1" activeCellId="0" sqref="A1"/>
    </sheetView>
  </sheetViews>
  <sheetFormatPr defaultColWidth="8.59765625" defaultRowHeight="14.25" customHeight="false" zeroHeight="false" outlineLevelRow="0" outlineLevelCol="0"/>
  <cols>
    <col collapsed="false" customWidth="true" hidden="false" outlineLevel="0" max="1" min="1" style="37" width="20"/>
    <col collapsed="false" customWidth="true" hidden="false" outlineLevel="0" max="2" min="2" style="37" width="55"/>
    <col collapsed="false" customWidth="true" hidden="false" outlineLevel="0" max="8" min="3" style="37" width="15"/>
    <col collapsed="false" customWidth="true" hidden="false" outlineLevel="0" max="11" min="9" style="37" width="18"/>
    <col collapsed="false" customWidth="true" hidden="false" outlineLevel="0" max="12" min="12" style="37" width="14"/>
  </cols>
  <sheetData>
    <row r="1" customFormat="false" ht="14.25" hidden="false" customHeight="false" outlineLevel="0" collapsed="false">
      <c r="A1" s="759" t="s">
        <v>907</v>
      </c>
      <c r="B1" s="759" t="s">
        <v>139</v>
      </c>
      <c r="C1" s="759" t="s">
        <v>910</v>
      </c>
      <c r="D1" s="759"/>
      <c r="E1" s="759" t="s">
        <v>909</v>
      </c>
      <c r="F1" s="759"/>
      <c r="G1" s="759" t="s">
        <v>908</v>
      </c>
      <c r="H1" s="759"/>
      <c r="I1" s="759" t="s">
        <v>911</v>
      </c>
      <c r="J1" s="759" t="s">
        <v>912</v>
      </c>
      <c r="K1" s="759" t="s">
        <v>913</v>
      </c>
      <c r="L1" s="759" t="s">
        <v>914</v>
      </c>
    </row>
    <row r="2" customFormat="false" ht="91" hidden="false" customHeight="false" outlineLevel="0" collapsed="false">
      <c r="A2" s="860" t="s">
        <v>675</v>
      </c>
      <c r="B2" s="861" t="s">
        <v>679</v>
      </c>
      <c r="C2" s="862" t="n">
        <v>3.913</v>
      </c>
      <c r="D2" s="862"/>
      <c r="E2" s="862" t="n">
        <v>4.937</v>
      </c>
      <c r="F2" s="862"/>
      <c r="G2" s="863" t="n">
        <v>24.82</v>
      </c>
      <c r="H2" s="863"/>
      <c r="I2" s="861" t="s">
        <v>35</v>
      </c>
      <c r="J2" s="861" t="s">
        <v>35</v>
      </c>
      <c r="K2" s="861" t="s">
        <v>957</v>
      </c>
      <c r="L2" s="861" t="s">
        <v>35</v>
      </c>
    </row>
    <row r="3" customFormat="false" ht="135.8" hidden="false" customHeight="false" outlineLevel="0" collapsed="false">
      <c r="A3" s="860"/>
      <c r="B3" s="861" t="s">
        <v>678</v>
      </c>
      <c r="C3" s="862" t="n">
        <v>3.9</v>
      </c>
      <c r="D3" s="862"/>
      <c r="E3" s="862" t="n">
        <v>11</v>
      </c>
      <c r="F3" s="862"/>
      <c r="G3" s="863" t="n">
        <v>1.9</v>
      </c>
      <c r="H3" s="863"/>
      <c r="I3" s="861" t="s">
        <v>954</v>
      </c>
      <c r="J3" s="861" t="s">
        <v>955</v>
      </c>
      <c r="K3" s="861" t="s">
        <v>956</v>
      </c>
      <c r="L3" s="861" t="s">
        <v>35</v>
      </c>
    </row>
    <row r="4" customFormat="false" ht="91" hidden="false" customHeight="false" outlineLevel="0" collapsed="false">
      <c r="A4" s="860"/>
      <c r="B4" s="861" t="s">
        <v>677</v>
      </c>
      <c r="C4" s="862" t="n">
        <v>2.969</v>
      </c>
      <c r="D4" s="862"/>
      <c r="E4" s="862" t="n">
        <v>4.5</v>
      </c>
      <c r="F4" s="862"/>
      <c r="G4" s="863" t="n">
        <v>2.48</v>
      </c>
      <c r="H4" s="863"/>
      <c r="I4" s="861" t="s">
        <v>35</v>
      </c>
      <c r="J4" s="861" t="s">
        <v>35</v>
      </c>
      <c r="K4" s="861" t="s">
        <v>953</v>
      </c>
      <c r="L4" s="861" t="s">
        <v>35</v>
      </c>
    </row>
    <row r="5" customFormat="false" ht="76.1" hidden="false" customHeight="false" outlineLevel="0" collapsed="false">
      <c r="A5" s="860"/>
      <c r="B5" s="861" t="s">
        <v>676</v>
      </c>
      <c r="C5" s="862" t="n">
        <v>2.969</v>
      </c>
      <c r="D5" s="862"/>
      <c r="E5" s="862" t="n">
        <v>3.937</v>
      </c>
      <c r="F5" s="862"/>
      <c r="G5" s="863" t="n">
        <v>4.779</v>
      </c>
      <c r="H5" s="863"/>
      <c r="I5" s="861" t="s">
        <v>35</v>
      </c>
      <c r="J5" s="861" t="s">
        <v>35</v>
      </c>
      <c r="K5" s="861" t="s">
        <v>952</v>
      </c>
      <c r="L5" s="861" t="s">
        <v>35</v>
      </c>
    </row>
    <row r="6" customFormat="false" ht="14.25" hidden="false" customHeight="false" outlineLevel="0" collapsed="false">
      <c r="B6" s="861"/>
      <c r="C6" s="862" t="n">
        <v>2.969</v>
      </c>
      <c r="D6" s="862"/>
      <c r="E6" s="862" t="n">
        <v>3.937</v>
      </c>
      <c r="F6" s="862"/>
      <c r="G6" s="174"/>
      <c r="H6" s="174"/>
      <c r="I6" s="861"/>
      <c r="J6" s="861"/>
      <c r="K6" s="861"/>
      <c r="L6" s="861"/>
    </row>
    <row r="7" customFormat="false" ht="76.1" hidden="false" customHeight="false" outlineLevel="0" collapsed="false">
      <c r="A7" s="864" t="s">
        <v>419</v>
      </c>
      <c r="B7" s="861" t="s">
        <v>579</v>
      </c>
      <c r="C7" s="862" t="n">
        <v>2.969</v>
      </c>
      <c r="D7" s="862"/>
      <c r="E7" s="862" t="n">
        <v>3.937</v>
      </c>
      <c r="F7" s="862"/>
      <c r="G7" s="865" t="n">
        <v>9.93</v>
      </c>
      <c r="H7" s="865"/>
      <c r="I7" s="861" t="s">
        <v>35</v>
      </c>
      <c r="J7" s="861" t="s">
        <v>35</v>
      </c>
      <c r="K7" s="861" t="s">
        <v>940</v>
      </c>
      <c r="L7" s="861" t="s">
        <v>35</v>
      </c>
    </row>
    <row r="8" customFormat="false" ht="135.8" hidden="false" customHeight="false" outlineLevel="0" collapsed="false">
      <c r="A8" s="864"/>
      <c r="B8" s="861" t="s">
        <v>669</v>
      </c>
      <c r="C8" s="862" t="n">
        <v>2.949</v>
      </c>
      <c r="D8" s="862"/>
      <c r="E8" s="862" t="n">
        <v>3.937</v>
      </c>
      <c r="F8" s="862"/>
      <c r="G8" s="865" t="n">
        <v>5.75</v>
      </c>
      <c r="H8" s="865"/>
      <c r="I8" s="861" t="s">
        <v>945</v>
      </c>
      <c r="J8" s="861" t="s">
        <v>951</v>
      </c>
      <c r="K8" s="861" t="s">
        <v>947</v>
      </c>
      <c r="L8" s="861" t="s">
        <v>35</v>
      </c>
    </row>
    <row r="9" customFormat="false" ht="150.7" hidden="false" customHeight="false" outlineLevel="0" collapsed="false">
      <c r="A9" s="864"/>
      <c r="B9" s="861" t="s">
        <v>668</v>
      </c>
      <c r="C9" s="862" t="n">
        <v>2.813</v>
      </c>
      <c r="D9" s="862"/>
      <c r="E9" s="862" t="n">
        <v>5.46</v>
      </c>
      <c r="F9" s="862"/>
      <c r="G9" s="865" t="n">
        <v>4.44</v>
      </c>
      <c r="H9" s="865"/>
      <c r="I9" s="861" t="s">
        <v>948</v>
      </c>
      <c r="J9" s="861" t="s">
        <v>949</v>
      </c>
      <c r="K9" s="861" t="s">
        <v>950</v>
      </c>
      <c r="L9" s="861" t="s">
        <v>35</v>
      </c>
    </row>
    <row r="10" customFormat="false" ht="105.95" hidden="false" customHeight="false" outlineLevel="0" collapsed="false">
      <c r="A10" s="864"/>
      <c r="B10" s="861" t="s">
        <v>667</v>
      </c>
      <c r="C10" s="862" t="n">
        <v>2.949</v>
      </c>
      <c r="D10" s="862"/>
      <c r="E10" s="862" t="n">
        <v>3.937</v>
      </c>
      <c r="F10" s="862"/>
      <c r="G10" s="865" t="n">
        <v>5.75</v>
      </c>
      <c r="H10" s="865"/>
      <c r="I10" s="861" t="s">
        <v>945</v>
      </c>
      <c r="J10" s="861" t="s">
        <v>946</v>
      </c>
      <c r="K10" s="861" t="s">
        <v>947</v>
      </c>
      <c r="L10" s="861" t="s">
        <v>35</v>
      </c>
    </row>
    <row r="11" customFormat="false" ht="76.1" hidden="false" customHeight="false" outlineLevel="0" collapsed="false">
      <c r="A11" s="864"/>
      <c r="B11" s="861" t="s">
        <v>512</v>
      </c>
      <c r="C11" s="862" t="n">
        <v>2.959</v>
      </c>
      <c r="D11" s="862"/>
      <c r="E11" s="862" t="n">
        <v>3.908</v>
      </c>
      <c r="F11" s="862"/>
      <c r="G11" s="865" t="n">
        <v>4.719</v>
      </c>
      <c r="H11" s="865"/>
      <c r="I11" s="861" t="s">
        <v>35</v>
      </c>
      <c r="J11" s="861" t="s">
        <v>35</v>
      </c>
      <c r="K11" s="861" t="s">
        <v>918</v>
      </c>
      <c r="L11" s="861" t="s">
        <v>35</v>
      </c>
    </row>
    <row r="12" customFormat="false" ht="14.25" hidden="false" customHeight="false" outlineLevel="0" collapsed="false">
      <c r="B12" s="861"/>
      <c r="C12" s="862" t="n">
        <v>2.959</v>
      </c>
      <c r="D12" s="862"/>
      <c r="E12" s="862" t="n">
        <v>3.908</v>
      </c>
      <c r="F12" s="862"/>
      <c r="G12" s="174"/>
      <c r="H12" s="174"/>
      <c r="I12" s="861"/>
      <c r="J12" s="861"/>
      <c r="K12" s="861"/>
      <c r="L12" s="861"/>
    </row>
    <row r="13" customFormat="false" ht="76.1" hidden="false" customHeight="false" outlineLevel="0" collapsed="false">
      <c r="A13" s="866" t="s">
        <v>415</v>
      </c>
      <c r="B13" s="861" t="s">
        <v>504</v>
      </c>
      <c r="C13" s="862" t="n">
        <v>2.969</v>
      </c>
      <c r="D13" s="862"/>
      <c r="E13" s="862" t="n">
        <v>3.937</v>
      </c>
      <c r="F13" s="862"/>
      <c r="G13" s="867" t="n">
        <v>4.96</v>
      </c>
      <c r="H13" s="867"/>
      <c r="I13" s="861" t="s">
        <v>35</v>
      </c>
      <c r="J13" s="861" t="s">
        <v>35</v>
      </c>
      <c r="K13" s="861" t="s">
        <v>918</v>
      </c>
      <c r="L13" s="861" t="s">
        <v>35</v>
      </c>
    </row>
    <row r="14" customFormat="false" ht="76.1" hidden="false" customHeight="false" outlineLevel="0" collapsed="false">
      <c r="A14" s="866"/>
      <c r="B14" s="861" t="s">
        <v>644</v>
      </c>
      <c r="C14" s="862" t="n">
        <v>2.959</v>
      </c>
      <c r="D14" s="862"/>
      <c r="E14" s="862" t="n">
        <v>3.908</v>
      </c>
      <c r="F14" s="862"/>
      <c r="G14" s="867" t="n">
        <v>9.78</v>
      </c>
      <c r="H14" s="867"/>
      <c r="I14" s="861" t="s">
        <v>35</v>
      </c>
      <c r="J14" s="861" t="s">
        <v>35</v>
      </c>
      <c r="K14" s="861" t="s">
        <v>944</v>
      </c>
      <c r="L14" s="861" t="s">
        <v>35</v>
      </c>
    </row>
    <row r="15" customFormat="false" ht="150.7" hidden="false" customHeight="false" outlineLevel="0" collapsed="false">
      <c r="A15" s="866"/>
      <c r="B15" s="861" t="s">
        <v>643</v>
      </c>
      <c r="C15" s="862" t="n">
        <v>2.9</v>
      </c>
      <c r="D15" s="862"/>
      <c r="E15" s="862" t="n">
        <v>5.82</v>
      </c>
      <c r="F15" s="862"/>
      <c r="G15" s="867" t="n">
        <v>8.69</v>
      </c>
      <c r="H15" s="867"/>
      <c r="I15" s="861" t="s">
        <v>937</v>
      </c>
      <c r="J15" s="861" t="s">
        <v>943</v>
      </c>
      <c r="K15" s="861" t="s">
        <v>939</v>
      </c>
      <c r="L15" s="861" t="s">
        <v>35</v>
      </c>
    </row>
    <row r="16" customFormat="false" ht="91" hidden="false" customHeight="false" outlineLevel="0" collapsed="false">
      <c r="A16" s="866"/>
      <c r="B16" s="861" t="s">
        <v>577</v>
      </c>
      <c r="C16" s="862" t="n">
        <v>2.921</v>
      </c>
      <c r="D16" s="862"/>
      <c r="E16" s="862" t="n">
        <v>3.929</v>
      </c>
      <c r="F16" s="862"/>
      <c r="G16" s="867" t="n">
        <v>4.96</v>
      </c>
      <c r="H16" s="867"/>
      <c r="I16" s="861" t="s">
        <v>35</v>
      </c>
      <c r="J16" s="861" t="s">
        <v>35</v>
      </c>
      <c r="K16" s="861" t="s">
        <v>923</v>
      </c>
      <c r="L16" s="861" t="s">
        <v>35</v>
      </c>
    </row>
    <row r="17" customFormat="false" ht="76.1" hidden="false" customHeight="false" outlineLevel="0" collapsed="false">
      <c r="A17" s="866"/>
      <c r="B17" s="861" t="s">
        <v>525</v>
      </c>
      <c r="C17" s="862" t="n">
        <v>2.959</v>
      </c>
      <c r="D17" s="862"/>
      <c r="E17" s="862" t="n">
        <v>3.908</v>
      </c>
      <c r="F17" s="862"/>
      <c r="G17" s="867" t="n">
        <v>4.879</v>
      </c>
      <c r="H17" s="867"/>
      <c r="I17" s="861" t="s">
        <v>35</v>
      </c>
      <c r="J17" s="861" t="s">
        <v>35</v>
      </c>
      <c r="K17" s="861" t="s">
        <v>918</v>
      </c>
      <c r="L17" s="861" t="s">
        <v>35</v>
      </c>
    </row>
    <row r="18" customFormat="false" ht="14.25" hidden="false" customHeight="false" outlineLevel="0" collapsed="false">
      <c r="B18" s="861"/>
      <c r="C18" s="862" t="n">
        <v>2.959</v>
      </c>
      <c r="D18" s="862"/>
      <c r="E18" s="862" t="n">
        <v>3.908</v>
      </c>
      <c r="F18" s="862"/>
      <c r="G18" s="174"/>
      <c r="H18" s="174"/>
      <c r="I18" s="861"/>
      <c r="J18" s="861"/>
      <c r="K18" s="861"/>
      <c r="L18" s="861"/>
    </row>
    <row r="19" customFormat="false" ht="76.1" hidden="false" customHeight="false" outlineLevel="0" collapsed="false">
      <c r="A19" s="868" t="s">
        <v>412</v>
      </c>
      <c r="B19" s="861" t="s">
        <v>579</v>
      </c>
      <c r="C19" s="862" t="n">
        <v>2.969</v>
      </c>
      <c r="D19" s="862"/>
      <c r="E19" s="862" t="n">
        <v>3.937</v>
      </c>
      <c r="F19" s="862"/>
      <c r="G19" s="869" t="n">
        <v>9.93</v>
      </c>
      <c r="H19" s="869"/>
      <c r="I19" s="861" t="s">
        <v>35</v>
      </c>
      <c r="J19" s="861" t="s">
        <v>35</v>
      </c>
      <c r="K19" s="861" t="s">
        <v>940</v>
      </c>
      <c r="L19" s="861" t="s">
        <v>35</v>
      </c>
    </row>
    <row r="20" customFormat="false" ht="91" hidden="false" customHeight="false" outlineLevel="0" collapsed="false">
      <c r="A20" s="868"/>
      <c r="B20" s="861" t="s">
        <v>528</v>
      </c>
      <c r="C20" s="862" t="n">
        <v>2.959</v>
      </c>
      <c r="D20" s="862"/>
      <c r="E20" s="862" t="n">
        <v>3.908</v>
      </c>
      <c r="F20" s="862"/>
      <c r="G20" s="869" t="n">
        <v>4.88</v>
      </c>
      <c r="H20" s="869"/>
      <c r="I20" s="861" t="s">
        <v>35</v>
      </c>
      <c r="J20" s="861" t="s">
        <v>35</v>
      </c>
      <c r="K20" s="861" t="s">
        <v>927</v>
      </c>
      <c r="L20" s="861" t="s">
        <v>35</v>
      </c>
    </row>
    <row r="21" customFormat="false" ht="150.7" hidden="false" customHeight="false" outlineLevel="0" collapsed="false">
      <c r="A21" s="868"/>
      <c r="B21" s="861" t="s">
        <v>622</v>
      </c>
      <c r="C21" s="862" t="n">
        <v>2.9</v>
      </c>
      <c r="D21" s="862"/>
      <c r="E21" s="862" t="n">
        <v>5.82</v>
      </c>
      <c r="F21" s="862"/>
      <c r="G21" s="869" t="n">
        <v>8.69</v>
      </c>
      <c r="H21" s="869"/>
      <c r="I21" s="861" t="s">
        <v>937</v>
      </c>
      <c r="J21" s="861" t="s">
        <v>942</v>
      </c>
      <c r="K21" s="861" t="s">
        <v>939</v>
      </c>
      <c r="L21" s="861" t="s">
        <v>35</v>
      </c>
    </row>
    <row r="22" customFormat="false" ht="91" hidden="false" customHeight="false" outlineLevel="0" collapsed="false">
      <c r="A22" s="868"/>
      <c r="B22" s="861" t="s">
        <v>577</v>
      </c>
      <c r="C22" s="862" t="n">
        <v>2.921</v>
      </c>
      <c r="D22" s="862"/>
      <c r="E22" s="862" t="n">
        <v>3.929</v>
      </c>
      <c r="F22" s="862"/>
      <c r="G22" s="869" t="n">
        <v>4.96</v>
      </c>
      <c r="H22" s="869"/>
      <c r="I22" s="861" t="s">
        <v>35</v>
      </c>
      <c r="J22" s="861" t="s">
        <v>35</v>
      </c>
      <c r="K22" s="861" t="s">
        <v>923</v>
      </c>
      <c r="L22" s="861" t="s">
        <v>35</v>
      </c>
    </row>
    <row r="23" customFormat="false" ht="76.1" hidden="false" customHeight="false" outlineLevel="0" collapsed="false">
      <c r="A23" s="868"/>
      <c r="B23" s="861" t="s">
        <v>525</v>
      </c>
      <c r="C23" s="862" t="n">
        <v>2.959</v>
      </c>
      <c r="D23" s="862"/>
      <c r="E23" s="862" t="n">
        <v>3.908</v>
      </c>
      <c r="F23" s="862"/>
      <c r="G23" s="869" t="n">
        <v>4.889</v>
      </c>
      <c r="H23" s="869"/>
      <c r="I23" s="861" t="s">
        <v>35</v>
      </c>
      <c r="J23" s="861" t="s">
        <v>35</v>
      </c>
      <c r="K23" s="861" t="s">
        <v>918</v>
      </c>
      <c r="L23" s="861" t="s">
        <v>35</v>
      </c>
    </row>
    <row r="24" customFormat="false" ht="14.25" hidden="false" customHeight="false" outlineLevel="0" collapsed="false">
      <c r="B24" s="861"/>
      <c r="C24" s="862" t="n">
        <v>2.959</v>
      </c>
      <c r="D24" s="862"/>
      <c r="E24" s="862" t="n">
        <v>3.908</v>
      </c>
      <c r="F24" s="862"/>
      <c r="G24" s="174"/>
      <c r="H24" s="174"/>
      <c r="I24" s="861"/>
      <c r="J24" s="861"/>
      <c r="K24" s="861"/>
      <c r="L24" s="861"/>
    </row>
    <row r="25" customFormat="false" ht="76.1" hidden="false" customHeight="false" outlineLevel="0" collapsed="false">
      <c r="A25" s="870" t="s">
        <v>408</v>
      </c>
      <c r="B25" s="861" t="s">
        <v>579</v>
      </c>
      <c r="C25" s="862" t="n">
        <v>2.969</v>
      </c>
      <c r="D25" s="862"/>
      <c r="E25" s="862" t="n">
        <v>3.937</v>
      </c>
      <c r="F25" s="862"/>
      <c r="G25" s="871" t="n">
        <v>9.95</v>
      </c>
      <c r="H25" s="871"/>
      <c r="I25" s="861" t="s">
        <v>35</v>
      </c>
      <c r="J25" s="861" t="s">
        <v>35</v>
      </c>
      <c r="K25" s="861" t="s">
        <v>940</v>
      </c>
      <c r="L25" s="861" t="s">
        <v>35</v>
      </c>
    </row>
    <row r="26" customFormat="false" ht="91" hidden="false" customHeight="false" outlineLevel="0" collapsed="false">
      <c r="A26" s="870"/>
      <c r="B26" s="861" t="s">
        <v>528</v>
      </c>
      <c r="C26" s="862" t="n">
        <v>2.959</v>
      </c>
      <c r="D26" s="862"/>
      <c r="E26" s="862" t="n">
        <v>3.908</v>
      </c>
      <c r="F26" s="862"/>
      <c r="G26" s="871" t="n">
        <v>4.8</v>
      </c>
      <c r="H26" s="871"/>
      <c r="I26" s="861" t="s">
        <v>35</v>
      </c>
      <c r="J26" s="861" t="s">
        <v>35</v>
      </c>
      <c r="K26" s="861" t="s">
        <v>927</v>
      </c>
      <c r="L26" s="861" t="s">
        <v>35</v>
      </c>
    </row>
    <row r="27" customFormat="false" ht="150.7" hidden="false" customHeight="false" outlineLevel="0" collapsed="false">
      <c r="A27" s="870"/>
      <c r="B27" s="861" t="s">
        <v>601</v>
      </c>
      <c r="C27" s="862" t="n">
        <v>2.9</v>
      </c>
      <c r="D27" s="862"/>
      <c r="E27" s="862" t="n">
        <v>5.82</v>
      </c>
      <c r="F27" s="862"/>
      <c r="G27" s="871" t="n">
        <v>8.69</v>
      </c>
      <c r="H27" s="871"/>
      <c r="I27" s="861" t="s">
        <v>937</v>
      </c>
      <c r="J27" s="861" t="s">
        <v>941</v>
      </c>
      <c r="K27" s="861" t="s">
        <v>939</v>
      </c>
      <c r="L27" s="861" t="s">
        <v>35</v>
      </c>
    </row>
    <row r="28" customFormat="false" ht="91" hidden="false" customHeight="false" outlineLevel="0" collapsed="false">
      <c r="A28" s="870"/>
      <c r="B28" s="861" t="s">
        <v>600</v>
      </c>
      <c r="C28" s="862" t="n">
        <v>2.921</v>
      </c>
      <c r="D28" s="862"/>
      <c r="E28" s="862" t="n">
        <v>3.929</v>
      </c>
      <c r="F28" s="862"/>
      <c r="G28" s="871" t="n">
        <v>4.97</v>
      </c>
      <c r="H28" s="871"/>
      <c r="I28" s="861" t="s">
        <v>35</v>
      </c>
      <c r="J28" s="861" t="s">
        <v>35</v>
      </c>
      <c r="K28" s="861" t="s">
        <v>923</v>
      </c>
      <c r="L28" s="861" t="s">
        <v>35</v>
      </c>
    </row>
    <row r="29" customFormat="false" ht="76.1" hidden="false" customHeight="false" outlineLevel="0" collapsed="false">
      <c r="A29" s="870"/>
      <c r="B29" s="861" t="s">
        <v>525</v>
      </c>
      <c r="C29" s="862" t="n">
        <v>2.959</v>
      </c>
      <c r="D29" s="862"/>
      <c r="E29" s="862" t="n">
        <v>3.908</v>
      </c>
      <c r="F29" s="862"/>
      <c r="G29" s="871" t="n">
        <v>4.879</v>
      </c>
      <c r="H29" s="871"/>
      <c r="I29" s="861" t="s">
        <v>35</v>
      </c>
      <c r="J29" s="861" t="s">
        <v>35</v>
      </c>
      <c r="K29" s="861" t="s">
        <v>918</v>
      </c>
      <c r="L29" s="861" t="s">
        <v>35</v>
      </c>
    </row>
    <row r="30" customFormat="false" ht="14.25" hidden="false" customHeight="false" outlineLevel="0" collapsed="false">
      <c r="B30" s="861"/>
      <c r="C30" s="862" t="n">
        <v>2.959</v>
      </c>
      <c r="D30" s="862"/>
      <c r="E30" s="862" t="n">
        <v>3.908</v>
      </c>
      <c r="F30" s="862"/>
      <c r="G30" s="174"/>
      <c r="H30" s="174"/>
      <c r="I30" s="861"/>
      <c r="J30" s="861"/>
      <c r="K30" s="861"/>
      <c r="L30" s="861"/>
    </row>
    <row r="31" customFormat="false" ht="76.1" hidden="false" customHeight="false" outlineLevel="0" collapsed="false">
      <c r="A31" s="872" t="s">
        <v>403</v>
      </c>
      <c r="B31" s="861" t="s">
        <v>579</v>
      </c>
      <c r="C31" s="862" t="n">
        <v>2.969</v>
      </c>
      <c r="D31" s="862"/>
      <c r="E31" s="862" t="n">
        <v>3.937</v>
      </c>
      <c r="F31" s="862"/>
      <c r="G31" s="873" t="n">
        <v>9.95</v>
      </c>
      <c r="H31" s="873"/>
      <c r="I31" s="861" t="s">
        <v>35</v>
      </c>
      <c r="J31" s="861" t="s">
        <v>35</v>
      </c>
      <c r="K31" s="861" t="s">
        <v>940</v>
      </c>
      <c r="L31" s="861" t="s">
        <v>35</v>
      </c>
    </row>
    <row r="32" customFormat="false" ht="91" hidden="false" customHeight="false" outlineLevel="0" collapsed="false">
      <c r="A32" s="872"/>
      <c r="B32" s="861" t="s">
        <v>528</v>
      </c>
      <c r="C32" s="862" t="n">
        <v>2.959</v>
      </c>
      <c r="D32" s="862"/>
      <c r="E32" s="862" t="n">
        <v>3.908</v>
      </c>
      <c r="F32" s="862"/>
      <c r="G32" s="873" t="n">
        <v>4.85</v>
      </c>
      <c r="H32" s="873"/>
      <c r="I32" s="861" t="s">
        <v>35</v>
      </c>
      <c r="J32" s="861" t="s">
        <v>35</v>
      </c>
      <c r="K32" s="861" t="s">
        <v>927</v>
      </c>
      <c r="L32" s="861" t="s">
        <v>35</v>
      </c>
    </row>
    <row r="33" customFormat="false" ht="150.7" hidden="false" customHeight="false" outlineLevel="0" collapsed="false">
      <c r="A33" s="872"/>
      <c r="B33" s="861" t="s">
        <v>578</v>
      </c>
      <c r="C33" s="862" t="n">
        <v>2.9</v>
      </c>
      <c r="D33" s="862"/>
      <c r="E33" s="862" t="n">
        <v>5.82</v>
      </c>
      <c r="F33" s="862"/>
      <c r="G33" s="873" t="n">
        <v>8.69</v>
      </c>
      <c r="H33" s="873"/>
      <c r="I33" s="861" t="s">
        <v>937</v>
      </c>
      <c r="J33" s="861" t="s">
        <v>938</v>
      </c>
      <c r="K33" s="861" t="s">
        <v>939</v>
      </c>
      <c r="L33" s="861" t="s">
        <v>35</v>
      </c>
    </row>
    <row r="34" customFormat="false" ht="91" hidden="false" customHeight="false" outlineLevel="0" collapsed="false">
      <c r="A34" s="872"/>
      <c r="B34" s="861" t="s">
        <v>577</v>
      </c>
      <c r="C34" s="862" t="n">
        <v>2.921</v>
      </c>
      <c r="D34" s="862"/>
      <c r="E34" s="862" t="n">
        <v>3.929</v>
      </c>
      <c r="F34" s="862"/>
      <c r="G34" s="873" t="n">
        <v>4.96</v>
      </c>
      <c r="H34" s="873"/>
      <c r="I34" s="861" t="s">
        <v>35</v>
      </c>
      <c r="J34" s="861" t="s">
        <v>35</v>
      </c>
      <c r="K34" s="861" t="s">
        <v>923</v>
      </c>
      <c r="L34" s="861" t="s">
        <v>35</v>
      </c>
    </row>
    <row r="35" customFormat="false" ht="76.1" hidden="false" customHeight="false" outlineLevel="0" collapsed="false">
      <c r="A35" s="872"/>
      <c r="B35" s="861" t="s">
        <v>525</v>
      </c>
      <c r="C35" s="862" t="n">
        <v>2.959</v>
      </c>
      <c r="D35" s="862"/>
      <c r="E35" s="862" t="n">
        <v>3.908</v>
      </c>
      <c r="F35" s="862"/>
      <c r="G35" s="873" t="n">
        <v>4.899</v>
      </c>
      <c r="H35" s="873"/>
      <c r="I35" s="861" t="s">
        <v>35</v>
      </c>
      <c r="J35" s="861" t="s">
        <v>35</v>
      </c>
      <c r="K35" s="861" t="s">
        <v>918</v>
      </c>
      <c r="L35" s="861" t="s">
        <v>35</v>
      </c>
    </row>
    <row r="36" customFormat="false" ht="14.25" hidden="false" customHeight="false" outlineLevel="0" collapsed="false">
      <c r="B36" s="861"/>
      <c r="C36" s="862" t="n">
        <v>2.959</v>
      </c>
      <c r="D36" s="862"/>
      <c r="E36" s="862" t="n">
        <v>3.908</v>
      </c>
      <c r="F36" s="862"/>
      <c r="G36" s="174"/>
      <c r="H36" s="174"/>
      <c r="I36" s="861"/>
      <c r="J36" s="861"/>
      <c r="K36" s="861"/>
      <c r="L36" s="861"/>
    </row>
    <row r="37" customFormat="false" ht="76.1" hidden="false" customHeight="false" outlineLevel="0" collapsed="false">
      <c r="A37" s="874" t="s">
        <v>397</v>
      </c>
      <c r="B37" s="861" t="s">
        <v>556</v>
      </c>
      <c r="C37" s="862" t="n">
        <v>2.969</v>
      </c>
      <c r="D37" s="862"/>
      <c r="E37" s="862" t="n">
        <v>3.937</v>
      </c>
      <c r="F37" s="862"/>
      <c r="G37" s="875" t="n">
        <v>4.99</v>
      </c>
      <c r="H37" s="875"/>
      <c r="I37" s="861" t="s">
        <v>35</v>
      </c>
      <c r="J37" s="861" t="s">
        <v>35</v>
      </c>
      <c r="K37" s="861" t="s">
        <v>928</v>
      </c>
      <c r="L37" s="861" t="s">
        <v>35</v>
      </c>
    </row>
    <row r="38" customFormat="false" ht="180.55" hidden="false" customHeight="false" outlineLevel="0" collapsed="false">
      <c r="A38" s="874"/>
      <c r="B38" s="861" t="s">
        <v>555</v>
      </c>
      <c r="C38" s="862" t="n">
        <v>2.919</v>
      </c>
      <c r="D38" s="862"/>
      <c r="E38" s="862" t="n">
        <v>5.91</v>
      </c>
      <c r="F38" s="862"/>
      <c r="G38" s="875" t="n">
        <v>9.71</v>
      </c>
      <c r="H38" s="875"/>
      <c r="I38" s="861" t="s">
        <v>934</v>
      </c>
      <c r="J38" s="861" t="s">
        <v>935</v>
      </c>
      <c r="K38" s="861" t="s">
        <v>936</v>
      </c>
      <c r="L38" s="861" t="s">
        <v>35</v>
      </c>
    </row>
    <row r="39" customFormat="false" ht="76.1" hidden="false" customHeight="false" outlineLevel="0" collapsed="false">
      <c r="A39" s="874"/>
      <c r="B39" s="861" t="s">
        <v>554</v>
      </c>
      <c r="C39" s="862" t="n">
        <v>2.959</v>
      </c>
      <c r="D39" s="862"/>
      <c r="E39" s="862" t="n">
        <v>3.908</v>
      </c>
      <c r="F39" s="862"/>
      <c r="G39" s="875" t="n">
        <v>9.92</v>
      </c>
      <c r="H39" s="875"/>
      <c r="I39" s="861" t="s">
        <v>35</v>
      </c>
      <c r="J39" s="861" t="s">
        <v>35</v>
      </c>
      <c r="K39" s="861" t="s">
        <v>933</v>
      </c>
      <c r="L39" s="861" t="s">
        <v>35</v>
      </c>
    </row>
    <row r="40" customFormat="false" ht="76.1" hidden="false" customHeight="false" outlineLevel="0" collapsed="false">
      <c r="A40" s="874"/>
      <c r="B40" s="861" t="s">
        <v>553</v>
      </c>
      <c r="C40" s="862" t="n">
        <v>2.959</v>
      </c>
      <c r="D40" s="862"/>
      <c r="E40" s="862" t="n">
        <v>3.908</v>
      </c>
      <c r="F40" s="862"/>
      <c r="G40" s="875" t="n">
        <v>4.92</v>
      </c>
      <c r="H40" s="875"/>
      <c r="I40" s="861" t="s">
        <v>35</v>
      </c>
      <c r="J40" s="861" t="s">
        <v>35</v>
      </c>
      <c r="K40" s="861" t="s">
        <v>932</v>
      </c>
      <c r="L40" s="861" t="s">
        <v>35</v>
      </c>
    </row>
    <row r="41" customFormat="false" ht="105.95" hidden="false" customHeight="false" outlineLevel="0" collapsed="false">
      <c r="A41" s="874"/>
      <c r="B41" s="861" t="s">
        <v>552</v>
      </c>
      <c r="C41" s="862" t="n">
        <v>2.637</v>
      </c>
      <c r="D41" s="862"/>
      <c r="E41" s="862" t="n">
        <v>3.885</v>
      </c>
      <c r="F41" s="862"/>
      <c r="G41" s="875" t="n">
        <v>1.15</v>
      </c>
      <c r="H41" s="875"/>
      <c r="I41" s="861" t="s">
        <v>929</v>
      </c>
      <c r="J41" s="861" t="s">
        <v>930</v>
      </c>
      <c r="K41" s="861" t="s">
        <v>931</v>
      </c>
      <c r="L41" s="861" t="s">
        <v>35</v>
      </c>
    </row>
    <row r="42" customFormat="false" ht="76.1" hidden="false" customHeight="false" outlineLevel="0" collapsed="false">
      <c r="A42" s="874"/>
      <c r="B42" s="861" t="s">
        <v>525</v>
      </c>
      <c r="C42" s="862" t="n">
        <v>2.959</v>
      </c>
      <c r="D42" s="862"/>
      <c r="E42" s="862" t="n">
        <v>3.908</v>
      </c>
      <c r="F42" s="862"/>
      <c r="G42" s="875" t="n">
        <v>4.859</v>
      </c>
      <c r="H42" s="875"/>
      <c r="I42" s="861" t="s">
        <v>35</v>
      </c>
      <c r="J42" s="861" t="s">
        <v>35</v>
      </c>
      <c r="K42" s="861" t="s">
        <v>918</v>
      </c>
      <c r="L42" s="861" t="s">
        <v>35</v>
      </c>
    </row>
    <row r="43" customFormat="false" ht="14.25" hidden="false" customHeight="false" outlineLevel="0" collapsed="false">
      <c r="B43" s="861"/>
      <c r="C43" s="862" t="n">
        <v>2.959</v>
      </c>
      <c r="D43" s="862"/>
      <c r="E43" s="862" t="n">
        <v>3.908</v>
      </c>
      <c r="F43" s="862"/>
      <c r="G43" s="174"/>
      <c r="H43" s="174"/>
      <c r="I43" s="861"/>
      <c r="J43" s="861"/>
      <c r="K43" s="861"/>
      <c r="L43" s="861"/>
    </row>
    <row r="44" customFormat="false" ht="76.1" hidden="false" customHeight="false" outlineLevel="0" collapsed="false">
      <c r="A44" s="876" t="s">
        <v>388</v>
      </c>
      <c r="B44" s="861" t="s">
        <v>529</v>
      </c>
      <c r="C44" s="862" t="n">
        <v>2.969</v>
      </c>
      <c r="D44" s="862"/>
      <c r="E44" s="862" t="n">
        <v>3.937</v>
      </c>
      <c r="F44" s="862"/>
      <c r="G44" s="877" t="n">
        <v>9.83</v>
      </c>
      <c r="H44" s="877"/>
      <c r="I44" s="861" t="s">
        <v>35</v>
      </c>
      <c r="J44" s="861" t="s">
        <v>35</v>
      </c>
      <c r="K44" s="861" t="s">
        <v>928</v>
      </c>
      <c r="L44" s="861" t="s">
        <v>35</v>
      </c>
    </row>
    <row r="45" customFormat="false" ht="91" hidden="false" customHeight="false" outlineLevel="0" collapsed="false">
      <c r="A45" s="876"/>
      <c r="B45" s="861" t="s">
        <v>528</v>
      </c>
      <c r="C45" s="862" t="n">
        <v>2.959</v>
      </c>
      <c r="D45" s="862"/>
      <c r="E45" s="862" t="n">
        <v>3.908</v>
      </c>
      <c r="F45" s="862"/>
      <c r="G45" s="877" t="n">
        <v>4.8</v>
      </c>
      <c r="H45" s="877"/>
      <c r="I45" s="861" t="s">
        <v>35</v>
      </c>
      <c r="J45" s="861" t="s">
        <v>35</v>
      </c>
      <c r="K45" s="861" t="s">
        <v>927</v>
      </c>
      <c r="L45" s="861" t="s">
        <v>35</v>
      </c>
    </row>
    <row r="46" customFormat="false" ht="105.95" hidden="false" customHeight="false" outlineLevel="0" collapsed="false">
      <c r="A46" s="876"/>
      <c r="B46" s="861" t="s">
        <v>527</v>
      </c>
      <c r="C46" s="862" t="n">
        <v>2.91</v>
      </c>
      <c r="D46" s="862"/>
      <c r="E46" s="862" t="n">
        <v>4.8</v>
      </c>
      <c r="F46" s="862"/>
      <c r="G46" s="877" t="n">
        <v>5.22</v>
      </c>
      <c r="H46" s="877"/>
      <c r="I46" s="861" t="s">
        <v>924</v>
      </c>
      <c r="J46" s="861" t="s">
        <v>925</v>
      </c>
      <c r="K46" s="861" t="s">
        <v>926</v>
      </c>
      <c r="L46" s="861" t="s">
        <v>35</v>
      </c>
    </row>
    <row r="47" customFormat="false" ht="91" hidden="false" customHeight="false" outlineLevel="0" collapsed="false">
      <c r="A47" s="876"/>
      <c r="B47" s="861" t="s">
        <v>526</v>
      </c>
      <c r="C47" s="862" t="n">
        <v>2.921</v>
      </c>
      <c r="D47" s="862"/>
      <c r="E47" s="862" t="n">
        <v>3.929</v>
      </c>
      <c r="F47" s="862"/>
      <c r="G47" s="877" t="n">
        <v>4.91</v>
      </c>
      <c r="H47" s="877"/>
      <c r="I47" s="861" t="s">
        <v>35</v>
      </c>
      <c r="J47" s="861" t="s">
        <v>35</v>
      </c>
      <c r="K47" s="861" t="s">
        <v>923</v>
      </c>
      <c r="L47" s="861" t="s">
        <v>35</v>
      </c>
    </row>
    <row r="48" customFormat="false" ht="76.1" hidden="false" customHeight="false" outlineLevel="0" collapsed="false">
      <c r="A48" s="876"/>
      <c r="B48" s="861" t="s">
        <v>525</v>
      </c>
      <c r="C48" s="862" t="n">
        <v>2.959</v>
      </c>
      <c r="D48" s="862"/>
      <c r="E48" s="862" t="n">
        <v>3.908</v>
      </c>
      <c r="F48" s="862"/>
      <c r="G48" s="877" t="n">
        <v>4.879</v>
      </c>
      <c r="H48" s="877"/>
      <c r="I48" s="861" t="s">
        <v>35</v>
      </c>
      <c r="J48" s="861" t="s">
        <v>35</v>
      </c>
      <c r="K48" s="861" t="s">
        <v>918</v>
      </c>
      <c r="L48" s="861" t="s">
        <v>35</v>
      </c>
    </row>
    <row r="49" customFormat="false" ht="14.25" hidden="false" customHeight="false" outlineLevel="0" collapsed="false">
      <c r="B49" s="861"/>
      <c r="C49" s="862" t="n">
        <v>2.959</v>
      </c>
      <c r="D49" s="862"/>
      <c r="E49" s="862" t="n">
        <v>3.908</v>
      </c>
      <c r="F49" s="862"/>
      <c r="G49" s="174"/>
      <c r="H49" s="174"/>
      <c r="I49" s="861"/>
      <c r="J49" s="861"/>
      <c r="K49" s="861"/>
      <c r="L49" s="861"/>
    </row>
    <row r="50" customFormat="false" ht="76.1" hidden="false" customHeight="false" outlineLevel="0" collapsed="false">
      <c r="A50" s="878" t="s">
        <v>511</v>
      </c>
      <c r="B50" s="861" t="s">
        <v>514</v>
      </c>
      <c r="C50" s="862" t="n">
        <v>2.969</v>
      </c>
      <c r="D50" s="862"/>
      <c r="E50" s="862" t="n">
        <v>3.937</v>
      </c>
      <c r="F50" s="862"/>
      <c r="G50" s="879" t="n">
        <v>2.78</v>
      </c>
      <c r="H50" s="879"/>
      <c r="I50" s="861" t="s">
        <v>35</v>
      </c>
      <c r="J50" s="861" t="s">
        <v>35</v>
      </c>
      <c r="K50" s="861" t="s">
        <v>922</v>
      </c>
      <c r="L50" s="861" t="s">
        <v>35</v>
      </c>
    </row>
    <row r="51" customFormat="false" ht="135.8" hidden="false" customHeight="false" outlineLevel="0" collapsed="false">
      <c r="A51" s="878"/>
      <c r="B51" s="861" t="s">
        <v>513</v>
      </c>
      <c r="C51" s="862" t="n">
        <v>2.953</v>
      </c>
      <c r="D51" s="862"/>
      <c r="E51" s="862" t="n">
        <v>5.7</v>
      </c>
      <c r="F51" s="862"/>
      <c r="G51" s="879" t="n">
        <v>30.88</v>
      </c>
      <c r="H51" s="879"/>
      <c r="I51" s="861" t="s">
        <v>919</v>
      </c>
      <c r="J51" s="861" t="s">
        <v>920</v>
      </c>
      <c r="K51" s="861" t="s">
        <v>921</v>
      </c>
      <c r="L51" s="861" t="s">
        <v>35</v>
      </c>
    </row>
    <row r="52" customFormat="false" ht="76.1" hidden="false" customHeight="false" outlineLevel="0" collapsed="false">
      <c r="A52" s="878"/>
      <c r="B52" s="861" t="s">
        <v>512</v>
      </c>
      <c r="C52" s="862" t="n">
        <v>2.959</v>
      </c>
      <c r="D52" s="862"/>
      <c r="E52" s="862" t="n">
        <v>3.908</v>
      </c>
      <c r="F52" s="862"/>
      <c r="G52" s="879" t="n">
        <v>4.879</v>
      </c>
      <c r="H52" s="879"/>
      <c r="I52" s="861" t="s">
        <v>35</v>
      </c>
      <c r="J52" s="861" t="s">
        <v>35</v>
      </c>
      <c r="K52" s="861" t="s">
        <v>918</v>
      </c>
      <c r="L52" s="861" t="s">
        <v>35</v>
      </c>
    </row>
    <row r="53" customFormat="false" ht="14.25" hidden="false" customHeight="false" outlineLevel="0" collapsed="false">
      <c r="B53" s="861"/>
      <c r="C53" s="862" t="n">
        <v>2.959</v>
      </c>
      <c r="D53" s="862"/>
      <c r="E53" s="862" t="n">
        <v>3.908</v>
      </c>
      <c r="F53" s="862"/>
      <c r="G53" s="174"/>
      <c r="H53" s="174"/>
      <c r="I53" s="861"/>
      <c r="J53" s="861"/>
      <c r="K53" s="861"/>
      <c r="L53" s="861"/>
    </row>
    <row r="54" customFormat="false" ht="76.1" hidden="false" customHeight="false" outlineLevel="0" collapsed="false">
      <c r="A54" s="880" t="s">
        <v>375</v>
      </c>
      <c r="B54" s="861" t="s">
        <v>504</v>
      </c>
      <c r="C54" s="862" t="n">
        <v>2.969</v>
      </c>
      <c r="D54" s="862"/>
      <c r="E54" s="862" t="n">
        <v>3.937</v>
      </c>
      <c r="F54" s="862"/>
      <c r="G54" s="881" t="n">
        <v>4.96</v>
      </c>
      <c r="H54" s="881"/>
      <c r="I54" s="861" t="s">
        <v>35</v>
      </c>
      <c r="J54" s="861" t="s">
        <v>35</v>
      </c>
      <c r="K54" s="861" t="s">
        <v>918</v>
      </c>
      <c r="L54" s="861" t="s">
        <v>35</v>
      </c>
    </row>
    <row r="55" customFormat="false" ht="91" hidden="false" customHeight="false" outlineLevel="0" collapsed="false">
      <c r="A55" s="880"/>
      <c r="B55" s="861" t="s">
        <v>503</v>
      </c>
      <c r="C55" s="862" t="n">
        <v>2.949</v>
      </c>
      <c r="D55" s="862"/>
      <c r="E55" s="862" t="n">
        <v>3.937</v>
      </c>
      <c r="F55" s="862"/>
      <c r="G55" s="881" t="n">
        <v>0.299</v>
      </c>
      <c r="H55" s="881"/>
      <c r="I55" s="861" t="s">
        <v>915</v>
      </c>
      <c r="J55" s="861" t="s">
        <v>916</v>
      </c>
      <c r="K55" s="861" t="s">
        <v>917</v>
      </c>
      <c r="L55" s="861" t="s">
        <v>35</v>
      </c>
    </row>
    <row r="56" customFormat="false" ht="14.25" hidden="false" customHeight="false" outlineLevel="0" collapsed="false">
      <c r="B56" s="861"/>
      <c r="C56" s="862" t="n">
        <v>2.949</v>
      </c>
      <c r="D56" s="862"/>
      <c r="E56" s="862" t="n">
        <v>3.937</v>
      </c>
      <c r="F56" s="862"/>
      <c r="G56" s="174"/>
      <c r="H56" s="174"/>
      <c r="I56" s="861"/>
      <c r="J56" s="861"/>
      <c r="K56" s="861"/>
      <c r="L56" s="861"/>
    </row>
  </sheetData>
  <mergeCells count="178">
    <mergeCell ref="C1:D1"/>
    <mergeCell ref="E1:F1"/>
    <mergeCell ref="G1:H1"/>
    <mergeCell ref="A2:A5"/>
    <mergeCell ref="C2:D2"/>
    <mergeCell ref="E2:F2"/>
    <mergeCell ref="G2:H2"/>
    <mergeCell ref="C3:D3"/>
    <mergeCell ref="E3:F3"/>
    <mergeCell ref="G3:H3"/>
    <mergeCell ref="C4:D4"/>
    <mergeCell ref="E4:F4"/>
    <mergeCell ref="G4:H4"/>
    <mergeCell ref="C5:D5"/>
    <mergeCell ref="E5:F5"/>
    <mergeCell ref="G5:H5"/>
    <mergeCell ref="C6:D6"/>
    <mergeCell ref="E6:F6"/>
    <mergeCell ref="G6:H6"/>
    <mergeCell ref="A7:A11"/>
    <mergeCell ref="C7:D7"/>
    <mergeCell ref="E7:F7"/>
    <mergeCell ref="G7:H7"/>
    <mergeCell ref="C8:D8"/>
    <mergeCell ref="E8:F8"/>
    <mergeCell ref="G8:H8"/>
    <mergeCell ref="C9:D9"/>
    <mergeCell ref="E9:F9"/>
    <mergeCell ref="G9:H9"/>
    <mergeCell ref="C10:D10"/>
    <mergeCell ref="E10:F10"/>
    <mergeCell ref="G10:H10"/>
    <mergeCell ref="C11:D11"/>
    <mergeCell ref="E11:F11"/>
    <mergeCell ref="G11:H11"/>
    <mergeCell ref="C12:D12"/>
    <mergeCell ref="E12:F12"/>
    <mergeCell ref="G12:H12"/>
    <mergeCell ref="A13:A17"/>
    <mergeCell ref="C13:D13"/>
    <mergeCell ref="E13:F13"/>
    <mergeCell ref="G13:H13"/>
    <mergeCell ref="C14:D14"/>
    <mergeCell ref="E14:F14"/>
    <mergeCell ref="G14:H14"/>
    <mergeCell ref="C15:D15"/>
    <mergeCell ref="E15:F15"/>
    <mergeCell ref="G15:H15"/>
    <mergeCell ref="C16:D16"/>
    <mergeCell ref="E16:F16"/>
    <mergeCell ref="G16:H16"/>
    <mergeCell ref="C17:D17"/>
    <mergeCell ref="E17:F17"/>
    <mergeCell ref="G17:H17"/>
    <mergeCell ref="C18:D18"/>
    <mergeCell ref="E18:F18"/>
    <mergeCell ref="G18:H18"/>
    <mergeCell ref="A19:A23"/>
    <mergeCell ref="C19:D19"/>
    <mergeCell ref="E19:F19"/>
    <mergeCell ref="G19:H19"/>
    <mergeCell ref="C20:D20"/>
    <mergeCell ref="E20:F20"/>
    <mergeCell ref="G20:H20"/>
    <mergeCell ref="C21:D21"/>
    <mergeCell ref="E21:F21"/>
    <mergeCell ref="G21:H21"/>
    <mergeCell ref="C22:D22"/>
    <mergeCell ref="E22:F22"/>
    <mergeCell ref="G22:H22"/>
    <mergeCell ref="C23:D23"/>
    <mergeCell ref="E23:F23"/>
    <mergeCell ref="G23:H23"/>
    <mergeCell ref="C24:D24"/>
    <mergeCell ref="E24:F24"/>
    <mergeCell ref="G24:H24"/>
    <mergeCell ref="A25:A29"/>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 ref="C30:D30"/>
    <mergeCell ref="E30:F30"/>
    <mergeCell ref="G30:H30"/>
    <mergeCell ref="A31:A35"/>
    <mergeCell ref="C31:D31"/>
    <mergeCell ref="E31:F31"/>
    <mergeCell ref="G31:H31"/>
    <mergeCell ref="C32:D32"/>
    <mergeCell ref="E32:F32"/>
    <mergeCell ref="G32:H32"/>
    <mergeCell ref="C33:D33"/>
    <mergeCell ref="E33:F33"/>
    <mergeCell ref="G33:H33"/>
    <mergeCell ref="C34:D34"/>
    <mergeCell ref="E34:F34"/>
    <mergeCell ref="G34:H34"/>
    <mergeCell ref="C35:D35"/>
    <mergeCell ref="E35:F35"/>
    <mergeCell ref="G35:H35"/>
    <mergeCell ref="C36:D36"/>
    <mergeCell ref="E36:F36"/>
    <mergeCell ref="G36:H36"/>
    <mergeCell ref="A37:A42"/>
    <mergeCell ref="C37:D37"/>
    <mergeCell ref="E37:F37"/>
    <mergeCell ref="G37:H37"/>
    <mergeCell ref="C38:D38"/>
    <mergeCell ref="E38:F38"/>
    <mergeCell ref="G38:H38"/>
    <mergeCell ref="C39:D39"/>
    <mergeCell ref="E39:F39"/>
    <mergeCell ref="G39:H39"/>
    <mergeCell ref="C40:D40"/>
    <mergeCell ref="E40:F40"/>
    <mergeCell ref="G40:H40"/>
    <mergeCell ref="C41:D41"/>
    <mergeCell ref="E41:F41"/>
    <mergeCell ref="G41:H41"/>
    <mergeCell ref="C42:D42"/>
    <mergeCell ref="E42:F42"/>
    <mergeCell ref="G42:H42"/>
    <mergeCell ref="C43:D43"/>
    <mergeCell ref="E43:F43"/>
    <mergeCell ref="G43:H43"/>
    <mergeCell ref="A44:A48"/>
    <mergeCell ref="C44:D44"/>
    <mergeCell ref="E44:F44"/>
    <mergeCell ref="G44:H44"/>
    <mergeCell ref="C45:D45"/>
    <mergeCell ref="E45:F45"/>
    <mergeCell ref="G45:H45"/>
    <mergeCell ref="C46:D46"/>
    <mergeCell ref="E46:F46"/>
    <mergeCell ref="G46:H46"/>
    <mergeCell ref="C47:D47"/>
    <mergeCell ref="E47:F47"/>
    <mergeCell ref="G47:H47"/>
    <mergeCell ref="C48:D48"/>
    <mergeCell ref="E48:F48"/>
    <mergeCell ref="G48:H48"/>
    <mergeCell ref="C49:D49"/>
    <mergeCell ref="E49:F49"/>
    <mergeCell ref="G49:H49"/>
    <mergeCell ref="A50:A52"/>
    <mergeCell ref="C50:D50"/>
    <mergeCell ref="E50:F50"/>
    <mergeCell ref="G50:H50"/>
    <mergeCell ref="C51:D51"/>
    <mergeCell ref="E51:F51"/>
    <mergeCell ref="G51:H51"/>
    <mergeCell ref="C52:D52"/>
    <mergeCell ref="E52:F52"/>
    <mergeCell ref="G52:H52"/>
    <mergeCell ref="C53:D53"/>
    <mergeCell ref="E53:F53"/>
    <mergeCell ref="G53:H53"/>
    <mergeCell ref="A54:A55"/>
    <mergeCell ref="C54:D54"/>
    <mergeCell ref="E54:F54"/>
    <mergeCell ref="G54:H54"/>
    <mergeCell ref="C55:D55"/>
    <mergeCell ref="E55:F55"/>
    <mergeCell ref="G55:H55"/>
    <mergeCell ref="C56:D56"/>
    <mergeCell ref="E56:F56"/>
    <mergeCell ref="G56:H56"/>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20</TotalTime>
  <Application>LibreOffice/26.2.3.2$Linux_X86_64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Muradov, Elman</dc:creator>
  <dc:description/>
  <dc:language>en-US</dc:language>
  <cp:lastModifiedBy/>
  <cp:lastPrinted>2026-06-18T07:20:43Z</cp:lastPrinted>
  <dcterms:modified xsi:type="dcterms:W3CDTF">2026-07-12T18:37:58Z</dcterms:modified>
  <cp:revision>4</cp:revision>
  <dc:subject/>
  <dc:title/>
</cp:coreProperties>
</file>

<file path=docProps/custom.xml><?xml version="1.0" encoding="utf-8"?>
<Properties xmlns="http://schemas.openxmlformats.org/officeDocument/2006/custom-properties" xmlns:vt="http://schemas.openxmlformats.org/officeDocument/2006/docPropsVTypes"/>
</file>