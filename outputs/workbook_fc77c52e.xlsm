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2">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applyProtection="1" pivotButton="0" quotePrefix="0" xfId="0">
      <alignment horizontal="center" vertical="center" wrapText="1"/>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1" fillId="0" borderId="30" applyAlignment="1" pivotButton="0" quotePrefix="0" xfId="0">
      <alignment horizontal="general" vertical="bottom" wrapText="1"/>
    </xf>
    <xf numFmtId="0" fontId="0" fillId="0" borderId="79" applyProtection="1" pivotButton="0" quotePrefix="0" xfId="0">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0" fillId="0" borderId="112" applyProtection="1" pivotButton="0" quotePrefix="0" xfId="0">
      <protection locked="0" hidden="0"/>
    </xf>
    <xf numFmtId="0" fontId="29" fillId="0" borderId="111" applyAlignment="1" applyProtection="1" pivotButton="0" quotePrefix="0" xfId="0">
      <alignment horizontal="general" vertical="center" wrapText="1"/>
      <protection locked="0" hidden="0"/>
    </xf>
    <xf numFmtId="0" fontId="0" fillId="0" borderId="37" applyProtection="1" pivotButton="0" quotePrefix="0" xfId="0">
      <protection locked="0" hidden="0"/>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25"/>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1847" t="n">
        <v>46203</v>
      </c>
      <c r="B11" s="1000" t="n"/>
      <c r="C11" s="1001" t="n"/>
      <c r="D11" s="1848" t="inlineStr">
        <is>
          <t>9:45</t>
        </is>
      </c>
      <c r="E11" s="1849"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1847" t="n">
        <v>46203</v>
      </c>
      <c r="B12" s="1000" t="n"/>
      <c r="C12" s="1001" t="n"/>
      <c r="D12" s="1848" t="inlineStr">
        <is>
          <t>12:00</t>
        </is>
      </c>
      <c r="E12" s="1849"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1847" t="n">
        <v>46203</v>
      </c>
      <c r="B13" s="1000" t="n"/>
      <c r="C13" s="1001" t="n"/>
      <c r="D13" s="1848" t="inlineStr">
        <is>
          <t>12:30</t>
        </is>
      </c>
      <c r="E13" s="1849"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1847" t="n">
        <v>46203</v>
      </c>
      <c r="B14" s="1000" t="n"/>
      <c r="C14" s="1001" t="n"/>
      <c r="D14" s="1848" t="inlineStr">
        <is>
          <t>16:30</t>
        </is>
      </c>
      <c r="E14" s="1849"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1847" t="n">
        <v>46203</v>
      </c>
      <c r="B15" s="1000" t="n"/>
      <c r="C15" s="1001" t="n"/>
      <c r="D15" s="1848" t="inlineStr">
        <is>
          <t>19:30</t>
        </is>
      </c>
      <c r="E15" s="1849"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1847" t="n">
        <v>46203</v>
      </c>
      <c r="B16" s="1000" t="n"/>
      <c r="C16" s="1001" t="n"/>
      <c r="D16" s="1848" t="inlineStr">
        <is>
          <t>21:00</t>
        </is>
      </c>
      <c r="E16" s="1849"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1847" t="n">
        <v>46203</v>
      </c>
      <c r="B17" s="1000" t="n"/>
      <c r="C17" s="1001" t="n"/>
      <c r="D17" s="1848" t="inlineStr">
        <is>
          <t>23:00</t>
        </is>
      </c>
      <c r="E17" s="1849"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1847" t="n">
        <v>46204</v>
      </c>
      <c r="B18" s="1000" t="n"/>
      <c r="C18" s="1001" t="n"/>
      <c r="D18" s="1848" t="inlineStr">
        <is>
          <t>0:00</t>
        </is>
      </c>
      <c r="E18" s="1849"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1847" t="n">
        <v>46204</v>
      </c>
      <c r="B19" s="1000" t="n"/>
      <c r="C19" s="1001" t="n"/>
      <c r="D19" s="1848" t="inlineStr">
        <is>
          <t>00:00 - 01:00</t>
        </is>
      </c>
      <c r="E19" s="1849"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1847" t="n">
        <v>46204</v>
      </c>
      <c r="B20" s="1000" t="n"/>
      <c r="C20" s="1001" t="n"/>
      <c r="D20" s="1848" t="inlineStr">
        <is>
          <t>01:00 - 04:30</t>
        </is>
      </c>
      <c r="E20" s="1849"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1847" t="n">
        <v>46204</v>
      </c>
      <c r="B21" s="1000" t="n"/>
      <c r="C21" s="1001" t="n"/>
      <c r="D21" s="1848" t="inlineStr">
        <is>
          <t>04:30 - 06:00</t>
        </is>
      </c>
      <c r="E21" s="1849"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8">
      <c r="A22" s="1859" t="n">
        <v>46203</v>
      </c>
      <c r="B22" s="895" t="n"/>
      <c r="C22" s="892" t="n"/>
      <c r="D22" s="1860" t="inlineStr">
        <is>
          <t>21:00</t>
        </is>
      </c>
      <c r="E22" s="1861" t="inlineStr">
        <is>
          <t>Complete skid out cantilever and center derrick at slot# 9. - RT to main deck 60 ft - Final air gap: 85.5 ft - Water depth: 117 ft</t>
        </is>
      </c>
      <c r="F22" s="895" t="n"/>
      <c r="G22" s="895" t="n"/>
      <c r="H22" s="895" t="n"/>
      <c r="I22" s="895" t="n"/>
      <c r="J22" s="895" t="n"/>
      <c r="K22" s="895" t="n"/>
      <c r="L22" s="895" t="n"/>
      <c r="M22" s="895" t="n"/>
      <c r="N22" s="895" t="n"/>
      <c r="O22" s="895" t="n"/>
      <c r="P22" s="895" t="n"/>
      <c r="Q22" s="895" t="n"/>
      <c r="R22" s="895" t="n"/>
      <c r="S22" s="896" t="n"/>
    </row>
    <row r="23" ht="50.25" customHeight="1" s="882">
      <c r="A23" s="1859" t="n">
        <v>46204</v>
      </c>
      <c r="B23" s="895" t="n"/>
      <c r="C23" s="892" t="n"/>
      <c r="D23" s="1860" t="inlineStr">
        <is>
          <t>0:00</t>
        </is>
      </c>
      <c r="E23" s="1861" t="inlineStr">
        <is>
          <t>Cont. RU general rig equipment as follows: - Complete RU gangway at WHT, secure same. - Lower Coflex hoses on WHT. - Remove hatches slot #9 &amp; secure w/ handrails.</t>
        </is>
      </c>
      <c r="F23" s="895" t="n"/>
      <c r="G23" s="895" t="n"/>
      <c r="H23" s="895" t="n"/>
      <c r="I23" s="895" t="n"/>
      <c r="J23" s="895" t="n"/>
      <c r="K23" s="895" t="n"/>
      <c r="L23" s="895" t="n"/>
      <c r="M23" s="895" t="n"/>
      <c r="N23" s="895" t="n"/>
      <c r="O23" s="895" t="n"/>
      <c r="P23" s="895" t="n"/>
      <c r="Q23" s="895" t="n"/>
      <c r="R23" s="895" t="n"/>
      <c r="S23" s="896" t="n"/>
    </row>
    <row r="24" ht="50.25" customHeight="1" s="882">
      <c r="A24" s="1859" t="n">
        <v>46203</v>
      </c>
      <c r="B24" s="895" t="n"/>
      <c r="C24" s="892" t="n"/>
      <c r="D24" s="1860" t="inlineStr">
        <is>
          <t>4:00</t>
        </is>
      </c>
      <c r="E24" s="1861" t="inlineStr">
        <is>
          <t>Cont'd L/D 6'' RSS-MWD/LWD PP assy. - 6'' bit. - 4 3/4" iCruise - 4 3/4'' Lower Conversion Sub - 4 3/4" BaseStar. - 4 3/4" iStar Battery. - 4 3/4" Upper Conversio Sub. - 4 3/4" GEO-TAP. - PWD-FTWD Insert. - 4 3/4" P4M. - 4 3/4'' Downhole Screen.</t>
        </is>
      </c>
      <c r="F24" s="895" t="n"/>
      <c r="G24" s="895" t="n"/>
      <c r="H24" s="895" t="n"/>
      <c r="I24" s="895" t="n"/>
      <c r="J24" s="895" t="n"/>
      <c r="K24" s="895" t="n"/>
      <c r="L24" s="895" t="n"/>
      <c r="M24" s="895" t="n"/>
      <c r="N24" s="895" t="n"/>
      <c r="O24" s="895" t="n"/>
      <c r="P24" s="895" t="n"/>
      <c r="Q24" s="895" t="n"/>
      <c r="R24" s="895" t="n"/>
      <c r="S24" s="896" t="n"/>
    </row>
    <row r="25" ht="50.25" customHeight="1" s="882">
      <c r="A25" s="1859" t="n">
        <v>46203</v>
      </c>
      <c r="B25" s="895" t="n"/>
      <c r="C25" s="892" t="n"/>
      <c r="D25" s="1860" t="inlineStr">
        <is>
          <t>8:30</t>
        </is>
      </c>
      <c r="E25" s="1861" t="inlineStr">
        <is>
          <t>Cleaned Mud pit # 2 and rotary table from NAF.</t>
        </is>
      </c>
      <c r="F25" s="895" t="n"/>
      <c r="G25" s="895" t="n"/>
      <c r="H25" s="895" t="n"/>
      <c r="I25" s="895" t="n"/>
      <c r="J25" s="895" t="n"/>
      <c r="K25" s="895" t="n"/>
      <c r="L25" s="895" t="n"/>
      <c r="M25" s="895" t="n"/>
      <c r="N25" s="895" t="n"/>
      <c r="O25" s="895" t="n"/>
      <c r="P25" s="895" t="n"/>
      <c r="Q25" s="895" t="n"/>
      <c r="R25" s="895" t="n"/>
      <c r="S25" s="896" t="n"/>
    </row>
    <row r="26" ht="50.25" customHeight="1" s="882">
      <c r="A26" s="1859" t="n">
        <v>46203</v>
      </c>
      <c r="B26" s="895" t="n"/>
      <c r="C26" s="892" t="n"/>
      <c r="D26" s="1860" t="inlineStr">
        <is>
          <t>22:00</t>
        </is>
      </c>
      <c r="E26" s="1861" t="inlineStr">
        <is>
          <t>P/U, M/U and RIH 6'' C/O assy to 14436 ft - Fill string every 20 stds.</t>
        </is>
      </c>
      <c r="F26" s="895" t="n"/>
      <c r="G26" s="895" t="n"/>
      <c r="H26" s="895" t="n"/>
      <c r="I26" s="895" t="n"/>
      <c r="J26" s="895" t="n"/>
      <c r="K26" s="895" t="n"/>
      <c r="L26" s="895" t="n"/>
      <c r="M26" s="895" t="n"/>
      <c r="N26" s="895" t="n"/>
      <c r="O26" s="895" t="n"/>
      <c r="P26" s="895" t="n"/>
      <c r="Q26" s="895" t="n"/>
      <c r="R26" s="895" t="n"/>
      <c r="S26" s="896" t="n"/>
    </row>
    <row r="27" ht="50.25" customHeight="1" s="882">
      <c r="A27" s="1859" t="n">
        <v>46203</v>
      </c>
      <c r="B27" s="895" t="n"/>
      <c r="C27" s="892" t="n"/>
      <c r="D27" s="1860" t="inlineStr">
        <is>
          <t>23:00</t>
        </is>
      </c>
      <c r="E27" s="1861" t="inlineStr">
        <is>
          <t>Circ for brine condition meanwhile scraped 7'' line from 14360 ft to 14696 ft 3 times.</t>
        </is>
      </c>
      <c r="F27" s="895" t="n"/>
      <c r="G27" s="895" t="n"/>
      <c r="H27" s="895" t="n"/>
      <c r="I27" s="895" t="n"/>
      <c r="J27" s="895" t="n"/>
      <c r="K27" s="895" t="n"/>
      <c r="L27" s="895" t="n"/>
      <c r="M27" s="895" t="n"/>
      <c r="N27" s="895" t="n"/>
      <c r="O27" s="895" t="n"/>
      <c r="P27" s="895" t="n"/>
      <c r="Q27" s="895" t="n"/>
      <c r="R27" s="895" t="n"/>
      <c r="S27" s="896" t="n"/>
    </row>
    <row r="28" ht="50.25" customHeight="1" s="882">
      <c r="A28" s="1859" t="n">
        <v>46204</v>
      </c>
      <c r="B28" s="895" t="n"/>
      <c r="C28" s="892" t="n"/>
      <c r="D28" s="1860" t="inlineStr">
        <is>
          <t>0:00</t>
        </is>
      </c>
      <c r="E28" s="1861" t="inlineStr">
        <is>
          <t>Circ 2 BTMS up for condition mud with 650 gpm-2400 psi. - Mud in = Mud out = 9.2 ppg. - S.Shaker clean. OAMN 00:00-00:30 Observed well-stable. 00:30-05:00 POOH 6'' C/O asssy from 14,740 ft to 8500 ft.</t>
        </is>
      </c>
      <c r="F28" s="895" t="n"/>
      <c r="G28" s="895" t="n"/>
      <c r="H28" s="895" t="n"/>
      <c r="I28" s="895" t="n"/>
      <c r="J28" s="895" t="n"/>
      <c r="K28" s="895" t="n"/>
      <c r="L28" s="895" t="n"/>
      <c r="M28" s="895" t="n"/>
      <c r="N28" s="895" t="n"/>
      <c r="O28" s="895" t="n"/>
      <c r="P28" s="895" t="n"/>
      <c r="Q28" s="895" t="n"/>
      <c r="R28" s="895" t="n"/>
      <c r="S28" s="896" t="n"/>
    </row>
    <row r="29" ht="50.25" customHeight="1" s="882">
      <c r="A29" s="1859" t="n">
        <v>46203</v>
      </c>
      <c r="B29" s="895" t="n"/>
      <c r="C29" s="892" t="n"/>
      <c r="D29" s="1860" t="inlineStr">
        <is>
          <t>19:00</t>
        </is>
      </c>
      <c r="E29" s="1861" t="inlineStr">
        <is>
          <t>Cont Performing N2 Lifting To Unload and Flow Back The Well As Follow: 1. Started N2 Lifting @ 500 SCF/Min - 1,770 Psi ( Max Pressure). A- Return line up: To sea line. B- Return after Pumped 446 Gal of N2: Water + N2 @ surface ; Water SG= 1.180. C- Return after pumped 518 Gal of N2 : Good Water return + N2 @ surface ; Water SG= 1.180. D- Return after pumped 2,905 Gal of N2: Good Water + N2 @ surface ; Water SG= 1.130. E- Return after pumped 6,443 Gal of N2: Good N2 + Water @ Surface.Water SG = 1.120. -- Re-inject Diesel to sea line. -- Total Recovery Volumes while lifting: -- Diesel recoverd : Daily 0 bbls, Cum 336 bbls. -- Water recoverd: Daily 1,432 bbls, Cum 1,987 bbls. -- Oil recoverd: Daily 1 bbls, Cum 1 bbls. -- Total N2 Pumped: 6,443 Gal. -- PDHG readings: 2,781 PSI, Tem 104 C. -- WHP: 110 PSI.</t>
        </is>
      </c>
      <c r="F29" s="895" t="n"/>
      <c r="G29" s="895" t="n"/>
      <c r="H29" s="895" t="n"/>
      <c r="I29" s="895" t="n"/>
      <c r="J29" s="895" t="n"/>
      <c r="K29" s="895" t="n"/>
      <c r="L29" s="895" t="n"/>
      <c r="M29" s="895" t="n"/>
      <c r="N29" s="895" t="n"/>
      <c r="O29" s="895" t="n"/>
      <c r="P29" s="895" t="n"/>
      <c r="Q29" s="895" t="n"/>
      <c r="R29" s="895" t="n"/>
      <c r="S29" s="896" t="n"/>
    </row>
    <row r="30" ht="50.25" customHeight="1" s="882">
      <c r="A30" s="1859" t="n">
        <v>46204</v>
      </c>
      <c r="B30" s="895" t="n"/>
      <c r="C30" s="892" t="n"/>
      <c r="D30" s="1860" t="inlineStr">
        <is>
          <t>0:00</t>
        </is>
      </c>
      <c r="E30" s="1861" t="inlineStr">
        <is>
          <t>Waiting on Acid Vessel Emirates Western. Vessel delayed and has not yet departed from the port. Mainwhile: -- R/U EW surface line to X-mas tree wing valve. -- POOH with nozzle from 5,000 PSI to surface while monitor WHP, observed no pressure. -- At surface perfomed CT pressure test up to 5,000 PSI, confirmed no leaks or pin hole.</t>
        </is>
      </c>
      <c r="F30" s="895" t="n"/>
      <c r="G30" s="895" t="n"/>
      <c r="H30" s="895" t="n"/>
      <c r="I30" s="895" t="n"/>
      <c r="J30" s="895" t="n"/>
      <c r="K30" s="895" t="n"/>
      <c r="L30" s="895" t="n"/>
      <c r="M30" s="895" t="n"/>
      <c r="N30" s="895" t="n"/>
      <c r="O30" s="895" t="n"/>
      <c r="P30" s="895" t="n"/>
      <c r="Q30" s="895" t="n"/>
      <c r="R30" s="895" t="n"/>
      <c r="S30" s="896" t="n"/>
    </row>
    <row r="31" ht="50.25" customHeight="1" s="882">
      <c r="A31" s="1859" t="n">
        <v>46203</v>
      </c>
      <c r="B31" s="895" t="n"/>
      <c r="C31" s="892" t="n"/>
      <c r="D31" s="1860" t="inlineStr">
        <is>
          <t>7:30</t>
        </is>
      </c>
      <c r="E31" s="1861" t="inlineStr">
        <is>
          <t>Cont. POOH 6" HALL RSS/LWD BHA from 5,900 ft to top BHA depth @ 280 ft. -- POOH Wet String. -- Monitored The Well On Trip Tank - Proper Metal Displacement. -- Static losses While Trip out: Nil -- flow check at top of BHA well static.</t>
        </is>
      </c>
      <c r="F31" s="895" t="n"/>
      <c r="G31" s="895" t="n"/>
      <c r="H31" s="895" t="n"/>
      <c r="I31" s="895" t="n"/>
      <c r="J31" s="895" t="n"/>
      <c r="K31" s="895" t="n"/>
      <c r="L31" s="895" t="n"/>
      <c r="M31" s="895" t="n"/>
      <c r="N31" s="895" t="n"/>
      <c r="O31" s="895" t="n"/>
      <c r="P31" s="895" t="n"/>
      <c r="Q31" s="895" t="n"/>
      <c r="R31" s="895" t="n"/>
      <c r="S31" s="896" t="n"/>
    </row>
    <row r="32" ht="50.25" customHeight="1" s="882">
      <c r="A32" s="1859" t="n">
        <v>46203</v>
      </c>
      <c r="B32" s="895" t="n"/>
      <c r="C32" s="892" t="n"/>
      <c r="D32" s="1860" t="inlineStr">
        <is>
          <t>8:00</t>
        </is>
      </c>
      <c r="E32" s="1861" t="inlineStr">
        <is>
          <t>Held PJSM with Crew to Discuss 6" RSS BHA L/D Operation.</t>
        </is>
      </c>
      <c r="F32" s="895" t="n"/>
      <c r="G32" s="895" t="n"/>
      <c r="H32" s="895" t="n"/>
      <c r="I32" s="895" t="n"/>
      <c r="J32" s="895" t="n"/>
      <c r="K32" s="895" t="n"/>
      <c r="L32" s="895" t="n"/>
      <c r="M32" s="895" t="n"/>
      <c r="N32" s="895" t="n"/>
      <c r="O32" s="895" t="n"/>
      <c r="P32" s="895" t="n"/>
      <c r="Q32" s="895" t="n"/>
      <c r="R32" s="895" t="n"/>
      <c r="S32" s="896" t="n"/>
    </row>
    <row r="33" ht="50.25" customHeight="1" s="882">
      <c r="A33" s="1859" t="n">
        <v>46203</v>
      </c>
      <c r="B33" s="895" t="n"/>
      <c r="C33" s="892" t="n"/>
      <c r="D33" s="1860" t="inlineStr">
        <is>
          <t>14:30</t>
        </is>
      </c>
      <c r="E33" s="1861" t="inlineStr">
        <is>
          <t>L/D 6'' HLB RSS-LWD-GeoTap BHA As Follow: 1- R/B 1 STD x 4'' HWDP On Derrick. 2- L/D (X.O + 4 3/4'' Churchil Sub + 4 3/4'' Jar + X.O) 3- R/B 1 STD x 4'' HWDP On Derrick. 4- Unloaded 2x RA Source. 5- L/D All HLB Tools. (No Visible Damage or Anomalies). 6- Power OFF The Battery. -- Connected To Base Star Then Retrieved Memory All Data. -- Connected To i-Cruise and Retrieved Memory All Data.
* Bit Dull Grading: 1 - 1 - WT - A - X - I - NO - BHA.
* Offline:</t>
        </is>
      </c>
      <c r="F33" s="895" t="n"/>
      <c r="G33" s="895" t="n"/>
      <c r="H33" s="895" t="n"/>
      <c r="I33" s="895" t="n"/>
      <c r="J33" s="895" t="n"/>
      <c r="K33" s="895" t="n"/>
      <c r="L33" s="895" t="n"/>
      <c r="M33" s="895" t="n"/>
      <c r="N33" s="895" t="n"/>
      <c r="O33" s="895" t="n"/>
      <c r="P33" s="895" t="n"/>
      <c r="Q33" s="895" t="n"/>
      <c r="R33" s="895" t="n"/>
      <c r="S33" s="896" t="n"/>
    </row>
    <row r="34" ht="50.25" customHeight="1" s="882">
      <c r="A34" s="1859" t="n">
        <v>46203</v>
      </c>
      <c r="B34" s="895" t="n"/>
      <c r="C34" s="892" t="n"/>
      <c r="D34" s="1860" t="inlineStr">
        <is>
          <t>15:30</t>
        </is>
      </c>
      <c r="E34" s="1861" t="inlineStr">
        <is>
          <t>Cleaning &amp; housekeeping on rig floor from NAF.</t>
        </is>
      </c>
      <c r="F34" s="895" t="n"/>
      <c r="G34" s="895" t="n"/>
      <c r="H34" s="895" t="n"/>
      <c r="I34" s="895" t="n"/>
      <c r="J34" s="895" t="n"/>
      <c r="K34" s="895" t="n"/>
      <c r="L34" s="895" t="n"/>
      <c r="M34" s="895" t="n"/>
      <c r="N34" s="895" t="n"/>
      <c r="O34" s="895" t="n"/>
      <c r="P34" s="895" t="n"/>
      <c r="Q34" s="895" t="n"/>
      <c r="R34" s="895" t="n"/>
      <c r="S34" s="896" t="n"/>
    </row>
    <row r="35" ht="50.25" customHeight="1" s="882">
      <c r="A35" s="1859" t="n">
        <v>46203</v>
      </c>
      <c r="B35" s="895" t="n"/>
      <c r="C35" s="892" t="n"/>
      <c r="D35" s="1860" t="inlineStr">
        <is>
          <t>16:00</t>
        </is>
      </c>
      <c r="E35" s="1861" t="inlineStr">
        <is>
          <t>HPJSM with All Personnel Involved in BOP Pressure Test and Discussed : -- Short WB Retrieval Procedures. -- BOP Test Assembly Components. -- Detailed BOP Test Procedures and Sequence. -- Line of Fire &amp; No-Go Zone. -- Hazards Related To High Pressure and Stored Energy. -- Proper Communication Between All Personal Involved.</t>
        </is>
      </c>
      <c r="F35" s="895" t="n"/>
      <c r="G35" s="895" t="n"/>
      <c r="H35" s="895" t="n"/>
      <c r="I35" s="895" t="n"/>
      <c r="J35" s="895" t="n"/>
      <c r="K35" s="895" t="n"/>
      <c r="L35" s="895" t="n"/>
      <c r="M35" s="895" t="n"/>
      <c r="N35" s="895" t="n"/>
      <c r="O35" s="895" t="n"/>
      <c r="P35" s="895" t="n"/>
      <c r="Q35" s="895" t="n"/>
      <c r="R35" s="895" t="n"/>
      <c r="S35" s="896" t="n"/>
    </row>
    <row r="36" ht="50.25" customHeight="1" s="882">
      <c r="A36" s="1859" t="n">
        <v>46203</v>
      </c>
      <c r="B36" s="895" t="n"/>
      <c r="C36" s="892" t="n"/>
      <c r="D36" s="1860" t="inlineStr">
        <is>
          <t>17:00</t>
        </is>
      </c>
      <c r="E36" s="1861" t="inlineStr">
        <is>
          <t>Retrieved 13.440'' Baker Short Wear Bushing @ 86.00 FT Using 13 5/8'' Upper CTP. 1- RIH Gently Till Tag SWB. 2- Rotated ¼ Turn CW Till Strg Jumped To Engage SWB. 3- POOH - L/D Upper CTP + SWB. -- Short Wear Bushing Part #: 516504-1 [Used The Upper CTP] -- Short Wear Bushing ID= 9.80''</t>
        </is>
      </c>
      <c r="F36" s="895" t="n"/>
      <c r="G36" s="895" t="n"/>
      <c r="H36" s="895" t="n"/>
      <c r="I36" s="895" t="n"/>
      <c r="J36" s="895" t="n"/>
      <c r="K36" s="895" t="n"/>
      <c r="L36" s="895" t="n"/>
      <c r="M36" s="895" t="n"/>
      <c r="N36" s="895" t="n"/>
      <c r="O36" s="895" t="n"/>
      <c r="P36" s="895" t="n"/>
      <c r="Q36" s="895" t="n"/>
      <c r="R36" s="895" t="n"/>
      <c r="S36" s="896" t="n"/>
    </row>
    <row r="37" ht="50.25" customHeight="1" s="882">
      <c r="A37" s="1859" t="n">
        <v>46203</v>
      </c>
      <c r="B37" s="895" t="n"/>
      <c r="C37" s="892" t="n"/>
      <c r="D37" s="1860" t="inlineStr">
        <is>
          <t>19:00</t>
        </is>
      </c>
      <c r="E37" s="1861" t="inlineStr">
        <is>
          <t>M/U &amp; RIH 13 5/8'' Baker Upper Test Plug Assembly and Set Same Inside UUH. -- BHGE Upper Test Plug Part#: H520162-1 [Max. OD= 13 5/8']. -- Removed The 3/8'' NPT Plug From The Weep Hole. -- Checked and Greased The O-Ring Seal Condition "Ok". [Only 1 Ea]. -- M/UP 1 STD x 5 ½'' HWDP As Tail Below. -- Test Plug Assy.: (1 STD x 5 ½'' HWDP + 3 X.O + 13 5/8''' Baker Test Plug + X.O + 10' PUP Jt + 15' PUPJt + 2 Jt x 5 ½'' DP + 5½'' SES + 2 x TIW Valve + 10' PUP Jt). -- RKB - UUH Load Shoulder @ 86.00 FT</t>
        </is>
      </c>
      <c r="F37" s="895" t="n"/>
      <c r="G37" s="895" t="n"/>
      <c r="H37" s="895" t="n"/>
      <c r="I37" s="895" t="n"/>
      <c r="J37" s="895" t="n"/>
      <c r="K37" s="895" t="n"/>
      <c r="L37" s="895" t="n"/>
      <c r="M37" s="895" t="n"/>
      <c r="N37" s="895" t="n"/>
      <c r="O37" s="895" t="n"/>
      <c r="P37" s="895" t="n"/>
      <c r="Q37" s="895" t="n"/>
      <c r="R37" s="895" t="n"/>
      <c r="S37" s="896" t="n"/>
    </row>
    <row r="38" ht="50.25" customHeight="1" s="882">
      <c r="A38" s="1859" t="n">
        <v>46203</v>
      </c>
      <c r="B38" s="895" t="n"/>
      <c r="C38" s="892" t="n"/>
      <c r="D38" s="1860" t="inlineStr">
        <is>
          <t>19:30</t>
        </is>
      </c>
      <c r="E38" s="1861" t="inlineStr">
        <is>
          <t>Function Tested BOP Stack From All Panels (Driller + RM + Koomey Unit). -- All Function Responded Correctly. -- Closing Times within Accepted Range. -- Performed Accumulator Draw Down Test + Manual Ram Lock Screw.</t>
        </is>
      </c>
      <c r="F38" s="895" t="n"/>
      <c r="G38" s="895" t="n"/>
      <c r="H38" s="895" t="n"/>
      <c r="I38" s="895" t="n"/>
      <c r="J38" s="895" t="n"/>
      <c r="K38" s="895" t="n"/>
      <c r="L38" s="895" t="n"/>
      <c r="M38" s="895" t="n"/>
      <c r="N38" s="895" t="n"/>
      <c r="O38" s="895" t="n"/>
      <c r="P38" s="895" t="n"/>
      <c r="Q38" s="895" t="n"/>
      <c r="R38" s="895" t="n"/>
      <c r="S38" s="896" t="n"/>
    </row>
    <row r="39" ht="50.25" customHeight="1" s="882">
      <c r="A39" s="1859" t="n">
        <v>46204</v>
      </c>
      <c r="B39" s="895" t="n"/>
      <c r="C39" s="892" t="n"/>
      <c r="D39" s="1860" t="inlineStr">
        <is>
          <t>0:00</t>
        </is>
      </c>
      <c r="E39" s="1861" t="inlineStr">
        <is>
          <t>Performed 13 5/8'' x 10K PSI BOP Pressure Test As Per ADNOC Offshore Procedures: -- Tested Surface Lines To (200 / 5,500) PSI For 5 / 10 Min "Good Test". -- Annular + Wash Pipe + Kelly Hoses To (200 / 3,500) PSI For 5 / 10 Min. -- LPR + TIW + LWR Kill HCR Valve To (200 / 5,000) PSI For 5 / 10 Min. -- LPR + TIW + LWR Kill Manual Valve To (200 / 5,000) PSI For 5 / 10 Min. -- UPR + Lower IBOP + UPR &amp; LWR Kill &amp; Choke Manual Valve To (200 / 5,000) PSI For 5/10 Min. -- UPR + Upper IBOP + UPR &amp; LWR Kill + Choke HCR Valve To (200 / 5,000) PSI For 5/10 Min. ========= O.A.M.N On 1-July-2026 ========= 00:00 - 00:30 HPJSM with All Personnel Involved in BOP Pressure Test and Discussed : -- Short WB Retrieval Procedures. -- BOP Test Assembly Components. -- Detailed BOP Test Procedures and Sequence. -- Line of Fire &amp; No-Go Zone. 01/07/2026 2
* Kept Both UUH Wing Valves Open During The Test.</t>
        </is>
      </c>
      <c r="F39" s="895" t="n"/>
      <c r="G39" s="895" t="n"/>
      <c r="H39" s="895" t="n"/>
      <c r="I39" s="895" t="n"/>
      <c r="J39" s="895" t="n"/>
      <c r="K39" s="895" t="n"/>
      <c r="L39" s="895" t="n"/>
      <c r="M39" s="895" t="n"/>
      <c r="N39" s="895" t="n"/>
      <c r="O39" s="895" t="n"/>
      <c r="P39" s="895" t="n"/>
      <c r="Q39" s="895" t="n"/>
      <c r="R39" s="895" t="n"/>
      <c r="S39" s="896" t="n"/>
    </row>
    <row r="40" ht="27" customHeight="1" s="882">
      <c r="A40" s="1863" t="inlineStr">
        <is>
          <t xml:space="preserve">CUSTOMER REP. </t>
        </is>
      </c>
      <c r="B40" s="1315" t="n"/>
      <c r="C40" s="1315" t="n"/>
      <c r="D40" s="1862" t="n"/>
      <c r="E40" s="1851">
        <f>'Master Data'!B4</f>
        <v/>
      </c>
      <c r="F40" s="1315" t="n"/>
      <c r="G40" s="1315" t="n"/>
      <c r="H40" s="1315" t="n"/>
      <c r="I40" s="1315" t="n"/>
      <c r="J40" s="1315" t="n"/>
      <c r="K40" s="1315" t="n"/>
      <c r="L40" s="1316" t="n"/>
      <c r="M40" s="1015" t="inlineStr">
        <is>
          <t>OPERATIONS REP. NAME:</t>
        </is>
      </c>
      <c r="N40" s="886" t="n"/>
      <c r="O40" s="886" t="n"/>
      <c r="P40" s="886" t="n"/>
      <c r="Q40" s="886" t="n"/>
      <c r="R40" s="886" t="n"/>
      <c r="S40" s="1017">
        <f>'Master Data'!B21</f>
        <v/>
      </c>
      <c r="U40" s="1241">
        <f>E60</f>
        <v/>
      </c>
      <c r="V40" s="1241" t="n"/>
      <c r="W40" s="1241" t="n"/>
      <c r="X40" s="1241" t="n"/>
      <c r="Y40" s="1241" t="n"/>
      <c r="Z40" s="1241" t="n"/>
      <c r="AA40" s="1241" t="n"/>
      <c r="AL40" s="1852" t="n"/>
    </row>
    <row r="41" ht="27" customHeight="1" s="882">
      <c r="A41" s="1016" t="inlineStr">
        <is>
          <t>SIGNATURE:</t>
        </is>
      </c>
      <c r="B41" s="886" t="n"/>
      <c r="C41" s="886" t="n"/>
      <c r="D41" s="886" t="n"/>
      <c r="E41" s="886" t="n"/>
      <c r="F41" s="886" t="n"/>
      <c r="G41" s="886" t="n"/>
      <c r="H41" s="886" t="n"/>
      <c r="I41" s="886" t="n"/>
      <c r="J41" s="886" t="n"/>
      <c r="K41" s="886" t="n"/>
      <c r="L41" s="887" t="n"/>
      <c r="M41" s="1022" t="inlineStr">
        <is>
          <t>SIGNATURE:</t>
        </is>
      </c>
      <c r="S41" s="995" t="n"/>
      <c r="U41" s="1241" t="n"/>
      <c r="V41" s="1241" t="n"/>
      <c r="W41" s="1241" t="n"/>
      <c r="X41" s="1241" t="n"/>
      <c r="Y41" s="1241" t="n"/>
      <c r="Z41" s="1241" t="n"/>
      <c r="AA41" s="1241" t="n"/>
      <c r="AL41" s="1852" t="n"/>
    </row>
    <row r="42" ht="15" customHeight="1" s="882">
      <c r="A42" s="1864" t="n"/>
      <c r="B42" s="1020" t="n"/>
      <c r="C42" s="1020" t="n"/>
      <c r="D42" s="1077" t="n"/>
      <c r="E42" s="1103" t="n"/>
      <c r="J42" s="1053" t="n"/>
      <c r="K42" s="1103" t="n"/>
      <c r="P42" s="1103" t="n"/>
    </row>
    <row r="43" ht="13.5" customHeight="1" s="882">
      <c r="A43" s="1030" t="n"/>
      <c r="B43" s="1031" t="n"/>
      <c r="C43" s="1031" t="n"/>
      <c r="D43" s="1078" t="n"/>
      <c r="E43" s="1103" t="n"/>
      <c r="F43" s="1053" t="n"/>
      <c r="G43" s="1053" t="n"/>
      <c r="H43" s="1053" t="n"/>
      <c r="I43" s="1053" t="n"/>
      <c r="J43" s="1053" t="n"/>
      <c r="K43" s="1103" t="n"/>
      <c r="L43" s="1053" t="n"/>
      <c r="M43" s="1053" t="n"/>
      <c r="N43" s="1053" t="n"/>
      <c r="O43" s="1053" t="n"/>
      <c r="P43" s="1103" t="n"/>
      <c r="Q43" s="1053" t="n"/>
      <c r="R43" s="1053" t="n"/>
      <c r="S43" s="1053" t="n"/>
    </row>
    <row r="44" ht="12" customHeight="1" s="882">
      <c r="A44" s="1103" t="n"/>
    </row>
    <row r="45" ht="12" customHeight="1" s="882">
      <c r="A45" s="1096" t="n"/>
    </row>
    <row r="46" ht="12" customHeight="1" s="882">
      <c r="A46" s="1096" t="n"/>
    </row>
    <row r="47" ht="12" customHeight="1" s="882">
      <c r="A47" s="1096" t="n"/>
    </row>
    <row r="48" ht="12" customHeight="1" s="882">
      <c r="A48" s="1103" t="n"/>
      <c r="B48" s="1053" t="n"/>
      <c r="C48" s="1053" t="n"/>
      <c r="D48" s="1053" t="n"/>
      <c r="E48" s="1053" t="n"/>
      <c r="F48" s="1053" t="n"/>
      <c r="G48" s="1053" t="n"/>
      <c r="H48" s="1053" t="n"/>
      <c r="I48" s="1053" t="n"/>
      <c r="J48" s="1053" t="n"/>
      <c r="K48" s="1053" t="n"/>
      <c r="L48" s="1053" t="n"/>
      <c r="M48" s="1053" t="n"/>
      <c r="N48" s="1053" t="n"/>
      <c r="O48" s="1053" t="n"/>
      <c r="P48" s="1053" t="n"/>
      <c r="Q48" s="1053" t="n"/>
      <c r="R48" s="1053" t="n"/>
      <c r="S48" s="1053"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9"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05" t="n"/>
      <c r="B59" s="1000" t="n"/>
      <c r="C59" s="1000" t="n"/>
      <c r="D59" s="1000" t="n"/>
      <c r="E59" s="1000" t="n"/>
      <c r="F59" s="1000" t="n"/>
      <c r="G59" s="1000" t="n"/>
      <c r="H59" s="1000" t="n"/>
      <c r="I59" s="1000" t="n"/>
      <c r="J59" s="1000" t="n"/>
      <c r="K59" s="1000" t="n"/>
      <c r="L59" s="1000" t="n"/>
      <c r="M59" s="1000" t="n"/>
      <c r="N59" s="1000" t="n"/>
      <c r="O59" s="1000" t="n"/>
      <c r="P59" s="1000" t="n"/>
      <c r="Q59" s="1000" t="n"/>
      <c r="R59" s="1000" t="n"/>
      <c r="S59" s="1001" t="n"/>
    </row>
    <row r="60" ht="27" customHeight="1" s="882">
      <c r="A60" s="1005" t="n"/>
      <c r="B60" s="1000" t="n"/>
      <c r="C60" s="1001" t="n"/>
      <c r="D60" s="1006" t="n"/>
      <c r="E60" s="1007" t="n"/>
      <c r="F60" s="1000" t="n"/>
      <c r="G60" s="1000" t="n"/>
      <c r="H60" s="1000" t="n"/>
      <c r="I60" s="1000" t="n"/>
      <c r="J60" s="1000" t="n"/>
      <c r="K60" s="1000" t="n"/>
      <c r="L60" s="1000" t="n"/>
      <c r="M60" s="1000" t="n"/>
      <c r="N60" s="1000" t="n"/>
      <c r="O60" s="1000" t="n"/>
      <c r="P60" s="1000" t="n"/>
      <c r="Q60" s="1000" t="n"/>
      <c r="R60" s="1000" t="n"/>
      <c r="S60" s="1004" t="n"/>
    </row>
    <row r="61" ht="27" customHeight="1" s="882">
      <c r="A61" s="1005" t="n"/>
      <c r="B61" s="1000" t="n"/>
      <c r="C61" s="1001" t="n"/>
      <c r="D61" s="1006" t="n"/>
      <c r="E61" s="1007" t="n"/>
      <c r="F61" s="1000" t="n"/>
      <c r="G61" s="1000" t="n"/>
      <c r="H61" s="1000" t="n"/>
      <c r="I61" s="1000" t="n"/>
      <c r="J61" s="1000" t="n"/>
      <c r="K61" s="1000" t="n"/>
      <c r="L61" s="1000" t="n"/>
      <c r="M61" s="1000" t="n"/>
      <c r="N61" s="1000" t="n"/>
      <c r="O61" s="1000" t="n"/>
      <c r="P61" s="1000" t="n"/>
      <c r="Q61" s="1000" t="n"/>
      <c r="R61" s="1000" t="n"/>
      <c r="S61" s="1004" t="n"/>
    </row>
    <row r="62" ht="15" customHeight="1" s="882">
      <c r="A62" s="1005" t="n"/>
      <c r="B62" s="1000" t="n"/>
      <c r="C62" s="1001" t="n"/>
      <c r="D62" s="1006" t="n"/>
      <c r="E62" s="1007" t="n"/>
      <c r="F62" s="1000" t="n"/>
      <c r="G62" s="1000" t="n"/>
      <c r="H62" s="1000" t="n"/>
      <c r="I62" s="1000" t="n"/>
      <c r="J62" s="1000" t="n"/>
      <c r="K62" s="1000" t="n"/>
      <c r="L62" s="1000" t="n"/>
      <c r="M62" s="1000" t="n"/>
      <c r="N62" s="1000" t="n"/>
      <c r="O62" s="1000" t="n"/>
      <c r="P62" s="1000" t="n"/>
      <c r="Q62" s="1000" t="n"/>
      <c r="R62" s="1000" t="n"/>
      <c r="S62" s="1004" t="n"/>
    </row>
    <row r="63" ht="13.5" customHeight="1" s="882">
      <c r="A63" s="1005" t="n"/>
      <c r="B63" s="1000" t="n"/>
      <c r="C63" s="1001" t="n"/>
      <c r="D63" s="1006" t="n"/>
      <c r="E63" s="1007" t="n"/>
      <c r="F63" s="1000" t="n"/>
      <c r="G63" s="1000" t="n"/>
      <c r="H63" s="1000" t="n"/>
      <c r="I63" s="1000" t="n"/>
      <c r="J63" s="1000" t="n"/>
      <c r="K63" s="1000" t="n"/>
      <c r="L63" s="1000" t="n"/>
      <c r="M63" s="1000" t="n"/>
      <c r="N63" s="1000" t="n"/>
      <c r="O63" s="1000" t="n"/>
      <c r="P63" s="1000" t="n"/>
      <c r="Q63" s="1000" t="n"/>
      <c r="R63" s="1000" t="n"/>
      <c r="S63" s="1004" t="n"/>
    </row>
    <row r="64" ht="12" customHeight="1" s="882">
      <c r="A64" s="1005" t="n"/>
      <c r="B64" s="1000" t="n"/>
      <c r="C64" s="1001" t="n"/>
      <c r="D64" s="1006" t="n"/>
      <c r="E64" s="1007" t="n"/>
      <c r="F64" s="1000" t="n"/>
      <c r="G64" s="1000" t="n"/>
      <c r="H64" s="1000" t="n"/>
      <c r="I64" s="1000" t="n"/>
      <c r="J64" s="1000" t="n"/>
      <c r="K64" s="1000" t="n"/>
      <c r="L64" s="1000" t="n"/>
      <c r="M64" s="1000" t="n"/>
      <c r="N64" s="1000" t="n"/>
      <c r="O64" s="1000" t="n"/>
      <c r="P64" s="1000" t="n"/>
      <c r="Q64" s="1000" t="n"/>
      <c r="R64" s="1000" t="n"/>
      <c r="S64" s="1004" t="n"/>
    </row>
    <row r="65" ht="12" customHeight="1" s="882">
      <c r="A65" s="1005" t="n"/>
      <c r="B65" s="1000" t="n"/>
      <c r="C65" s="1001" t="n"/>
      <c r="D65" s="1006" t="n"/>
      <c r="E65" s="1007" t="n"/>
      <c r="F65" s="1000" t="n"/>
      <c r="G65" s="1000" t="n"/>
      <c r="H65" s="1000" t="n"/>
      <c r="I65" s="1000" t="n"/>
      <c r="J65" s="1000" t="n"/>
      <c r="K65" s="1000" t="n"/>
      <c r="L65" s="1000" t="n"/>
      <c r="M65" s="1000" t="n"/>
      <c r="N65" s="1000" t="n"/>
      <c r="O65" s="1000" t="n"/>
      <c r="P65" s="1000" t="n"/>
      <c r="Q65" s="1000" t="n"/>
      <c r="R65" s="1000" t="n"/>
      <c r="S65" s="1004" t="n"/>
    </row>
    <row r="66" ht="12" customHeight="1" s="882">
      <c r="A66" s="1005" t="n"/>
      <c r="B66" s="1000" t="n"/>
      <c r="C66" s="1001" t="n"/>
      <c r="D66" s="1006" t="n"/>
      <c r="E66" s="1007" t="n"/>
      <c r="F66" s="1000" t="n"/>
      <c r="G66" s="1000" t="n"/>
      <c r="H66" s="1000" t="n"/>
      <c r="I66" s="1000" t="n"/>
      <c r="J66" s="1000" t="n"/>
      <c r="K66" s="1000" t="n"/>
      <c r="L66" s="1000" t="n"/>
      <c r="M66" s="1000" t="n"/>
      <c r="N66" s="1000" t="n"/>
      <c r="O66" s="1000" t="n"/>
      <c r="P66" s="1000" t="n"/>
      <c r="Q66" s="1000" t="n"/>
      <c r="R66" s="1000" t="n"/>
      <c r="S66" s="1004" t="n"/>
    </row>
    <row r="67" ht="12" customHeight="1" s="882">
      <c r="A67" s="1005" t="n"/>
      <c r="B67" s="1000" t="n"/>
      <c r="C67" s="1001" t="n"/>
      <c r="D67" s="1006" t="n"/>
      <c r="E67" s="1007" t="n"/>
      <c r="F67" s="1000" t="n"/>
      <c r="G67" s="1000" t="n"/>
      <c r="H67" s="1000" t="n"/>
      <c r="I67" s="1000" t="n"/>
      <c r="J67" s="1000" t="n"/>
      <c r="K67" s="1000" t="n"/>
      <c r="L67" s="1000" t="n"/>
      <c r="M67" s="1000" t="n"/>
      <c r="N67" s="1000" t="n"/>
      <c r="O67" s="1000" t="n"/>
      <c r="P67" s="1000" t="n"/>
      <c r="Q67" s="1000" t="n"/>
      <c r="R67" s="1000" t="n"/>
      <c r="S67" s="1004" t="n"/>
    </row>
    <row r="68" ht="12" customHeight="1" s="882">
      <c r="A68" s="1005" t="n"/>
      <c r="B68" s="1000" t="n"/>
      <c r="C68" s="1000" t="n"/>
      <c r="D68" s="1000" t="n"/>
      <c r="E68" s="1000" t="n"/>
      <c r="F68" s="1000" t="n"/>
      <c r="G68" s="1000" t="n"/>
      <c r="H68" s="1000" t="n"/>
      <c r="I68" s="1000" t="n"/>
      <c r="J68" s="1000" t="n"/>
      <c r="K68" s="1000" t="n"/>
      <c r="L68" s="1000" t="n"/>
      <c r="M68" s="1000" t="n"/>
      <c r="N68" s="1000" t="n"/>
      <c r="O68" s="1000" t="n"/>
      <c r="P68" s="1000" t="n"/>
      <c r="Q68" s="1000" t="n"/>
      <c r="R68" s="1000" t="n"/>
      <c r="S68" s="1001" t="n"/>
    </row>
    <row r="69" ht="12" customHeight="1" s="882">
      <c r="A69" s="1005" t="n"/>
      <c r="B69" s="1000" t="n"/>
      <c r="C69" s="1001" t="n"/>
      <c r="D69" s="1006" t="n"/>
      <c r="E69" s="1007" t="n"/>
      <c r="F69" s="1000" t="n"/>
      <c r="G69" s="1000" t="n"/>
      <c r="H69" s="1000" t="n"/>
      <c r="I69" s="1000" t="n"/>
      <c r="J69" s="1000" t="n"/>
      <c r="K69" s="1000" t="n"/>
      <c r="L69" s="1000" t="n"/>
      <c r="M69" s="1000" t="n"/>
      <c r="N69" s="1000" t="n"/>
      <c r="O69" s="1000" t="n"/>
      <c r="P69" s="1000" t="n"/>
      <c r="Q69" s="1000" t="n"/>
      <c r="R69" s="1000" t="n"/>
      <c r="S69" s="1004" t="n"/>
    </row>
    <row r="70" ht="12" customHeight="1" s="882">
      <c r="A70" s="1005" t="n"/>
      <c r="B70" s="1000" t="n"/>
      <c r="C70" s="1000" t="n"/>
      <c r="D70" s="1000" t="n"/>
      <c r="E70" s="1000" t="n"/>
      <c r="F70" s="1000" t="n"/>
      <c r="G70" s="1000" t="n"/>
      <c r="H70" s="1000" t="n"/>
      <c r="I70" s="1000" t="n"/>
      <c r="J70" s="1000" t="n"/>
      <c r="K70" s="1000" t="n"/>
      <c r="L70" s="1000" t="n"/>
      <c r="M70" s="1000" t="n"/>
      <c r="N70" s="1000" t="n"/>
      <c r="O70" s="1000" t="n"/>
      <c r="P70" s="1000" t="n"/>
      <c r="Q70" s="1000" t="n"/>
      <c r="R70" s="1000" t="n"/>
      <c r="S70" s="1001" t="n"/>
    </row>
    <row r="71" ht="12" customHeight="1" s="882">
      <c r="A71" s="1005" t="n"/>
      <c r="B71" s="1000" t="n"/>
      <c r="C71" s="1001" t="n"/>
      <c r="D71" s="1006" t="n"/>
      <c r="E71" s="1007" t="n"/>
      <c r="F71" s="1000" t="n"/>
      <c r="G71" s="1000" t="n"/>
      <c r="H71" s="1000" t="n"/>
      <c r="I71" s="1000" t="n"/>
      <c r="J71" s="1000" t="n"/>
      <c r="K71" s="1000" t="n"/>
      <c r="L71" s="1000" t="n"/>
      <c r="M71" s="1000" t="n"/>
      <c r="N71" s="1000" t="n"/>
      <c r="O71" s="1000" t="n"/>
      <c r="P71" s="1000" t="n"/>
      <c r="Q71" s="1000" t="n"/>
      <c r="R71" s="1000" t="n"/>
      <c r="S71" s="1004" t="n"/>
    </row>
    <row r="72" ht="12" customHeight="1" s="882">
      <c r="A72" s="1005" t="n"/>
      <c r="B72" s="1000" t="n"/>
      <c r="C72" s="1001" t="n"/>
      <c r="D72" s="1006" t="n"/>
      <c r="E72" s="1007" t="n"/>
      <c r="F72" s="1000" t="n"/>
      <c r="G72" s="1000" t="n"/>
      <c r="H72" s="1000" t="n"/>
      <c r="I72" s="1000" t="n"/>
      <c r="J72" s="1000" t="n"/>
      <c r="K72" s="1000" t="n"/>
      <c r="L72" s="1000" t="n"/>
      <c r="M72" s="1000" t="n"/>
      <c r="N72" s="1000" t="n"/>
      <c r="O72" s="1000" t="n"/>
      <c r="P72" s="1000" t="n"/>
      <c r="Q72" s="1000" t="n"/>
      <c r="R72" s="1000" t="n"/>
      <c r="S72" s="1004" t="n"/>
    </row>
    <row r="73" ht="12" customHeight="1" s="882">
      <c r="A73" s="1005" t="n"/>
      <c r="B73" s="1000" t="n"/>
      <c r="C73" s="1001" t="n"/>
      <c r="D73" s="1006" t="n"/>
      <c r="E73" s="1007" t="n"/>
      <c r="F73" s="1000" t="n"/>
      <c r="G73" s="1000" t="n"/>
      <c r="H73" s="1000" t="n"/>
      <c r="I73" s="1000" t="n"/>
      <c r="J73" s="1000" t="n"/>
      <c r="K73" s="1000" t="n"/>
      <c r="L73" s="1000" t="n"/>
      <c r="M73" s="1000" t="n"/>
      <c r="N73" s="1000" t="n"/>
      <c r="O73" s="1000" t="n"/>
      <c r="P73" s="1000" t="n"/>
      <c r="Q73" s="1000" t="n"/>
      <c r="R73" s="1000" t="n"/>
      <c r="S73" s="1004" t="n"/>
    </row>
    <row r="74" ht="12" customHeight="1" s="882">
      <c r="A74" s="1005" t="n"/>
      <c r="B74" s="1000" t="n"/>
      <c r="C74" s="1001" t="n"/>
      <c r="D74" s="1006" t="n"/>
      <c r="E74" s="1007" t="n"/>
      <c r="F74" s="1000" t="n"/>
      <c r="G74" s="1000" t="n"/>
      <c r="H74" s="1000" t="n"/>
      <c r="I74" s="1000" t="n"/>
      <c r="J74" s="1000" t="n"/>
      <c r="K74" s="1000" t="n"/>
      <c r="L74" s="1000" t="n"/>
      <c r="M74" s="1000" t="n"/>
      <c r="N74" s="1000" t="n"/>
      <c r="O74" s="1000" t="n"/>
      <c r="P74" s="1000" t="n"/>
      <c r="Q74" s="1000" t="n"/>
      <c r="R74" s="1000" t="n"/>
      <c r="S74" s="1004" t="n"/>
    </row>
    <row r="75" ht="12" customHeight="1" s="882">
      <c r="A75" s="1005" t="n"/>
      <c r="B75" s="1000" t="n"/>
      <c r="C75" s="1000" t="n"/>
      <c r="D75" s="1000" t="n"/>
      <c r="E75" s="1000" t="n"/>
      <c r="F75" s="1000" t="n"/>
      <c r="G75" s="1000" t="n"/>
      <c r="H75" s="1000" t="n"/>
      <c r="I75" s="1000" t="n"/>
      <c r="J75" s="1000" t="n"/>
      <c r="K75" s="1000" t="n"/>
      <c r="L75" s="1000" t="n"/>
      <c r="M75" s="1000" t="n"/>
      <c r="N75" s="1000" t="n"/>
      <c r="O75" s="1000" t="n"/>
      <c r="P75" s="1000" t="n"/>
      <c r="Q75" s="1000" t="n"/>
      <c r="R75" s="1000" t="n"/>
      <c r="S75" s="1001" t="n"/>
    </row>
    <row r="76" ht="12" customHeight="1" s="882">
      <c r="A76" s="1005" t="n"/>
      <c r="B76" s="1000" t="n"/>
      <c r="C76" s="1001" t="n"/>
      <c r="D76" s="1006" t="n"/>
      <c r="E76" s="1007" t="n"/>
      <c r="F76" s="1000" t="n"/>
      <c r="G76" s="1000" t="n"/>
      <c r="H76" s="1000" t="n"/>
      <c r="I76" s="1000" t="n"/>
      <c r="J76" s="1000" t="n"/>
      <c r="K76" s="1000" t="n"/>
      <c r="L76" s="1000" t="n"/>
      <c r="M76" s="1000" t="n"/>
      <c r="N76" s="1000" t="n"/>
      <c r="O76" s="1000" t="n"/>
      <c r="P76" s="1000" t="n"/>
      <c r="Q76" s="1000" t="n"/>
      <c r="R76" s="1000" t="n"/>
      <c r="S76" s="1004" t="n"/>
    </row>
    <row r="77" ht="12" customHeight="1" s="882">
      <c r="A77" s="1011" t="n"/>
      <c r="B77" s="969" t="n"/>
      <c r="C77" s="969" t="n"/>
      <c r="D77" s="969" t="n"/>
      <c r="E77" s="969" t="n"/>
      <c r="F77" s="969" t="n"/>
      <c r="G77" s="969" t="n"/>
      <c r="H77" s="969" t="n"/>
      <c r="I77" s="969" t="n"/>
      <c r="J77" s="969" t="n"/>
      <c r="K77" s="969" t="n"/>
      <c r="L77" s="969" t="n"/>
      <c r="M77" s="969" t="n"/>
      <c r="N77" s="969" t="n"/>
      <c r="O77" s="969" t="n"/>
      <c r="P77" s="969" t="n"/>
      <c r="Q77" s="969" t="n"/>
      <c r="R77" s="969" t="n"/>
      <c r="S77" s="1012" t="n"/>
      <c r="T77" s="1013" t="n"/>
      <c r="U77" s="1013" t="n"/>
      <c r="V77" s="1013" t="n"/>
      <c r="W77" s="1013" t="n"/>
      <c r="X77" s="1013" t="n"/>
      <c r="Y77" s="1013" t="n"/>
      <c r="Z77" s="1013" t="n"/>
      <c r="AA77" s="1013" t="n"/>
      <c r="AB77" s="1013" t="n"/>
      <c r="AC77" s="1013" t="n"/>
      <c r="AD77" s="1013" t="n"/>
      <c r="AE77" s="1013" t="n"/>
      <c r="AF77" s="1013" t="n"/>
      <c r="AG77" s="1013" t="n"/>
      <c r="AH77" s="1013" t="n"/>
      <c r="AI77" s="1013" t="n"/>
      <c r="AJ77" s="1013" t="n"/>
      <c r="AK77" s="1013" t="n"/>
      <c r="AL77" s="1014" t="n"/>
    </row>
    <row r="78" ht="12" customHeight="1" s="882">
      <c r="A78" s="1015" t="n"/>
      <c r="E78" s="1016" t="n"/>
      <c r="M78" s="1015" t="n"/>
      <c r="S78" s="1017" t="n"/>
      <c r="U78" s="1018" t="n"/>
      <c r="V78" s="1018" t="n"/>
      <c r="W78" s="1018" t="n"/>
      <c r="X78" s="1018" t="n"/>
      <c r="Y78" s="1018" t="n"/>
      <c r="Z78" s="1018" t="n"/>
      <c r="AA78" s="1018" t="n"/>
      <c r="AE78" s="1019" t="n"/>
      <c r="AL78" s="1021" t="n"/>
    </row>
    <row r="79" ht="12" customHeight="1" s="882">
      <c r="A79" s="1016" t="n"/>
      <c r="M79" s="1022" t="n"/>
      <c r="U79" s="1018" t="n"/>
      <c r="V79" s="1018" t="n"/>
      <c r="W79" s="1018" t="n"/>
      <c r="X79" s="1018" t="n"/>
      <c r="Y79" s="1018" t="n"/>
      <c r="Z79" s="1018" t="n"/>
      <c r="AA79" s="1018" t="n"/>
      <c r="AL79" s="1021" t="n"/>
    </row>
    <row r="80" ht="12" customHeight="1" s="882">
      <c r="A80" s="1023" t="n"/>
      <c r="E80" s="1025" t="n"/>
      <c r="J80" s="1026" t="n"/>
      <c r="K80" s="1023" t="n"/>
      <c r="P80" s="1027" t="n"/>
    </row>
    <row r="81" ht="12" customHeight="1" s="882"/>
    <row r="82" ht="12" customHeight="1" s="882">
      <c r="A82" s="1033" t="n"/>
    </row>
    <row r="83" ht="12" customHeight="1" s="882"/>
    <row r="84" ht="12" customHeight="1" s="882"/>
    <row r="85" ht="12" customHeight="1" s="882"/>
    <row r="86" ht="12" customHeight="1" s="882"/>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row r="108">
      <c r="A108" s="1035" t="n"/>
      <c r="B108" s="1035" t="n"/>
      <c r="C108" s="1035" t="n"/>
      <c r="D108" s="1035" t="n"/>
      <c r="E108" s="1035" t="n"/>
      <c r="F108" s="1035" t="n"/>
      <c r="G108" s="1035" t="n"/>
      <c r="H108" s="1035" t="n"/>
      <c r="I108" s="1035" t="n"/>
      <c r="J108" s="1035" t="n"/>
      <c r="K108" s="1035" t="n"/>
      <c r="L108" s="1035" t="n"/>
      <c r="M108" s="1035" t="n"/>
      <c r="N108" s="1035" t="n"/>
      <c r="O108" s="1035" t="n"/>
      <c r="P108" s="1035" t="n"/>
      <c r="Q108" s="1035" t="n"/>
      <c r="R108" s="1035" t="n"/>
      <c r="S108" s="1035" t="n"/>
    </row>
    <row r="109">
      <c r="A109" s="1035" t="n"/>
      <c r="B109" s="1035" t="n"/>
      <c r="C109" s="1035" t="n"/>
      <c r="D109" s="1035" t="n"/>
      <c r="E109" s="1035" t="n"/>
      <c r="F109" s="1035" t="n"/>
      <c r="G109" s="1035" t="n"/>
      <c r="H109" s="1035" t="n"/>
      <c r="I109" s="1035" t="n"/>
      <c r="J109" s="1035" t="n"/>
      <c r="K109" s="1035" t="n"/>
      <c r="L109" s="1035" t="n"/>
      <c r="M109" s="1035" t="n"/>
      <c r="N109" s="1035" t="n"/>
      <c r="O109" s="1035" t="n"/>
      <c r="P109" s="1035" t="n"/>
      <c r="Q109" s="1035" t="n"/>
      <c r="R109" s="1035" t="n"/>
      <c r="S109" s="1035" t="n"/>
    </row>
    <row r="110">
      <c r="A110" s="1035" t="n"/>
      <c r="B110" s="1035" t="n"/>
      <c r="C110" s="1035" t="n"/>
      <c r="D110" s="1035" t="n"/>
      <c r="E110" s="1035" t="n"/>
      <c r="F110" s="1035" t="n"/>
      <c r="G110" s="1035" t="n"/>
      <c r="H110" s="1035" t="n"/>
      <c r="I110" s="1035" t="n"/>
      <c r="J110" s="1035" t="n"/>
      <c r="K110" s="1035" t="n"/>
      <c r="L110" s="1035" t="n"/>
      <c r="M110" s="1035" t="n"/>
      <c r="N110" s="1035" t="n"/>
      <c r="O110" s="1035" t="n"/>
      <c r="P110" s="1035" t="n"/>
      <c r="Q110" s="1035" t="n"/>
      <c r="R110" s="1035" t="n"/>
      <c r="S110" s="1035" t="n"/>
    </row>
    <row r="111">
      <c r="A111" s="1035" t="n"/>
      <c r="B111" s="1035" t="n"/>
      <c r="C111" s="1035" t="n"/>
      <c r="D111" s="1035" t="n"/>
      <c r="E111" s="1035" t="n"/>
      <c r="F111" s="1035" t="n"/>
      <c r="G111" s="1035" t="n"/>
      <c r="H111" s="1035" t="n"/>
      <c r="I111" s="1035" t="n"/>
      <c r="J111" s="1035" t="n"/>
      <c r="K111" s="1035" t="n"/>
      <c r="L111" s="1035" t="n"/>
      <c r="M111" s="1035" t="n"/>
      <c r="N111" s="1035" t="n"/>
      <c r="O111" s="1035" t="n"/>
      <c r="P111" s="1035" t="n"/>
      <c r="Q111" s="1035" t="n"/>
      <c r="R111" s="1035" t="n"/>
      <c r="S111" s="1035" t="n"/>
    </row>
    <row r="112">
      <c r="A112" s="1035" t="n"/>
      <c r="B112" s="1035" t="n"/>
      <c r="C112" s="1035" t="n"/>
      <c r="D112" s="1035" t="n"/>
      <c r="E112" s="1035" t="n"/>
      <c r="F112" s="1035" t="n"/>
      <c r="G112" s="1035" t="n"/>
      <c r="H112" s="1035" t="n"/>
      <c r="I112" s="1035" t="n"/>
      <c r="J112" s="1035" t="n"/>
      <c r="K112" s="1035" t="n"/>
      <c r="L112" s="1035" t="n"/>
      <c r="M112" s="1035" t="n"/>
      <c r="N112" s="1035" t="n"/>
      <c r="O112" s="1035" t="n"/>
      <c r="P112" s="1035" t="n"/>
      <c r="Q112" s="1035" t="n"/>
      <c r="R112" s="1035" t="n"/>
      <c r="S112" s="1035" t="n"/>
    </row>
    <row r="113">
      <c r="A113" s="1035" t="n"/>
      <c r="B113" s="1035" t="n"/>
      <c r="C113" s="1035" t="n"/>
      <c r="D113" s="1035" t="n"/>
      <c r="E113" s="1035" t="n"/>
      <c r="F113" s="1035" t="n"/>
      <c r="G113" s="1035" t="n"/>
      <c r="H113" s="1035" t="n"/>
      <c r="I113" s="1035" t="n"/>
      <c r="J113" s="1035" t="n"/>
      <c r="K113" s="1035" t="n"/>
      <c r="L113" s="1035" t="n"/>
      <c r="M113" s="1035" t="n"/>
      <c r="N113" s="1035" t="n"/>
      <c r="O113" s="1035" t="n"/>
      <c r="P113" s="1035" t="n"/>
      <c r="Q113" s="1035" t="n"/>
      <c r="R113" s="1035" t="n"/>
      <c r="S113" s="1035" t="n"/>
    </row>
    <row r="114">
      <c r="A114" s="1035" t="n"/>
      <c r="B114" s="1035" t="n"/>
      <c r="C114" s="1035" t="n"/>
      <c r="D114" s="1035" t="n"/>
      <c r="E114" s="1035" t="n"/>
      <c r="F114" s="1035" t="n"/>
      <c r="G114" s="1035" t="n"/>
      <c r="H114" s="1035" t="n"/>
      <c r="I114" s="1035" t="n"/>
      <c r="J114" s="1035" t="n"/>
      <c r="K114" s="1035" t="n"/>
      <c r="L114" s="1035" t="n"/>
      <c r="M114" s="1035" t="n"/>
      <c r="N114" s="1035" t="n"/>
      <c r="O114" s="1035" t="n"/>
      <c r="P114" s="1035" t="n"/>
      <c r="Q114" s="1035" t="n"/>
      <c r="R114" s="1035" t="n"/>
      <c r="S114" s="1035" t="n"/>
    </row>
    <row r="115">
      <c r="A115" s="1035" t="n"/>
      <c r="B115" s="1035" t="n"/>
      <c r="C115" s="1035" t="n"/>
      <c r="D115" s="1035" t="n"/>
      <c r="E115" s="1035" t="n"/>
      <c r="F115" s="1035" t="n"/>
      <c r="G115" s="1035" t="n"/>
      <c r="H115" s="1035" t="n"/>
      <c r="I115" s="1035" t="n"/>
      <c r="J115" s="1035" t="n"/>
      <c r="K115" s="1035" t="n"/>
      <c r="L115" s="1035" t="n"/>
      <c r="M115" s="1035" t="n"/>
      <c r="N115" s="1035" t="n"/>
      <c r="O115" s="1035" t="n"/>
      <c r="P115" s="1035" t="n"/>
      <c r="Q115" s="1035" t="n"/>
      <c r="R115" s="1035" t="n"/>
      <c r="S115" s="1035" t="n"/>
    </row>
    <row r="116">
      <c r="A116" s="1035" t="n"/>
      <c r="B116" s="1035" t="n"/>
      <c r="C116" s="1035" t="n"/>
      <c r="D116" s="1035" t="n"/>
      <c r="E116" s="1035" t="n"/>
      <c r="F116" s="1035" t="n"/>
      <c r="G116" s="1035" t="n"/>
      <c r="H116" s="1035" t="n"/>
      <c r="I116" s="1035" t="n"/>
      <c r="J116" s="1035" t="n"/>
      <c r="K116" s="1035" t="n"/>
      <c r="L116" s="1035" t="n"/>
      <c r="M116" s="1035" t="n"/>
      <c r="N116" s="1035" t="n"/>
      <c r="O116" s="1035" t="n"/>
      <c r="P116" s="1035" t="n"/>
      <c r="Q116" s="1035" t="n"/>
      <c r="R116" s="1035" t="n"/>
      <c r="S116" s="1035" t="n"/>
    </row>
    <row r="117">
      <c r="A117" s="1035" t="n"/>
      <c r="B117" s="1035" t="n"/>
      <c r="C117" s="1035" t="n"/>
      <c r="D117" s="1035" t="n"/>
      <c r="E117" s="1035" t="n"/>
      <c r="F117" s="1035" t="n"/>
      <c r="G117" s="1035" t="n"/>
      <c r="H117" s="1035" t="n"/>
      <c r="I117" s="1035" t="n"/>
      <c r="J117" s="1035" t="n"/>
      <c r="K117" s="1035" t="n"/>
      <c r="L117" s="1035" t="n"/>
      <c r="M117" s="1035" t="n"/>
      <c r="N117" s="1035" t="n"/>
      <c r="O117" s="1035" t="n"/>
      <c r="P117" s="1035" t="n"/>
      <c r="Q117" s="1035" t="n"/>
      <c r="R117" s="1035" t="n"/>
      <c r="S117" s="1035" t="n"/>
    </row>
    <row r="118">
      <c r="A118" s="1035" t="n"/>
      <c r="B118" s="1035" t="n"/>
      <c r="C118" s="1035" t="n"/>
      <c r="D118" s="1035" t="n"/>
      <c r="E118" s="1035" t="n"/>
      <c r="F118" s="1035" t="n"/>
      <c r="G118" s="1035" t="n"/>
      <c r="H118" s="1035" t="n"/>
      <c r="I118" s="1035" t="n"/>
      <c r="J118" s="1035" t="n"/>
      <c r="K118" s="1035" t="n"/>
      <c r="L118" s="1035" t="n"/>
      <c r="M118" s="1035" t="n"/>
      <c r="N118" s="1035" t="n"/>
      <c r="O118" s="1035" t="n"/>
      <c r="P118" s="1035" t="n"/>
      <c r="Q118" s="1035" t="n"/>
      <c r="R118" s="1035" t="n"/>
      <c r="S118" s="1035" t="n"/>
    </row>
    <row r="119">
      <c r="A119" s="1035" t="n"/>
      <c r="B119" s="1035" t="n"/>
      <c r="C119" s="1035" t="n"/>
      <c r="D119" s="1035" t="n"/>
      <c r="E119" s="1035" t="n"/>
      <c r="F119" s="1035" t="n"/>
      <c r="G119" s="1035" t="n"/>
      <c r="H119" s="1035" t="n"/>
      <c r="I119" s="1035" t="n"/>
      <c r="J119" s="1035" t="n"/>
      <c r="K119" s="1035" t="n"/>
      <c r="L119" s="1035" t="n"/>
      <c r="M119" s="1035" t="n"/>
      <c r="N119" s="1035" t="n"/>
      <c r="O119" s="1035" t="n"/>
      <c r="P119" s="1035" t="n"/>
      <c r="Q119" s="1035" t="n"/>
      <c r="R119" s="1035" t="n"/>
      <c r="S119" s="1035" t="n"/>
    </row>
    <row r="120">
      <c r="A120" s="1035" t="n"/>
      <c r="B120" s="1035" t="n"/>
      <c r="C120" s="1035" t="n"/>
      <c r="D120" s="1035" t="n"/>
      <c r="E120" s="1035" t="n"/>
      <c r="F120" s="1035" t="n"/>
      <c r="G120" s="1035" t="n"/>
      <c r="H120" s="1035" t="n"/>
      <c r="I120" s="1035" t="n"/>
      <c r="J120" s="1035" t="n"/>
      <c r="K120" s="1035" t="n"/>
      <c r="L120" s="1035" t="n"/>
      <c r="M120" s="1035" t="n"/>
      <c r="N120" s="1035" t="n"/>
      <c r="O120" s="1035" t="n"/>
      <c r="P120" s="1035" t="n"/>
      <c r="Q120" s="1035" t="n"/>
      <c r="R120" s="1035" t="n"/>
      <c r="S120" s="1035" t="n"/>
    </row>
    <row r="121">
      <c r="A121" s="1035" t="n"/>
      <c r="B121" s="1035" t="n"/>
      <c r="C121" s="1035" t="n"/>
      <c r="D121" s="1035" t="n"/>
      <c r="E121" s="1035" t="n"/>
      <c r="F121" s="1035" t="n"/>
      <c r="G121" s="1035" t="n"/>
      <c r="H121" s="1035" t="n"/>
      <c r="I121" s="1035" t="n"/>
      <c r="J121" s="1035" t="n"/>
      <c r="K121" s="1035" t="n"/>
      <c r="L121" s="1035" t="n"/>
      <c r="M121" s="1035" t="n"/>
      <c r="N121" s="1035" t="n"/>
      <c r="O121" s="1035" t="n"/>
      <c r="P121" s="1035" t="n"/>
      <c r="Q121" s="1035" t="n"/>
      <c r="R121" s="1035" t="n"/>
      <c r="S121" s="1035" t="n"/>
    </row>
    <row r="122">
      <c r="A122" s="1035" t="n"/>
      <c r="B122" s="1035" t="n"/>
      <c r="C122" s="1035" t="n"/>
      <c r="D122" s="1035" t="n"/>
      <c r="E122" s="1035" t="n"/>
      <c r="F122" s="1035" t="n"/>
      <c r="G122" s="1035" t="n"/>
      <c r="H122" s="1035" t="n"/>
      <c r="I122" s="1035" t="n"/>
      <c r="J122" s="1035" t="n"/>
      <c r="K122" s="1035" t="n"/>
      <c r="L122" s="1035" t="n"/>
      <c r="M122" s="1035" t="n"/>
      <c r="N122" s="1035" t="n"/>
      <c r="O122" s="1035" t="n"/>
      <c r="P122" s="1035" t="n"/>
      <c r="Q122" s="1035" t="n"/>
      <c r="R122" s="1035" t="n"/>
      <c r="S122" s="1035" t="n"/>
    </row>
    <row r="123">
      <c r="A123" s="1035" t="n"/>
      <c r="B123" s="1035" t="n"/>
      <c r="C123" s="1035" t="n"/>
      <c r="D123" s="1035" t="n"/>
      <c r="E123" s="1035" t="n"/>
      <c r="F123" s="1035" t="n"/>
      <c r="G123" s="1035" t="n"/>
      <c r="H123" s="1035" t="n"/>
      <c r="I123" s="1035" t="n"/>
      <c r="J123" s="1035" t="n"/>
      <c r="K123" s="1035" t="n"/>
      <c r="L123" s="1035" t="n"/>
      <c r="M123" s="1035" t="n"/>
      <c r="N123" s="1035" t="n"/>
      <c r="O123" s="1035" t="n"/>
      <c r="P123" s="1035" t="n"/>
      <c r="Q123" s="1035" t="n"/>
      <c r="R123" s="1035" t="n"/>
      <c r="S123" s="1035" t="n"/>
    </row>
    <row r="124">
      <c r="A124" s="1035" t="n"/>
      <c r="B124" s="1035" t="n"/>
      <c r="C124" s="1035" t="n"/>
      <c r="D124" s="1035" t="n"/>
      <c r="E124" s="1035" t="n"/>
      <c r="F124" s="1035" t="n"/>
      <c r="G124" s="1035" t="n"/>
      <c r="H124" s="1035" t="n"/>
      <c r="I124" s="1035" t="n"/>
      <c r="J124" s="1035" t="n"/>
      <c r="K124" s="1035" t="n"/>
      <c r="L124" s="1035" t="n"/>
      <c r="M124" s="1035" t="n"/>
      <c r="N124" s="1035" t="n"/>
      <c r="O124" s="1035" t="n"/>
      <c r="P124" s="1035" t="n"/>
      <c r="Q124" s="1035" t="n"/>
      <c r="R124" s="1035" t="n"/>
      <c r="S124" s="1035" t="n"/>
    </row>
    <row r="125">
      <c r="A125" s="1035" t="n"/>
      <c r="B125" s="1035" t="n"/>
      <c r="C125" s="1035" t="n"/>
      <c r="D125" s="1035" t="n"/>
      <c r="E125" s="1035" t="n"/>
      <c r="F125" s="1035" t="n"/>
      <c r="G125" s="1035" t="n"/>
      <c r="H125" s="1035" t="n"/>
      <c r="I125" s="1035" t="n"/>
      <c r="J125" s="1035" t="n"/>
      <c r="K125" s="1035" t="n"/>
      <c r="L125" s="1035" t="n"/>
      <c r="M125" s="1035" t="n"/>
      <c r="N125" s="1035" t="n"/>
      <c r="O125" s="1035" t="n"/>
      <c r="P125" s="1035" t="n"/>
      <c r="Q125" s="1035" t="n"/>
      <c r="R125" s="1035" t="n"/>
      <c r="S125" s="1035" t="n"/>
    </row>
  </sheetData>
  <mergeCells count="138">
    <mergeCell ref="E20:S20"/>
    <mergeCell ref="A37:C37"/>
    <mergeCell ref="E28:S28"/>
    <mergeCell ref="F2:H2"/>
    <mergeCell ref="A21:C21"/>
    <mergeCell ref="A57:C57"/>
    <mergeCell ref="A26:C26"/>
    <mergeCell ref="E30:S30"/>
    <mergeCell ref="A23:C23"/>
    <mergeCell ref="R6:S6"/>
    <mergeCell ref="AE29:AK30"/>
    <mergeCell ref="A52:C52"/>
    <mergeCell ref="E54:S54"/>
    <mergeCell ref="E32:S32"/>
    <mergeCell ref="H5:J5"/>
    <mergeCell ref="D6:G6"/>
    <mergeCell ref="A34:C34"/>
    <mergeCell ref="M8:N8"/>
    <mergeCell ref="E56:S56"/>
    <mergeCell ref="O8:P8"/>
    <mergeCell ref="N5:Q5"/>
    <mergeCell ref="I2:K2"/>
    <mergeCell ref="A49:C49"/>
    <mergeCell ref="K5:M5"/>
    <mergeCell ref="E24:S24"/>
    <mergeCell ref="A6:C6"/>
    <mergeCell ref="D7:G7"/>
    <mergeCell ref="E17:S17"/>
    <mergeCell ref="M41:S41"/>
    <mergeCell ref="E10:S10"/>
    <mergeCell ref="E19:S19"/>
    <mergeCell ref="A3:C3"/>
    <mergeCell ref="A55:C55"/>
    <mergeCell ref="A4:S4"/>
    <mergeCell ref="A12:C12"/>
    <mergeCell ref="E34:S34"/>
    <mergeCell ref="H7:J7"/>
    <mergeCell ref="D2:E2"/>
    <mergeCell ref="A5:C5"/>
    <mergeCell ref="E49:S49"/>
    <mergeCell ref="A32:C32"/>
    <mergeCell ref="K42:O43"/>
    <mergeCell ref="A14:C14"/>
    <mergeCell ref="O3:R3"/>
    <mergeCell ref="E36:S36"/>
    <mergeCell ref="E11:S11"/>
    <mergeCell ref="A44:S48"/>
    <mergeCell ref="A29:C29"/>
    <mergeCell ref="K7:M7"/>
    <mergeCell ref="A38:C38"/>
    <mergeCell ref="A13:C13"/>
    <mergeCell ref="A31:C31"/>
    <mergeCell ref="A58:C58"/>
    <mergeCell ref="E22:S22"/>
    <mergeCell ref="E37:S37"/>
    <mergeCell ref="I8:J8"/>
    <mergeCell ref="A15:C15"/>
    <mergeCell ref="E12:S12"/>
    <mergeCell ref="A24:C24"/>
    <mergeCell ref="A51:C51"/>
    <mergeCell ref="E21:S21"/>
    <mergeCell ref="E8:G8"/>
    <mergeCell ref="E14:S14"/>
    <mergeCell ref="E23:S23"/>
    <mergeCell ref="F3:H3"/>
    <mergeCell ref="A7:C7"/>
    <mergeCell ref="A16:C16"/>
    <mergeCell ref="H6:J6"/>
    <mergeCell ref="A25:C25"/>
    <mergeCell ref="E51:S51"/>
    <mergeCell ref="A18:C18"/>
    <mergeCell ref="O2:R2"/>
    <mergeCell ref="N6:Q6"/>
    <mergeCell ref="A50:C50"/>
    <mergeCell ref="I3:K3"/>
    <mergeCell ref="AE31:AK32"/>
    <mergeCell ref="A2:C2"/>
    <mergeCell ref="R7:S7"/>
    <mergeCell ref="A22:C22"/>
    <mergeCell ref="E27:S27"/>
    <mergeCell ref="A59:S59"/>
    <mergeCell ref="N7:Q7"/>
    <mergeCell ref="A20:C20"/>
    <mergeCell ref="A28:C28"/>
    <mergeCell ref="E25:S25"/>
    <mergeCell ref="K8:L8"/>
    <mergeCell ref="A42:D43"/>
    <mergeCell ref="A30:C30"/>
    <mergeCell ref="E53:S53"/>
    <mergeCell ref="L2:N2"/>
    <mergeCell ref="D3:E3"/>
    <mergeCell ref="E50:S50"/>
    <mergeCell ref="AE24:AK25"/>
    <mergeCell ref="E42:I43"/>
    <mergeCell ref="D1:R1"/>
    <mergeCell ref="E55:S55"/>
    <mergeCell ref="E52:S52"/>
    <mergeCell ref="J42:J43"/>
    <mergeCell ref="E39:S39"/>
    <mergeCell ref="P42:S43"/>
    <mergeCell ref="R5:S5"/>
    <mergeCell ref="L3:N3"/>
    <mergeCell ref="A54:C54"/>
    <mergeCell ref="E29:S29"/>
    <mergeCell ref="E38:S38"/>
    <mergeCell ref="A41:L41"/>
    <mergeCell ref="E13:S13"/>
    <mergeCell ref="A56:C56"/>
    <mergeCell ref="A27:C27"/>
    <mergeCell ref="M40:R40"/>
    <mergeCell ref="E31:S31"/>
    <mergeCell ref="D5:G5"/>
    <mergeCell ref="Q8:R8"/>
    <mergeCell ref="AE22:AK23"/>
    <mergeCell ref="A40:D40"/>
    <mergeCell ref="E15:S15"/>
    <mergeCell ref="A33:C33"/>
    <mergeCell ref="A8:C8"/>
    <mergeCell ref="A9:S9"/>
    <mergeCell ref="A17:C17"/>
    <mergeCell ref="A53:C53"/>
    <mergeCell ref="A35:C35"/>
    <mergeCell ref="E57:S57"/>
    <mergeCell ref="E26:S26"/>
    <mergeCell ref="A10:C10"/>
    <mergeCell ref="E40:L40"/>
    <mergeCell ref="A19:C19"/>
    <mergeCell ref="E16:S16"/>
    <mergeCell ref="K6:M6"/>
    <mergeCell ref="A39:C39"/>
    <mergeCell ref="E18:S18"/>
    <mergeCell ref="E58:S58"/>
    <mergeCell ref="AE40:AK41"/>
    <mergeCell ref="A36:C36"/>
    <mergeCell ref="A11:C11"/>
    <mergeCell ref="A1:C1"/>
    <mergeCell ref="E33:S33"/>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63" t="n"/>
      <c r="D9" s="1064" t="n">
        <v>9384.379999999999</v>
      </c>
      <c r="E9" s="1065" t="n">
        <v>1</v>
      </c>
      <c r="F9" s="1066">
        <f>D9*E9</f>
        <v/>
      </c>
    </row>
    <row r="10" ht="33" customHeight="1" s="882">
      <c r="A10" s="1061" t="n">
        <v>3</v>
      </c>
      <c r="B10" s="1062" t="inlineStr">
        <is>
          <t>Table15, S2 | ASSEMBLY PRESSURE TEST</t>
        </is>
      </c>
      <c r="C10" s="1063" t="n"/>
      <c r="D10" s="1064" t="n">
        <v>4933.5</v>
      </c>
      <c r="E10" s="1065" t="n">
        <v>1</v>
      </c>
      <c r="F10" s="1066">
        <f>D10*E10</f>
        <v/>
      </c>
    </row>
    <row r="11" ht="33" customHeight="1" s="882">
      <c r="A11" s="1061" t="n">
        <v>4</v>
      </c>
      <c r="B11" s="1062" t="inlineStr">
        <is>
          <t>Table15, S3 | TRANSPORTATION</t>
        </is>
      </c>
      <c r="C11" s="1063" t="n"/>
      <c r="D11" s="1064" t="n">
        <v>3289</v>
      </c>
      <c r="E11" s="1065" t="n">
        <v>1</v>
      </c>
      <c r="F11" s="1066">
        <f>D11*E11</f>
        <v/>
      </c>
    </row>
    <row r="12" ht="33" customHeight="1" s="882">
      <c r="A12" s="1061" t="n">
        <v>5</v>
      </c>
      <c r="B12" s="1062" t="inlineStr">
        <is>
          <t>Table15, S4 | RUNNING/INSTALLATION SERV.</t>
        </is>
      </c>
      <c r="C12" s="1063" t="n"/>
      <c r="D12" s="1064" t="n">
        <v>14550.25</v>
      </c>
      <c r="E12" s="1065" t="n">
        <v>1</v>
      </c>
      <c r="F12" s="1066">
        <f>D12*E12</f>
        <v/>
      </c>
    </row>
    <row r="13" ht="33" customHeight="1" s="882">
      <c r="A13" s="1061" t="n">
        <v>6</v>
      </c>
      <c r="B13" s="1062" t="inlineStr">
        <is>
          <t>Table6, A24 | PIP TAG</t>
        </is>
      </c>
      <c r="C13" s="1063"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6"/>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865" t="n"/>
      <c r="B109" s="1866" t="n"/>
      <c r="C109" s="1867" t="inlineStr">
        <is>
          <t>1-C UPPER COMPLETION - RUNNING PROCEDURE</t>
        </is>
      </c>
    </row>
    <row r="110" ht="15" customHeight="1" s="882">
      <c r="A110" s="1865">
        <f>COUNTIF($A$74:A109,"&gt;0")+1</f>
        <v/>
      </c>
      <c r="B110" s="1866" t="n"/>
      <c r="C110" s="1867" t="inlineStr">
        <is>
          <t>CONDUCT PRE-JOB SAFETY MEETING, RIG UP TRS EQUIPMENT</t>
        </is>
      </c>
    </row>
    <row r="111" ht="15" customHeight="1" s="882">
      <c r="A111" s="1865">
        <f>COUNTIF($A$74:A110,"&gt;0")+1</f>
        <v/>
      </c>
      <c r="B111" s="1866" t="n"/>
      <c r="C111" s="1867" t="inlineStr">
        <is>
          <t>RIG UP TUBING RUNNING EQUIPMENT.</t>
        </is>
      </c>
    </row>
    <row r="112" ht="15" customHeight="1" s="882">
      <c r="A112" s="1865" t="n"/>
      <c r="B112" s="1866" t="n"/>
      <c r="C112" s="1867" t="inlineStr">
        <is>
          <t>● ENSURE TRS EQUIPMENT CONFIGURE TO HANDLE 3-1/2" TUBING ALLOY-28</t>
        </is>
      </c>
    </row>
    <row r="113" ht="15" customHeight="1" s="882">
      <c r="A113" s="1865" t="n"/>
      <c r="B113" s="1866" t="n"/>
      <c r="C113" s="1867" t="inlineStr">
        <is>
          <t>● ENSURE MAKE UP VALUE CORRECTLY IN THE JAM UNIT AND CALLIBRATED.</t>
        </is>
      </c>
    </row>
    <row r="114" ht="15" customHeight="1" s="882">
      <c r="A114" s="1865" t="n"/>
      <c r="B114" s="1866" t="n"/>
      <c r="C114" s="1867" t="inlineStr">
        <is>
          <t>● ALL TUBING SHALL BE DRIFT PRIOR TO RUN IN HOLE.</t>
        </is>
      </c>
    </row>
    <row r="115" ht="15" customHeight="1" s="882">
      <c r="A115" s="1865">
        <f>COUNTIF($A$74:A114,"&gt;0")+1</f>
        <v/>
      </c>
      <c r="B115" s="1866" t="n"/>
      <c r="C115" s="1867" t="inlineStr">
        <is>
          <t>PRE-JOB SAFETY MEETING INVOLVE ALL PARTIES AND SHARE LESSON LEARNT.</t>
        </is>
      </c>
    </row>
    <row r="116" ht="15" customHeight="1" s="882">
      <c r="A116" s="1865">
        <f>COUNTIF($A$74:A115,"&gt;0")+1</f>
        <v/>
      </c>
      <c r="B116" s="1866" t="n"/>
      <c r="C116" s="1867" t="inlineStr">
        <is>
          <t>MAKE UP SUB ASSEMBLY BELOW PACKER AND FOLLOW AS PER APPROVED TALLY</t>
        </is>
      </c>
    </row>
    <row r="117" ht="15" customHeight="1" s="882">
      <c r="A117" s="1865">
        <f>COUNTIF($A$74:A116,"&gt;0")+1</f>
        <v/>
      </c>
      <c r="B117" s="1866" t="n"/>
      <c r="C117" s="1867" t="inlineStr">
        <is>
          <t>MAKE UP WLEG AND FOLLOW WITH TAIL PIPE AS PER APPROVED TALLY.</t>
        </is>
      </c>
    </row>
    <row r="118" ht="15" customHeight="1" s="882">
      <c r="A118" s="1865" t="n"/>
      <c r="B118" s="1866" t="n"/>
      <c r="C118" s="1868" t="inlineStr">
        <is>
          <t>NOTE: ALWAYS PUT SAFETY CLAMP TO SECURE. UNTIL GET ENOUGH WEIGHT, IT'S RECOMMEND NOT LESS THAN</t>
        </is>
      </c>
    </row>
    <row r="119" ht="15" customHeight="1" s="882">
      <c r="A119" s="1865" t="n"/>
      <c r="B119" s="1866" t="n"/>
      <c r="C119" s="1868" t="inlineStr">
        <is>
          <t>NOTE: +/- 20 KLBS (DRILLER SHALL CONTINUESLY MONITORING).</t>
        </is>
      </c>
    </row>
    <row r="120" ht="15" customHeight="1" s="882">
      <c r="A120" s="1865">
        <f>COUNTIF($A$74:A119,"&gt;0")+1</f>
        <v/>
      </c>
      <c r="B120" s="1866" t="n"/>
      <c r="C120" s="1867" t="inlineStr">
        <is>
          <t>MAKE UP 3-1/2" MCBD INC. 925, FILL UP AND CHECK FLUID LEVEL. FOLLOW AS PER TALLY.</t>
        </is>
      </c>
    </row>
    <row r="121" ht="15" customHeight="1" s="882">
      <c r="A121" s="1865" t="n"/>
      <c r="B121" s="1866" t="n"/>
      <c r="C121" s="1868" t="inlineStr">
        <is>
          <t>NOTE: ALWAYS COVER THE HOLE TO AVOID DROP OBJECT DURING MAKE UP OR ANY ACTIVITY IN THE RIG FLOOR.</t>
        </is>
      </c>
    </row>
    <row r="122" ht="15" customHeight="1" s="882">
      <c r="A122" s="1865">
        <f>COUNTIF($A$74:A121,"&gt;0")+1</f>
        <v/>
      </c>
      <c r="B122" s="1866" t="n"/>
      <c r="C122" s="1867" t="inlineStr">
        <is>
          <t>MAKE UP PACKER ASSEMBLY WITH LANDING NIPPLE</t>
        </is>
      </c>
    </row>
    <row r="123" ht="15" customHeight="1" s="882">
      <c r="A123" s="1865">
        <f>COUNTIF($A$74:A122,"&gt;0")+1</f>
        <v/>
      </c>
      <c r="B123" s="1866" t="n"/>
      <c r="C123" s="1867" t="inlineStr">
        <is>
          <t>PICK UP AND MAKE UP 7" WFORD RMV OPTIPKR CTR PERM PKR INC.925</t>
        </is>
      </c>
    </row>
    <row r="124" ht="15" customHeight="1" s="882">
      <c r="A124" s="1865" t="n"/>
      <c r="B124" s="1866" t="n"/>
      <c r="C124" s="1867" t="inlineStr">
        <is>
          <t>WITH WFD 2.75" WXN - 2.635" NG AS PART OF PACKER ASSEMBLY.</t>
        </is>
      </c>
    </row>
    <row r="125" ht="15" customHeight="1" s="882">
      <c r="A125" s="1865">
        <f>COUNTIF($A$74:A124,"&gt;0")+1</f>
        <v/>
      </c>
      <c r="B125" s="1866" t="n"/>
      <c r="C125" s="1867" t="inlineStr">
        <is>
          <t>CHECK NUMBER OF SHEAR SCREW (COMPARE WITH SUB ASSEMBLY DATASHEET), RUBBER ELEMENT</t>
        </is>
      </c>
    </row>
    <row r="126" ht="15" customHeight="1" s="882">
      <c r="A126" s="1865" t="n"/>
      <c r="B126" s="1866" t="n"/>
      <c r="C126" s="1867" t="inlineStr">
        <is>
          <t>CONDITION, SLIPS AND ETC. IF ANY ABNORMAL CONDITION, CONTACT OFFICE.</t>
        </is>
      </c>
    </row>
    <row r="127" ht="15" customHeight="1" s="882">
      <c r="A127" s="1865" t="n"/>
      <c r="B127" s="1866" t="n"/>
      <c r="C127" s="1867" t="inlineStr">
        <is>
          <t>PRE-CHECK SUB ASSEMBLY SHALL BE DONE PRIOR TO START RUNNING IN HOLE.</t>
        </is>
      </c>
    </row>
    <row r="128" ht="15" customHeight="1" s="882">
      <c r="A128" s="1865" t="n"/>
      <c r="B128" s="1866" t="n"/>
      <c r="C128" s="1867" t="inlineStr">
        <is>
          <t>● CHECK THE LANDING NIPPLE IN THE BODY MARK AND ENSURE IT'S MATCH.</t>
        </is>
      </c>
    </row>
    <row r="129" ht="15" customHeight="1" s="882">
      <c r="A129" s="1865" t="n"/>
      <c r="B129" s="1866" t="n"/>
      <c r="C129" s="1867" t="inlineStr">
        <is>
          <t>● NOTE: RECORD THE TYPE OF PACKER, NUMBER OF SHEAR PIN IN THE DDR.</t>
        </is>
      </c>
    </row>
    <row r="130" ht="15" customHeight="1" s="882">
      <c r="A130" s="1865">
        <f>COUNTIF($A$74:A129,"&gt;0")+1</f>
        <v/>
      </c>
      <c r="B130" s="1866" t="n"/>
      <c r="C130" s="1867" t="inlineStr">
        <is>
          <t>MAKE UP SUB ASSEMBLY ABOVE PACKER AND FOLLOW AS PER APPROVED TALLY.</t>
        </is>
      </c>
    </row>
    <row r="131" ht="15" customHeight="1" s="882">
      <c r="A131" s="1865">
        <f>COUNTIF($A$74:A130,"&gt;0")+1</f>
        <v/>
      </c>
      <c r="B131" s="1866" t="n"/>
      <c r="C131" s="1867" t="inlineStr">
        <is>
          <t>FILL UP THE STRING AND ENSURE BARRIER DISC STILL WORKING. USE FLEXIBLE HOSE AND DO NOT USE</t>
        </is>
      </c>
    </row>
    <row r="132" ht="15" customHeight="1" s="882">
      <c r="A132" s="1865" t="n"/>
      <c r="B132" s="1866" t="n"/>
      <c r="C132" s="1867" t="inlineStr">
        <is>
          <t>RIG SUPERCHARGE PUMP TO AVOID BREAK BARRIER DISC.</t>
        </is>
      </c>
    </row>
    <row r="133" ht="15" customHeight="1" s="882">
      <c r="A133" s="1865">
        <f>COUNTIF($A$74:A132,"&gt;0")+1</f>
        <v/>
      </c>
      <c r="B133" s="1866" t="n"/>
      <c r="C133" s="1867" t="inlineStr">
        <is>
          <t>PRE-JOB MEETING AND FOLLOW TO RIG UP SPOOLING UNIT, SHEAVE WHEEL AND EQUIPMENT FOR SMART</t>
        </is>
      </c>
    </row>
    <row r="134" ht="15" customHeight="1" s="882">
      <c r="A134" s="1865" t="n"/>
      <c r="B134" s="1866" t="n"/>
      <c r="C134" s="1867" t="inlineStr">
        <is>
          <t>COMPLETION INSTALLATION.</t>
        </is>
      </c>
    </row>
    <row r="135" ht="15" customHeight="1" s="882">
      <c r="A135" s="1865" t="n"/>
      <c r="B135" s="1866" t="n"/>
      <c r="C135" s="1867" t="inlineStr">
        <is>
          <t>● RIG UP CHEMICAL INJECTION LINE AND SHEAVE WHEEL, ENSURE NOT INTERFERE WITH OTHERS.</t>
        </is>
      </c>
    </row>
    <row r="136" ht="15" customHeight="1" s="882">
      <c r="A136" s="1865">
        <f>COUNTIF($A$74:A135,"&gt;0")+1</f>
        <v/>
      </c>
      <c r="B136" s="1866" t="n"/>
      <c r="C136" s="1867" t="inlineStr">
        <is>
          <t>MAKE UP 3-1/2" CIS AND PUT IN THE SAFE WORKING HEIGHT.</t>
        </is>
      </c>
    </row>
    <row r="137" ht="15" customHeight="1" s="882">
      <c r="A137" s="1865" t="n"/>
      <c r="B137" s="1866" t="n"/>
      <c r="C137" s="1867" t="inlineStr">
        <is>
          <t>● FLUSH THE CIL WITH CLEAN FLUID AND CONDUCT FLOW TEST FOR CIL.</t>
        </is>
      </c>
    </row>
    <row r="138" ht="15" customHeight="1" s="882">
      <c r="A138" s="1865" t="n"/>
      <c r="B138" s="1866" t="n"/>
      <c r="C138" s="1867" t="inlineStr">
        <is>
          <t>● SECURE THE CHEMICAL INJECTION LINE TO THE CHEMICAL INJECTION SUB USING A 3/8” AUTOCLAV</t>
        </is>
      </c>
    </row>
    <row r="139" ht="15" customHeight="1" s="882">
      <c r="A139" s="1865" t="n"/>
      <c r="B139" s="1866" t="n"/>
      <c r="C139" s="1867" t="inlineStr">
        <is>
          <t>SWAGELOK FITTING THEN USE 3.5” TUBING CLAMPS TO SECURE 3/8” OD LINE AT JOINTS</t>
        </is>
      </c>
    </row>
    <row r="140" ht="15" customHeight="1" s="882">
      <c r="A140" s="1865" t="n"/>
      <c r="B140" s="1866" t="n"/>
      <c r="C140" s="1867" t="inlineStr">
        <is>
          <t>COUPLINGS (FOLLOW THE SERVICE PROVIDER PROCEDURE).</t>
        </is>
      </c>
    </row>
    <row r="141" ht="15" customHeight="1" s="882">
      <c r="A141" s="1865" t="n"/>
      <c r="B141" s="1866" t="n"/>
      <c r="C141" s="1867" t="inlineStr">
        <is>
          <t>● BEGIN PUMPING THROUGH CHEMICAL INJECTION LINE UP 4500 PSI FOR 30 MINS. TO ENSURE THE SEALING</t>
        </is>
      </c>
    </row>
    <row r="142" ht="15" customHeight="1" s="882">
      <c r="A142" s="1865" t="n"/>
      <c r="B142" s="1866" t="n"/>
      <c r="C142" s="1867" t="inlineStr">
        <is>
          <t>INTEGRITY OF THE DOUBLE CHECK VALVE &amp; FITTING CONNECTED TO THE CIS.</t>
        </is>
      </c>
    </row>
    <row r="143" ht="15" customHeight="1" s="882">
      <c r="A143" s="1865" t="n"/>
      <c r="B143" s="1866" t="n"/>
      <c r="C143" s="1867" t="inlineStr">
        <is>
          <t>● KEEP 1200 PSI HOLD IN THE LINE WHILE RUNNING THE COMPLETION.</t>
        </is>
      </c>
    </row>
    <row r="144" ht="15" customHeight="1" s="882">
      <c r="A144" s="1865" t="n"/>
      <c r="B144" s="1866" t="n"/>
      <c r="C144" s="1867" t="inlineStr">
        <is>
          <t>● OBSERVE THE PRESSURE EVERY 10 JOINTS TO MAKE SURE THE LINE ISN’T DAMAGE OR MASH.</t>
        </is>
      </c>
    </row>
    <row r="145" ht="15" customHeight="1" s="882">
      <c r="A145" s="1865" t="n"/>
      <c r="B145" s="1866" t="n"/>
      <c r="C145" s="1868" t="inlineStr">
        <is>
          <t>NOTE: ALWAYS PLACE CABLE IN SAFE POSITION WHEN PUTTING THE SLIPS, AVOID CABLE DAMAGED.</t>
        </is>
      </c>
    </row>
    <row r="146" ht="15" customHeight="1" s="882">
      <c r="A146" s="1865">
        <f>COUNTIF($A$74:A145,"&gt;0")+1</f>
        <v/>
      </c>
      <c r="B146" s="1866" t="n"/>
      <c r="C146" s="1867" t="inlineStr">
        <is>
          <t>CONTINUE RUN IN HOLE AND FILL UP WITH FILTERED BRINE EVERY 10 JOINTS.</t>
        </is>
      </c>
    </row>
    <row r="147" ht="15" customHeight="1" s="882">
      <c r="A147" s="1865">
        <f>COUNTIF($A$74:A146,"&gt;0")+1</f>
        <v/>
      </c>
      <c r="B147" s="1866" t="n"/>
      <c r="C147" s="1867" t="inlineStr">
        <is>
          <t>MAKE UP 3-1/2" GLM ASSEMBLY AS PER APPROVED TALLY.</t>
        </is>
      </c>
    </row>
    <row r="148" ht="15" customHeight="1" s="882">
      <c r="A148" s="1865" t="n"/>
      <c r="B148" s="1866" t="n"/>
      <c r="C148" s="1867" t="inlineStr">
        <is>
          <t>● REMOVE THE PLASTIC PLUGS AND CHECK DUMMY IN PLACE.</t>
        </is>
      </c>
    </row>
    <row r="149" ht="15" customHeight="1" s="882">
      <c r="A149" s="1865" t="n"/>
      <c r="B149" s="1866" t="n"/>
      <c r="C149" s="1868" t="inlineStr">
        <is>
          <t>NOTE: ALWAYS COVER THE HOLE TO AVOID DROP OBJECT DURING MAKE UP OR ANY ACTIVITY IN THE RIG FLOOR.</t>
        </is>
      </c>
    </row>
    <row r="150" ht="15" customHeight="1" s="882">
      <c r="A150" s="1865">
        <f>COUNTIF($A$74:A149,"&gt;0")+1</f>
        <v/>
      </c>
      <c r="B150" s="1866" t="n"/>
      <c r="C150" s="1867" t="inlineStr">
        <is>
          <t>CONTINUE MAKE UP 3-1/2" TUBING AS PER APPROVED TALLY.</t>
        </is>
      </c>
    </row>
    <row r="151" ht="15" customHeight="1" s="882">
      <c r="A151" s="1865" t="n"/>
      <c r="B151" s="1866" t="n"/>
      <c r="C151" s="1867" t="inlineStr">
        <is>
          <t>● ENSURE MAKE UP VALUE CORRECTLY RECORDED AND VERIFIED BY THREAD INSPECTOR.</t>
        </is>
      </c>
    </row>
    <row r="152" ht="15" customHeight="1" s="882">
      <c r="A152" s="1865" t="n"/>
      <c r="B152" s="1866" t="n"/>
      <c r="C152" s="1867" t="inlineStr">
        <is>
          <t>IF ANY DOUBT, INSPECT AND REPLACE TO AVOID CONFUSION.</t>
        </is>
      </c>
    </row>
    <row r="153" ht="15" customHeight="1" s="882">
      <c r="A153" s="1865">
        <f>COUNTIF($A$74:A152,"&gt;0")+1</f>
        <v/>
      </c>
      <c r="B153" s="1866" t="n"/>
      <c r="C153" s="1867" t="inlineStr">
        <is>
          <t>CONTROL RUNNING SPEED INSIDE LINER.</t>
        </is>
      </c>
    </row>
    <row r="154" ht="15" customHeight="1" s="882">
      <c r="A154" s="1865" t="n"/>
      <c r="B154" s="1866" t="n"/>
      <c r="C154" s="1867" t="inlineStr">
        <is>
          <t>● CONTROL RUNNING SPEED INSIDE LINER AND NO JERKING OR OVER SLACK OFF MORE THAN 3 KLBS.</t>
        </is>
      </c>
    </row>
    <row r="155" ht="15" customHeight="1" s="882">
      <c r="A155" s="1865" t="n"/>
      <c r="B155" s="1866" t="n"/>
      <c r="C155" s="1867" t="inlineStr">
        <is>
          <t>COMP_BB1525_OP30728CBB30</t>
        </is>
      </c>
    </row>
    <row r="156" ht="15" customHeight="1" s="882">
      <c r="A156" s="1865" t="n"/>
      <c r="B156" s="1866" t="n"/>
      <c r="C156" s="1867" t="inlineStr">
        <is>
          <t>COMPLETION ENGINEER SHOULD BE AWARE FOR CRITICAL STEP.</t>
        </is>
      </c>
    </row>
    <row r="157" ht="15" customHeight="1" s="882">
      <c r="A157" s="1865">
        <f>COUNTIF($A$74:A156,"&gt;0")+1</f>
        <v/>
      </c>
      <c r="B157" s="1866" t="n"/>
      <c r="C157" s="1867" t="inlineStr">
        <is>
          <t>MAKE UP SAFETY VALVE, CONNECT AND PRESSURE TEST CONTROL LINE</t>
        </is>
      </c>
    </row>
    <row r="158" ht="15" customHeight="1" s="882">
      <c r="A158" s="1865">
        <f>COUNTIF($A$74:A157,"&gt;0")+1</f>
        <v/>
      </c>
      <c r="B158" s="1866" t="n"/>
      <c r="C158" s="1867" t="inlineStr">
        <is>
          <t>PICK UP 1/4" CONTROL LINE TO THE RIG FLOOR AND SET UP IN THE SAFE POSITION.</t>
        </is>
      </c>
    </row>
    <row r="159" ht="15" customHeight="1" s="882">
      <c r="A159" s="1865">
        <f>COUNTIF($A$74:A158,"&gt;0")+1</f>
        <v/>
      </c>
      <c r="B159" s="1866" t="n"/>
      <c r="C159" s="1867" t="inlineStr">
        <is>
          <t>MAKE UP 3-1/2" TR-SSSV AND SET UP IN THE SAFE WORKING POSITION.</t>
        </is>
      </c>
    </row>
    <row r="160" ht="15" customHeight="1" s="882">
      <c r="A160" s="1865">
        <f>COUNTIF($A$74:A159,"&gt;0")+1</f>
        <v/>
      </c>
      <c r="B160" s="1866" t="n"/>
      <c r="C160" s="1867" t="inlineStr">
        <is>
          <t>FLUSH ¼” CONTROL LINE AND CONNECT SAME TO THE SAFETY VALVE.</t>
        </is>
      </c>
    </row>
    <row r="161" ht="15" customHeight="1" s="882">
      <c r="A161" s="1865" t="n"/>
      <c r="B161" s="1866" t="n"/>
      <c r="C161" s="1867" t="inlineStr">
        <is>
          <t>● MAKE UP FRONT AND BACK FERRULE, HAND TIGHT FIRST THEN TIGHTEN WITH PROPER WRENCH</t>
        </is>
      </c>
    </row>
    <row r="162" ht="15" customHeight="1" s="882">
      <c r="A162" s="1865" t="n"/>
      <c r="B162" s="1866" t="n"/>
      <c r="C162" s="1867" t="inlineStr">
        <is>
          <t>(FOLLOW THE SERVICE PROVIDER PROCEDURE).</t>
        </is>
      </c>
    </row>
    <row r="163" ht="15" customHeight="1" s="882">
      <c r="A163" s="1865" t="n"/>
      <c r="B163" s="1866" t="n"/>
      <c r="C163" s="1867" t="inlineStr">
        <is>
          <t>● BREAK UP THE JAM NUT, INSPECT THE FERRULES, ENSURE PROPERLY ENERGIZED ONTO THE CONTROL LINE (SHOULD</t>
        </is>
      </c>
    </row>
    <row r="164" ht="15" customHeight="1" s="882">
      <c r="A164" s="1865" t="n"/>
      <c r="B164" s="1866" t="n"/>
      <c r="C164" s="1867" t="inlineStr">
        <is>
          <t>NOT SLIDE UP OR DOWN). CLEAN UP AND RE-INSTALL, TIGHTEN UP PROPERLY AS PER SERVICE PROVIDER</t>
        </is>
      </c>
    </row>
    <row r="165" ht="15" customHeight="1" s="882">
      <c r="A165" s="1865" t="n"/>
      <c r="B165" s="1866" t="n"/>
      <c r="C165" s="1867" t="inlineStr">
        <is>
          <t>PROCEDURE.</t>
        </is>
      </c>
    </row>
    <row r="166" ht="15" customHeight="1" s="882">
      <c r="A166" s="1865" t="n"/>
      <c r="B166" s="1866" t="n"/>
      <c r="C166" s="1867" t="inlineStr">
        <is>
          <t>● PRESSURE TEST CONTROL LINE TO 6000 PSI FOR 10MINS, REDUCE AND HOLDING 5000 PSI ON CONTROL</t>
        </is>
      </c>
    </row>
    <row r="167" ht="15" customHeight="1" s="882">
      <c r="A167" s="1865" t="n"/>
      <c r="B167" s="1866" t="n"/>
      <c r="C167" s="1867" t="inlineStr">
        <is>
          <t>LINE, CONTINUE RIH TUBING STRING WHILE STRAPPING CONTROL LINE (IN TENSION).</t>
        </is>
      </c>
    </row>
    <row r="168" ht="15" customHeight="1" s="882">
      <c r="A168" s="1865">
        <f>COUNTIF($A$74:A167,"&gt;0")+1</f>
        <v/>
      </c>
      <c r="B168" s="1866" t="n"/>
      <c r="C168" s="1867" t="inlineStr">
        <is>
          <t>CONTINE RUN IN HOLE WHILE STRAPPING CONTROL LINE.</t>
        </is>
      </c>
    </row>
    <row r="169" ht="15" customHeight="1" s="882">
      <c r="A169" s="1865">
        <f>COUNTIF($A$74:A168,"&gt;0")+1</f>
        <v/>
      </c>
      <c r="B169" s="1866" t="n"/>
      <c r="C169" s="1867" t="inlineStr">
        <is>
          <t>MAKE UP AND LAND TUBING HANGER</t>
        </is>
      </c>
    </row>
    <row r="170" ht="15" customHeight="1" s="882">
      <c r="A170" s="1865">
        <f>COUNTIF($A$74:A169,"&gt;0")+1</f>
        <v/>
      </c>
      <c r="B170" s="1866" t="n"/>
      <c r="C170" s="1867" t="inlineStr">
        <is>
          <t>MAKE UP TUBING HANGER ASSEMBLY AND LANDING JOINT.</t>
        </is>
      </c>
    </row>
    <row r="171" ht="15" customHeight="1" s="882">
      <c r="A171" s="1865">
        <f>COUNTIF($A$74:A170,"&gt;0")+1</f>
        <v/>
      </c>
      <c r="B171" s="1866" t="n"/>
      <c r="C171" s="1867" t="inlineStr">
        <is>
          <t>TERMINATE ¼” CONTROL LINE IN SAME. TEST CONTROL LINE TO 6000 PSI FOR 10 MINUTES.</t>
        </is>
      </c>
    </row>
    <row r="172" ht="15" customHeight="1" s="882">
      <c r="A172" s="1865" t="n"/>
      <c r="B172" s="1866" t="n"/>
      <c r="C172" s="1867" t="inlineStr">
        <is>
          <t>EXTEND ¼” CONTROL LINE TO SURFACE AND KEEP 5000 PSI ON ¼” CONTROL LINE.</t>
        </is>
      </c>
    </row>
    <row r="173" ht="15" customHeight="1" s="882">
      <c r="A173" s="1865" t="n"/>
      <c r="B173" s="1866" t="n"/>
      <c r="C173" s="1867" t="inlineStr">
        <is>
          <t>● WRAP AS MUCH CHEMICAL INJECTION AS POSSIBLE AROUND HANGER NECK.</t>
        </is>
      </c>
    </row>
    <row r="174" ht="15" customHeight="1" s="882">
      <c r="A174" s="1865" t="n"/>
      <c r="B174" s="1866" t="n"/>
      <c r="C174" s="1867" t="inlineStr">
        <is>
          <t>● RUN IN HOLE AND CENTERING THE POSITION INSIDE BOP AND ENTER SMOOTHLY AND AVOID</t>
        </is>
      </c>
    </row>
    <row r="175" ht="15" customHeight="1" s="882">
      <c r="A175" s="1865" t="n"/>
      <c r="B175" s="1866" t="n"/>
      <c r="C175" s="1867" t="inlineStr">
        <is>
          <t>DAMAGE ON THE CABLE, CONTROL LINE AND TUBING HANGER ITSELF.</t>
        </is>
      </c>
    </row>
    <row r="176" ht="15" customHeight="1" s="882">
      <c r="A176" s="1865" t="n"/>
      <c r="B176" s="1866" t="n"/>
      <c r="C176" s="1867" t="inlineStr">
        <is>
          <t>● CLEAN OUT TUBING HEAD SPOOL FROM ANY DEBRIS AND ENSURE THE LOCK DOWN SCREW IN THE TUBING</t>
        </is>
      </c>
    </row>
    <row r="177" ht="15" customHeight="1" s="882">
      <c r="A177" s="1865" t="n"/>
      <c r="B177" s="1866" t="n"/>
      <c r="C177" s="1867" t="inlineStr">
        <is>
          <t>HEAD SPOOL IS FULLY OPEN/RETRACT.</t>
        </is>
      </c>
    </row>
    <row r="178" ht="15" customHeight="1" s="882">
      <c r="A178" s="1865">
        <f>COUNTIF($A$74:A177,"&gt;0")+1</f>
        <v/>
      </c>
      <c r="B178" s="1866" t="n"/>
      <c r="C178" s="1867" t="inlineStr">
        <is>
          <t>FULLY LAND TUBING HANGER, CHECK LANDING IN THE SOV AND CONFIRMED BY WELLHEAD ENGINEER.</t>
        </is>
      </c>
    </row>
    <row r="179" ht="15" customHeight="1" s="882">
      <c r="A179" s="1865" t="n"/>
      <c r="B179" s="1866" t="n"/>
      <c r="C179" s="1867" t="inlineStr">
        <is>
          <t>● TIGHTENED LOCK DOWN SCREW (LDS) AND PREPARE SURFACE LINE.</t>
        </is>
      </c>
    </row>
    <row r="180" ht="15" customHeight="1" s="882">
      <c r="A180" s="1865" t="n"/>
      <c r="B180" s="1866" t="n"/>
      <c r="C180" s="1867" t="inlineStr">
        <is>
          <t>● ENSURE STRING FULLY FILLED UP WITH FILTERED BRINE.</t>
        </is>
      </c>
    </row>
    <row r="181" ht="15" customHeight="1" s="882">
      <c r="A181" s="1865" t="n"/>
      <c r="B181" s="1866" t="n"/>
      <c r="C181" s="1867" t="inlineStr">
        <is>
          <t>● RECORD FINAL P/U AND S/O WEIGTH, FINAL EOT AND PACKER DEPTH IN DDR.</t>
        </is>
      </c>
    </row>
    <row r="182" ht="15" customHeight="1" s="882">
      <c r="A182" s="1865">
        <f>COUNTIF($A$74:A181,"&gt;0")+1</f>
        <v/>
      </c>
      <c r="B182" s="1866" t="n"/>
      <c r="C182" s="1867" t="inlineStr">
        <is>
          <t>RIG UP AND PRESSURE TEST SURFACE LINE, INJECTION MANIFOLD</t>
        </is>
      </c>
    </row>
    <row r="183" ht="15" customHeight="1" s="882">
      <c r="A183" s="1865" t="n"/>
      <c r="B183" s="1866" t="n"/>
      <c r="C183" s="1867" t="inlineStr">
        <is>
          <t>● ENSURE THE X-OVER FROM 4-1/2" LANDING JOINT TO INJECTION MANIFOLD HAS PROPER SEALING.</t>
        </is>
      </c>
    </row>
    <row r="184" ht="15" customHeight="1" s="882">
      <c r="A184" s="1865" t="n"/>
      <c r="B184" s="1866" t="n"/>
      <c r="C184" s="1867" t="inlineStr">
        <is>
          <t>● RIG UP SURFACE LINE TO CEMENTING UNIT AND ALL SURFACE EQUIPMENT SHOULD BE FLUSHED WITH</t>
        </is>
      </c>
    </row>
    <row r="185" ht="15" customHeight="1" s="882">
      <c r="A185" s="1865" t="n"/>
      <c r="B185" s="1866" t="n"/>
      <c r="C185" s="1867" t="inlineStr">
        <is>
          <t>FILTERED BRINE AND TESTED 5000 PSI FOR 10 MINUTES</t>
        </is>
      </c>
    </row>
    <row r="186" ht="15" customHeight="1" s="882">
      <c r="A186" s="1865">
        <f>COUNTIF($A$74:A185,"&gt;0")+1</f>
        <v/>
      </c>
      <c r="B186" s="1866" t="n"/>
      <c r="C186" s="1867" t="inlineStr">
        <is>
          <t>PACKER SETTING AND FULLY TUBING TEST FOR 30 MINUTES.</t>
        </is>
      </c>
    </row>
    <row r="187" ht="15" customHeight="1" s="882">
      <c r="A187" s="1865">
        <f>COUNTIF($A$74:A186,"&gt;0")+1</f>
        <v/>
      </c>
      <c r="B187" s="1866" t="n"/>
      <c r="C187" s="1867" t="inlineStr">
        <is>
          <t>OPEN MASTER VALVE AND START PRESSURE UP WITH LOW PRESSURE 500 PSI HOLD FOR 3 MINS. THEN</t>
        </is>
      </c>
    </row>
    <row r="188" ht="15" customHeight="1" s="882">
      <c r="A188" s="1865">
        <f>COUNTIF($A$74:A187,"&gt;0")+1</f>
        <v/>
      </c>
      <c r="B188" s="1866" t="n"/>
      <c r="C188" s="1867" t="inlineStr">
        <is>
          <t>PSI HOLD FOR 3 MINS, ENSURE LOW PRESSURE IN SOLID PRESSURE TEST PRIOR TO SET PACKER.</t>
        </is>
      </c>
    </row>
    <row r="189" ht="15" customHeight="1" s="882">
      <c r="A189" s="1865">
        <f>COUNTIF($A$74:A188,"&gt;0")+1</f>
        <v/>
      </c>
      <c r="B189" s="1866" t="n"/>
      <c r="C189" s="1867" t="inlineStr">
        <is>
          <t>CONTINUE INCREASE GRADUALLY TO 4000 PSI, HOLD FOR 30 MINS TO FULLY SET PACKER AND TUBING TEST.</t>
        </is>
      </c>
    </row>
    <row r="190" ht="15" customHeight="1" s="882">
      <c r="A190" s="1865" t="n"/>
      <c r="B190" s="1866" t="n"/>
      <c r="C190" s="1867" t="inlineStr">
        <is>
          <t>NOTE: OBSERVE START TO SET PACKER, CHECK IN THE SUB ASSEMBLY DATASHEET.</t>
        </is>
      </c>
    </row>
    <row r="191" ht="15" customHeight="1" s="882">
      <c r="A191" s="1865">
        <f>COUNTIF($A$74:A190,"&gt;0")+1</f>
        <v/>
      </c>
      <c r="B191" s="1866" t="n"/>
      <c r="C191" s="1867" t="inlineStr">
        <is>
          <t>PERFORM INFLOW TEST FOR LOW (500) AND HIGH DIFFERENTIAL PRESSURE (MASP)</t>
        </is>
      </c>
    </row>
    <row r="192" ht="15" customHeight="1" s="882">
      <c r="A192" s="1865">
        <f>COUNTIF($A$74:A191,"&gt;0")+1</f>
        <v/>
      </c>
      <c r="B192" s="1866" t="n"/>
      <c r="C192" s="1867" t="inlineStr">
        <is>
          <t>KEEP 4000PSI IN THE STRING, BLEED OFF TRSV CONTROL LINE TO 0 PSI TO CLOSE SAFETY VALVE.</t>
        </is>
      </c>
    </row>
    <row r="193" ht="15" customHeight="1" s="882">
      <c r="A193" s="1865">
        <f>COUNTIF($A$74:A192,"&gt;0")+1</f>
        <v/>
      </c>
      <c r="B193" s="1866" t="n"/>
      <c r="C193" s="1867" t="inlineStr">
        <is>
          <t>BLEED OFF STRING TO 3500 PSI TO HAVE LOW DIFFERENTIAL PRESSURE TEST (500 PSI) ACROSS THE FLAPPER</t>
        </is>
      </c>
    </row>
    <row r="194" ht="15" customHeight="1" s="882">
      <c r="A194" s="1865" t="n"/>
      <c r="B194" s="1866" t="n"/>
      <c r="C194" s="1867" t="inlineStr">
        <is>
          <t>AND MONITOR FOR 15 MINS.</t>
        </is>
      </c>
    </row>
    <row r="195" ht="15" customHeight="1" s="882">
      <c r="A195" s="1865" t="n"/>
      <c r="B195" s="1866" t="n"/>
      <c r="C195" s="1867" t="inlineStr">
        <is>
          <t>● RECORD VOLUME - ACCEPTANCE CRITERIA ZERO LEAK RATE</t>
        </is>
      </c>
    </row>
    <row r="196" ht="15" customHeight="1" s="882">
      <c r="A196" s="1865" t="n"/>
      <c r="B196" s="1866" t="n"/>
      <c r="C196" s="1867" t="inlineStr">
        <is>
          <t>● RECORD TEST WITH CALIBRATED CHART</t>
        </is>
      </c>
    </row>
    <row r="197" ht="15" customHeight="1" s="882">
      <c r="A197" s="1865">
        <f>COUNTIF($A$74:A196,"&gt;0")+1</f>
        <v/>
      </c>
      <c r="B197" s="1866" t="n"/>
      <c r="C197" s="1867" t="inlineStr">
        <is>
          <t>BLEED OFF STRING TO 700 PSI TO HAVE HIGH DIFFERENTIAL PRESSURE TEST (3300 PSI) ACROSS THE FLAPPER</t>
        </is>
      </c>
    </row>
    <row r="198" ht="15" customHeight="1" s="882">
      <c r="A198" s="1865" t="n"/>
      <c r="B198" s="1866" t="n"/>
      <c r="C198" s="1867" t="inlineStr">
        <is>
          <t>AND MONITOR FOR 15 MINS.</t>
        </is>
      </c>
    </row>
    <row r="199" ht="15" customHeight="1" s="882">
      <c r="A199" s="1865" t="n"/>
      <c r="B199" s="1866" t="n"/>
      <c r="C199" s="1867" t="inlineStr">
        <is>
          <t>● RECORD VOLUME - ACCEPTANCE CRITERIA ZERO LEAK RATE</t>
        </is>
      </c>
    </row>
    <row r="200" ht="15" customHeight="1" s="882">
      <c r="A200" s="1865" t="n"/>
      <c r="B200" s="1866" t="n"/>
      <c r="C200" s="1867" t="inlineStr">
        <is>
          <t>● RECORD TEST WITH CALIBRATED CHART</t>
        </is>
      </c>
    </row>
    <row r="201" ht="15" customHeight="1" s="882">
      <c r="A201" s="1865" t="n"/>
      <c r="B201" s="1866" t="n"/>
      <c r="C201" s="1867" t="inlineStr">
        <is>
          <t>● PRESSURE UP STRING TO 4000 PSI, PRESSURE UP CONTROL LINE TO 6000 PSI (TUBING PRESSURE + OPENING PRESSURE +</t>
        </is>
      </c>
    </row>
    <row r="202" ht="15" customHeight="1" s="882">
      <c r="A202" s="1865">
        <f>COUNTIF($A$74:A201,"&gt;0")+1</f>
        <v/>
      </c>
      <c r="B202" s="1866" t="n"/>
      <c r="C202" s="1867" t="inlineStr">
        <is>
          <t>PSI) TO OPEN SAFETY VALVE AND BLEED OFF TO 0 PSI.</t>
        </is>
      </c>
    </row>
    <row r="203" ht="15" customHeight="1" s="882">
      <c r="A203" s="1865" t="n"/>
      <c r="B203" s="1866" t="n"/>
      <c r="C203" s="1867" t="inlineStr">
        <is>
          <t>COMP_BB1525_OP30728CBB30</t>
        </is>
      </c>
    </row>
    <row r="204" ht="15" customHeight="1" s="882">
      <c r="A204" s="1865">
        <f>COUNTIF($A$74:A203,"&gt;0")+1</f>
        <v/>
      </c>
      <c r="B204" s="1866" t="n"/>
      <c r="C204" s="1867" t="inlineStr">
        <is>
          <t>RUPTURE BARRIER DISC (PRESSURE CYCLE THE BARRIER DISC AS PER PROCEDURE)</t>
        </is>
      </c>
    </row>
    <row r="205" ht="15" customHeight="1" s="882">
      <c r="A205" s="1865" t="n"/>
      <c r="B205" s="1866" t="n"/>
      <c r="C205" s="1867" t="inlineStr">
        <is>
          <t>● REFER TO SERVICE PROVIDER PROCEDURE FOR ANY DEVIATION FROM THE PROGRAM.</t>
        </is>
      </c>
    </row>
    <row r="206" ht="15" customHeight="1" s="882">
      <c r="A206" s="1865">
        <f>COUNTIF($A$74:A205,"&gt;0")+1</f>
        <v/>
      </c>
      <c r="B206" s="1866" t="n"/>
      <c r="C206" s="1867" t="inlineStr">
        <is>
          <t>REVIEW AND VERIFY REMAINING CYCLES BASED ON TAG RECORD.</t>
        </is>
      </c>
    </row>
    <row r="207" ht="15" customHeight="1" s="882">
      <c r="A207" s="1865">
        <f>COUNTIF($A$74:A206,"&gt;0")+1</f>
        <v/>
      </c>
      <c r="B207" s="1866" t="n"/>
      <c r="C207" s="1867" t="inlineStr">
        <is>
          <t>APPLY PRESSURE IN THE TUBING STRING 2500 PSI FOR 5 MINS. AND BLEED OFF AS QUICK AS POSSIBLE TO</t>
        </is>
      </c>
    </row>
    <row r="208" ht="15" customHeight="1" s="882">
      <c r="A208" s="1865">
        <f>COUNTIF($A$74:A207,"&gt;0")+1</f>
        <v/>
      </c>
      <c r="B208" s="1866" t="n"/>
      <c r="C208" s="1867" t="inlineStr">
        <is>
          <t>PSI KEEP 10 MINS. (COUNT IT AS 1 CYCLE). REPEAT THE CYCLES AND CONSUME ALL REMAINING CYCLES.</t>
        </is>
      </c>
    </row>
    <row r="209" ht="15" customHeight="1" s="882">
      <c r="A209" s="1865" t="n"/>
      <c r="B209" s="1866" t="n"/>
      <c r="C209" s="1867" t="inlineStr">
        <is>
          <t>NOTE: IN CASE NOT RUPTURE, CALL OFFICE TO DECIDE EXTRA CYCLES.</t>
        </is>
      </c>
    </row>
    <row r="210" ht="15" customHeight="1" s="882">
      <c r="A210" s="1865">
        <f>COUNTIF($A$74:A209,"&gt;0")+1</f>
        <v/>
      </c>
      <c r="B210" s="1866" t="n"/>
      <c r="C210" s="1867" t="inlineStr">
        <is>
          <t>PERFORM INJECTIVITY MAX 1000 PSI OR 3 BPM</t>
        </is>
      </c>
    </row>
    <row r="211" ht="15" customHeight="1" s="882">
      <c r="A211" s="1865" t="n"/>
      <c r="B211" s="1866" t="n"/>
      <c r="C211" s="1867" t="inlineStr">
        <is>
          <t>● OPEN ANNULUS VALVE (SOV) AND OBSERVE IF ANY RETURN ON SURFACE.</t>
        </is>
      </c>
    </row>
    <row r="212" ht="15" customHeight="1" s="882">
      <c r="A212" s="1865" t="n"/>
      <c r="B212" s="1866" t="n"/>
      <c r="C212" s="1867" t="inlineStr">
        <is>
          <t>● AFTER INJECTIVITY, RIG DOWN INJECTION MANIFOLD AND PREPARE FOR SURFACE LINE TO ANNLUS VALVE.</t>
        </is>
      </c>
    </row>
    <row r="213" ht="15" customHeight="1" s="882">
      <c r="A213" s="1865">
        <f>COUNTIF($A$74:A212,"&gt;0")+1</f>
        <v/>
      </c>
      <c r="B213" s="1866" t="n"/>
      <c r="C213" s="1867" t="inlineStr">
        <is>
          <t>PRESSURE TEST ANNULUS AS PER MASP PLUS 500 PSI AS PER ADNOC COP</t>
        </is>
      </c>
    </row>
    <row r="214" ht="15" customHeight="1" s="882">
      <c r="A214" s="1865">
        <f>COUNTIF($A$74:A213,"&gt;0")+1</f>
        <v/>
      </c>
      <c r="B214" s="1866" t="n"/>
      <c r="C214" s="1867" t="inlineStr">
        <is>
          <t>PERFORM ANNULUS TET TO 3800 PSI (MASP 3300 PSI + 500 PSI) FOR 30 MINUTES, CONTINUE BLEED</t>
        </is>
      </c>
    </row>
    <row r="215" ht="15" customHeight="1" s="882">
      <c r="A215" s="1865" t="n"/>
      <c r="B215" s="1866" t="n"/>
      <c r="C215" s="1867" t="inlineStr">
        <is>
          <t>OFF TO 0 PSI. RIG DOWN SURFACE LINE.</t>
        </is>
      </c>
    </row>
    <row r="216" ht="15" customHeight="1" s="882">
      <c r="A216" s="1865">
        <f>COUNTIF($A$74:A215,"&gt;0")+1</f>
        <v/>
      </c>
      <c r="B216" s="1866" t="n"/>
      <c r="C216" s="1867" t="inlineStr">
        <is>
          <t>AFTER ANNULUS TEST BLEED OFF TRSV CONTROL LINE TO 0 PSI.</t>
        </is>
      </c>
    </row>
    <row r="217" ht="15" customHeight="1" s="882">
      <c r="A217" s="1865">
        <f>COUNTIF($A$74:A216,"&gt;0")+1</f>
        <v/>
      </c>
      <c r="B217" s="1866" t="n"/>
      <c r="C217" s="1867" t="inlineStr">
        <is>
          <t>LAY DOWN LANDING JOINT, INSTALL NRV AND NIPPLE DOWN BOP</t>
        </is>
      </c>
    </row>
    <row r="218" ht="15" customHeight="1" s="882">
      <c r="A218" s="1865" t="n"/>
      <c r="B218" s="1866" t="n"/>
      <c r="C218" s="1867" t="inlineStr">
        <is>
          <t>● INSTALL NRV WITH NEW SEAL AS PER ADM-1.</t>
        </is>
      </c>
    </row>
    <row r="219" ht="15" customHeight="1" s="882">
      <c r="A219" s="1865">
        <f>COUNTIF($A$74:A218,"&gt;0")+1</f>
        <v/>
      </c>
      <c r="B219" s="1866" t="n"/>
      <c r="C219" s="1867" t="inlineStr">
        <is>
          <t>NIPPLE UP X-MAS TREE</t>
        </is>
      </c>
    </row>
    <row r="220" ht="15" customHeight="1" s="882">
      <c r="A220" s="1865" t="n"/>
      <c r="B220" s="1866" t="n"/>
      <c r="C220" s="1867" t="inlineStr">
        <is>
          <t>● FOLLOW WELLHEAD ENGINEER PROCEDURE FOR N/U X-MAST TREE.</t>
        </is>
      </c>
    </row>
    <row r="221" ht="15" customHeight="1" s="882">
      <c r="A221" s="1865" t="n"/>
      <c r="B221" s="1866" t="n"/>
      <c r="C221" s="1867" t="inlineStr">
        <is>
          <t>● WH ENGINEER NEEDS TO DEFINE IF X-MAS TREE BODY REQUIRED TO BE FOR FULL TESTING, THEN REMOVE</t>
        </is>
      </c>
    </row>
    <row r="222" ht="15" customHeight="1" s="882">
      <c r="A222" s="1865" t="n"/>
      <c r="B222" s="1866" t="n"/>
      <c r="C222" s="1867" t="inlineStr">
        <is>
          <t>NRV AND INSTALL TEST PLUG IN TUBING HANGER PROFILE TO TEST ALL X-MAS TREE COMPONENTS TO ITS</t>
        </is>
      </c>
    </row>
    <row r="223" ht="15" customHeight="1" s="882">
      <c r="A223" s="1865" t="n"/>
      <c r="B223" s="1866" t="n"/>
      <c r="C223" s="1867" t="inlineStr">
        <is>
          <t>WORKING PRESSURE.</t>
        </is>
      </c>
    </row>
    <row r="224" ht="15" customHeight="1" s="882">
      <c r="A224" s="1865" t="n"/>
      <c r="B224" s="1866" t="n"/>
      <c r="C224" s="1867" t="inlineStr">
        <is>
          <t>● PROCEED FOR WHO INSTALLATION AND CONNECT CABLE FOR FINAL READING.</t>
        </is>
      </c>
    </row>
    <row r="225" ht="15" customHeight="1" s="882">
      <c r="A225" s="1865" t="n"/>
      <c r="B225" s="1866" t="n"/>
      <c r="C225" s="1867" t="inlineStr">
        <is>
          <t>● RUPTURE DISK FOR CHEMICAL INJECTION BY INCREASING PRESSURE FROM 1500 PSI TO BREAKING PRESSURE.</t>
        </is>
      </c>
    </row>
    <row r="226" ht="15" customHeight="1" s="882">
      <c r="A226" s="1865" t="n"/>
      <c r="B226" s="1866" t="n"/>
      <c r="C226" s="1867" t="inlineStr">
        <is>
          <t>● TEST CONTROL LINE AGAINT SAFETYT VALVE 5000 PSI FOR 15 MINS. AND RECORD FINAL PRESSURE TEST</t>
        </is>
      </c>
    </row>
    <row r="227" ht="15" customHeight="1" s="882">
      <c r="A227" s="1869" t="n"/>
      <c r="B227" s="1870" t="n"/>
      <c r="C227" s="1871" t="inlineStr">
        <is>
          <t>CONTROL LINE.</t>
        </is>
      </c>
    </row>
    <row r="228">
      <c r="A228" s="1497" t="n"/>
      <c r="B228" s="1494" t="n"/>
      <c r="C228" s="1494" t="n"/>
      <c r="D228" s="1494" t="n"/>
      <c r="E228" s="1494" t="n"/>
      <c r="F228" s="1494" t="n"/>
      <c r="G228" s="1494" t="n"/>
      <c r="H228" s="1494" t="n"/>
      <c r="I228" s="1494" t="n"/>
      <c r="J228" s="1494" t="n"/>
      <c r="K228" s="1494" t="n"/>
      <c r="L228" s="1494" t="n"/>
    </row>
    <row r="229">
      <c r="A229" s="1498" t="n"/>
      <c r="B229" s="1499" t="n"/>
      <c r="C229" s="1500" t="n"/>
      <c r="J229" s="1499" t="n"/>
      <c r="K229" s="1499" t="n"/>
    </row>
    <row r="230">
      <c r="A230" s="1498" t="n"/>
      <c r="B230" s="1499" t="n"/>
      <c r="C230" s="1499" t="n"/>
      <c r="D230" s="1499" t="n"/>
      <c r="E230" s="1499" t="n"/>
      <c r="F230" s="1499" t="n"/>
      <c r="G230" s="1499" t="n"/>
      <c r="H230" s="1499" t="n"/>
      <c r="I230" s="1499" t="n"/>
      <c r="J230" s="1499" t="n"/>
      <c r="K230" s="1499" t="n"/>
    </row>
    <row r="231">
      <c r="A231" s="1498" t="n"/>
      <c r="B231" s="1499" t="n"/>
      <c r="C231" s="1499" t="n"/>
      <c r="D231" s="1499" t="n"/>
      <c r="E231" s="1499" t="n"/>
      <c r="F231" s="1499" t="n"/>
      <c r="G231" s="1499" t="n"/>
      <c r="H231" s="1499" t="n"/>
      <c r="I231" s="1499" t="n"/>
      <c r="J231" s="1499" t="n"/>
      <c r="K231" s="1499" t="n"/>
    </row>
    <row r="232"/>
    <row r="233"/>
    <row r="234"/>
    <row r="235"/>
    <row r="236">
      <c r="A236" s="1498" t="n"/>
      <c r="B236" s="1499" t="n"/>
      <c r="C236" s="1499" t="n"/>
      <c r="D236" s="1499" t="n"/>
      <c r="E236" s="1499" t="n"/>
      <c r="F236" s="1499" t="n"/>
      <c r="G236" s="1499" t="n"/>
      <c r="H236" s="1499" t="n"/>
      <c r="I236" s="1499" t="n"/>
      <c r="J236" s="1499" t="n"/>
      <c r="K236" s="1499" t="n"/>
    </row>
  </sheetData>
  <mergeCells count="169">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F74:K74"/>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91"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6.4"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16.4"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6.4"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16.4"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16.4"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6.4"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16.4"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16.4"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76.09999999999999"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76.09999999999999"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16.4"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6.4"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76.09999999999999"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35.8"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2026-07-08T10:31:51Z</dcterms:modified>
  <cp:revision>2</cp:revision>
  <cp:lastPrinted>2026-06-18T07:20:43Z</cp:lastPrinted>
</cp:coreProperties>
</file>