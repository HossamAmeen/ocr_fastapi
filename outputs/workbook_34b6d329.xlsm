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drawings/drawing9.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TALLY." sheetId="10" state="visible" r:id="rId10"/>
    <sheet name="JOB ORDER " sheetId="11" state="visible" r:id="rId11"/>
    <sheet name="Tally" sheetId="12" state="visible" r:id="rId12"/>
    <sheet name="Drawing" sheetId="13" state="visible" r:id="rId13"/>
    <sheet name="DATA" sheetId="14" state="visible" r:id="rId14"/>
    <sheet name="DATA 1" sheetId="15" state="visible" r:id="rId15"/>
    <sheet name="DHWS" sheetId="16" state="visible"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s>
  <definedNames>
    <definedName name="a" hidden="0" function="0" vbProcedure="0">#ref!</definedName>
    <definedName name="aa" hidden="0" function="0" vbProcedure="0">!#ref!</definedName>
    <definedName name="aa.macro111" hidden="0" function="0" vbProcedure="0">[51]!Prev.Macro111</definedName>
    <definedName name="AAA" hidden="0" function="0" vbProcedure="0">#ref!</definedName>
    <definedName name="aaaa" hidden="0" function="0" vbProcedure="0">[52]!Macro59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[58]!ADDSTAB</definedName>
    <definedName name="AddWeight" hidden="0" function="0" vbProcedure="0">#ref!</definedName>
    <definedName name="ade" hidden="0" function="0" vbProcedure="0">#ref!</definedName>
    <definedName name="adf" hidden="0" function="0" vbProcedure="0">[59]!Macro60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[63]auf_screen!#ref!</definedName>
    <definedName name="Altered_by" hidden="0" function="0" vbProcedure="0">[63]auf_screen!#ref!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'[7]#ref'!#ref!</definedName>
    <definedName name="Ambient_temp_10" hidden="0" function="0" vbProcedure="0">'[7]#ref'!#ref!</definedName>
    <definedName name="Ambient_temp_11" hidden="0" function="0" vbProcedure="0">'[7]#ref'!#ref!</definedName>
    <definedName name="Ambient_temp_2" hidden="0" function="0" vbProcedure="0">'[7]#ref'!#ref!</definedName>
    <definedName name="Ambient_temp_3" hidden="0" function="0" vbProcedure="0">'[7]#ref'!#ref!</definedName>
    <definedName name="Ambient_temp_4" hidden="0" function="0" vbProcedure="0">'[7]#ref'!#ref!</definedName>
    <definedName name="Ambient_temp_5" hidden="0" function="0" vbProcedure="0">'[7]#ref'!#ref!</definedName>
    <definedName name="Ambient_temp_6" hidden="0" function="0" vbProcedure="0">'[7]#ref'!#ref!</definedName>
    <definedName name="Ambient_temp_7" hidden="0" function="0" vbProcedure="0">'[7]#ref'!#ref!</definedName>
    <definedName name="Ambient_temp_8" hidden="0" function="0" vbProcedure="0">'[7]#ref'!#ref!</definedName>
    <definedName name="Ambient_temp_9" hidden="0" function="0" vbProcedure="0">'[7]#ref'!#ref!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[20]sheet1!#ref!</definedName>
    <definedName name="Anchor" hidden="0" function="0" vbProcedure="0">[6]Sheet1!$D$1:$D$7</definedName>
    <definedName name="Anchor_Cell" hidden="0" function="0" vbProcedure="0">[63]auf_screen!#ref!</definedName>
    <definedName name="Anchor_Type" hidden="0" function="0" vbProcedure="0">'[7]Drop-Down Items'!$C$4:$C$20</definedName>
    <definedName name="ANDERGAUGE" hidden="0" function="0" vbProcedure="0">[58]!ANDERGAUGE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[74]!Calculate_Pipe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[75]!JointNumber</definedName>
    <definedName name="assadasdasdas" hidden="0" function="0" vbProcedure="0">#ref!</definedName>
    <definedName name="Assembly1" hidden="0" function="0" vbProcedure="0">[75]!Calculate_Pipe</definedName>
    <definedName name="Assy" hidden="0" function="0" vbProcedure="0">#ref!</definedName>
    <definedName name="assy.3" hidden="0" function="0" vbProcedure="0">[76]!Calculate_Pipe</definedName>
    <definedName name="assy.4" hidden="0" function="0" vbProcedure="0">#N/A</definedName>
    <definedName name="ASSY.6" hidden="0" function="0" vbProcedure="0">[75]!Calculate_Pipe</definedName>
    <definedName name="ASSY2312" hidden="0" function="0" vbProcedure="0">[18]!Macro1</definedName>
    <definedName name="ASSY7" hidden="0" function="0" vbProcedure="0">[43]!Calculate_Pipe</definedName>
    <definedName name="ASSYBY" hidden="0" function="0" vbProcedure="0">#ref!</definedName>
    <definedName name="ASSY_098" hidden="0" function="0" vbProcedure="0">[75]!JointNumber</definedName>
    <definedName name="ASSY_122" hidden="0" function="0" vbProcedure="0">[18]!Macro1</definedName>
    <definedName name="ASSY_123" hidden="0" function="0" vbProcedure="0">[75]!JointNumber</definedName>
    <definedName name="ASSY_2111" hidden="0" function="0" vbProcedure="0">[18]!Macro1</definedName>
    <definedName name="ASSY_231" hidden="0" function="0" vbProcedure="0">[18]!Macro1</definedName>
    <definedName name="ASSY_342" hidden="0" function="0" vbProcedure="0">[18]!Macro1</definedName>
    <definedName name="ASSY_36" hidden="0" function="0" vbProcedure="0">[18]!Macro1</definedName>
    <definedName name="ASSY_4" hidden="0" function="0" vbProcedure="0">[18]!Macro1</definedName>
    <definedName name="ASSY_432" hidden="0" function="0" vbProcedure="0">[18]!Macro1</definedName>
    <definedName name="assy_5" hidden="0" function="0" vbProcedure="0">[75]!JointNumber</definedName>
    <definedName name="assy_543" hidden="0" function="0" vbProcedure="0">[75]!JointNumber</definedName>
    <definedName name="Assy_765" hidden="0" function="0" vbProcedure="0">[75]!Calculate_Pipe</definedName>
    <definedName name="Assy_Batch" hidden="0" function="0" vbProcedure="0">#ref!</definedName>
    <definedName name="ASSy_blast" hidden="0" function="0" vbProcedure="0">[75]!Calculate_Pipe</definedName>
    <definedName name="ASSY_W2" hidden="0" function="0" vbProcedure="0">[75]!Calculate_Pipe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[77]!AutoCAD</definedName>
    <definedName name="AutoCAD_10" hidden="0" function="0" vbProcedure="0">[77]!AutoCAD</definedName>
    <definedName name="AutoCAD_11" hidden="0" function="0" vbProcedure="0">[77]!AutoCAD</definedName>
    <definedName name="AutoCAD_2" hidden="0" function="0" vbProcedure="0">[77]!AutoCAD</definedName>
    <definedName name="AutoCAD_3" hidden="0" function="0" vbProcedure="0">[77]!AutoCAD</definedName>
    <definedName name="AutoCAD_4" hidden="0" function="0" vbProcedure="0">[77]!AutoCAD</definedName>
    <definedName name="AutoCAD_5" hidden="0" function="0" vbProcedure="0">[77]!AutoCAD</definedName>
    <definedName name="AutoCAD_6" hidden="0" function="0" vbProcedure="0">[77]!AutoCAD</definedName>
    <definedName name="AutoCAD_7" hidden="0" function="0" vbProcedure="0">[77]!AutoCAD</definedName>
    <definedName name="AutoCAD_8" hidden="0" function="0" vbProcedure="0">[77]!AutoCAD</definedName>
    <definedName name="AutoCAD_9" hidden="0" function="0" vbProcedure="0">[77]!AutoCAD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[20]sheet1!#ref!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[82]!Macro61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'[87]run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'[91]k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[93]tbgtally!#ref!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'[97]well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'[61]7-30-04'!#ref!</definedName>
    <definedName name="B_VALUE" hidden="0" function="0" vbProcedure="0">'[61]7-30-04'!#ref!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[75]!Calculate_Pipe</definedName>
    <definedName name="Calculate_Pipe" hidden="0" function="0" vbProcedure="0">#N/A</definedName>
    <definedName name="Cancel" hidden="0" function="0" vbProcedure="0">[100]!Cancel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'[7]#ref'!#ref!</definedName>
    <definedName name="CAS_BLNK_VOL_10" hidden="0" function="0" vbProcedure="0">'[7]#ref'!#ref!</definedName>
    <definedName name="CAS_BLNK_VOL_11" hidden="0" function="0" vbProcedure="0">'[7]#ref'!#ref!</definedName>
    <definedName name="CAS_BLNK_VOL_2" hidden="0" function="0" vbProcedure="0">'[7]#ref'!#ref!</definedName>
    <definedName name="CAS_BLNK_VOL_3" hidden="0" function="0" vbProcedure="0">'[7]#ref'!#ref!</definedName>
    <definedName name="CAS_BLNK_VOL_4" hidden="0" function="0" vbProcedure="0">'[7]#ref'!#ref!</definedName>
    <definedName name="CAS_BLNK_VOL_5" hidden="0" function="0" vbProcedure="0">'[7]#ref'!#ref!</definedName>
    <definedName name="CAS_BLNK_VOL_6" hidden="0" function="0" vbProcedure="0">'[7]#ref'!#ref!</definedName>
    <definedName name="CAS_BLNK_VOL_7" hidden="0" function="0" vbProcedure="0">'[7]#ref'!#ref!</definedName>
    <definedName name="CAS_BLNK_VOL_8" hidden="0" function="0" vbProcedure="0">'[7]#ref'!#ref!</definedName>
    <definedName name="CAS_BLNK_VOL_9" hidden="0" function="0" vbProcedure="0">'[7]#ref'!#ref!</definedName>
    <definedName name="CAS_EXT_VOL" hidden="0" function="0" vbProcedure="0">#ref!</definedName>
    <definedName name="CAS_EXT_VOL_1" hidden="0" function="0" vbProcedure="0">'[7]#ref'!#ref!</definedName>
    <definedName name="CAS_EXT_VOL_10" hidden="0" function="0" vbProcedure="0">'[7]#ref'!#ref!</definedName>
    <definedName name="CAS_EXT_VOL_11" hidden="0" function="0" vbProcedure="0">'[7]#ref'!#ref!</definedName>
    <definedName name="CAS_EXT_VOL_2" hidden="0" function="0" vbProcedure="0">'[7]#ref'!#ref!</definedName>
    <definedName name="CAS_EXT_VOL_3" hidden="0" function="0" vbProcedure="0">'[7]#ref'!#ref!</definedName>
    <definedName name="CAS_EXT_VOL_4" hidden="0" function="0" vbProcedure="0">'[7]#ref'!#ref!</definedName>
    <definedName name="CAS_EXT_VOL_5" hidden="0" function="0" vbProcedure="0">'[7]#ref'!#ref!</definedName>
    <definedName name="CAS_EXT_VOL_6" hidden="0" function="0" vbProcedure="0">'[7]#ref'!#ref!</definedName>
    <definedName name="CAS_EXT_VOL_7" hidden="0" function="0" vbProcedure="0">'[7]#ref'!#ref!</definedName>
    <definedName name="CAS_EXT_VOL_8" hidden="0" function="0" vbProcedure="0">'[7]#ref'!#ref!</definedName>
    <definedName name="CAS_EXT_VOL_9" hidden="0" function="0" vbProcedure="0">'[7]#ref'!#ref!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'[7]#ref'!#ref!</definedName>
    <definedName name="CAS_SCR_VOL_10" hidden="0" function="0" vbProcedure="0">'[7]#ref'!#ref!</definedName>
    <definedName name="CAS_SCR_VOL_11" hidden="0" function="0" vbProcedure="0">'[7]#ref'!#ref!</definedName>
    <definedName name="CAS_SCR_VOL_2" hidden="0" function="0" vbProcedure="0">'[7]#ref'!#ref!</definedName>
    <definedName name="CAS_SCR_VOL_3" hidden="0" function="0" vbProcedure="0">'[7]#ref'!#ref!</definedName>
    <definedName name="CAS_SCR_VOL_4" hidden="0" function="0" vbProcedure="0">'[7]#ref'!#ref!</definedName>
    <definedName name="CAS_SCR_VOL_5" hidden="0" function="0" vbProcedure="0">'[7]#ref'!#ref!</definedName>
    <definedName name="CAS_SCR_VOL_6" hidden="0" function="0" vbProcedure="0">'[7]#ref'!#ref!</definedName>
    <definedName name="CAS_SCR_VOL_7" hidden="0" function="0" vbProcedure="0">'[7]#ref'!#ref!</definedName>
    <definedName name="CAS_SCR_VOL_8" hidden="0" function="0" vbProcedure="0">'[7]#ref'!#ref!</definedName>
    <definedName name="CAS_SCR_VOL_9" hidden="0" function="0" vbProcedure="0">'[7]#ref'!#ref!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[82]!Macro59</definedName>
    <definedName name="cccccccccccc" hidden="1" function="0" vbProcedure="0">#ref!</definedName>
    <definedName name="cdr" hidden="0" function="0" vbProcedure="0">'[97]well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[118]!Calculate_Pipe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[58]!CLAMPON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[120]!CLEARCONTENTS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[120]!Clrmess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[29]!coections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[63]auf_screen!#ref!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[29]!conections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[63]auf_screen!#ref!,[63]auf_screen!#ref!,[63]auf_screen!#ref!,[63]auf_screen!#ref!,[63]auf_screen!#ref!,[63]auf_screen!#ref!,[63]auf_screen!#ref!,[63]auf_screen!#ref!,[63]auf_screen!#ref!</definedName>
    <definedName name="Consolisdation" hidden="0" function="0" vbProcedure="0">[63]auf_screen!#ref!,[63]auf_screen!#ref!,[63]auf_screen!#ref!,[63]auf_screen!#ref!,[63]auf_screen!#ref!,[63]auf_screen!#ref!,[63]auf_screen!#ref!,[63]auf_screen!#ref!,[63]auf_screen!#ref!,[63]auf_screen!#ref!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[58]!COPYDESGN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[63]auf_screen!#ref!</definedName>
    <definedName name="CreateDate" hidden="0" function="0" vbProcedure="0">#ref!</definedName>
    <definedName name="CreatedBy" hidden="0" function="0" vbProcedure="0">#ref!</definedName>
    <definedName name="Created_By" hidden="0" function="0" vbProcedure="0">[63]auf_screen!#ref!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[145]tonmiles!#ref!</definedName>
    <definedName name="DAADA" hidden="0" function="0" vbProcedure="0">[118]!Calculate_Pipe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'[32]calculo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[63]auf_screen!#ref!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'[150]blank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[151]!JointNumber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'[154]run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'[61]7-30-04'!#ref!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[151]!JointNumber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'[2]run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[18]!Macro1</definedName>
    <definedName name="DRILLER2" hidden="0" function="0" vbProcedure="0">[162]!Calculate_Pipe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'[7]#ref'!#ref!</definedName>
    <definedName name="DTS_1" hidden="0" function="0" vbProcedure="0">'[7]#ref'!#ref!</definedName>
    <definedName name="DTS_10" hidden="0" function="0" vbProcedure="0">'[7]#ref'!#ref!</definedName>
    <definedName name="DTS_11" hidden="0" function="0" vbProcedure="0">'[7]#ref'!#ref!</definedName>
    <definedName name="DTS_2" hidden="0" function="0" vbProcedure="0">'[7]#ref'!#ref!</definedName>
    <definedName name="DTS_3" hidden="0" function="0" vbProcedure="0">'[7]#ref'!#ref!</definedName>
    <definedName name="DTS_4" hidden="0" function="0" vbProcedure="0">'[7]#ref'!#ref!</definedName>
    <definedName name="DTS_5" hidden="0" function="0" vbProcedure="0">'[7]#ref'!#ref!</definedName>
    <definedName name="DTS_6" hidden="0" function="0" vbProcedure="0">'[7]#ref'!#ref!</definedName>
    <definedName name="DTS_7" hidden="0" function="0" vbProcedure="0">'[7]#ref'!#ref!</definedName>
    <definedName name="DTS_8" hidden="0" function="0" vbProcedure="0">'[7]#ref'!#ref!</definedName>
    <definedName name="DTS_9" hidden="0" function="0" vbProcedure="0">'[7]#ref'!#ref!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[93]tbgtally!#ref!</definedName>
    <definedName name="ECTPROJ" hidden="0" function="0" vbProcedure="0">#ref!</definedName>
    <definedName name="ED" hidden="0" function="0" vbProcedure="0">[75]!Calculate_Pipe</definedName>
    <definedName name="edd" hidden="0" function="0" vbProcedure="0">[167]!Calculate_Pipe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'[30]calculo de gas total'!#ref!</definedName>
    <definedName name="emplnum" hidden="0" function="0" vbProcedure="0">'[40]Job Summ.'!$A$6</definedName>
    <definedName name="Empty" hidden="0" function="0" vbProcedure="0">[63]auf_screen!#ref!</definedName>
    <definedName name="EmptyRow" hidden="0" function="0" vbProcedure="0">#ref!</definedName>
    <definedName name="END" hidden="0" function="0" vbProcedure="0">'[61]7-30-04'!#ref!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[128]!Table6[contracting/sourcing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[19]scope!#ref!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[63]auf_screen!#ref!</definedName>
    <definedName name="ES_Jobs" hidden="0" function="0" vbProcedure="0">[63]auf_screen!#ref!,[63]auf_screen!#ref!,[63]auf_screen!#ref!,[63]auf_screen!#ref!,[63]auf_screen!#ref!,[63]auf_screen!#ref!,[63]auf_screen!#ref!,[63]auf_screen!#ref!,[63]auf_screen!#ref!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[151]!JointNumber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'[7]#ref'!#ref!</definedName>
    <definedName name="EXT_LENGTH_10" hidden="0" function="0" vbProcedure="0">'[7]#ref'!#ref!</definedName>
    <definedName name="EXT_LENGTH_11" hidden="0" function="0" vbProcedure="0">'[7]#ref'!#ref!</definedName>
    <definedName name="EXT_LENGTH_2" hidden="0" function="0" vbProcedure="0">'[7]#ref'!#ref!</definedName>
    <definedName name="EXT_LENGTH_3" hidden="0" function="0" vbProcedure="0">'[7]#ref'!#ref!</definedName>
    <definedName name="EXT_LENGTH_4" hidden="0" function="0" vbProcedure="0">'[7]#ref'!#ref!</definedName>
    <definedName name="EXT_LENGTH_5" hidden="0" function="0" vbProcedure="0">'[7]#ref'!#ref!</definedName>
    <definedName name="EXT_LENGTH_6" hidden="0" function="0" vbProcedure="0">'[7]#ref'!#ref!</definedName>
    <definedName name="EXT_LENGTH_7" hidden="0" function="0" vbProcedure="0">'[7]#ref'!#ref!</definedName>
    <definedName name="EXT_LENGTH_8" hidden="0" function="0" vbProcedure="0">'[7]#ref'!#ref!</definedName>
    <definedName name="EXT_LENGTH_9" hidden="0" function="0" vbProcedure="0">'[7]#ref'!#ref!</definedName>
    <definedName name="F" hidden="0" function="0" vbProcedure="0">#ref!</definedName>
    <definedName name="factor" hidden="0" function="0" vbProcedure="0">#ref!</definedName>
    <definedName name="fasc" hidden="0" function="0" vbProcedure="0">#ref!</definedName>
    <definedName name="Fault_Tolerance" hidden="0" function="0" vbProcedure="0">'[176]qte bom'!#ref!</definedName>
    <definedName name="FAX" hidden="0" function="0" vbProcedure="0">#ref!</definedName>
    <definedName name="FB" hidden="0" function="0" vbProcedure="0">[177]!Calculate_Pipe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=#ref!,OFFSET([178]!ValidationList2[[#all],[main categories]],1,,COUNTA([178]!ValidationList2[main categories])),OFFSET([178]!ValidationList2[#data],0,MATCH(#ref!, [178]!ValidationList2[#headers],0)-1,COUNTA(OFFSET([178]!ValidationList2[#data],,MATCH(#ref!, [178]!ValidationList2[#headers],0)-1,,1)),1)))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[181]!Prev.Macro113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[63]auf_screen!#ref!</definedName>
    <definedName name="filtered" hidden="0" function="0" vbProcedure="0">#ref!</definedName>
    <definedName name="final" hidden="0" function="0" vbProcedure="0">[151]!JointNumber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'[61]7-30-04'!#ref!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'[61]7-30-04'!#ref!</definedName>
    <definedName name="FT_HLDG" hidden="0" function="0" vbProcedure="0">'[61]7-30-04'!#ref!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[93]tbgtally!#ref!</definedName>
    <definedName name="g" hidden="0" function="0" vbProcedure="0">#ref!</definedName>
    <definedName name="Gamal_Youssef_Salem" hidden="0" function="0" vbProcedure="0">'[186]distribution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'[97]well test sheet'!#ref!</definedName>
    <definedName name="GasTypes" hidden="0" function="0" vbProcedure="0">#ref!</definedName>
    <definedName name="gas_cumm" hidden="0" function="0" vbProcedure="0">'[97]well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'[188]1pcbud'!#ref!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[151]!JointNumber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'[188]1pcbud'!#ref!</definedName>
    <definedName name="GL" hidden="0" function="0" vbProcedure="0">#ref!</definedName>
    <definedName name="GLM" hidden="0" function="0" vbProcedure="0">[75]!Calculate_Pipe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'[97]well test sheet'!#ref!</definedName>
    <definedName name="Goto_End_Ranges" hidden="0" function="0" vbProcedure="0">[63]auf_screen!#ref!</definedName>
    <definedName name="Goto_Home_Ranges" hidden="0" function="0" vbProcedure="0">[63]auf_screen!#ref!</definedName>
    <definedName name="Goto_Ranges" hidden="0" function="0" vbProcedure="0">[63]auf_screen!#ref!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'[7]#ref'!#ref!</definedName>
    <definedName name="gptotalslurryvol_10" hidden="0" function="0" vbProcedure="0">'[7]#ref'!#ref!</definedName>
    <definedName name="gptotalslurryvol_11" hidden="0" function="0" vbProcedure="0">'[7]#ref'!#ref!</definedName>
    <definedName name="gptotalslurryvol_2" hidden="0" function="0" vbProcedure="0">'[7]#ref'!#ref!</definedName>
    <definedName name="gptotalslurryvol_3" hidden="0" function="0" vbProcedure="0">'[7]#ref'!#ref!</definedName>
    <definedName name="gptotalslurryvol_4" hidden="0" function="0" vbProcedure="0">'[7]#ref'!#ref!</definedName>
    <definedName name="gptotalslurryvol_5" hidden="0" function="0" vbProcedure="0">'[7]#ref'!#ref!</definedName>
    <definedName name="gptotalslurryvol_6" hidden="0" function="0" vbProcedure="0">'[7]#ref'!#ref!</definedName>
    <definedName name="gptotalslurryvol_7" hidden="0" function="0" vbProcedure="0">'[7]#ref'!#ref!</definedName>
    <definedName name="gptotalslurryvol_8" hidden="0" function="0" vbProcedure="0">'[7]#ref'!#ref!</definedName>
    <definedName name="gptotalslurryvol_9" hidden="0" function="0" vbProcedure="0">'[7]#ref'!#ref!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[147]summary!#ref!</definedName>
    <definedName name="Hassan" hidden="0" function="0" vbProcedure="0">[192]!Macro1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[145]tonmiles!#ref!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'[97]well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'[61]7-30-04'!#ref!</definedName>
    <definedName name="HLDG_QTY" hidden="0" function="0" vbProcedure="0">'[61]7-30-04'!#ref!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'[97]well test sheet'!#ref!</definedName>
    <definedName name="HRS" hidden="0" function="0" vbProcedure="0">'[196]amberjack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[52]!Prev.Macro106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OFFSET([198]!Inclination,2,0,COUNT(#ref!),1)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[63]auf_screen!#ref!</definedName>
    <definedName name="Information_Range" hidden="0" function="0" vbProcedure="0">[63]auf_screen!#ref!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'[5]cumulative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[77]!Insert_New_Page</definedName>
    <definedName name="Insert_New_Page_10" hidden="0" function="0" vbProcedure="0">[77]!Insert_New_Page</definedName>
    <definedName name="Insert_New_Page_11" hidden="0" function="0" vbProcedure="0">[77]!Insert_New_Page</definedName>
    <definedName name="Insert_New_Page_2" hidden="0" function="0" vbProcedure="0">[77]!Insert_New_Page</definedName>
    <definedName name="Insert_New_Page_3" hidden="0" function="0" vbProcedure="0">[77]!Insert_New_Page</definedName>
    <definedName name="Insert_New_Page_4" hidden="0" function="0" vbProcedure="0">[77]!Insert_New_Page</definedName>
    <definedName name="Insert_New_Page_5" hidden="0" function="0" vbProcedure="0">[77]!Insert_New_Page</definedName>
    <definedName name="Insert_New_Page_6" hidden="0" function="0" vbProcedure="0">[77]!Insert_New_Page</definedName>
    <definedName name="Insert_New_Page_7" hidden="0" function="0" vbProcedure="0">[77]!Insert_New_Page</definedName>
    <definedName name="Insert_New_Page_8" hidden="0" function="0" vbProcedure="0">[77]!Insert_New_Page</definedName>
    <definedName name="Insert_New_Page_9" hidden="0" function="0" vbProcedure="0">[77]!Insert_New_Page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[63]auf_screen!#ref!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[75]!JointNumber</definedName>
    <definedName name="JOINTNYMBER4" hidden="0" function="0" vbProcedure="0">[75]!JointNumber</definedName>
    <definedName name="joints" hidden="0" function="0" vbProcedure="0">#ref!</definedName>
    <definedName name="joints1" hidden="0" function="0" vbProcedure="0">#ref!</definedName>
    <definedName name="JOINT_NO." hidden="0" function="0" vbProcedure="0">[93]tbgtally!#ref!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[204]!JointNumber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[77]!Macro1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[205]events!#ref!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'[61]7-30-04'!#ref!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[210]!Calculate_Pipe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[214]!Calculate_Pipe</definedName>
    <definedName name="LSD" hidden="0" function="0" vbProcedure="0">#ref!</definedName>
    <definedName name="LStringW" hidden="0" function="0" vbProcedure="0">#ref!</definedName>
    <definedName name="LSV" hidden="0" function="0" vbProcedure="0">#ref!</definedName>
    <definedName name="LT" hidden="0" function="0" vbProcedure="0">'[61]7-30-04'!#ref!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[145]tonmiles!#ref!</definedName>
    <definedName name="m" hidden="0" function="0" vbProcedure="0">#ref!</definedName>
    <definedName name="MA" hidden="0" function="0" vbProcedure="0">[145]tonmiles!#ref!</definedName>
    <definedName name="Macro1" hidden="0" function="0" vbProcedure="0">#ref!</definedName>
    <definedName name="Macro112" hidden="0" function="0" vbProcedure="0">[59]!Macro59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[18]!Macro1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[29]!Macro46</definedName>
    <definedName name="Macro59" hidden="0" function="0" vbProcedure="0">[29]!Macro59</definedName>
    <definedName name="Macro60" hidden="0" function="0" vbProcedure="0">[29]!Macro60</definedName>
    <definedName name="Macro61" hidden="0" function="0" vbProcedure="0">[29]!Macro61</definedName>
    <definedName name="mag" hidden="0" function="0" vbProcedure="0">'[188]1pcbud'!#ref!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'[188]1pcbud'!#ref!</definedName>
    <definedName name="MARANALSCP" hidden="0" function="0" vbProcedure="0">#ref!</definedName>
    <definedName name="MARANALSSWE" hidden="0" function="0" vbProcedure="0">#ref!</definedName>
    <definedName name="MARCH_3_1995." hidden="0" function="0" vbProcedure="0">[93]tbgtally!#ref!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[145]tonmiles!#ref!</definedName>
    <definedName name="MBK" hidden="0" function="0" vbProcedure="0">[145]tonmiles!#ref!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OFFSET([198]!MDForInclination,2,0,COUNT(#ref!),1)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'[219]morning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[19]milestone!#ref!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[58]!MWD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[151]!JointNumber</definedName>
    <definedName name="myData" hidden="0" function="0" vbProcedure="0">#ref!</definedName>
    <definedName name="m_choke" hidden="0" function="0" vbProcedure="0">'[97]well test sheet'!#ref!</definedName>
    <definedName name="M_Dual" hidden="0" function="0" vbProcedure="0">#ref!</definedName>
    <definedName name="M_TONS" hidden="0" function="0" vbProcedure="0">'[61]7-30-04'!#ref!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'[7]#ref'!#ref!</definedName>
    <definedName name="NH4CL_10" hidden="0" function="0" vbProcedure="0">'[7]#ref'!#ref!</definedName>
    <definedName name="NH4CL_11" hidden="0" function="0" vbProcedure="0">'[7]#ref'!#ref!</definedName>
    <definedName name="NH4CL_2" hidden="0" function="0" vbProcedure="0">'[7]#ref'!#ref!</definedName>
    <definedName name="NH4CL_3" hidden="0" function="0" vbProcedure="0">'[7]#ref'!#ref!</definedName>
    <definedName name="NH4CL_4" hidden="0" function="0" vbProcedure="0">'[7]#ref'!#ref!</definedName>
    <definedName name="NH4CL_5" hidden="0" function="0" vbProcedure="0">'[7]#ref'!#ref!</definedName>
    <definedName name="NH4CL_6" hidden="0" function="0" vbProcedure="0">'[7]#ref'!#ref!</definedName>
    <definedName name="NH4CL_7" hidden="0" function="0" vbProcedure="0">'[7]#ref'!#ref!</definedName>
    <definedName name="NH4CL_8" hidden="0" function="0" vbProcedure="0">'[7]#ref'!#ref!</definedName>
    <definedName name="NH4CL_9" hidden="0" function="0" vbProcedure="0">'[7]#ref'!#ref!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[18]!Macro1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[227]page1!#ref!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'[61]7-30-04'!#ref!</definedName>
    <definedName name="office" hidden="0" function="0" vbProcedure="0">'[34]Call Sheet'!$AH$5</definedName>
    <definedName name="Offsets" hidden="0" function="0" vbProcedure="0">[63]auf_screen!#ref!</definedName>
    <definedName name="Offshore_Block" hidden="0" function="0" vbProcedure="0">#ref!</definedName>
    <definedName name="OFR_AMOUNT" hidden="0" function="0" vbProcedure="0">'[61]7-30-04'!#ref!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'[97]well test sheet'!#ref!</definedName>
    <definedName name="oilT" hidden="0" function="0" vbProcedure="0">[233]oilt!#ref!</definedName>
    <definedName name="oil_cumm" hidden="0" function="0" vbProcedure="0">'[97]well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'[240]lex input 1st pass'!#ref!</definedName>
    <definedName name="Orders_PYDollars" hidden="0" function="0" vbProcedure="0">'[240]lex input 1st pass'!#ref!</definedName>
    <definedName name="Orders_USD_2001" hidden="0" function="0" vbProcedure="0">'[240]lex input 1st pass'!#ref!</definedName>
    <definedName name="Orientation" hidden="0" function="0" vbProcedure="0">[63]auf_screen!#ref!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[63]auf_screen!#ref!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'[5]cumulative temp diff'!#ref!</definedName>
    <definedName name="PAGE14" hidden="0" function="0" vbProcedure="0">'[5]cumulative temp diff'!#ref!</definedName>
    <definedName name="PAGE15" hidden="0" function="0" vbProcedure="0">'[5]cumulative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[52]!Prev.Macro102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[63]auf_screen!#ref!</definedName>
    <definedName name="PgUp_Ranges" hidden="0" function="0" vbProcedure="0">[63]auf_screen!#ref!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[242]!'[module4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[43]!Calculate_Pipe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[52]!Prev.Macro110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[29]!Prev.Macro101</definedName>
    <definedName name="Prev.Macro102" hidden="0" function="0" vbProcedure="0">[29]!Prev.Macro102</definedName>
    <definedName name="Prev.Macro103" hidden="0" function="0" vbProcedure="0">[29]!Prev.Macro103</definedName>
    <definedName name="Prev.Macro104" hidden="0" function="0" vbProcedure="0">[29]!Prev.Macro104</definedName>
    <definedName name="Prev.Macro105" hidden="0" function="0" vbProcedure="0">[29]!Prev.Macro105</definedName>
    <definedName name="Prev.Macro106" hidden="0" function="0" vbProcedure="0">[29]!Prev.Macro106</definedName>
    <definedName name="Prev.Macro107" hidden="0" function="0" vbProcedure="0">[29]!Prev.Macro107</definedName>
    <definedName name="Prev.Macro108" hidden="0" function="0" vbProcedure="0">[29]!Prev.Macro108</definedName>
    <definedName name="Prev.Macro109" hidden="0" function="0" vbProcedure="0">[29]!Prev.Macro109</definedName>
    <definedName name="Prev.Macro110" hidden="0" function="0" vbProcedure="0">[29]!Prev.Macro110</definedName>
    <definedName name="Prev.Macro111" hidden="0" function="0" vbProcedure="0">[29]!Prev.Macro111</definedName>
    <definedName name="Prev.Macro112" hidden="0" function="0" vbProcedure="0">[29]!Prev.Macro112</definedName>
    <definedName name="Prev.Macro113" hidden="0" function="0" vbProcedure="0">[29]!Prev.Macro113</definedName>
    <definedName name="Prev.Macro114" hidden="0" function="0" vbProcedure="0">[29]!Prev.Macro114</definedName>
    <definedName name="Prev.Macro115" hidden="0" function="0" vbProcedure="0">[29]!Prev.Macro115</definedName>
    <definedName name="Prev.Macro116" hidden="0" function="0" vbProcedure="0">[29]!Prev.Macro116</definedName>
    <definedName name="Prev.Macro117" hidden="0" function="0" vbProcedure="0">[29]!Prev.Macro117</definedName>
    <definedName name="Prev.Macro118" hidden="0" function="0" vbProcedure="0">[29]!Prev.Macro118</definedName>
    <definedName name="Prev.Macro120" hidden="0" function="0" vbProcedure="0">[29]!Prev.Macro120</definedName>
    <definedName name="Prev.Macro121" hidden="0" function="0" vbProcedure="0">[29]!Prev.Macro121</definedName>
    <definedName name="Prev.Macro122" hidden="0" function="0" vbProcedure="0">[29]!Prev.Macro122</definedName>
    <definedName name="Prev.Macro123" hidden="0" function="0" vbProcedure="0">[29]!Prev.Macro123</definedName>
    <definedName name="Prev.Macro124" hidden="0" function="0" vbProcedure="0">[29]!Prev.Macro124</definedName>
    <definedName name="Prev.Macro125" hidden="0" function="0" vbProcedure="0">[29]!Prev.Macro125</definedName>
    <definedName name="Prev.Macro126" hidden="0" function="0" vbProcedure="0">[29]!Prev.Macro126</definedName>
    <definedName name="Prev.Macro127" hidden="0" function="0" vbProcedure="0">[29]!Prev.Macro127</definedName>
    <definedName name="Prev.Macro128" hidden="0" function="0" vbProcedure="0">[29]!Prev.Macro128</definedName>
    <definedName name="Prev.Macro129" hidden="0" function="0" vbProcedure="0">[29]!Prev.Macro129</definedName>
    <definedName name="Prev.Macro130" hidden="0" function="0" vbProcedure="0">[29]!Prev.Macro130</definedName>
    <definedName name="Prev.Macro131" hidden="0" function="0" vbProcedure="0">[29]!Prev.Macro131</definedName>
    <definedName name="prev.macro131." hidden="0" function="0" vbProcedure="0">[29]!prev.macro131.</definedName>
    <definedName name="Prev.Macro132" hidden="0" function="0" vbProcedure="0">[29]!Prev.Macro132</definedName>
    <definedName name="Prev.Macro133" hidden="0" function="0" vbProcedure="0">[29]!Prev.Macro133</definedName>
    <definedName name="Prev.Macro134" hidden="0" function="0" vbProcedure="0">[29]!Prev.Macro134</definedName>
    <definedName name="Prev.Macro135" hidden="0" function="0" vbProcedure="0">[29]!Prev.Macro135</definedName>
    <definedName name="Prev.Macro136" hidden="0" function="0" vbProcedure="0">[29]!Prev.Macro136</definedName>
    <definedName name="Prev.Macro137" hidden="0" function="0" vbProcedure="0">[29]!Prev.Macro137</definedName>
    <definedName name="Prev.Macro138" hidden="0" function="0" vbProcedure="0">[29]!Prev.Macro138</definedName>
    <definedName name="Prev.Macro139" hidden="0" function="0" vbProcedure="0">[29]!Prev.Macro139</definedName>
    <definedName name="Prev.Macro140" hidden="0" function="0" vbProcedure="0">[29]!Prev.Macro140</definedName>
    <definedName name="Prev.Macro141" hidden="0" function="0" vbProcedure="0">[29]!Prev.Macro141</definedName>
    <definedName name="Prev.Macro142" hidden="0" function="0" vbProcedure="0">[29]!Prev.Macro142</definedName>
    <definedName name="Prev.Macro143" hidden="0" function="0" vbProcedure="0">[29]!Prev.Macro143</definedName>
    <definedName name="Prev.Macro144" hidden="0" function="0" vbProcedure="0">[29]!Prev.Macro144</definedName>
    <definedName name="Prev.Macro145" hidden="0" function="0" vbProcedure="0">[29]!Prev.Macro145</definedName>
    <definedName name="Prev.Macro146" hidden="0" function="0" vbProcedure="0">[29]!Prev.Macro146</definedName>
    <definedName name="Prev.Macro147" hidden="0" function="0" vbProcedure="0">[29]!Prev.Macro147</definedName>
    <definedName name="Prev.Macro149" hidden="0" function="0" vbProcedure="0">[29]!Prev.Macro149</definedName>
    <definedName name="prev.Macro150" hidden="0" function="0" vbProcedure="0">[52]!Prev.Macro122</definedName>
    <definedName name="prev.Macro200" hidden="0" function="0" vbProcedure="0">[52]!Prev.Macro128</definedName>
    <definedName name="Prev.Macro242" hidden="0" function="0" vbProcedure="0">[52]!Prev.Macro106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[147]summary!#ref!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[93]tbgtally!#ref!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[254]!Calculate_Pipe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'[256]quote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'[260]calculo de gas total'!#ref!</definedName>
    <definedName name="reading" hidden="0" function="0" vbProcedure="0">#ref!</definedName>
    <definedName name="Ready" hidden="0" function="0" vbProcedure="0">[261]master!#ref!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[120]!Recalc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'[61]7-30-04'!#ref!</definedName>
    <definedName name="REF.2" hidden="0" function="0" vbProcedure="0">'[61]7-30-04'!#ref!</definedName>
    <definedName name="REF.3" hidden="0" function="0" vbProcedure="0">'[61]7-30-04'!#ref!</definedName>
    <definedName name="REF.NO" hidden="0" function="0" vbProcedure="0">'[44]7-30-04'!$GO$7457</definedName>
    <definedName name="refr_test" hidden="0" function="0" vbProcedure="0">#ref!</definedName>
    <definedName name="REF_1" hidden="0" function="0" vbProcedure="0">'[61]7-30-04'!#ref!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'[61]7-30-04'!#ref!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[19]scope!#ref!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'[2]run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'[262]sap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[63]auf_screen!#ref!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'[265]slide sheet'!#ref!</definedName>
    <definedName name="Rpt_Average_Header2" hidden="0" function="0" vbProcedure="0">'[265]slide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'[265]slide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'[265]slide sheet'!#ref!</definedName>
    <definedName name="Rpt_Logo_Right" hidden="0" function="0" vbProcedure="0">'[265]slide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'[267]all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'[240]lex input 1st pass'!#ref!</definedName>
    <definedName name="Salesman" hidden="0" function="0" vbProcedure="0">#ref!</definedName>
    <definedName name="SalesPYDR95Aug" hidden="0" function="0" vbProcedure="0">'[240]lex input 1st pass'!#ref!</definedName>
    <definedName name="SalesPYDR95AugLira" hidden="0" function="0" vbProcedure="0">'[240]lex input 1st pass'!#ref!</definedName>
    <definedName name="SALESRECORD" hidden="0" function="0" vbProcedure="0">'[44]7-30-04'!$GO$7457</definedName>
    <definedName name="SalesTranslation" hidden="0" function="0" vbProcedure="0">'[240]lex input 1st pass'!#ref!</definedName>
    <definedName name="SalesVolumeImpact" hidden="0" function="0" vbProcedure="0">'[240]lex input 1st pass'!#ref!</definedName>
    <definedName name="sales_cell" hidden="0" function="0" vbProcedure="0">[268]data!#ref!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'[240]lex input 1st pass'!#ref!</definedName>
    <definedName name="Sales_Gun_Size" hidden="0" function="0" vbProcedure="0">#ref!</definedName>
    <definedName name="Sales_Lease" hidden="0" function="0" vbProcedure="0">#ref!</definedName>
    <definedName name="Sales_PYDollars" hidden="0" function="0" vbProcedure="0">'[240]lex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'[240]lex input 1st pass'!#ref!</definedName>
    <definedName name="Sales_Well_Name" hidden="0" function="0" vbProcedure="0">#ref!</definedName>
    <definedName name="SALE_1" hidden="0" function="0" vbProcedure="0">'[61]7-30-04'!#ref!</definedName>
    <definedName name="SALE_2" hidden="0" function="0" vbProcedure="0">'[61]7-30-04'!#ref!</definedName>
    <definedName name="sale_array" hidden="0" function="0" vbProcedure="0">#ref!</definedName>
    <definedName name="salinity" hidden="0" function="0" vbProcedure="0">'[97]well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'[7]#ref'!#ref!</definedName>
    <definedName name="SAND_IN_CAS_BLNK_10" hidden="0" function="0" vbProcedure="0">'[7]#ref'!#ref!</definedName>
    <definedName name="SAND_IN_CAS_BLNK_11" hidden="0" function="0" vbProcedure="0">'[7]#ref'!#ref!</definedName>
    <definedName name="SAND_IN_CAS_BLNK_2" hidden="0" function="0" vbProcedure="0">'[7]#ref'!#ref!</definedName>
    <definedName name="SAND_IN_CAS_BLNK_3" hidden="0" function="0" vbProcedure="0">'[7]#ref'!#ref!</definedName>
    <definedName name="SAND_IN_CAS_BLNK_4" hidden="0" function="0" vbProcedure="0">'[7]#ref'!#ref!</definedName>
    <definedName name="SAND_IN_CAS_BLNK_5" hidden="0" function="0" vbProcedure="0">'[7]#ref'!#ref!</definedName>
    <definedName name="SAND_IN_CAS_BLNK_6" hidden="0" function="0" vbProcedure="0">'[7]#ref'!#ref!</definedName>
    <definedName name="SAND_IN_CAS_BLNK_7" hidden="0" function="0" vbProcedure="0">'[7]#ref'!#ref!</definedName>
    <definedName name="SAND_IN_CAS_BLNK_8" hidden="0" function="0" vbProcedure="0">'[7]#ref'!#ref!</definedName>
    <definedName name="SAND_IN_CAS_BLNK_9" hidden="0" function="0" vbProcedure="0">'[7]#ref'!#ref!</definedName>
    <definedName name="SAND_IN_CAS_EXT" hidden="0" function="0" vbProcedure="0">#ref!</definedName>
    <definedName name="SAND_IN_CAS_EXT_1" hidden="0" function="0" vbProcedure="0">'[7]#ref'!#ref!</definedName>
    <definedName name="SAND_IN_CAS_EXT_10" hidden="0" function="0" vbProcedure="0">'[7]#ref'!#ref!</definedName>
    <definedName name="SAND_IN_CAS_EXT_11" hidden="0" function="0" vbProcedure="0">'[7]#ref'!#ref!</definedName>
    <definedName name="SAND_IN_CAS_EXT_2" hidden="0" function="0" vbProcedure="0">'[7]#ref'!#ref!</definedName>
    <definedName name="SAND_IN_CAS_EXT_3" hidden="0" function="0" vbProcedure="0">'[7]#ref'!#ref!</definedName>
    <definedName name="SAND_IN_CAS_EXT_4" hidden="0" function="0" vbProcedure="0">'[7]#ref'!#ref!</definedName>
    <definedName name="SAND_IN_CAS_EXT_5" hidden="0" function="0" vbProcedure="0">'[7]#ref'!#ref!</definedName>
    <definedName name="SAND_IN_CAS_EXT_6" hidden="0" function="0" vbProcedure="0">'[7]#ref'!#ref!</definedName>
    <definedName name="SAND_IN_CAS_EXT_7" hidden="0" function="0" vbProcedure="0">'[7]#ref'!#ref!</definedName>
    <definedName name="SAND_IN_CAS_EXT_8" hidden="0" function="0" vbProcedure="0">'[7]#ref'!#ref!</definedName>
    <definedName name="SAND_IN_CAS_EXT_9" hidden="0" function="0" vbProcedure="0">'[7]#ref'!#ref!</definedName>
    <definedName name="SAND_IN_CAS_PREPACK" hidden="0" function="0" vbProcedure="0">#ref!</definedName>
    <definedName name="SAND_IN_CAS_SCR" hidden="0" function="0" vbProcedure="0">#ref!</definedName>
    <definedName name="SAND_IN_CAS_SCR_1" hidden="0" function="0" vbProcedure="0">'[7]#ref'!#ref!</definedName>
    <definedName name="SAND_IN_CAS_SCR_10" hidden="0" function="0" vbProcedure="0">'[7]#ref'!#ref!</definedName>
    <definedName name="SAND_IN_CAS_SCR_11" hidden="0" function="0" vbProcedure="0">'[7]#ref'!#ref!</definedName>
    <definedName name="SAND_IN_CAS_SCR_2" hidden="0" function="0" vbProcedure="0">'[7]#ref'!#ref!</definedName>
    <definedName name="SAND_IN_CAS_SCR_3" hidden="0" function="0" vbProcedure="0">'[7]#ref'!#ref!</definedName>
    <definedName name="SAND_IN_CAS_SCR_4" hidden="0" function="0" vbProcedure="0">'[7]#ref'!#ref!</definedName>
    <definedName name="SAND_IN_CAS_SCR_5" hidden="0" function="0" vbProcedure="0">'[7]#ref'!#ref!</definedName>
    <definedName name="SAND_IN_CAS_SCR_6" hidden="0" function="0" vbProcedure="0">'[7]#ref'!#ref!</definedName>
    <definedName name="SAND_IN_CAS_SCR_7" hidden="0" function="0" vbProcedure="0">'[7]#ref'!#ref!</definedName>
    <definedName name="SAND_IN_CAS_SCR_8" hidden="0" function="0" vbProcedure="0">'[7]#ref'!#ref!</definedName>
    <definedName name="SAND_IN_CAS_SCR_9" hidden="0" function="0" vbProcedure="0">'[7]#ref'!#ref!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[18]!Macro1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'[269]sswe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[75]!Calculate_Pipe</definedName>
    <definedName name="SDrag" hidden="0" function="0" vbProcedure="0">#ref!</definedName>
    <definedName name="se" hidden="0" function="0" vbProcedure="0">'[271]calculo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'[97]well test sheet'!#ref!</definedName>
    <definedName name="sep_temp" hidden="0" function="0" vbProcedure="0">'[97]well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[19]scope!#ref!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'[188]1pcbud'!#ref!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[63]auf_screen!#ref!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[77]!Show_1</definedName>
    <definedName name="Show_1_10" hidden="0" function="0" vbProcedure="0">[77]!Show_1</definedName>
    <definedName name="Show_1_11" hidden="0" function="0" vbProcedure="0">[77]!Show_1</definedName>
    <definedName name="Show_1_2" hidden="0" function="0" vbProcedure="0">[77]!Show_1</definedName>
    <definedName name="Show_1_3" hidden="0" function="0" vbProcedure="0">[77]!Show_1</definedName>
    <definedName name="Show_1_4" hidden="0" function="0" vbProcedure="0">[77]!Show_1</definedName>
    <definedName name="Show_1_5" hidden="0" function="0" vbProcedure="0">[77]!Show_1</definedName>
    <definedName name="Show_1_6" hidden="0" function="0" vbProcedure="0">[77]!Show_1</definedName>
    <definedName name="Show_1_7" hidden="0" function="0" vbProcedure="0">[77]!Show_1</definedName>
    <definedName name="Show_1_8" hidden="0" function="0" vbProcedure="0">[77]!Show_1</definedName>
    <definedName name="Show_1_9" hidden="0" function="0" vbProcedure="0">[77]!Show_1</definedName>
    <definedName name="Show_2" hidden="0" function="0" vbProcedure="0">#ref!</definedName>
    <definedName name="Show_2_1" hidden="0" function="0" vbProcedure="0">[77]!Show_2</definedName>
    <definedName name="Show_2_10" hidden="0" function="0" vbProcedure="0">[77]!Show_2</definedName>
    <definedName name="Show_2_11" hidden="0" function="0" vbProcedure="0">[77]!Show_2</definedName>
    <definedName name="Show_2_2" hidden="0" function="0" vbProcedure="0">[77]!Show_2</definedName>
    <definedName name="Show_2_3" hidden="0" function="0" vbProcedure="0">[77]!Show_2</definedName>
    <definedName name="Show_2_4" hidden="0" function="0" vbProcedure="0">[77]!Show_2</definedName>
    <definedName name="Show_2_5" hidden="0" function="0" vbProcedure="0">[77]!Show_2</definedName>
    <definedName name="Show_2_6" hidden="0" function="0" vbProcedure="0">[77]!Show_2</definedName>
    <definedName name="Show_2_7" hidden="0" function="0" vbProcedure="0">[77]!Show_2</definedName>
    <definedName name="Show_2_8" hidden="0" function="0" vbProcedure="0">[77]!Show_2</definedName>
    <definedName name="Show_2_9" hidden="0" function="0" vbProcedure="0">[77]!Show_2</definedName>
    <definedName name="SHPD_1_QTY" hidden="0" function="0" vbProcedure="0">'[61]7-30-04'!#ref!</definedName>
    <definedName name="SHPD_2_QTY" hidden="0" function="0" vbProcedure="0">'[61]7-30-04'!#ref!</definedName>
    <definedName name="SHPD_3_QTY" hidden="0" function="0" vbProcedure="0">'[61]7-30-04'!#ref!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[63]auf_screen!#ref!</definedName>
    <definedName name="SPCL" hidden="0" function="0" vbProcedure="0">'[61]7-30-04'!#ref!</definedName>
    <definedName name="Specialist" hidden="0" function="0" vbProcedure="0">#ref!</definedName>
    <definedName name="spf" hidden="0" function="0" vbProcedure="0">#ref!</definedName>
    <definedName name="SPI" hidden="0" function="0" vbProcedure="0">'[240]lex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[275]!Macro46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'[188]1pcbud'!#ref!</definedName>
    <definedName name="SUBJECT" hidden="0" function="0" vbProcedure="0">[65]References!$B$1:$B$15</definedName>
    <definedName name="submission" hidden="0" function="0" vbProcedure="0">[278]!Table5[platform]</definedName>
    <definedName name="SubSeaTVD_Column" hidden="0" function="0" vbProcedure="0">null</definedName>
    <definedName name="SubSeaTVD_Unit" hidden="0" function="0" vbProcedure="0">null</definedName>
    <definedName name="subtransit" hidden="0" function="0" vbProcedure="0">'[188]1pcbud'!#ref!</definedName>
    <definedName name="subvar1" hidden="0" function="0" vbProcedure="0">'[188]1pcbud'!#ref!</definedName>
    <definedName name="subvar2" hidden="0" function="0" vbProcedure="0">'[188]1pcbud'!#ref!</definedName>
    <definedName name="subvar3" hidden="0" function="0" vbProcedure="0">'[188]1pcbud'!#ref!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[279]rig_fl_1!#ref!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[52]!Prev.Macro102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'[3]run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[151]!Calculate_Pipe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[287]!ADDSTAB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'[290]k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[147]summary!#ref!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'[188]1pcbud'!#ref!</definedName>
    <definedName name="totGen" hidden="0" function="0" vbProcedure="0">'[188]1pcbud'!#ref!</definedName>
    <definedName name="totgravelinperfs" hidden="0" function="0" vbProcedure="0">[5]WTR!$G$156</definedName>
    <definedName name="totPCalde" hidden="0" function="0" vbProcedure="0">'[188]1pcbud'!#ref!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'[7]#ref'!#ref!</definedName>
    <definedName name="TOT_SAND_2B_PUMPED_10" hidden="0" function="0" vbProcedure="0">'[7]#ref'!#ref!</definedName>
    <definedName name="TOT_SAND_2B_PUMPED_11" hidden="0" function="0" vbProcedure="0">'[7]#ref'!#ref!</definedName>
    <definedName name="TOT_SAND_2B_PUMPED_2" hidden="0" function="0" vbProcedure="0">'[7]#ref'!#ref!</definedName>
    <definedName name="TOT_SAND_2B_PUMPED_3" hidden="0" function="0" vbProcedure="0">'[7]#ref'!#ref!</definedName>
    <definedName name="TOT_SAND_2B_PUMPED_4" hidden="0" function="0" vbProcedure="0">'[7]#ref'!#ref!</definedName>
    <definedName name="TOT_SAND_2B_PUMPED_5" hidden="0" function="0" vbProcedure="0">'[7]#ref'!#ref!</definedName>
    <definedName name="TOT_SAND_2B_PUMPED_6" hidden="0" function="0" vbProcedure="0">'[7]#ref'!#ref!</definedName>
    <definedName name="TOT_SAND_2B_PUMPED_7" hidden="0" function="0" vbProcedure="0">'[7]#ref'!#ref!</definedName>
    <definedName name="TOT_SAND_2B_PUMPED_8" hidden="0" function="0" vbProcedure="0">'[7]#ref'!#ref!</definedName>
    <definedName name="TOT_SAND_2B_PUMPED_9" hidden="0" function="0" vbProcedure="0">'[7]#ref'!#ref!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'[7]#ref'!#ref!</definedName>
    <definedName name="TOT_SAND_REVOUT_10" hidden="0" function="0" vbProcedure="0">'[7]#ref'!#ref!</definedName>
    <definedName name="TOT_SAND_REVOUT_11" hidden="0" function="0" vbProcedure="0">'[7]#ref'!#ref!</definedName>
    <definedName name="TOT_SAND_REVOUT_2" hidden="0" function="0" vbProcedure="0">'[7]#ref'!#ref!</definedName>
    <definedName name="TOT_SAND_REVOUT_3" hidden="0" function="0" vbProcedure="0">'[7]#ref'!#ref!</definedName>
    <definedName name="TOT_SAND_REVOUT_4" hidden="0" function="0" vbProcedure="0">'[7]#ref'!#ref!</definedName>
    <definedName name="TOT_SAND_REVOUT_5" hidden="0" function="0" vbProcedure="0">'[7]#ref'!#ref!</definedName>
    <definedName name="TOT_SAND_REVOUT_6" hidden="0" function="0" vbProcedure="0">'[7]#ref'!#ref!</definedName>
    <definedName name="TOT_SAND_REVOUT_7" hidden="0" function="0" vbProcedure="0">'[7]#ref'!#ref!</definedName>
    <definedName name="TOT_SAND_REVOUT_8" hidden="0" function="0" vbProcedure="0">'[7]#ref'!#ref!</definedName>
    <definedName name="TOT_SAND_REVOUT_9" hidden="0" function="0" vbProcedure="0">'[7]#ref'!#ref!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'[293]sap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[145]tonmiles!#ref!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[93]tbgtally!#ref!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=#ref!,OFFSET([304]!ValidationLists[[#all],[main categories]],1,,COUNTA([304]!ValidationLists[main categories])),OFFSET([304]!ValidationLists[#data],0,MATCH('[97]BOM1'!XFD1, [304]!ValidationLists[#headers],0)-1,COUNTA(OFFSET([304]!ValidationLists[#data],,MATCH('[97]BOM1'!XFD1, [304]!ValidationLists[#headers],0)-1,,1)),1)))</definedName>
    <definedName name="ValName11" hidden="0" function="0" vbProcedure="0">IF(ISBLANK('[98]Section F'!B1),IF(#ref! '[98]Section F'!A$1:A$1048576 =#ref!,OFFSET([305]!ValidationList2[[#all],[main categories]],1,,COUNTA([305]!ValidationList2[main categories])),OFFSET([305]!ValidationList2[#data],0,MATCH('[98]Section F'!XFD1, [305]!ValidationList2[#headers],0)-1,COUNTA(OFFSET([305]!ValidationList2[#data],,MATCH('[98]Section F'!XFD1, [305]!ValidationList2[#headers],0)-1,,1)),1)))</definedName>
    <definedName name="ValName12" hidden="0" function="0" vbProcedure="0">IF(ISBLANK('[98]Section F'!B1),IF(#ref! '[98]Section F'!A$1:A$1048576 =#ref!,OFFSET([305]!ValidationList1[[#all],[main items]],1,,COUNTA([305]!ValidationList1[main items])),OFFSET([305]!ValidationList1[#data],0,MATCH('[98]Section F'!XFD1, [305]!ValidationList1[#headers],0)-1,COUNTA(OFFSET([305]!ValidationList1[#data],,MATCH('[98]Section F'!XFD1, [305]!ValidationList1[#headers],0)-1,,1)),1)))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[63]auf_screen!#ref!</definedName>
    <definedName name="Verticaldepth" hidden="0" function="0" vbProcedure="0">'[38]Front Page Info'!$C$18</definedName>
    <definedName name="VETCO" hidden="0" function="0" vbProcedure="0">#ref!</definedName>
    <definedName name="vfdvf" hidden="0" function="0" vbProcedure="0">[181]!Macro61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[82]!Macro60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'[97]well test sheet'!#ref!</definedName>
    <definedName name="wht" hidden="0" function="0" vbProcedure="0">'[97]well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'[97]well test sheet'!#ref!</definedName>
    <definedName name="wtr_rate" hidden="0" function="0" vbProcedure="0">'[97]well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[145]tonmiles!#ref!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[309]!Macro46</definedName>
    <definedName name="xyc" hidden="0" function="0" vbProcedure="0">'[3]run sheet'!#ref!</definedName>
    <definedName name="X_O" hidden="0" function="0" vbProcedure="0">[93]tbgtally!#ref!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[309]!'[module4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'[2]run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'[22]case sjac 19'!#ref!</definedName>
    <definedName name="_10__123Graph_CCHART_2" hidden="1" function="0" vbProcedure="0">'[22]case sjac 19'!#ref!</definedName>
    <definedName name="_10__123Graph_XCHART_2" hidden="1" function="0" vbProcedure="0">'[22]case sjac 19'!#ref!</definedName>
    <definedName name="_11Druckbereich" hidden="0" function="0" vbProcedure="0">#N/A</definedName>
    <definedName name="_11__123Graph_BCHART_1" hidden="1" function="0" vbProcedure="0">[34]mkn06!#ref!</definedName>
    <definedName name="_11__123Graph_CCHART_2" hidden="1" function="0" vbProcedure="0">'[22]case sjac 19'!#ref!</definedName>
    <definedName name="_1234GRAPH_G" hidden="1" function="0" vbProcedure="0">[100]Run!$F$16:$F$514</definedName>
    <definedName name="_12__123Graph_BCHART_2" hidden="1" function="0" vbProcedure="0">'[22]case sjac 19'!#ref!</definedName>
    <definedName name="_12__123Graph_CCHART_2" hidden="1" function="0" vbProcedure="0">'[22]case sjac 19'!#ref!</definedName>
    <definedName name="_12__123Graph_XCHART_1" hidden="1" function="0" vbProcedure="0">[37]mkn06!#ref!</definedName>
    <definedName name="_13.3_8_casing" hidden="0" function="0" vbProcedure="0">#ref!</definedName>
    <definedName name="_13.3_8__casing" hidden="0" function="0" vbProcedure="0">#ref!</definedName>
    <definedName name="_13__123Graph_CCHART_2" hidden="1" function="0" vbProcedure="0">'[22]case sjac 19'!#ref!</definedName>
    <definedName name="_14__123Graph_XCHART_2" hidden="1" function="0" vbProcedure="0">'[22]case sjac 19'!#ref!</definedName>
    <definedName name="_15__123Graph_XCHART_1" hidden="1" function="0" vbProcedure="0">[37]mkn06!#ref!</definedName>
    <definedName name="_16__123Graph_XCHART_2" hidden="1" function="0" vbProcedure="0">'[22]case sjac 19'!#ref!</definedName>
    <definedName name="_17__123Graph_XCHART_2" hidden="1" function="0" vbProcedure="0">'[22]case sjac 19'!#ref!</definedName>
    <definedName name="_18__123Graph_XCHART_1" hidden="1" function="0" vbProcedure="0">[34]mkn06!#ref!</definedName>
    <definedName name="_19__123Graph_XCHART_2" hidden="1" function="0" vbProcedure="0">'[22]case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[21]mkn06!#ref!</definedName>
    <definedName name="_2" hidden="1" function="0" vbProcedure="0">{#N/A,#N/A,FALSE,"Volume"}</definedName>
    <definedName name="_2Module2__2__.gaugeconok2" hidden="0" function="0" vbProcedure="0">#N/A</definedName>
    <definedName name="_2Module2__2__.gaugeok2" hidden="0" function="0" vbProcedure="0">[29]!_2Module2__2__.gaugeok2</definedName>
    <definedName name="_2__123Graph_ACHART_1" hidden="1" function="0" vbProcedure="0">[24]mkn06!#ref!</definedName>
    <definedName name="_2__123Graph_BCHART_1" hidden="1" function="0" vbProcedure="0">[21]mkn06!#ref!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[29]!_3Module2__2__.gaugeselect2</definedName>
    <definedName name="_3Module4_Formula_.Macro1" hidden="0" function="0" vbProcedure="0">[29]!_3Module4_Formula_.Macro1</definedName>
    <definedName name="_3SecGELS" hidden="0" function="0" vbProcedure="0">#ref!</definedName>
    <definedName name="_3__123Graph_ACHART_1" hidden="1" function="0" vbProcedure="0">[37]mkn06!#ref!</definedName>
    <definedName name="_3__123Graph_ACHART_2" hidden="1" function="0" vbProcedure="0">'[22]case sjac 19'!#ref!</definedName>
    <definedName name="_3__123Graph_XCHART_1" hidden="1" function="0" vbProcedure="0">[21]mkn06!#ref!</definedName>
    <definedName name="_4Module2__2__.gaugeok2" hidden="0" function="0" vbProcedure="0">#N/A</definedName>
    <definedName name="_4Module2__2__.serialselect3" hidden="0" function="0" vbProcedure="0">[29]!_4Module2__2__.serialselect3</definedName>
    <definedName name="_4__123Graph_ACHART_1" hidden="1" function="0" vbProcedure="0">[34]mkn06!#ref!</definedName>
    <definedName name="_4__123Graph_ACHART_2" hidden="1" function="0" vbProcedure="0">'[22]case sjac 19'!#ref!</definedName>
    <definedName name="_4__123Graph_BCHART_1" hidden="1" function="0" vbProcedure="0">[24]mkn06!#ref!</definedName>
    <definedName name="_5" hidden="1" function="0" vbProcedure="0">{#N/A,#N/A,FALSE,"Volume"}</definedName>
    <definedName name="_5Module2__2__.gaugeselect2" hidden="0" function="0" vbProcedure="0">#N/A</definedName>
    <definedName name="_5Module2__2__.serialselect4" hidden="0" function="0" vbProcedure="0">[29]!_5Module2__2__.serialselect4</definedName>
    <definedName name="_5__123Graph_ACHART_1" hidden="1" function="0" vbProcedure="0">[34]mkn06!#ref!</definedName>
    <definedName name="_5__123Graph_ACHART_2" hidden="1" function="0" vbProcedure="0">'[22]case sjac 19'!#ref!</definedName>
    <definedName name="_5__123Graph_BCHART_1" hidden="1" function="0" vbProcedure="0">[27]mkn06!#ref!</definedName>
    <definedName name="_6Module2__2__.gaugeselect2" hidden="0" function="0" vbProcedure="0">#N/A</definedName>
    <definedName name="_6__123Graph_ACHART_2" hidden="1" function="0" vbProcedure="0">'[22]case sjac 19'!#ref!</definedName>
    <definedName name="_6__123Graph_BCHART_1" hidden="1" function="0" vbProcedure="0">[37]mkn06!#ref!</definedName>
    <definedName name="_6__123Graph_BCHART_2" hidden="1" function="0" vbProcedure="0">'[22]case sjac 19'!#ref!</definedName>
    <definedName name="_6__123Graph_XCHART_1" hidden="1" function="0" vbProcedure="0">[24]mkn06!#ref!</definedName>
    <definedName name="_7Module2__2__.serialselect3" hidden="0" function="0" vbProcedure="0">#N/A</definedName>
    <definedName name="_7__123Graph_CCHART_2" hidden="1" function="0" vbProcedure="0">'[22]case sjac 19'!#ref!</definedName>
    <definedName name="_8Module2__2__.serialselect3" hidden="0" function="0" vbProcedure="0">#N/A</definedName>
    <definedName name="_8__123Graph_BCHART_1" hidden="1" function="0" vbProcedure="0">[37]mkn06!#ref!</definedName>
    <definedName name="_8__123Graph_BCHART_2" hidden="1" function="0" vbProcedure="0">'[22]case sjac 19'!#ref!</definedName>
    <definedName name="_9Module2__2__.serialselect4" hidden="0" function="0" vbProcedure="0">#N/A</definedName>
    <definedName name="_9_5_8__Csg_OD" hidden="0" function="0" vbProcedure="0">#ref!</definedName>
    <definedName name="_9__123Graph_BCHART_1" hidden="1" function="0" vbProcedure="0">[34]mkn06!#ref!</definedName>
    <definedName name="_9__123Graph_XCHART_1" hidden="1" function="0" vbProcedure="0">[27]mkn06!#ref!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[20]sheet1!#ref!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[10]!Calculate_Pipe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'[41]sap serv 06-02'!#ref!</definedName>
    <definedName name="_DAT17" hidden="0" function="0" vbProcedure="0">'[41]sap serv 06-02'!#ref!</definedName>
    <definedName name="_DAT19" hidden="0" function="0" vbProcedure="0">'[41]sap serv 06-02'!#ref!</definedName>
    <definedName name="_DAT2" hidden="0" function="0" vbProcedure="0">#ref!</definedName>
    <definedName name="_DAT20" hidden="0" function="0" vbProcedure="0">'[41]sap serv 06-02'!#ref!</definedName>
    <definedName name="_DAT25" hidden="0" function="0" vbProcedure="0">'[41]sap serv 06-02'!#ref!</definedName>
    <definedName name="_DAT26" hidden="0" function="0" vbProcedure="0">'[41]sap serv 06-02'!#ref!</definedName>
    <definedName name="_DAT27" hidden="0" function="0" vbProcedure="0">'[41]sap serv 06-02'!#ref!</definedName>
    <definedName name="_DAT28" hidden="0" function="0" vbProcedure="0">'[41]sap serv 06-02'!#ref!</definedName>
    <definedName name="_DAT29" hidden="0" function="0" vbProcedure="0">'[41]sap serv 06-02'!#ref!</definedName>
    <definedName name="_DAT3" hidden="0" function="0" vbProcedure="0">#ref!</definedName>
    <definedName name="_DAT31" hidden="0" function="0" vbProcedure="0">'[41]sap serv 06-02'!#ref!</definedName>
    <definedName name="_DAT32" hidden="0" function="0" vbProcedure="0">'[41]sap serv 06-02'!#ref!</definedName>
    <definedName name="_DAT34" hidden="0" function="0" vbProcedure="0">'[41]sap serv 06-02'!#ref!</definedName>
    <definedName name="_DAT35" hidden="0" function="0" vbProcedure="0">'[41]sap serv 06-02'!#ref!</definedName>
    <definedName name="_DAT36" hidden="0" function="0" vbProcedure="0">'[41]sap serv 06-02'!#ref!</definedName>
    <definedName name="_DAT4" hidden="0" function="0" vbProcedure="0">#ref!</definedName>
    <definedName name="_DAT40" hidden="0" function="0" vbProcedure="0">'[41]sap serv 06-02'!#ref!</definedName>
    <definedName name="_DAT41" hidden="0" function="0" vbProcedure="0">'[41]sap serv 06-02'!#ref!</definedName>
    <definedName name="_DAT42" hidden="0" function="0" vbProcedure="0">'[41]sap serv 06-02'!#ref!</definedName>
    <definedName name="_DAT44" hidden="0" function="0" vbProcedure="0">'[41]sap serv 06-02'!#ref!</definedName>
    <definedName name="_DAT45" hidden="0" function="0" vbProcedure="0">'[41]sap serv 06-02'!#ref!</definedName>
    <definedName name="_DAT46" hidden="0" function="0" vbProcedure="0">'[41]sap serv 06-02'!#ref!</definedName>
    <definedName name="_DAT47" hidden="0" function="0" vbProcedure="0">'[41]sap serv 06-02'!#ref!</definedName>
    <definedName name="_DAT48" hidden="0" function="0" vbProcedure="0">'[41]sap serv 06-02'!#ref!</definedName>
    <definedName name="_DAT49" hidden="0" function="0" vbProcedure="0">'[41]sap serv 06-02'!#ref!</definedName>
    <definedName name="_DAT5" hidden="0" function="0" vbProcedure="0">#ref!</definedName>
    <definedName name="_DAT50" hidden="0" function="0" vbProcedure="0">'[41]sap serv 06-02'!#ref!</definedName>
    <definedName name="_DAT52" hidden="0" function="0" vbProcedure="0">'[41]sap serv 06-02'!#ref!</definedName>
    <definedName name="_DAT53" hidden="0" function="0" vbProcedure="0">'[41]sap serv 06-02'!#ref!</definedName>
    <definedName name="_DAT54" hidden="0" function="0" vbProcedure="0">'[41]sap serv 06-02'!#ref!</definedName>
    <definedName name="_DAT56" hidden="0" function="0" vbProcedure="0">'[41]sap serv 06-02'!#ref!</definedName>
    <definedName name="_DAT57" hidden="0" function="0" vbProcedure="0">'[41]sap serv 06-02'!#ref!</definedName>
    <definedName name="_DAT6" hidden="0" function="0" vbProcedure="0">#ref!</definedName>
    <definedName name="_DAT62" hidden="0" function="0" vbProcedure="0">'[41]sap serv 06-02'!#ref!</definedName>
    <definedName name="_DAT63" hidden="0" function="0" vbProcedure="0">'[41]sap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'[30]calculo de gas total'!#ref!</definedName>
    <definedName name="_GAS1016" hidden="0" function="0" vbProcedure="0">'[31]calculo de gas total'!#ref!</definedName>
    <definedName name="_GAS1017" hidden="0" function="0" vbProcedure="0">'[31]calculo de gas total'!#ref!</definedName>
    <definedName name="_GAS1101" hidden="0" function="0" vbProcedure="0">'[31]calculo de gas total'!#ref!</definedName>
    <definedName name="_GAS1102" hidden="0" function="0" vbProcedure="0">'[31]calculo de gas total'!#ref!</definedName>
    <definedName name="_GAS1200" hidden="0" function="0" vbProcedure="0">'[31]calculo de gas total'!#ref!</definedName>
    <definedName name="_GAS1201" hidden="0" function="0" vbProcedure="0">'[31]calculo de gas total'!#ref!</definedName>
    <definedName name="_GAS1401" hidden="0" function="0" vbProcedure="0">'[31]calculo de gas total'!#ref!</definedName>
    <definedName name="_GAS1611" hidden="0" function="0" vbProcedure="0">'[31]calculo de gas total'!#ref!</definedName>
    <definedName name="_GAS1612" hidden="0" function="0" vbProcedure="0">'[31]calculo de gas total'!#ref!</definedName>
    <definedName name="_GAS1706" hidden="0" function="0" vbProcedure="0">'[31]calculo de gas total'!#ref!</definedName>
    <definedName name="_GAS1707" hidden="0" function="0" vbProcedure="0">'[31]calculo de gas total'!#ref!</definedName>
    <definedName name="_GAS1751" hidden="0" function="0" vbProcedure="0">'[31]calculo de gas total'!#ref!</definedName>
    <definedName name="_GAS1773" hidden="0" function="0" vbProcedure="0">'[31]calculo de gas total'!#ref!</definedName>
    <definedName name="_gas2020" hidden="0" function="0" vbProcedure="0">'[30]calculo de gas total'!#ref!</definedName>
    <definedName name="_gas6969" hidden="0" function="0" vbProcedure="0">'[30]calculo de gas total'!#ref!</definedName>
    <definedName name="_GAS7117" hidden="0" function="0" vbProcedure="0">'[31]calculo de gas total'!#ref!</definedName>
    <definedName name="_GAS7118" hidden="0" function="0" vbProcedure="0">'[31]calculo de gas total'!#ref!</definedName>
    <definedName name="_gmh1" hidden="1" function="0" vbProcedure="0">{#N/A,#N/A,FALSE,"Sheet1"}</definedName>
    <definedName name="_gs243" hidden="0" function="0" vbProcedure="0">'[32]calculo de gas total'!#ref!</definedName>
    <definedName name="_h" hidden="1" function="0" vbProcedure="0">{#N/A,#N/A,FALSE,"Volume"}</definedName>
    <definedName name="_i" hidden="1" function="0" vbProcedure="0">{#N/A,#N/A,FALSE,"Volume"}</definedName>
    <definedName name="_iw" hidden="1" function="0" vbProcedure="0">[24]mkn06!#ref!</definedName>
    <definedName name="_JE" hidden="0" function="0" vbProcedure="0">#ref!</definedName>
    <definedName name="_JE1" hidden="0" function="0" vbProcedure="0">'[5]cumulative temp diff'!#ref!</definedName>
    <definedName name="_JE2" hidden="0" function="0" vbProcedure="0">'[5]cumulative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[19]milestone!#ref!</definedName>
    <definedName name="_ms7" hidden="0" function="0" vbProcedure="0">[19]milestone!#ref!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[43]!Calculate_Pipe</definedName>
    <definedName name="_PR1" hidden="0" function="0" vbProcedure="0">#ref!</definedName>
    <definedName name="_PR2" hidden="0" function="0" vbProcedure="0">#ref!</definedName>
    <definedName name="_r06" hidden="0" function="0" vbProcedure="0">[45]!AutoCAD</definedName>
    <definedName name="_REG1773" hidden="0" function="0" vbProcedure="0">'[31]calculo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[18]!Macro1</definedName>
    <definedName name="_SSA1" hidden="0" function="0" vbProcedure="0">[46]!Macro46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[29]!_UA38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'[22]case sjac 19'!#ref!</definedName>
    <definedName name="__10__123Graph_CCHART_2" hidden="1" function="0" vbProcedure="0">'[23]case sjac 19'!#ref!</definedName>
    <definedName name="__123Graph_A" hidden="1" function="0" vbProcedure="0">#ref!</definedName>
    <definedName name="__123Graph_AMAPVIEW" hidden="1" function="0" vbProcedure="0">'[26]minimum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'[26]minimum curve method'!#ref!</definedName>
    <definedName name="__12__123Graph_XCHART_1" hidden="1" function="0" vbProcedure="0">[24]mkn06!#ref!</definedName>
    <definedName name="__14__123Graph_XCHART_2" hidden="1" function="0" vbProcedure="0">'[23]case sjac 19'!#ref!</definedName>
    <definedName name="__15__123Graph_XCHART_1" hidden="1" function="0" vbProcedure="0">[27]mkn06!#ref!</definedName>
    <definedName name="__1Module2__2__.gaugeconok2" hidden="0" function="0" vbProcedure="0">[29]!__1Module2__2__.gaugeconok2</definedName>
    <definedName name="__1__123Graph_ACHART_1" hidden="1" function="0" vbProcedure="0">[21]mkn06!#ref!</definedName>
    <definedName name="__2Module2__2__.gaugeok2" hidden="0" function="0" vbProcedure="0">[29]!__2Module2__2__.gaugeok2</definedName>
    <definedName name="__2__123Graph_ACHART_1" hidden="1" function="0" vbProcedure="0">[27]mkn06!#ref!</definedName>
    <definedName name="__2__123Graph_BCHART_1" hidden="1" function="0" vbProcedure="0">[21]mkn06!#ref!</definedName>
    <definedName name="__3Module2__2__.gaugeselect2" hidden="0" function="0" vbProcedure="0">[29]!__3Module2__2__.gaugeselect2</definedName>
    <definedName name="__3__123Graph_XCHART_1" hidden="1" function="0" vbProcedure="0">[21]mkn06!#ref!</definedName>
    <definedName name="__4Module2__2__.serialselect3" hidden="0" function="0" vbProcedure="0">[29]!__4Module2__2__.serialselect3</definedName>
    <definedName name="__4__123Graph_ACHART_2" hidden="1" function="0" vbProcedure="0">'[23]case sjac 19'!#ref!</definedName>
    <definedName name="__5Module2__2__.serialselect4" hidden="0" function="0" vbProcedure="0">[29]!__5Module2__2__.serialselect4</definedName>
    <definedName name="__5__123Graph_ACHART_2" hidden="1" function="0" vbProcedure="0">'[22]case sjac 19'!#ref!</definedName>
    <definedName name="__6__123Graph_BCHART_1" hidden="1" function="0" vbProcedure="0">[24]mkn06!#ref!</definedName>
    <definedName name="__8__123Graph_BCHART_2" hidden="1" function="0" vbProcedure="0">'[23]case sjac 19'!#ref!</definedName>
    <definedName name="__A4" hidden="1" function="0" vbProcedure="0">[100]Run!$B$18:$B$512</definedName>
    <definedName name="__ANC2" hidden="0" function="0" vbProcedure="0">[20]sheet1!#ref!</definedName>
    <definedName name="__bb2789" hidden="0" function="0" vbProcedure="0">[16]!Calculate_Pipe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'[30]calculo de gas total'!#ref!</definedName>
    <definedName name="__GAS1016" hidden="0" function="0" vbProcedure="0">'[31]calculo de gas total'!#ref!</definedName>
    <definedName name="__GAS1017" hidden="0" function="0" vbProcedure="0">'[31]calculo de gas total'!#ref!</definedName>
    <definedName name="__GAS1101" hidden="0" function="0" vbProcedure="0">'[31]calculo de gas total'!#ref!</definedName>
    <definedName name="__GAS1102" hidden="0" function="0" vbProcedure="0">'[31]calculo de gas total'!#ref!</definedName>
    <definedName name="__GAS1200" hidden="0" function="0" vbProcedure="0">'[31]calculo de gas total'!#ref!</definedName>
    <definedName name="__GAS1201" hidden="0" function="0" vbProcedure="0">'[31]calculo de gas total'!#ref!</definedName>
    <definedName name="__GAS1401" hidden="0" function="0" vbProcedure="0">'[31]calculo de gas total'!#ref!</definedName>
    <definedName name="__GAS1611" hidden="0" function="0" vbProcedure="0">'[31]calculo de gas total'!#ref!</definedName>
    <definedName name="__GAS1612" hidden="0" function="0" vbProcedure="0">'[31]calculo de gas total'!#ref!</definedName>
    <definedName name="__GAS1706" hidden="0" function="0" vbProcedure="0">'[31]calculo de gas total'!#ref!</definedName>
    <definedName name="__GAS1707" hidden="0" function="0" vbProcedure="0">'[31]calculo de gas total'!#ref!</definedName>
    <definedName name="__GAS1751" hidden="0" function="0" vbProcedure="0">'[31]calculo de gas total'!#ref!</definedName>
    <definedName name="__GAS1773" hidden="0" function="0" vbProcedure="0">'[31]calculo de gas total'!#ref!</definedName>
    <definedName name="__gas2020" hidden="0" function="0" vbProcedure="0">'[30]calculo de gas total'!#ref!</definedName>
    <definedName name="__gas6969" hidden="0" function="0" vbProcedure="0">'[30]calculo de gas total'!#ref!</definedName>
    <definedName name="__GAS7117" hidden="0" function="0" vbProcedure="0">'[31]calculo de gas total'!#ref!</definedName>
    <definedName name="__GAS7118" hidden="0" function="0" vbProcedure="0">'[31]calculo de gas total'!#ref!</definedName>
    <definedName name="__gs243" hidden="0" function="0" vbProcedure="0">'[32]calculo de gas total'!#ref!</definedName>
    <definedName name="__JE1" hidden="0" function="0" vbProcedure="0">'[5]cumulative temp diff'!#ref!</definedName>
    <definedName name="__JE2" hidden="0" function="0" vbProcedure="0">'[5]cumulative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[19]milestone!#ref!</definedName>
    <definedName name="__ms7" hidden="0" function="0" vbProcedure="0">[19]milestone!#ref!</definedName>
    <definedName name="__num15" hidden="0" function="0" vbProcedure="0">'[33]data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'[31]calculo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[18]!Macro1</definedName>
    <definedName name="__TST2" hidden="0" function="0" vbProcedure="0">#ref!</definedName>
    <definedName name="__TT2" hidden="0" function="0" vbProcedure="0">#ref!</definedName>
    <definedName name="__UA38" hidden="0" function="0" vbProcedure="0">[29]!__UA38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[20]sheet1!#ref!</definedName>
    <definedName name="___bb2789" hidden="0" function="0" vbProcedure="0">[16]!Calculate_Pipe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'[5]cumulative temp diff'!#ref!</definedName>
    <definedName name="___JE2" hidden="0" function="0" vbProcedure="0">'[5]cumulative temp diff'!#ref!</definedName>
    <definedName name="___ms6" hidden="0" function="0" vbProcedure="0">[19]milestone!#ref!</definedName>
    <definedName name="___ms7" hidden="0" function="0" vbProcedure="0">[19]milestone!#ref!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[18]!Macro1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[16]!Calculate_Pipe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[19]milestone!#ref!</definedName>
    <definedName name="____ms7" hidden="0" function="0" vbProcedure="0">[19]milestone!#ref!</definedName>
    <definedName name="____SPM1" hidden="0" function="0" vbProcedure="0">[18]!Macro1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[16]!Calculate_Pipe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[19]milestone!#ref!</definedName>
    <definedName name="_____ms7" hidden="0" function="0" vbProcedure="0">[19]milestone!#ref!</definedName>
    <definedName name="_____SPM1" hidden="0" function="0" vbProcedure="0">[18]!Macro1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[16]!Calculate_Pipe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[17]milestone!#ref!</definedName>
    <definedName name="______ms7" hidden="0" function="0" vbProcedure="0">[17]milestone!#ref!</definedName>
    <definedName name="______SPM1" hidden="0" function="0" vbProcedure="0">[18]!Macro1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[16]!Calculate_Pipe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[16]!Calculate_Pipe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[16]!Calculate_Pipe</definedName>
    <definedName name="_________wrn1" hidden="1" function="0" vbProcedure="0">{#N/A,#N/A,FALSE,"Volume"}</definedName>
    <definedName name="__________A4" hidden="1" function="0" vbProcedure="0">[100]Run!$B$18:$B$512</definedName>
    <definedName name="__________bb2789" hidden="0" function="0" vbProcedure="0">[16]!Calculate_Pipe</definedName>
    <definedName name="___________A4" hidden="1" function="0" vbProcedure="0">[100]Run!$B$18:$B$512</definedName>
    <definedName name="___________bb2789" hidden="0" function="0" vbProcedure="0">[16]!Calculate_Pipe</definedName>
    <definedName name="___________wrn1" hidden="1" function="0" vbProcedure="0">{#N/A,#N/A,FALSE,"Volume"}</definedName>
    <definedName name="____________A4" hidden="1" function="0" vbProcedure="0">[100]Run!$B$18:$B$512</definedName>
    <definedName name="____________bb2789" hidden="0" function="0" vbProcedure="0">[16]!Calculate_Pipe</definedName>
    <definedName name="____________wrn1" hidden="1" function="0" vbProcedure="0">{#N/A,#N/A,FALSE,"Volume"}</definedName>
    <definedName name="_____________A4" hidden="1" function="0" vbProcedure="0">[100]Run!$B$18:$B$512</definedName>
    <definedName name="_____________bb2789" hidden="0" function="0" vbProcedure="0">[16]!Calculate_Pipe</definedName>
    <definedName name="______________A4" hidden="1" function="0" vbProcedure="0">[100]Run!$B$18:$B$512</definedName>
    <definedName name="______________bb2789" hidden="0" function="0" vbProcedure="0">[16]!Calculate_Pipe</definedName>
    <definedName name="_______________A4" hidden="1" function="0" vbProcedure="0">[100]Run!$B$18:$B$512</definedName>
    <definedName name="_______________bb2789" hidden="0" function="0" vbProcedure="0">[16]!Calculate_Pipe</definedName>
    <definedName name="________________A4" hidden="1" function="0" vbProcedure="0">[100]Run!$B$18:$B$512</definedName>
    <definedName name="________________bb2789" hidden="0" function="0" vbProcedure="0">[12]!Calculate_Pipe</definedName>
    <definedName name="_________________A4" hidden="1" function="0" vbProcedure="0">[100]Run!$B$18:$B$512</definedName>
    <definedName name="_________________bb2789" hidden="0" function="0" vbProcedure="0">[12]!Calculate_Pipe</definedName>
    <definedName name="__________________A4" hidden="1" function="0" vbProcedure="0">[100]Run!$B$18:$B$512</definedName>
    <definedName name="__________________bb2789" hidden="0" function="0" vbProcedure="0">[14]!Calculate_Pipe</definedName>
    <definedName name="___________________A4" hidden="1" function="0" vbProcedure="0">[100]Run!$B$18:$B$512</definedName>
    <definedName name="___________________bb2789" hidden="0" function="0" vbProcedure="0">[12]!Calculate_Pipe</definedName>
    <definedName name="____________________A4" hidden="1" function="0" vbProcedure="0">[100]Run!$B$18:$B$512</definedName>
    <definedName name="____________________bb2789" hidden="0" function="0" vbProcedure="0">[10]!Calculate_Pipe</definedName>
    <definedName name="_____________________A4" hidden="1" function="0" vbProcedure="0">[100]Run!$B$18:$B$512</definedName>
    <definedName name="_____________________bb2789" hidden="0" function="0" vbProcedure="0">[13]!Calculate_Pipe</definedName>
    <definedName name="______________________A4" hidden="1" function="0" vbProcedure="0">[100]Run!$B$18:$B$512</definedName>
    <definedName name="______________________bb2789" hidden="0" function="0" vbProcedure="0">[10]!Calculate_Pipe</definedName>
    <definedName name="_______________________A4" hidden="1" function="0" vbProcedure="0">[100]Run!$B$18:$B$512</definedName>
    <definedName name="_______________________bb2789" hidden="0" function="0" vbProcedure="0">[10]!Calculate_Pipe</definedName>
    <definedName name="________________________A4" hidden="1" function="0" vbProcedure="0">[100]Run!$B$18:$B$512</definedName>
    <definedName name="________________________bb2789" hidden="0" function="0" vbProcedure="0">[12]!Calculate_Pipe</definedName>
    <definedName name="_________________________A4" hidden="1" function="0" vbProcedure="0">[100]Run!$B$18:$B$512</definedName>
    <definedName name="_________________________bb2789" hidden="0" function="0" vbProcedure="0">[10]!Calculate_Pipe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'Backload'!$A$1:$K$29</definedName>
    <definedName name="a" localSheetId="8" hidden="1" function="0" vbProcedure="0">#ref!</definedName>
    <definedName name="AA" localSheetId="8" hidden="0" function="0" vbProcedure="0">#ref!</definedName>
    <definedName name="aa.macro111" localSheetId="8" hidden="0" function="0" vbProcedure="0">[51]!Prev.Macro111</definedName>
    <definedName name="aaaa" localSheetId="8" hidden="0" function="0" vbProcedure="0">[52]!Macro59</definedName>
    <definedName name="ABX" localSheetId="8" hidden="1" function="0" vbProcedure="0">[103]Run!$B$18:$B$512</definedName>
    <definedName name="addresstwo" localSheetId="8" hidden="0" function="0" vbProcedure="0">[56]data!#ref!</definedName>
    <definedName name="ADDSTAB" localSheetId="8" hidden="0" function="0" vbProcedure="0">[58]!ADDSTAB</definedName>
    <definedName name="adf" localSheetId="8" hidden="0" function="0" vbProcedure="0">[59]!Macro60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'[64]tool backload dt'!amacro.n2foam</definedName>
    <definedName name="Ambient_temp" localSheetId="8" hidden="0" function="0" vbProcedure="0">'[7]#ref'!#ref!</definedName>
    <definedName name="amis" localSheetId="8" hidden="0" function="0" vbProcedure="0">[105]Tally!$A$5:$J$825</definedName>
    <definedName name="ANDERGAUGE" localSheetId="8" hidden="0" function="0" vbProcedure="0">[58]!ANDERGAUGE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'[73]well team goals'!#ref!</definedName>
    <definedName name="Approver_Well_Plan" localSheetId="8" hidden="0" function="0" vbProcedure="0">'[73]well team goals'!#ref!</definedName>
    <definedName name="asd" localSheetId="8" hidden="1" function="0" vbProcedure="0">#ref!</definedName>
    <definedName name="ASDA" localSheetId="8" hidden="0" function="0" vbProcedure="0">[74]!Calculate_Pipe</definedName>
    <definedName name="ASS" localSheetId="8" hidden="0" function="0" vbProcedure="0">[75]!JointNumber</definedName>
    <definedName name="Assembly1" localSheetId="8" hidden="0" function="0" vbProcedure="0">[75]!Calculate_Pipe</definedName>
    <definedName name="assy.3" localSheetId="8" hidden="0" function="0" vbProcedure="0">[75]!Calculate_Pipe</definedName>
    <definedName name="ASSY.6" localSheetId="8" hidden="0" function="0" vbProcedure="0">[75]!Calculate_Pipe</definedName>
    <definedName name="ASSY2312" localSheetId="8" hidden="0" function="0" vbProcedure="0">[28]!Macro1</definedName>
    <definedName name="ASSY7" localSheetId="8" hidden="0" function="0" vbProcedure="0">[43]!Calculate_Pipe</definedName>
    <definedName name="ASSY_098" localSheetId="8" hidden="0" function="0" vbProcedure="0">[75]!JointNumber</definedName>
    <definedName name="ASSY_122" localSheetId="8" hidden="0" function="0" vbProcedure="0">[28]!Macro1</definedName>
    <definedName name="ASSY_123" localSheetId="8" hidden="0" function="0" vbProcedure="0">[75]!JointNumber</definedName>
    <definedName name="ASSY_2111" localSheetId="8" hidden="0" function="0" vbProcedure="0">[28]!Macro1</definedName>
    <definedName name="ASSY_231" localSheetId="8" hidden="0" function="0" vbProcedure="0">[28]!Macro1</definedName>
    <definedName name="ASSY_342" localSheetId="8" hidden="0" function="0" vbProcedure="0">[28]!Macro1</definedName>
    <definedName name="ASSY_36" localSheetId="8" hidden="0" function="0" vbProcedure="0">[28]!Macro1</definedName>
    <definedName name="ASSY_4" localSheetId="8" hidden="0" function="0" vbProcedure="0">[28]!Macro1</definedName>
    <definedName name="ASSY_432" localSheetId="8" hidden="0" function="0" vbProcedure="0">[28]!Macro1</definedName>
    <definedName name="assy_5" localSheetId="8" hidden="0" function="0" vbProcedure="0">[75]!JointNumber</definedName>
    <definedName name="assy_543" localSheetId="8" hidden="0" function="0" vbProcedure="0">[75]!JointNumber</definedName>
    <definedName name="Assy_765" localSheetId="8" hidden="0" function="0" vbProcedure="0">[75]!Calculate_Pipe</definedName>
    <definedName name="ASSy_blast" localSheetId="8" hidden="0" function="0" vbProcedure="0">[75]!Calculate_Pipe</definedName>
    <definedName name="ASSY_W2" localSheetId="8" hidden="0" function="0" vbProcedure="0">[75]!Calculate_Pipe</definedName>
    <definedName name="AutoCAD" localSheetId="8" hidden="0" function="0" vbProcedure="0">[44]!AutoCAD</definedName>
    <definedName name="AutoCAD_1" localSheetId="8" hidden="0" function="0" vbProcedure="0">[28]!AutoCAD</definedName>
    <definedName name="AutoCAD_10" localSheetId="8" hidden="0" function="0" vbProcedure="0">[28]!AutoCAD</definedName>
    <definedName name="AutoCAD_11" localSheetId="8" hidden="0" function="0" vbProcedure="0">[28]!AutoCAD</definedName>
    <definedName name="AutoCAD_2" localSheetId="8" hidden="0" function="0" vbProcedure="0">[28]!AutoCAD</definedName>
    <definedName name="AutoCAD_3" localSheetId="8" hidden="0" function="0" vbProcedure="0">[28]!AutoCAD</definedName>
    <definedName name="AutoCAD_4" localSheetId="8" hidden="0" function="0" vbProcedure="0">[28]!AutoCAD</definedName>
    <definedName name="AutoCAD_5" localSheetId="8" hidden="0" function="0" vbProcedure="0">[28]!AutoCAD</definedName>
    <definedName name="AutoCAD_6" localSheetId="8" hidden="0" function="0" vbProcedure="0">[28]!AutoCAD</definedName>
    <definedName name="AutoCAD_7" localSheetId="8" hidden="0" function="0" vbProcedure="0">[28]!AutoCAD</definedName>
    <definedName name="AutoCAD_8" localSheetId="8" hidden="0" function="0" vbProcedure="0">[28]!AutoCAD</definedName>
    <definedName name="AutoCAD_9" localSheetId="8" hidden="0" function="0" vbProcedure="0">[28]!AutoCAD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'[79]casing talley'!#ref!</definedName>
    <definedName name="axj" localSheetId="8" hidden="1" function="0" vbProcedure="0">{#N/A,#N/A,FALSE,"Sheet1"}</definedName>
    <definedName name="A_L" localSheetId="8" hidden="0" function="0" vbProcedure="0">'[50]12(762mm)套管'!#ref!</definedName>
    <definedName name="b" localSheetId="8" hidden="1" function="0" vbProcedure="0">#ref!</definedName>
    <definedName name="back" localSheetId="8" hidden="0" function="0" vbProcedure="0">'[64]tool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[28]!basicok</definedName>
    <definedName name="BBB" localSheetId="8" hidden="0" function="0" vbProcedure="0">'[110]DD Worksheet'!$C$1</definedName>
    <definedName name="bbbbb" localSheetId="8" hidden="0" function="0" vbProcedure="0">[82]!Macro61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[86]!TubTable[[340]:[438]]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'[96]well test sheet'!#ref!</definedName>
    <definedName name="Budget_owner" localSheetId="8" hidden="0" function="0" vbProcedure="0">'[73]well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[86]!TubTable[[340]:[438]]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[75]!Calculate_Pipe</definedName>
    <definedName name="Calculate_Pipe" localSheetId="8" hidden="0" function="0" vbProcedure="0">[99]!Calculate_Pipe</definedName>
    <definedName name="Cancel" localSheetId="8" hidden="0" function="0" vbProcedure="0">[100]!Cancel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'[7]#ref'!#ref!</definedName>
    <definedName name="CAS_EXT_VOL" localSheetId="8" hidden="0" function="0" vbProcedure="0">'[7]#ref'!#ref!</definedName>
    <definedName name="CAS_ID" localSheetId="8" hidden="0" function="0" vbProcedure="0">'[113]#REF'!$H$11</definedName>
    <definedName name="CAS_OD" localSheetId="8" hidden="0" function="0" vbProcedure="0">'[113]#REF'!$J$11</definedName>
    <definedName name="CAS_SCR_VOL" localSheetId="8" hidden="0" function="0" vbProcedure="0">'[7]#ref'!#ref!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[82]!Macro59</definedName>
    <definedName name="cdr" localSheetId="8" hidden="0" function="0" vbProcedure="0">'[96]well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'[64]tool backload dt'!chemmac</definedName>
    <definedName name="Choice" localSheetId="8" hidden="0" function="0" vbProcedure="0">[122]Lists!$A$1:$A$3</definedName>
    <definedName name="cim" localSheetId="8" hidden="0" function="0" vbProcedure="0">[117]!Calculate_Pipe</definedName>
    <definedName name="CIPMACRO.n2foam" localSheetId="8" hidden="0" function="0" vbProcedure="0">'[64]tool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[58]!CLAMPON</definedName>
    <definedName name="CLEARCONTENTS" localSheetId="8" hidden="0" function="0" vbProcedure="0">[120]!CLEARCONTENTS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[120]!Clrmess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[28]!coections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[28]!conections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'[33]data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[58]!COPYDESGN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'!Objects,[28]!Liner1_OD),1)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[56]data!#ref!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'[144]job info sheet'!#ref!</definedName>
    <definedName name="customerrep" localSheetId="8" hidden="0" function="0" vbProcedure="0">'[113]#REF'!$E$6</definedName>
    <definedName name="Cyl_Yield" localSheetId="8" hidden="0" function="0" vbProcedure="0">'[48]liner job info'!#ref!</definedName>
    <definedName name="d" localSheetId="8" hidden="0" function="0" vbProcedure="0">'[1]run sheet'!#ref!</definedName>
    <definedName name="DAADA" localSheetId="8" hidden="0" function="0" vbProcedure="0">[117]!Calculate_Pipe</definedName>
    <definedName name="DAD" localSheetId="8" hidden="0" function="0" vbProcedure="0">'[146]tally checklist'!dad</definedName>
    <definedName name="DADAA" localSheetId="8" hidden="0" function="0" vbProcedure="0">'[146]tally checklist'!dadaa</definedName>
    <definedName name="DAEFF" localSheetId="8" hidden="0" function="0" vbProcedure="0">'[146]tally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[148]试油成果记录!#ref!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'[33]data '!#ref!</definedName>
    <definedName name="deliverto" localSheetId="8" hidden="0" function="0" vbProcedure="0">[56]data!#ref!</definedName>
    <definedName name="delma" localSheetId="8" hidden="0" function="0" vbProcedure="0">[151]!JointNumber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'[146]tally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[151]!JointNumber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'[48]liner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'[48]liner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'[1]run sheet'!#ref!</definedName>
    <definedName name="drawblanks" localSheetId="8" hidden="0" function="0" vbProcedure="0">'[146]tally checklist'!drawblanks</definedName>
    <definedName name="drawlinerfirst" localSheetId="8" hidden="0" function="0" vbProcedure="0">'[146]tally checklist'!drawlinerfirst</definedName>
    <definedName name="drawlinersecond" localSheetId="8" hidden="0" function="0" vbProcedure="0">'[146]tally checklist'!drawlinersecond</definedName>
    <definedName name="drawmiscellaneous" localSheetId="8" hidden="0" function="0" vbProcedure="0">'[146]tally checklist'!drawmiscellaneous</definedName>
    <definedName name="drawproductionfirst" localSheetId="8" hidden="0" function="0" vbProcedure="0">'[146]tally checklist'!drawproductionfirst</definedName>
    <definedName name="drawproductionsecond" localSheetId="8" hidden="0" function="0" vbProcedure="0">'[146]tally checklist'!drawproductionsecond</definedName>
    <definedName name="drawquantum" localSheetId="8" hidden="0" function="0" vbProcedure="0">'[146]tally checklist'!drawquantum</definedName>
    <definedName name="drawscreens" localSheetId="8" hidden="0" function="0" vbProcedure="0">'[146]tally checklist'!drawscreens</definedName>
    <definedName name="drawshearsubs" localSheetId="8" hidden="0" function="0" vbProcedure="0">'[146]tally checklist'!drawshearsubs</definedName>
    <definedName name="drawsump" localSheetId="8" hidden="0" function="0" vbProcedure="0">'[146]tally checklist'!drawsump</definedName>
    <definedName name="draw_blanks" localSheetId="8" hidden="0" function="0" vbProcedure="0">'[146]tally checklist'!draw_blanks</definedName>
    <definedName name="draw_linerfirst" localSheetId="8" hidden="0" function="0" vbProcedure="0">'[146]tally checklist'!draw_linerfirst</definedName>
    <definedName name="draw_linersecond" localSheetId="8" hidden="0" function="0" vbProcedure="0">'[146]tally checklist'!draw_linersecond</definedName>
    <definedName name="draw_miscellaneous" localSheetId="8" hidden="0" function="0" vbProcedure="0">'[146]tally checklist'!draw_miscellaneous</definedName>
    <definedName name="draw_productionfirst" localSheetId="8" hidden="0" function="0" vbProcedure="0">'[146]tally checklist'!draw_productionfirst</definedName>
    <definedName name="draw_productionsecond" localSheetId="8" hidden="0" function="0" vbProcedure="0">'[146]tally checklist'!draw_productionsecond</definedName>
    <definedName name="draw_quantum" localSheetId="8" hidden="0" function="0" vbProcedure="0">'[146]tally checklist'!draw_quantum</definedName>
    <definedName name="draw_screens" localSheetId="8" hidden="0" function="0" vbProcedure="0">'[146]tally checklist'!draw_screens</definedName>
    <definedName name="draw_shearsubs" localSheetId="8" hidden="0" function="0" vbProcedure="0">'[146]tally checklist'!draw_shearsubs</definedName>
    <definedName name="draw_sump" localSheetId="8" hidden="0" function="0" vbProcedure="0">'[146]tally checklist'!draw_sump</definedName>
    <definedName name="DRILLER" localSheetId="8" hidden="0" function="0" vbProcedure="0">#ref!</definedName>
    <definedName name="DRILLER2" localSheetId="8" hidden="0" function="0" vbProcedure="0">[162]!Calculate_Pipe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'[165]run_s.xls'!#ref!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[75]!Calculate_Pipe</definedName>
    <definedName name="edd" localSheetId="8" hidden="0" function="0" vbProcedure="0">[167]!Calculate_Pipe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'[146]tally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[56]data!#ref!</definedName>
    <definedName name="error" localSheetId="8" hidden="0" function="0" vbProcedure="0">[106]Data!$F$10</definedName>
    <definedName name="ertert" localSheetId="8" hidden="0" function="0" vbProcedure="0">[171]试压!#ref!</definedName>
    <definedName name="ES_pricelist" localSheetId="8" hidden="0" function="0" vbProcedure="0">[139]Pricelist!$A$8:$B$18</definedName>
    <definedName name="ex" localSheetId="8" hidden="0" function="0" vbProcedure="0">[151]!JointNumber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'[7]#ref'!#ref!</definedName>
    <definedName name="F" localSheetId="8" hidden="0" function="0" vbProcedure="0">[140]Parts!$A$1:$I$1048576</definedName>
    <definedName name="FB" localSheetId="8" hidden="0" function="0" vbProcedure="0">[177]!Calculate_Pipe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'[146]tally checklist'!fewfw</definedName>
    <definedName name="fff" localSheetId="8" hidden="0" function="0" vbProcedure="0">'[146]tally checklist'!fff</definedName>
    <definedName name="ffff" localSheetId="8" hidden="0" function="0" vbProcedure="0">[181]!Prev.Macro113</definedName>
    <definedName name="final" localSheetId="8" hidden="0" function="0" vbProcedure="0">[151]!JointNumber</definedName>
    <definedName name="FJNDEF" localSheetId="8" hidden="0" function="0" vbProcedure="0">'[146]tally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[56]data!#ref!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'[96]well test sheet'!#ref!</definedName>
    <definedName name="gas_cumm" localSheetId="8" hidden="0" function="0" vbProcedure="0">'[96]well test sheet'!#ref!</definedName>
    <definedName name="Gauge" localSheetId="8" hidden="0" function="0" vbProcedure="0">'[7]Drop-Down Items'!$D$74:$D$92</definedName>
    <definedName name="Gaugecancel" localSheetId="8" hidden="0" function="0" vbProcedure="0">[28]!Gaugecancel</definedName>
    <definedName name="gaugeconok" localSheetId="8" hidden="0" function="0" vbProcedure="0">[28]!gaugeconok</definedName>
    <definedName name="gaugeconok2" localSheetId="8" hidden="0" function="0" vbProcedure="0">[28]!gaugeconok2</definedName>
    <definedName name="gaugeok" localSheetId="8" hidden="0" function="0" vbProcedure="0">[28]!gaugeok</definedName>
    <definedName name="gaugeok2" localSheetId="8" hidden="0" function="0" vbProcedure="0">[28]!gaugeok2</definedName>
    <definedName name="gaugeselect" localSheetId="8" hidden="0" function="0" vbProcedure="0">[28]!gaugeselect</definedName>
    <definedName name="gaugeselect2" localSheetId="8" hidden="0" function="0" vbProcedure="0">[28]!gaugeselect2</definedName>
    <definedName name="gdsg" localSheetId="8" hidden="1" function="0" vbProcedure="0">[103]Run!$C$16:$C$512</definedName>
    <definedName name="GFTTC" localSheetId="8" hidden="0" function="0" vbProcedure="0">[151]!JointNumber</definedName>
    <definedName name="GGGR" localSheetId="8" hidden="0" function="0" vbProcedure="0">'[146]tally checklist'!gggr</definedName>
    <definedName name="GL" localSheetId="8" hidden="0" function="0" vbProcedure="0">'[189]offset data'!#ref!</definedName>
    <definedName name="GLM" localSheetId="8" hidden="0" function="0" vbProcedure="0">[75]!Calculate_Pipe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'[96]well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'[146]tally checklist'!gqgq</definedName>
    <definedName name="GQQ" localSheetId="8" hidden="0" function="0" vbProcedure="0">'[146]tally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'[146]tally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'[146]tally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[192]!Macro1</definedName>
    <definedName name="HAUL_Thread" localSheetId="8" hidden="0" function="0" vbProcedure="0">[109]DATA!$BM$22:$BM$114</definedName>
    <definedName name="HEAD" localSheetId="8" hidden="0" function="0" vbProcedure="0">#ref!</definedName>
    <definedName name="hesfluid" localSheetId="8" hidden="0" function="0" vbProcedure="0">[56]data!#ref!</definedName>
    <definedName name="hgh" localSheetId="8" hidden="1" function="0" vbProcedure="0">[103]Run!$D$15:$D$512</definedName>
    <definedName name="HGR_OL_Packoff_In" localSheetId="8" hidden="0" function="0" vbProcedure="0">[109]Test!$M$36</definedName>
    <definedName name="hhp" localSheetId="8" hidden="0" function="0" vbProcedure="0">'[96]well test sheet'!#ref!</definedName>
    <definedName name="hj" localSheetId="8" hidden="0" function="0" vbProcedure="0">[194]bha!#ref!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'[64]tool backload dt'!holevol</definedName>
    <definedName name="hpb" localSheetId="8" hidden="0" function="0" vbProcedure="0">'[96]well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[52]!Prev.Macro106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[28]!impdwg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OFFSET([28]!Inclination,2,0,COUNT(#ref!),1)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[44]!Insert_New_Page</definedName>
    <definedName name="Insert_New_Page_1" localSheetId="8" hidden="0" function="0" vbProcedure="0">[28]!Insert_New_Page</definedName>
    <definedName name="Insert_New_Page_10" localSheetId="8" hidden="0" function="0" vbProcedure="0">[28]!Insert_New_Page</definedName>
    <definedName name="Insert_New_Page_11" localSheetId="8" hidden="0" function="0" vbProcedure="0">[28]!Insert_New_Page</definedName>
    <definedName name="Insert_New_Page_2" localSheetId="8" hidden="0" function="0" vbProcedure="0">[28]!Insert_New_Page</definedName>
    <definedName name="Insert_New_Page_3" localSheetId="8" hidden="0" function="0" vbProcedure="0">[28]!Insert_New_Page</definedName>
    <definedName name="Insert_New_Page_4" localSheetId="8" hidden="0" function="0" vbProcedure="0">[28]!Insert_New_Page</definedName>
    <definedName name="Insert_New_Page_5" localSheetId="8" hidden="0" function="0" vbProcedure="0">[28]!Insert_New_Page</definedName>
    <definedName name="Insert_New_Page_6" localSheetId="8" hidden="0" function="0" vbProcedure="0">[28]!Insert_New_Page</definedName>
    <definedName name="Insert_New_Page_7" localSheetId="8" hidden="0" function="0" vbProcedure="0">[28]!Insert_New_Page</definedName>
    <definedName name="Insert_New_Page_8" localSheetId="8" hidden="0" function="0" vbProcedure="0">[28]!Insert_New_Page</definedName>
    <definedName name="Insert_New_Page_9" localSheetId="8" hidden="0" function="0" vbProcedure="0">[28]!Insert_New_Page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'[146]tally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'[144]job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[99]!JointNumber</definedName>
    <definedName name="JOINTNUMBER23" localSheetId="8" hidden="0" function="0" vbProcedure="0">[75]!JointNumber</definedName>
    <definedName name="JOINTNYMBER4" localSheetId="8" hidden="0" function="0" vbProcedure="0">[75]!JointNumber</definedName>
    <definedName name="JOYCE" localSheetId="8" hidden="1" function="0" vbProcedure="0">#ref!</definedName>
    <definedName name="JRJTRJT" localSheetId="8" hidden="0" function="0" vbProcedure="0">'[146]tally checklist'!jrjtrjt</definedName>
    <definedName name="JT" localSheetId="8" hidden="0" function="0" vbProcedure="0">[204]!JointNumber</definedName>
    <definedName name="JtCount" localSheetId="8" hidden="0" function="0" vbProcedure="0">'[79]casing talley'!#ref!</definedName>
    <definedName name="JTNFN" localSheetId="8" hidden="0" function="0" vbProcedure="0">'[146]tally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[28]!Macro1</definedName>
    <definedName name="KL" localSheetId="8" hidden="0" function="0" vbProcedure="0">[149]BHA!$C$4</definedName>
    <definedName name="KO" localSheetId="8" hidden="0" function="0" vbProcedure="0">'[148]CSG13'!$F$6</definedName>
    <definedName name="KRR" localSheetId="8" hidden="0" function="0" vbProcedure="0">'[146]tally checklist'!krr</definedName>
    <definedName name="KUYUKR" localSheetId="8" hidden="0" function="0" vbProcedure="0">'[146]tally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[56]data!#ref!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[63]auf_screen!#ref!</definedName>
    <definedName name="LOGGER" localSheetId="8" hidden="0" function="0" vbProcedure="0">[209]!Calculate_Pipe</definedName>
    <definedName name="loudout" localSheetId="8" hidden="1" function="0" vbProcedure="0">[151]Run!$D$15:$D$512</definedName>
    <definedName name="LS" localSheetId="8" hidden="0" function="0" vbProcedure="0">'[196]amberjack a32ream'!#ref!</definedName>
    <definedName name="LSA" localSheetId="8" hidden="0" function="0" vbProcedure="0">[213]!Calculate_Pipe</definedName>
    <definedName name="LSD" localSheetId="8" hidden="0" function="0" vbProcedure="0">'[144]job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[18]!Macro1</definedName>
    <definedName name="Macro112" localSheetId="8" hidden="0" function="0" vbProcedure="0">[59]!Macro59</definedName>
    <definedName name="Macro2" localSheetId="8" hidden="0" function="0" vbProcedure="0">[28]!Macro2</definedName>
    <definedName name="Macro22" localSheetId="8" hidden="0" function="0" vbProcedure="0">[28]!Macro22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[28]!Macro1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[28]!Macro3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OFFSET([28]!MDForInclination,2,0,COUNT(#ref!),1)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'[146]tally checklist'!module1.draw_productionfirst</definedName>
    <definedName name="Module1.draw_productionsecond" localSheetId="8" hidden="0" function="0" vbProcedure="0">'[146]tally checklist'!module1.draw_productionsecond</definedName>
    <definedName name="Module1.impdwg" localSheetId="8" hidden="0" function="0" vbProcedure="0">[28]!Module1.impdwg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'[146]tally checklist'!module4.drawblanks</definedName>
    <definedName name="Module4.drawlinerfirst" localSheetId="8" hidden="0" function="0" vbProcedure="0">'[146]tally checklist'!module4.drawlinerfirst</definedName>
    <definedName name="Module4.drawlinersecond" localSheetId="8" hidden="0" function="0" vbProcedure="0">'[146]tally checklist'!module4.drawlinersecond</definedName>
    <definedName name="Module4.drawmiscellaneous" localSheetId="8" hidden="0" function="0" vbProcedure="0">'[146]tally checklist'!module4.drawmiscellaneous</definedName>
    <definedName name="Module4.drawproductionfirst" localSheetId="8" hidden="0" function="0" vbProcedure="0">'[146]tally checklist'!module4.drawproductionfirst</definedName>
    <definedName name="Module4.drawproductionsecond" localSheetId="8" hidden="0" function="0" vbProcedure="0">'[146]tally checklist'!module4.drawproductionsecond</definedName>
    <definedName name="Module4.drawquantum" localSheetId="8" hidden="0" function="0" vbProcedure="0">'[146]tally checklist'!module4.drawquantum</definedName>
    <definedName name="Module4.drawscreens" localSheetId="8" hidden="0" function="0" vbProcedure="0">'[146]tally checklist'!module4.drawscreens</definedName>
    <definedName name="Module4.drawshearsubs" localSheetId="8" hidden="0" function="0" vbProcedure="0">'[146]tally checklist'!module4.drawshearsubs</definedName>
    <definedName name="Module4.drawsump" localSheetId="8" hidden="0" function="0" vbProcedure="0">'[146]tally checklist'!module4.drawsump</definedName>
    <definedName name="Module4.textfive" localSheetId="8" hidden="0" function="0" vbProcedure="0">'[146]tally checklist'!module4.textfive</definedName>
    <definedName name="Module4.textfivehalf" localSheetId="8" hidden="0" function="0" vbProcedure="0">'[146]tally checklist'!module4.textfivehalf</definedName>
    <definedName name="Module4.textninefiveeightfourfirst" localSheetId="8" hidden="0" function="0" vbProcedure="0">'[146]tally checklist'!module4.textninefiveeightfourfirst</definedName>
    <definedName name="Module4.textninefiveeightfoursecond" localSheetId="8" hidden="0" function="0" vbProcedure="0">'[146]tally checklist'!module4.textninefiveeightfoursecond</definedName>
    <definedName name="Module4.textninefiveeightsixfirst" localSheetId="8" hidden="0" function="0" vbProcedure="0">'[146]tally checklist'!module4.textninefiveeightsixfirst</definedName>
    <definedName name="Module4.textninefiveeightsixsecond" localSheetId="8" hidden="0" function="0" vbProcedure="0">'[146]tally checklist'!module4.textninefiveeightsixsecond</definedName>
    <definedName name="Module4.textsevenfiveeightfour" localSheetId="8" hidden="0" function="0" vbProcedure="0">'[146]tally checklist'!module4.textsevenfiveeightfour</definedName>
    <definedName name="Module4.textsevenfiveeightthree" localSheetId="8" hidden="0" function="0" vbProcedure="0">'[146]tally checklist'!module4.textsevenfiveeightthree</definedName>
    <definedName name="Module4.textsevenfour" localSheetId="8" hidden="0" function="0" vbProcedure="0">'[146]tally checklist'!module4.textsevenfour</definedName>
    <definedName name="Module4.textseventhree" localSheetId="8" hidden="0" function="0" vbProcedure="0">'[146]tally checklist'!module4.textseventhree</definedName>
    <definedName name="MOE" localSheetId="8" hidden="0" function="0" vbProcedure="0">#ref!</definedName>
    <definedName name="Month" localSheetId="8" hidden="0" function="0" vbProcedure="0">[63]auf_screen!#ref!</definedName>
    <definedName name="MorningReport" localSheetId="8" hidden="0" function="0" vbProcedure="0">'[218]morning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[151]!JointNumber</definedName>
    <definedName name="m_choke" localSheetId="8" hidden="0" function="0" vbProcedure="0">'[96]well test sheet'!#ref!</definedName>
    <definedName name="M_Dual" localSheetId="8" hidden="0" function="0" vbProcedure="0">#ref!</definedName>
    <definedName name="n" localSheetId="8" hidden="0" function="0" vbProcedure="0">'[146]tally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'[7]#ref'!#ref!</definedName>
    <definedName name="Nipples" localSheetId="8" hidden="0" function="0" vbProcedure="0">#ref!</definedName>
    <definedName name="NM" localSheetId="8" hidden="0" function="0" vbProcedure="0">[18]!Macro1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'[96]well test sheet'!#ref!</definedName>
    <definedName name="oil_cumm" localSheetId="8" hidden="0" function="0" vbProcedure="0">'[96]well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[56]data!#ref!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'[79]casing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'[79]casing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[241]index!#ref!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'[79]casing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[52]!Prev.Macro102</definedName>
    <definedName name="PFIVE_TOTAL" localSheetId="8" hidden="0" function="0" vbProcedure="0">[241]index!#ref!</definedName>
    <definedName name="PFOUR_TOTAL" localSheetId="8" hidden="0" function="0" vbProcedure="0">[241]index!#ref!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'[146]tally checklist'!pick1_958x475_system</definedName>
    <definedName name="pick1_958x6_system" localSheetId="8" hidden="0" function="0" vbProcedure="0">'[146]tally checklist'!pick1_958x6_system</definedName>
    <definedName name="pick1_production" localSheetId="8" hidden="0" function="0" vbProcedure="0">'[146]tally checklist'!pick1_production</definedName>
    <definedName name="pick2_958x475_system" localSheetId="8" hidden="0" function="0" vbProcedure="0">'[146]tally checklist'!pick2_958x475_system</definedName>
    <definedName name="pick2_958x6_system" localSheetId="8" hidden="0" function="0" vbProcedure="0">'[146]tally checklist'!pick2_958x6_system</definedName>
    <definedName name="pick2_production" localSheetId="8" hidden="0" function="0" vbProcedure="0">'[146]tally checklist'!pick2_production</definedName>
    <definedName name="pick_512_system" localSheetId="8" hidden="0" function="0" vbProcedure="0">'[146]tally checklist'!pick_512_system</definedName>
    <definedName name="pick_5_system" localSheetId="8" hidden="0" function="0" vbProcedure="0">'[146]tally checklist'!pick_5_system</definedName>
    <definedName name="pick_758x314_system" localSheetId="8" hidden="0" function="0" vbProcedure="0">'[146]tally checklist'!pick_758x314_system</definedName>
    <definedName name="pick_758x4_system" localSheetId="8" hidden="0" function="0" vbProcedure="0">'[146]tally checklist'!pick_758x4_system</definedName>
    <definedName name="pick_7x314_system" localSheetId="8" hidden="0" function="0" vbProcedure="0">'[146]tally checklist'!pick_7x314_system</definedName>
    <definedName name="pick_7x4_system" localSheetId="8" hidden="0" function="0" vbProcedure="0">'[146]tally checklist'!pick_7x4_system</definedName>
    <definedName name="pick_blanks" localSheetId="8" hidden="0" function="0" vbProcedure="0">'[146]tally checklist'!pick_blanks</definedName>
    <definedName name="pick_liner" localSheetId="8" hidden="0" function="0" vbProcedure="0">'[146]tally checklist'!pick_liner</definedName>
    <definedName name="pick_liner2" localSheetId="8" hidden="0" function="0" vbProcedure="0">'[146]tally checklist'!pick_liner2</definedName>
    <definedName name="pick_miscellaneous" localSheetId="8" hidden="0" function="0" vbProcedure="0">'[146]tally checklist'!pick_miscellaneous</definedName>
    <definedName name="pick_quantum" localSheetId="8" hidden="0" function="0" vbProcedure="0">'[146]tally checklist'!pick_quantum</definedName>
    <definedName name="pick_screens" localSheetId="8" hidden="0" function="0" vbProcedure="0">'[146]tally checklist'!pick_screens</definedName>
    <definedName name="pick_shearsubs" localSheetId="8" hidden="0" function="0" vbProcedure="0">'[146]tally checklist'!pick_shearsubs</definedName>
    <definedName name="pick_sump" localSheetId="8" hidden="0" function="0" vbProcedure="0">'[146]tally checklist'!pick_sump</definedName>
    <definedName name="Pilot" localSheetId="8" hidden="0" function="0" vbProcedure="0">[242]!'[module4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'[64]tool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[241]index!#ref!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[43]!Calculate_Pipe</definedName>
    <definedName name="pre.Macro220" localSheetId="8" hidden="0" function="0" vbProcedure="0">[52]!Prev.Macro110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[52]!Prev.Macro122</definedName>
    <definedName name="prev.Macro200" localSheetId="8" hidden="0" function="0" vbProcedure="0">[52]!Prev.Macro128</definedName>
    <definedName name="Prev.Macro242" localSheetId="8" hidden="0" function="0" vbProcedure="0">[52]!Prev.Macro106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'[250]neb-wells'!#ref!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[241]index!#ref!</definedName>
    <definedName name="PSI" localSheetId="8" hidden="0" function="0" vbProcedure="0">'[78]tester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[241]index!#ref!</definedName>
    <definedName name="psl" localSheetId="8" hidden="0" function="0" vbProcedure="0">[56]data!#ref!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[241]index!#ref!</definedName>
    <definedName name="PTWO_TOTAL" localSheetId="8" hidden="0" function="0" vbProcedure="0">[241]index!#ref!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[254]!Calculate_Pipe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'[146]tally checklist'!quantum</definedName>
    <definedName name="Range1" localSheetId="8" hidden="0" function="0" vbProcedure="0">OFFSET([257]sheet1!$e$5, 1, 0,[257]sheet1!$e$2,1)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[120]!Recalc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'[1]run sheet'!#ref!</definedName>
    <definedName name="RESE" localSheetId="8" hidden="0" function="0" vbProcedure="0">'[146]tally checklist'!rese</definedName>
    <definedName name="reservoir15" localSheetId="8" hidden="0" function="0" vbProcedure="0">'[73]geological prognosis'!#ref!</definedName>
    <definedName name="reservoir16" localSheetId="8" hidden="0" function="0" vbProcedure="0">'[73]geological prognosis'!#ref!</definedName>
    <definedName name="reservoir17" localSheetId="8" hidden="0" function="0" vbProcedure="0">'[73]geological prognosis'!#ref!</definedName>
    <definedName name="reservoir18" localSheetId="8" hidden="0" function="0" vbProcedure="0">'[73]geological prognosis'!#ref!</definedName>
    <definedName name="reservoir19" localSheetId="8" hidden="0" function="0" vbProcedure="0">'[73]geological prognosis'!#ref!</definedName>
    <definedName name="reservoir20" localSheetId="8" hidden="0" function="0" vbProcedure="0">'[73]geological prognosis'!#ref!</definedName>
    <definedName name="reservoir21" localSheetId="8" hidden="0" function="0" vbProcedure="0">'[73]geological prognosis'!#ref!</definedName>
    <definedName name="reservoir22" localSheetId="8" hidden="0" function="0" vbProcedure="0">'[73]geological prognosis'!#ref!</definedName>
    <definedName name="reservoir23" localSheetId="8" hidden="0" function="0" vbProcedure="0">'[73]geological prognosis'!#ref!</definedName>
    <definedName name="reservoir24" localSheetId="8" hidden="0" function="0" vbProcedure="0">'[73]geological prognosis'!#ref!</definedName>
    <definedName name="reservoir25" localSheetId="8" hidden="0" function="0" vbProcedure="0">'[73]geological prognosis'!#ref!</definedName>
    <definedName name="reservoir26" localSheetId="8" hidden="0" function="0" vbProcedure="0">'[73]geological prognosis'!#ref!</definedName>
    <definedName name="reservoir27" localSheetId="8" hidden="0" function="0" vbProcedure="0">'[73]geological prognosis'!#ref!</definedName>
    <definedName name="reservoir28" localSheetId="8" hidden="0" function="0" vbProcedure="0">'[73]geological prognosis'!#ref!</definedName>
    <definedName name="reservoir29" localSheetId="8" hidden="0" function="0" vbProcedure="0">'[73]geological prognosis'!#ref!</definedName>
    <definedName name="resrevoir09" localSheetId="8" hidden="0" function="0" vbProcedure="0">'[73]geological prognosis'!#ref!</definedName>
    <definedName name="resrevoir10" localSheetId="8" hidden="0" function="0" vbProcedure="0">'[73]geological prognosis'!#ref!</definedName>
    <definedName name="resrevoir12" localSheetId="8" hidden="0" function="0" vbProcedure="0">'[73]geological prognosis'!#ref!</definedName>
    <definedName name="resrevoir13" localSheetId="8" hidden="0" function="0" vbProcedure="0">'[73]geological prognosis'!#ref!</definedName>
    <definedName name="resrevoir14" localSheetId="8" hidden="0" function="0" vbProcedure="0">'[73]geological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'[1]run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'[96]well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'[7]#ref'!#ref!</definedName>
    <definedName name="SAND_IN_CAS_EXT" localSheetId="8" hidden="0" function="0" vbProcedure="0">'[7]#ref'!#ref!</definedName>
    <definedName name="SAND_IN_CAS_PREPACK" localSheetId="8" hidden="0" function="0" vbProcedure="0">'[113]#REF'!$F$81</definedName>
    <definedName name="SAND_IN_CAS_SCR" localSheetId="8" hidden="0" function="0" vbProcedure="0">'[7]#ref'!#ref!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[28]!Save_Document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[18]!Macro1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[75]!Calculate_Pipe</definedName>
    <definedName name="se" localSheetId="8" hidden="0" function="0" vbProcedure="0">'[270]calculo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'[96]well test sheet'!#ref!</definedName>
    <definedName name="sep_temp" localSheetId="8" hidden="0" function="0" vbProcedure="0">'[96]well test sheet'!#ref!</definedName>
    <definedName name="serialselect1" localSheetId="8" hidden="0" function="0" vbProcedure="0">[28]!serialselect1</definedName>
    <definedName name="serialselect2" localSheetId="8" hidden="0" function="0" vbProcedure="0">[28]!serialselect2</definedName>
    <definedName name="serialselect3" localSheetId="8" hidden="0" function="0" vbProcedure="0">[28]!serialselect3</definedName>
    <definedName name="serialselect4" localSheetId="8" hidden="0" function="0" vbProcedure="0">[28]!serialselect4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'[146]tally checklist'!sher</definedName>
    <definedName name="shippedvia" localSheetId="8" hidden="0" function="0" vbProcedure="0">'[33]data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[44]!Show_1</definedName>
    <definedName name="Show_1_1" localSheetId="8" hidden="0" function="0" vbProcedure="0">[28]!Show_1</definedName>
    <definedName name="Show_1_10" localSheetId="8" hidden="0" function="0" vbProcedure="0">[28]!Show_1</definedName>
    <definedName name="Show_1_11" localSheetId="8" hidden="0" function="0" vbProcedure="0">[28]!Show_1</definedName>
    <definedName name="Show_1_2" localSheetId="8" hidden="0" function="0" vbProcedure="0">[28]!Show_1</definedName>
    <definedName name="Show_1_3" localSheetId="8" hidden="0" function="0" vbProcedure="0">[28]!Show_1</definedName>
    <definedName name="Show_1_4" localSheetId="8" hidden="0" function="0" vbProcedure="0">[28]!Show_1</definedName>
    <definedName name="Show_1_5" localSheetId="8" hidden="0" function="0" vbProcedure="0">[28]!Show_1</definedName>
    <definedName name="Show_1_6" localSheetId="8" hidden="0" function="0" vbProcedure="0">[28]!Show_1</definedName>
    <definedName name="Show_1_7" localSheetId="8" hidden="0" function="0" vbProcedure="0">[28]!Show_1</definedName>
    <definedName name="Show_1_8" localSheetId="8" hidden="0" function="0" vbProcedure="0">[28]!Show_1</definedName>
    <definedName name="Show_1_9" localSheetId="8" hidden="0" function="0" vbProcedure="0">[28]!Show_1</definedName>
    <definedName name="Show_2" localSheetId="8" hidden="0" function="0" vbProcedure="0">[44]!Show_2</definedName>
    <definedName name="Show_2_1" localSheetId="8" hidden="0" function="0" vbProcedure="0">[28]!Show_2</definedName>
    <definedName name="Show_2_10" localSheetId="8" hidden="0" function="0" vbProcedure="0">[28]!Show_2</definedName>
    <definedName name="Show_2_11" localSheetId="8" hidden="0" function="0" vbProcedure="0">[28]!Show_2</definedName>
    <definedName name="Show_2_2" localSheetId="8" hidden="0" function="0" vbProcedure="0">[28]!Show_2</definedName>
    <definedName name="Show_2_3" localSheetId="8" hidden="0" function="0" vbProcedure="0">[28]!Show_2</definedName>
    <definedName name="Show_2_4" localSheetId="8" hidden="0" function="0" vbProcedure="0">[28]!Show_2</definedName>
    <definedName name="Show_2_5" localSheetId="8" hidden="0" function="0" vbProcedure="0">[28]!Show_2</definedName>
    <definedName name="Show_2_6" localSheetId="8" hidden="0" function="0" vbProcedure="0">[28]!Show_2</definedName>
    <definedName name="Show_2_7" localSheetId="8" hidden="0" function="0" vbProcedure="0">[28]!Show_2</definedName>
    <definedName name="Show_2_8" localSheetId="8" hidden="0" function="0" vbProcedure="0">[28]!Show_2</definedName>
    <definedName name="Show_2_9" localSheetId="8" hidden="0" function="0" vbProcedure="0">[28]!Show_2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[275]!Macro46</definedName>
    <definedName name="SSDHGR" localSheetId="8" hidden="0" function="0" vbProcedure="0">#ref!</definedName>
    <definedName name="ssdsd" localSheetId="8" hidden="0" function="0" vbProcedure="0">'[146]tally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[52]!Prev.Macro102</definedName>
    <definedName name="Tally" localSheetId="8" hidden="0" function="0" vbProcedure="0">#ref!</definedName>
    <definedName name="tallyc" localSheetId="8" hidden="0" function="0" vbProcedure="0">'[3]run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[151]!Calculate_Pipe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[287]!ADDSTAB</definedName>
    <definedName name="TD_Depth_md" localSheetId="8" hidden="0" function="0" vbProcedure="0">'[73]well specification'!#ref!</definedName>
    <definedName name="TD_md" localSheetId="8" hidden="0" function="0" vbProcedure="0">'[73]well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'[146]tally checklist'!textfive</definedName>
    <definedName name="textfivehalf" localSheetId="8" hidden="0" function="0" vbProcedure="0">'[146]tally checklist'!textfivehalf</definedName>
    <definedName name="textninefiveeightfourfirst" localSheetId="8" hidden="0" function="0" vbProcedure="0">'[146]tally checklist'!textninefiveeightfourfirst</definedName>
    <definedName name="textninefiveeightfoursecond" localSheetId="8" hidden="0" function="0" vbProcedure="0">'[146]tally checklist'!textninefiveeightfoursecond</definedName>
    <definedName name="textninefiveeightsixfirst" localSheetId="8" hidden="0" function="0" vbProcedure="0">'[146]tally checklist'!textninefiveeightsixfirst</definedName>
    <definedName name="textninefiveeightsixsecond" localSheetId="8" hidden="0" function="0" vbProcedure="0">'[146]tally checklist'!textninefiveeightsixsecond</definedName>
    <definedName name="textsevenfiveeightfour" localSheetId="8" hidden="0" function="0" vbProcedure="0">'[146]tally checklist'!textsevenfiveeightfour</definedName>
    <definedName name="textsevenfiveeightthree" localSheetId="8" hidden="0" function="0" vbProcedure="0">'[146]tally checklist'!textsevenfiveeightthree</definedName>
    <definedName name="textsevenfour" localSheetId="8" hidden="0" function="0" vbProcedure="0">'[146]tally checklist'!textsevenfour</definedName>
    <definedName name="textseventhree" localSheetId="8" hidden="0" function="0" vbProcedure="0">'[146]tally checklist'!textseventhree</definedName>
    <definedName name="text_five" localSheetId="8" hidden="0" function="0" vbProcedure="0">'[146]tally checklist'!text_five</definedName>
    <definedName name="text_fivehalf" localSheetId="8" hidden="0" function="0" vbProcedure="0">'[146]tally checklist'!text_fivehalf</definedName>
    <definedName name="text_ninefiveeightfourfirst" localSheetId="8" hidden="0" function="0" vbProcedure="0">'[146]tally checklist'!text_ninefiveeightfourfirst</definedName>
    <definedName name="text_ninefiveeightfoursecond" localSheetId="8" hidden="0" function="0" vbProcedure="0">'[146]tally checklist'!text_ninefiveeightfoursecond</definedName>
    <definedName name="text_ninefiveeightsixfirst" localSheetId="8" hidden="0" function="0" vbProcedure="0">'[146]tally checklist'!text_ninefiveeightsixfirst</definedName>
    <definedName name="text_ninefiveeightsixsecond" localSheetId="8" hidden="0" function="0" vbProcedure="0">'[146]tally checklist'!text_ninefiveeightsixsecond</definedName>
    <definedName name="text_sevenfiveeightfour" localSheetId="8" hidden="0" function="0" vbProcedure="0">'[146]tally checklist'!text_sevenfiveeightfour</definedName>
    <definedName name="text_sevenfiveeightthree" localSheetId="8" hidden="0" function="0" vbProcedure="0">'[146]tally checklist'!text_sevenfiveeightthree</definedName>
    <definedName name="text_sevenfour" localSheetId="8" hidden="0" function="0" vbProcedure="0">'[146]tally checklist'!text_sevenfour</definedName>
    <definedName name="text_seventhree" localSheetId="8" hidden="0" function="0" vbProcedure="0">'[146]tally checklist'!text_seventhree</definedName>
    <definedName name="tgrade" localSheetId="8" hidden="0" function="0" vbProcedure="0">[157]Control!$D$9</definedName>
    <definedName name="TGW" localSheetId="8" hidden="0" function="0" vbProcedure="0">'[146]tally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[56]data!#ref!</definedName>
    <definedName name="time" localSheetId="8" hidden="0" function="0" vbProcedure="0">'[96]well test sheet'!#ref!</definedName>
    <definedName name="Time_1" localSheetId="8" hidden="0" function="0" vbProcedure="0">#ref!</definedName>
    <definedName name="Time_1__Time_2" localSheetId="8" hidden="0" function="0" vbProcedure="0">'[290]k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'[48]liner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'[7]#ref'!#ref!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'[7]#ref'!#ref!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'[146]tally checklist'!tqw</definedName>
    <definedName name="tr" localSheetId="8" hidden="0" function="0" vbProcedure="0">null</definedName>
    <definedName name="transport" localSheetId="8" hidden="0" function="0" vbProcedure="0">[56]data!#ref!</definedName>
    <definedName name="treatment" localSheetId="8" hidden="0" function="0" vbProcedure="0">[56]data!#ref!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[86]!TubTable[id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'[146]tally checklist'!tyjeje</definedName>
    <definedName name="TYPE" localSheetId="8" hidden="0" function="0" vbProcedure="0">'[61]7-30-04'!#ref!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'[50]12(762mm)套管'!#ref!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'[146]tally checklist'!vbcode.draw_blanks</definedName>
    <definedName name="vbcode.draw_linerfirst" localSheetId="8" hidden="0" function="0" vbProcedure="0">'[146]tally checklist'!vbcode.draw_linerfirst</definedName>
    <definedName name="vbcode.draw_linersecond" localSheetId="8" hidden="0" function="0" vbProcedure="0">'[146]tally checklist'!vbcode.draw_linersecond</definedName>
    <definedName name="vbcode.draw_miscellaneous" localSheetId="8" hidden="0" function="0" vbProcedure="0">'[146]tally checklist'!vbcode.draw_miscellaneous</definedName>
    <definedName name="vbcode.draw_productionfirst" localSheetId="8" hidden="0" function="0" vbProcedure="0">'[146]tally checklist'!vbcode.draw_productionfirst</definedName>
    <definedName name="vbcode.draw_productionsecond" localSheetId="8" hidden="0" function="0" vbProcedure="0">'[146]tally checklist'!vbcode.draw_productionsecond</definedName>
    <definedName name="vbcode.draw_quantum" localSheetId="8" hidden="0" function="0" vbProcedure="0">'[146]tally checklist'!vbcode.draw_quantum</definedName>
    <definedName name="vbcode.draw_screens" localSheetId="8" hidden="0" function="0" vbProcedure="0">'[146]tally checklist'!vbcode.draw_screens</definedName>
    <definedName name="vbcode.draw_shearsubs" localSheetId="8" hidden="0" function="0" vbProcedure="0">'[146]tally checklist'!vbcode.draw_shearsubs</definedName>
    <definedName name="vbcode.draw_sump" localSheetId="8" hidden="0" function="0" vbProcedure="0">'[146]tally checklist'!vbcode.draw_sump</definedName>
    <definedName name="vbcode.text_five" localSheetId="8" hidden="0" function="0" vbProcedure="0">'[146]tally checklist'!vbcode.text_five</definedName>
    <definedName name="vbcode.text_fivehalf" localSheetId="8" hidden="0" function="0" vbProcedure="0">'[146]tally checklist'!vbcode.text_fivehalf</definedName>
    <definedName name="vbcode.text_ninefiveeightfourfirst" localSheetId="8" hidden="0" function="0" vbProcedure="0">'[146]tally checklist'!vbcode.text_ninefiveeightfourfirst</definedName>
    <definedName name="vbcode.text_ninefiveeightfoursecond" localSheetId="8" hidden="0" function="0" vbProcedure="0">'[146]tally checklist'!vbcode.text_ninefiveeightfoursecond</definedName>
    <definedName name="vbcode.text_ninefiveeightsixfirst" localSheetId="8" hidden="0" function="0" vbProcedure="0">'[146]tally checklist'!vbcode.text_ninefiveeightsixfirst</definedName>
    <definedName name="vbcode.text_ninefiveeightsixsecond" localSheetId="8" hidden="0" function="0" vbProcedure="0">'[146]tally checklist'!vbcode.text_ninefiveeightsixsecond</definedName>
    <definedName name="vbcode.text_sevenfiveeightfour" localSheetId="8" hidden="0" function="0" vbProcedure="0">'[146]tally checklist'!vbcode.text_sevenfiveeightfour</definedName>
    <definedName name="vbcode.text_sevenfiveeightthree" localSheetId="8" hidden="0" function="0" vbProcedure="0">'[146]tally checklist'!vbcode.text_sevenfiveeightthree</definedName>
    <definedName name="vbcode.text_sevenfour" localSheetId="8" hidden="0" function="0" vbProcedure="0">'[146]tally checklist'!vbcode.text_sevenfour</definedName>
    <definedName name="vbcode.text_seventhree" localSheetId="8" hidden="0" function="0" vbProcedure="0">'[146]tally checklist'!vbcode.text_seventhree</definedName>
    <definedName name="Verticaldepth" localSheetId="8" hidden="0" function="0" vbProcedure="0">'[129]Front Page Info'!$C$18</definedName>
    <definedName name="vfdvf" localSheetId="8" hidden="0" function="0" vbProcedure="0">[181]!Macro61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[82]!Macro60</definedName>
    <definedName name="w" localSheetId="8" hidden="0" function="0" vbProcedure="0">'[306]run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[307]welltest!#ref!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'[96]well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[86]!CasingTable[#data]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'[96]well test sheet'!#ref!</definedName>
    <definedName name="wtr_rate" localSheetId="8" hidden="0" function="0" vbProcedure="0">'[96]well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[309]!Macro46</definedName>
    <definedName name="Y" localSheetId="8" hidden="0" function="0" vbProcedure="0">'[310]#ref'!#ref!</definedName>
    <definedName name="YESNO" localSheetId="8" hidden="0" function="0" vbProcedure="0">[129]RSS!$E$139:$E$141</definedName>
    <definedName name="YJEJD" localSheetId="8" hidden="0" function="0" vbProcedure="0">'[146]tally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[309]!'[module4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'[1]run sheet'!#ref!</definedName>
    <definedName name="_B" localSheetId="8" hidden="0" function="0" vbProcedure="0">#ref!</definedName>
    <definedName name="_C" localSheetId="8" hidden="0" function="0" vbProcedure="0">'[1]run sheet'!#ref!</definedName>
    <definedName name="_D" localSheetId="8" hidden="0" function="0" vbProcedure="0">'[1]run sheet'!#ref!</definedName>
    <definedName name="_E" localSheetId="8" hidden="0" function="0" vbProcedure="0">'[1]run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'[1]run sheet'!#ref!</definedName>
    <definedName name="_J" localSheetId="8" hidden="0" function="0" vbProcedure="0">'[1]run sheet'!#ref!</definedName>
    <definedName name="_L" localSheetId="8" hidden="0" function="0" vbProcedure="0">'[1]run sheet'!#ref!</definedName>
    <definedName name="_N" localSheetId="8" hidden="0" function="0" vbProcedure="0">'[1]run sheet'!#ref!</definedName>
    <definedName name="_q" localSheetId="8" hidden="0" function="0" vbProcedure="0">'[4]run sheet'!#ref!</definedName>
    <definedName name="_T" localSheetId="8" hidden="1" function="0" vbProcedure="0">{#N/A,#N/A,FALSE,"Volume"}</definedName>
    <definedName name="_V" localSheetId="8" hidden="0" function="0" vbProcedure="0">#ref!</definedName>
    <definedName name="_X" localSheetId="8" hidden="0" function="0" vbProcedure="0">'[1]run sheet'!#ref!</definedName>
    <definedName name="_Z" localSheetId="8" hidden="0" function="0" vbProcedure="0">'[1]run sheet'!#ref!</definedName>
    <definedName name="_" localSheetId="8" hidden="0" function="0" vbProcedure="0">[6]readings!#ref!</definedName>
    <definedName name="_1" localSheetId="8" hidden="1" function="0" vbProcedure="0">{#N/A,#N/A,FALSE,"Volume"}</definedName>
    <definedName name="_11Druckbereich" localSheetId="8" hidden="0" function="0" vbProcedure="0">[36]run_s!#ref!</definedName>
    <definedName name="_1234GRAPH_G" localSheetId="8" hidden="1" function="0" vbProcedure="0">[179]Run!$F$16:$F$514</definedName>
    <definedName name="_1Module2__2__.gaugeconok2" localSheetId="8" hidden="0" function="0" vbProcedure="0">[28]!_1Module2__2__.gaugeconok2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[28]!_2Module2__2__.gaugeok2</definedName>
    <definedName name="_3Module2__2__.gaugeselect2" localSheetId="8" hidden="0" function="0" vbProcedure="0">[28]!_3Module2__2__.gaugeselect2</definedName>
    <definedName name="_4Module2__2__.serialselect3" localSheetId="8" hidden="0" function="0" vbProcedure="0">[28]!_4Module2__2__.serialselect3</definedName>
    <definedName name="_5" localSheetId="8" hidden="1" function="0" vbProcedure="0">{#N/A,#N/A,FALSE,"Volume"}</definedName>
    <definedName name="_5Module2__2__.serialselect4" localSheetId="8" hidden="0" function="0" vbProcedure="0">[28]!_5Module2__2__.serialselect4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[15]!Calculate_Pipe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'[40]sap serv 06-02'!#ref!</definedName>
    <definedName name="_DAT17" localSheetId="8" hidden="0" function="0" vbProcedure="0">'[40]sap serv 06-02'!#ref!</definedName>
    <definedName name="_DAT19" localSheetId="8" hidden="0" function="0" vbProcedure="0">'[40]sap serv 06-02'!#ref!</definedName>
    <definedName name="_DAT20" localSheetId="8" hidden="0" function="0" vbProcedure="0">'[40]sap serv 06-02'!#ref!</definedName>
    <definedName name="_DAT25" localSheetId="8" hidden="0" function="0" vbProcedure="0">'[40]sap serv 06-02'!#ref!</definedName>
    <definedName name="_DAT26" localSheetId="8" hidden="0" function="0" vbProcedure="0">'[40]sap serv 06-02'!#ref!</definedName>
    <definedName name="_DAT27" localSheetId="8" hidden="0" function="0" vbProcedure="0">'[40]sap serv 06-02'!#ref!</definedName>
    <definedName name="_DAT28" localSheetId="8" hidden="0" function="0" vbProcedure="0">'[40]sap serv 06-02'!#ref!</definedName>
    <definedName name="_DAT29" localSheetId="8" hidden="0" function="0" vbProcedure="0">'[40]sap serv 06-02'!#ref!</definedName>
    <definedName name="_DAT31" localSheetId="8" hidden="0" function="0" vbProcedure="0">'[40]sap serv 06-02'!#ref!</definedName>
    <definedName name="_DAT32" localSheetId="8" hidden="0" function="0" vbProcedure="0">'[40]sap serv 06-02'!#ref!</definedName>
    <definedName name="_DAT34" localSheetId="8" hidden="0" function="0" vbProcedure="0">'[40]sap serv 06-02'!#ref!</definedName>
    <definedName name="_DAT35" localSheetId="8" hidden="0" function="0" vbProcedure="0">'[40]sap serv 06-02'!#ref!</definedName>
    <definedName name="_DAT36" localSheetId="8" hidden="0" function="0" vbProcedure="0">'[40]sap serv 06-02'!#ref!</definedName>
    <definedName name="_DAT40" localSheetId="8" hidden="0" function="0" vbProcedure="0">'[40]sap serv 06-02'!#ref!</definedName>
    <definedName name="_DAT41" localSheetId="8" hidden="0" function="0" vbProcedure="0">'[40]sap serv 06-02'!#ref!</definedName>
    <definedName name="_DAT42" localSheetId="8" hidden="0" function="0" vbProcedure="0">'[40]sap serv 06-02'!#ref!</definedName>
    <definedName name="_DAT44" localSheetId="8" hidden="0" function="0" vbProcedure="0">'[40]sap serv 06-02'!#ref!</definedName>
    <definedName name="_DAT45" localSheetId="8" hidden="0" function="0" vbProcedure="0">'[40]sap serv 06-02'!#ref!</definedName>
    <definedName name="_DAT46" localSheetId="8" hidden="0" function="0" vbProcedure="0">'[40]sap serv 06-02'!#ref!</definedName>
    <definedName name="_DAT47" localSheetId="8" hidden="0" function="0" vbProcedure="0">'[40]sap serv 06-02'!#ref!</definedName>
    <definedName name="_DAT48" localSheetId="8" hidden="0" function="0" vbProcedure="0">'[40]sap serv 06-02'!#ref!</definedName>
    <definedName name="_DAT49" localSheetId="8" hidden="0" function="0" vbProcedure="0">'[40]sap serv 06-02'!#ref!</definedName>
    <definedName name="_DAT50" localSheetId="8" hidden="0" function="0" vbProcedure="0">'[40]sap serv 06-02'!#ref!</definedName>
    <definedName name="_DAT52" localSheetId="8" hidden="0" function="0" vbProcedure="0">'[40]sap serv 06-02'!#ref!</definedName>
    <definedName name="_DAT53" localSheetId="8" hidden="0" function="0" vbProcedure="0">'[40]sap serv 06-02'!#ref!</definedName>
    <definedName name="_DAT54" localSheetId="8" hidden="0" function="0" vbProcedure="0">'[40]sap serv 06-02'!#ref!</definedName>
    <definedName name="_DAT56" localSheetId="8" hidden="0" function="0" vbProcedure="0">'[40]sap serv 06-02'!#ref!</definedName>
    <definedName name="_DAT57" localSheetId="8" hidden="0" function="0" vbProcedure="0">'[40]sap serv 06-02'!#ref!</definedName>
    <definedName name="_DAT62" localSheetId="8" hidden="0" function="0" vbProcedure="0">'[40]sap serv 06-02'!#ref!</definedName>
    <definedName name="_DAT63" localSheetId="8" hidden="0" function="0" vbProcedure="0">'[40]sap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'[33]data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[43]!Calculate_Pipe</definedName>
    <definedName name="_r06" localSheetId="8" hidden="0" function="0" vbProcedure="0">[44]!AutoCAD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[18]!Macro1</definedName>
    <definedName name="_SSA1" localSheetId="8" hidden="0" function="0" vbProcedure="0">[46]!Macro46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[28]!_UA38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[28]!__1Module2__2__.gaugeconok2</definedName>
    <definedName name="__2Module2__2__.gaugeok2" localSheetId="8" hidden="0" function="0" vbProcedure="0">[28]!__2Module2__2__.gaugeok2</definedName>
    <definedName name="__3Module2__2__.gaugeselect2" localSheetId="8" hidden="0" function="0" vbProcedure="0">[28]!__3Module2__2__.gaugeselect2</definedName>
    <definedName name="__4Module2__2__.serialselect3" localSheetId="8" hidden="0" function="0" vbProcedure="0">[28]!__4Module2__2__.serialselect3</definedName>
    <definedName name="__5Module2__2__.serialselect4" localSheetId="8" hidden="0" function="0" vbProcedure="0">[28]!__5Module2__2__.serialselect4</definedName>
    <definedName name="__A4" localSheetId="8" hidden="1" function="0" vbProcedure="0">[179]Run!$B$18:$B$512</definedName>
    <definedName name="__bb2789" localSheetId="8" hidden="0" function="0" vbProcedure="0">[10]!Calculate_Pipe</definedName>
    <definedName name="__SPM1" localSheetId="8" hidden="0" function="0" vbProcedure="0">[18]!Macro1</definedName>
    <definedName name="__UA38" localSheetId="8" hidden="0" function="0" vbProcedure="0">[28]!__UA38</definedName>
    <definedName name="__wrn1" localSheetId="8" hidden="1" function="0" vbProcedure="0">{#N/A,#N/A,FALSE,"Volume"}</definedName>
    <definedName name="___A4" localSheetId="8" hidden="1" function="0" vbProcedure="0">[179]Run!$B$18:$B$512</definedName>
    <definedName name="___bb2789" localSheetId="8" hidden="0" function="0" vbProcedure="0">[10]!Calculate_Pipe</definedName>
    <definedName name="___SPM1" localSheetId="8" hidden="0" function="0" vbProcedure="0">[18]!Macro1</definedName>
    <definedName name="___wrn1" localSheetId="8" hidden="1" function="0" vbProcedure="0">{#N/A,#N/A,FALSE,"Volume"}</definedName>
    <definedName name="____A4" localSheetId="8" hidden="1" function="0" vbProcedure="0">[179]Run!$B$18:$B$512</definedName>
    <definedName name="____bb2789" localSheetId="8" hidden="0" function="0" vbProcedure="0">[10]!Calculate_Pipe</definedName>
    <definedName name="____SPM1" localSheetId="8" hidden="0" function="0" vbProcedure="0">[18]!Macro1</definedName>
    <definedName name="____wrn1" localSheetId="8" hidden="1" function="0" vbProcedure="0">{#N/A,#N/A,FALSE,"Volume"}</definedName>
    <definedName name="_____A4" localSheetId="8" hidden="1" function="0" vbProcedure="0">[179]Run!$B$18:$B$512</definedName>
    <definedName name="_____bb2789" localSheetId="8" hidden="0" function="0" vbProcedure="0">[10]!Calculate_Pipe</definedName>
    <definedName name="_____SPM1" localSheetId="8" hidden="0" function="0" vbProcedure="0">[18]!Macro1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[10]!Calculate_Pipe</definedName>
    <definedName name="______SPM1" localSheetId="8" hidden="0" function="0" vbProcedure="0">[18]!Macro1</definedName>
    <definedName name="_______A4" localSheetId="8" hidden="1" function="0" vbProcedure="0">[179]Run!$B$18:$B$512</definedName>
    <definedName name="_______bb2789" localSheetId="8" hidden="0" function="0" vbProcedure="0">[10]!Calculate_Pipe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[10]!Calculate_Pipe</definedName>
    <definedName name="_________A4" localSheetId="8" hidden="1" function="0" vbProcedure="0">[179]Run!$B$18:$B$512</definedName>
    <definedName name="_________bb2789" localSheetId="8" hidden="0" function="0" vbProcedure="0">[10]!Calculate_Pipe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[16]!Calculate_Pipe</definedName>
    <definedName name="___________A4" localSheetId="8" hidden="1" function="0" vbProcedure="0">[179]Run!$B$18:$B$512</definedName>
    <definedName name="___________bb2789" localSheetId="8" hidden="0" function="0" vbProcedure="0">[16]!Calculate_Pipe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[16]!Calculate_Pipe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[16]!Calculate_Pipe</definedName>
    <definedName name="______________A4" localSheetId="8" hidden="1" function="0" vbProcedure="0">[179]Run!$B$18:$B$512</definedName>
    <definedName name="______________bb2789" localSheetId="8" hidden="0" function="0" vbProcedure="0">[16]!Calculate_Pipe</definedName>
    <definedName name="_______________A4" localSheetId="8" hidden="1" function="0" vbProcedure="0">[179]Run!$B$18:$B$512</definedName>
    <definedName name="_______________bb2789" localSheetId="8" hidden="0" function="0" vbProcedure="0">[16]!Calculate_Pipe</definedName>
    <definedName name="________________A4" localSheetId="8" hidden="1" function="0" vbProcedure="0">[179]Run!$B$18:$B$512</definedName>
    <definedName name="________________bb2789" localSheetId="8" hidden="0" function="0" vbProcedure="0">[10]!Calculate_Pipe</definedName>
    <definedName name="_________________A4" localSheetId="8" hidden="1" function="0" vbProcedure="0">[179]Run!$B$18:$B$512</definedName>
    <definedName name="_________________bb2789" localSheetId="8" hidden="0" function="0" vbProcedure="0">[15]!Calculate_Pipe</definedName>
    <definedName name="__________________A4" localSheetId="8" hidden="1" function="0" vbProcedure="0">[179]Run!$B$18:$B$512</definedName>
    <definedName name="__________________bb2789" localSheetId="8" hidden="0" function="0" vbProcedure="0">[12]!Calculate_Pipe</definedName>
    <definedName name="___________________A4" localSheetId="8" hidden="1" function="0" vbProcedure="0">[179]Run!$B$18:$B$512</definedName>
    <definedName name="___________________bb2789" localSheetId="8" hidden="0" function="0" vbProcedure="0">[12]!Calculate_Pipe</definedName>
    <definedName name="____________________A4" localSheetId="8" hidden="1" function="0" vbProcedure="0">[100]Run!$B$18:$B$512</definedName>
    <definedName name="____________________bb2789" localSheetId="8" hidden="0" function="0" vbProcedure="0">[10]!Calculate_Pipe</definedName>
    <definedName name="_____________________A4" localSheetId="8" hidden="1" function="0" vbProcedure="0">[179]Run!$B$18:$B$512</definedName>
    <definedName name="_____________________bb2789" localSheetId="8" hidden="0" function="0" vbProcedure="0">[13]!Calculate_Pipe</definedName>
    <definedName name="______________________A4" localSheetId="8" hidden="1" function="0" vbProcedure="0">[100]Run!$B$18:$B$512</definedName>
    <definedName name="______________________bb2789" localSheetId="8" hidden="0" function="0" vbProcedure="0">[10]!Calculate_Pipe</definedName>
    <definedName name="_______________________A4" localSheetId="8" hidden="1" function="0" vbProcedure="0">[100]Run!$B$18:$B$512</definedName>
    <definedName name="_______________________bb2789" localSheetId="8" hidden="0" function="0" vbProcedure="0">[10]!Calculate_Pipe</definedName>
    <definedName name="________________________A4" localSheetId="8" hidden="1" function="0" vbProcedure="0">[100]Run!$B$18:$B$512</definedName>
    <definedName name="________________________bb2789" localSheetId="8" hidden="0" function="0" vbProcedure="0">[12]!Calculate_Pipe</definedName>
    <definedName name="_________________________bb2789" localSheetId="8" hidden="0" function="0" vbProcedure="0">[10]!Calculate_Pipe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[51]!Prev.Macro111</definedName>
    <definedName name="aaaa" localSheetId="9" hidden="0" function="0" vbProcedure="0">[52]!Macro59</definedName>
    <definedName name="ABX" localSheetId="9" hidden="1" function="0" vbProcedure="0">[1]Run!$B$18:$B$512</definedName>
    <definedName name="addresstwo" localSheetId="9" hidden="0" function="0" vbProcedure="0">[57]data!#ref!</definedName>
    <definedName name="ADDSTAB" localSheetId="9" hidden="0" function="0" vbProcedure="0">[58]!ADDSTAB</definedName>
    <definedName name="adf" localSheetId="9" hidden="0" function="0" vbProcedure="0">[59]!Macro60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lwyn1" localSheetId="9" hidden="0" function="0" vbProcedure="0">#ref!</definedName>
    <definedName name="AMACRO.n2foam" localSheetId="9" hidden="0" function="0" vbProcedure="0">'[64]tool backload dt'!amacro.n2foam</definedName>
    <definedName name="Ambient_temp" localSheetId="9" hidden="0" function="0" vbProcedure="0">'[7]#ref'!#ref!</definedName>
    <definedName name="amis" localSheetId="9" hidden="0" function="0" vbProcedure="0">[105]Tally!$A$5:$J$825</definedName>
    <definedName name="ANDERGAUGE" localSheetId="9" hidden="0" function="0" vbProcedure="0">[58]!ANDERGAUGE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'[73]well team goals'!#ref!</definedName>
    <definedName name="Approver_Well_Plan" localSheetId="9" hidden="0" function="0" vbProcedure="0">'[73]well team goals'!#ref!</definedName>
    <definedName name="ASDA" localSheetId="9" hidden="0" function="0" vbProcedure="0">[74]!Calculate_Pipe</definedName>
    <definedName name="ASS" localSheetId="9" hidden="0" function="0" vbProcedure="0">[75]!JointNumber</definedName>
    <definedName name="Assembly1" localSheetId="9" hidden="0" function="0" vbProcedure="0">[75]!Calculate_Pipe</definedName>
    <definedName name="assy.3" localSheetId="9" hidden="0" function="0" vbProcedure="0">[75]!Calculate_Pipe</definedName>
    <definedName name="ASSY.6" localSheetId="9" hidden="0" function="0" vbProcedure="0">[75]!Calculate_Pipe</definedName>
    <definedName name="ASSY2312" localSheetId="9" hidden="0" function="0" vbProcedure="0">[29]!Macro1</definedName>
    <definedName name="ASSY7" localSheetId="9" hidden="0" function="0" vbProcedure="0">[43]!Calculate_Pipe</definedName>
    <definedName name="ASSY_098" localSheetId="9" hidden="0" function="0" vbProcedure="0">[75]!JointNumber</definedName>
    <definedName name="ASSY_122" localSheetId="9" hidden="0" function="0" vbProcedure="0">[29]!Macro1</definedName>
    <definedName name="ASSY_123" localSheetId="9" hidden="0" function="0" vbProcedure="0">[75]!JointNumber</definedName>
    <definedName name="ASSY_2111" localSheetId="9" hidden="0" function="0" vbProcedure="0">[29]!Macro1</definedName>
    <definedName name="ASSY_231" localSheetId="9" hidden="0" function="0" vbProcedure="0">[29]!Macro1</definedName>
    <definedName name="ASSY_342" localSheetId="9" hidden="0" function="0" vbProcedure="0">[29]!Macro1</definedName>
    <definedName name="ASSY_36" localSheetId="9" hidden="0" function="0" vbProcedure="0">[29]!Macro1</definedName>
    <definedName name="ASSY_4" localSheetId="9" hidden="0" function="0" vbProcedure="0">[29]!Macro1</definedName>
    <definedName name="ASSY_432" localSheetId="9" hidden="0" function="0" vbProcedure="0">[29]!Macro1</definedName>
    <definedName name="assy_5" localSheetId="9" hidden="0" function="0" vbProcedure="0">[75]!JointNumber</definedName>
    <definedName name="assy_543" localSheetId="9" hidden="0" function="0" vbProcedure="0">[75]!JointNumber</definedName>
    <definedName name="Assy_765" localSheetId="9" hidden="0" function="0" vbProcedure="0">[75]!Calculate_Pipe</definedName>
    <definedName name="ASSy_blast" localSheetId="9" hidden="0" function="0" vbProcedure="0">[75]!Calculate_Pipe</definedName>
    <definedName name="ASSY_W2" localSheetId="9" hidden="0" function="0" vbProcedure="0">[75]!Calculate_Pipe</definedName>
    <definedName name="AutoCAD" localSheetId="9" hidden="0" function="0" vbProcedure="0">[44]!AutoCAD</definedName>
    <definedName name="AutoCAD_1" localSheetId="9" hidden="0" function="0" vbProcedure="0">'TALLY.'!AutoCAD</definedName>
    <definedName name="AutoCAD_10" localSheetId="9" hidden="0" function="0" vbProcedure="0">'TALLY.'!AutoCAD</definedName>
    <definedName name="AutoCAD_11" localSheetId="9" hidden="0" function="0" vbProcedure="0">'TALLY.'!AutoCAD</definedName>
    <definedName name="AutoCAD_2" localSheetId="9" hidden="0" function="0" vbProcedure="0">'TALLY.'!AutoCAD</definedName>
    <definedName name="AutoCAD_3" localSheetId="9" hidden="0" function="0" vbProcedure="0">'TALLY.'!AutoCAD</definedName>
    <definedName name="AutoCAD_4" localSheetId="9" hidden="0" function="0" vbProcedure="0">'TALLY.'!AutoCAD</definedName>
    <definedName name="AutoCAD_5" localSheetId="9" hidden="0" function="0" vbProcedure="0">'TALLY.'!AutoCAD</definedName>
    <definedName name="AutoCAD_6" localSheetId="9" hidden="0" function="0" vbProcedure="0">'TALLY.'!AutoCAD</definedName>
    <definedName name="AutoCAD_7" localSheetId="9" hidden="0" function="0" vbProcedure="0">'TALLY.'!AutoCAD</definedName>
    <definedName name="AutoCAD_8" localSheetId="9" hidden="0" function="0" vbProcedure="0">'TALLY.'!AutoCAD</definedName>
    <definedName name="AutoCAD_9" localSheetId="9" hidden="0" function="0" vbProcedure="0">'TALLY.'!AutoCAD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[11]DATA!$BO$2:$BO$9</definedName>
    <definedName name="AvgLength" localSheetId="9" hidden="0" function="0" vbProcedure="0">'[79]casing talley'!#ref!</definedName>
    <definedName name="axj" localSheetId="9" hidden="1" function="0" vbProcedure="0">{#N/A,#N/A,FALSE,"Sheet1"}</definedName>
    <definedName name="A_L" localSheetId="9" hidden="0" function="0" vbProcedure="0">'[50]12(762mm)套管'!#ref!</definedName>
    <definedName name="b" localSheetId="9" hidden="1" function="0" vbProcedure="0">#ref!</definedName>
    <definedName name="back" localSheetId="9" hidden="0" function="0" vbProcedure="0">'[64]tool backload dt'!back</definedName>
    <definedName name="BallMaterial" localSheetId="9" hidden="0" function="0" vbProcedure="0">[11]DATA!$BL$2:$BL$11</definedName>
    <definedName name="Ballooning_Area" localSheetId="9" hidden="0" function="0" vbProcedure="0">[11]Test!$M$18</definedName>
    <definedName name="Ballseat" localSheetId="9" hidden="0" function="0" vbProcedure="0">[11]DATA!$AG$2:$AG$9</definedName>
    <definedName name="BallSize" localSheetId="9" hidden="0" function="0" vbProcedure="0">[11]DATA!$BF$3:$BF$8</definedName>
    <definedName name="basicok" localSheetId="9" hidden="0" function="0" vbProcedure="0">[29]!basicok</definedName>
    <definedName name="BBB" localSheetId="9" hidden="0" function="0" vbProcedure="0">'[110]DD Worksheet'!$C$1</definedName>
    <definedName name="bbbbb" localSheetId="9" hidden="0" function="0" vbProcedure="0">[82]!Macro61</definedName>
    <definedName name="bbllm3" localSheetId="9" hidden="0" function="0" vbProcedure="0">'[11]Metric Conversions'!$B$69</definedName>
    <definedName name="bblstk" localSheetId="9" hidden="0" function="0" vbProcedure="0">'[11]Displacement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r" localSheetId="9" hidden="0" function="0" vbProcedure="0">#ref!</definedName>
    <definedName name="BHRR" localSheetId="9" hidden="0" function="0" vbProcedure="0">#ref!</definedName>
    <definedName name="BHT" localSheetId="9" hidden="0" function="0" vbProcedure="0">'[94]Job Technical Info'!$D$42</definedName>
    <definedName name="Bitsize" localSheetId="9" hidden="0" function="0" vbProcedure="0">[11]DATA!$L$2:$L$41</definedName>
    <definedName name="bj_stroke" localSheetId="9" hidden="0" function="0" vbProcedure="0">'[11]Metric Conversions'!$B$35</definedName>
    <definedName name="bj_strokez" localSheetId="9" hidden="0" function="0" vbProcedure="0">'[11]Metric Conversions'!$C$35</definedName>
    <definedName name="BJ_Tens" localSheetId="9" hidden="0" function="0" vbProcedure="0">'[11]Liner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Fl" localSheetId="9" hidden="0" function="0" vbProcedure="0">#ref!</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'[11]Weight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[86]!TubTable[[340]:[438]]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'[96]well test sheet'!#ref!</definedName>
    <definedName name="Budget_owner" localSheetId="9" hidden="0" function="0" vbProcedure="0">'[73]well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[86]!TubTable[[340]:[438]]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[75]!Calculate_Pipe</definedName>
    <definedName name="Calculate_Pipe" localSheetId="9" hidden="0" function="0" vbProcedure="0">[99]!Calculate_Pipe</definedName>
    <definedName name="Cancel" localSheetId="9" hidden="0" function="0" vbProcedure="0">[100]!Cancel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'[11]Liner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'[7]#ref'!#ref!</definedName>
    <definedName name="CAS_EXT_VOL" localSheetId="9" hidden="0" function="0" vbProcedure="0">'[7]#ref'!#ref!</definedName>
    <definedName name="CAS_ID" localSheetId="9" hidden="0" function="0" vbProcedure="0">'[113]#REF'!$H$11</definedName>
    <definedName name="CAS_OD" localSheetId="9" hidden="0" function="0" vbProcedure="0">'[113]#REF'!$J$11</definedName>
    <definedName name="CAS_SCR_VOL" localSheetId="9" hidden="0" function="0" vbProcedure="0">'[7]#ref'!#ref!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[82]!Macro59</definedName>
    <definedName name="cdr" localSheetId="9" hidden="0" function="0" vbProcedure="0">'[96]well test sheet'!#ref!</definedName>
    <definedName name="CDWimdbase" localSheetId="9" hidden="0" function="0" vbProcedure="0">'[120]CD''s'!$A$2:$G$374</definedName>
    <definedName name="CementCompany" localSheetId="9" hidden="0" function="0" vbProcedure="0">[11]DATA!$BJ$2:$BJ$8</definedName>
    <definedName name="CENG" localSheetId="9" hidden="0" function="0" vbProcedure="0">[182]Reference!$A$2:$A$4</definedName>
    <definedName name="Centralizers" localSheetId="9" hidden="0" function="0" vbProcedure="0">[11]DATA!$AI$2:$AI$9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'[64]tool backload dt'!chemmac</definedName>
    <definedName name="Choice" localSheetId="9" hidden="0" function="0" vbProcedure="0">[26]Lists!$A$1:$A$3</definedName>
    <definedName name="cim" localSheetId="9" hidden="0" function="0" vbProcedure="0">[118]!Calculate_Pipe</definedName>
    <definedName name="CIPMACRO.n2foam" localSheetId="9" hidden="0" function="0" vbProcedure="0">'[64]tool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[58]!CLAMPON</definedName>
    <definedName name="CLEARCONTENTS" localSheetId="9" hidden="0" function="0" vbProcedure="0">[120]!CLEARCONTENTS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OFFSET(INDIRECT(ADDRESS(MATCH('TALLY.'!CL_Wt,'TALLY.'!Objects,0)+1,2,,,"Casing Info")),0,1,COUNTIF('TALLY.'!Objects,'TALLY.'!CL_Wt),1)</definedName>
    <definedName name="CL_Wt" localSheetId="9" hidden="0" function="0" vbProcedure="0">'[11]Database Pg1'!$E$28</definedName>
    <definedName name="Objects" localSheetId="9" hidden="0" function="0" vbProcedure="0">'[11]Casing Info'!$B$2:$B$241</definedName>
    <definedName name="Clist2" localSheetId="9" hidden="0" function="0" vbProcedure="0">OFFSET(INDIRECT(ADDRESS(MATCH('TALLY.'!Hsize2,'TALLY.'!Objects,0)+1,2,,,"Casing Info")),0,1,COUNTIF('TALLY.'!Objects,'TALLY.'!Hsize2),1)</definedName>
    <definedName name="Hsize2" localSheetId="9" hidden="0" function="0" vbProcedure="0">'[11]Database Pg1'!$G$81</definedName>
    <definedName name="Clist3" localSheetId="9" hidden="0" function="0" vbProcedure="0">OFFSET(INDIRECT(ADDRESS(MATCH('TALLY.'!Hsize3,'TALLY.'!Objects,0)+1,2,,,"Casing Info")),0,1,COUNTIF('TALLY.'!Objects,'TALLY.'!Hsize3),1)</definedName>
    <definedName name="Hsize3" localSheetId="9" hidden="0" function="0" vbProcedure="0">'[11]Database Pg1'!$G$83</definedName>
    <definedName name="Clrmess" localSheetId="9" hidden="0" function="0" vbProcedure="0">[120]!Clrmess</definedName>
    <definedName name="CO2_" localSheetId="9" hidden="0" function="0" vbProcedure="0">'[94]Job Technical Info'!$L$42</definedName>
    <definedName name="CODELIST" localSheetId="9" hidden="0" function="0" vbProcedure="0">#ref!</definedName>
    <definedName name="CODETAB" localSheetId="9" hidden="0" function="0" vbProcedure="0">#ref!</definedName>
    <definedName name="coections" localSheetId="9" hidden="0" function="0" vbProcedure="0">[29]!coections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[29]!conections</definedName>
    <definedName name="Conflict1" localSheetId="9" hidden="1" function="0" vbProcedure="0">{#N/A,#N/A,FALSE,"Drlg Param Run 1-1";#N/A,#N/A,FALSE,"DDR (3)";#N/A,#N/A,FALSE,"BHA AT (1)";#N/A,#N/A,FALSE,"Downlinkbha";#N/A,#N/A,FALSE,"Job Status Report"}</definedName>
    <definedName name="conical" localSheetId="9" hidden="0" function="0" vbProcedure="0">#ref!</definedName>
    <definedName name="conref" localSheetId="9" hidden="0" function="0" vbProcedure="0">[124]Price!$A$1:$A$65536</definedName>
    <definedName name="consequence" localSheetId="9" hidden="0" function="0" vbProcedure="0">[125]Sheet2!$A$1:$A$5</definedName>
    <definedName name="contract" localSheetId="9" hidden="0" function="0" vbProcedure="0">'[34]Call Sheet'!$E$3</definedName>
    <definedName name="contractnum" localSheetId="9" hidden="0" function="0" vbProcedure="0">'[33]data '!#ref!</definedName>
    <definedName name="contractor" localSheetId="9" hidden="0" function="0" vbProcedure="0">'[34]Call Sheet'!$E$6</definedName>
    <definedName name="Coordinator" localSheetId="9" hidden="0" function="0" vbProcedure="0">'[94]Job Technical Info'!$G$10</definedName>
    <definedName name="COPYDESGN" localSheetId="9" hidden="0" function="0" vbProcedure="0">[58]!COPYDESGN</definedName>
    <definedName name="CoRep" localSheetId="9" hidden="0" function="0" vbProcedure="0">'[94]Job Technical Info'!$C$16</definedName>
    <definedName name="corrlist2" localSheetId="9" hidden="0" function="0" vbProcedure="0">OFFSET(INDIRECT(ADDRESS(MATCH('TALLY.'!Hsize2,'TALLY.'!Objects,0)+1,2,,,"Casing Info")),0,1,COUNTIF('TALLY.'!Objects,[29]!Liner1_OD),1)</definedName>
    <definedName name="corrlist4" localSheetId="9" hidden="0" function="0" vbProcedure="0">OFFSET(INDIRECT(ADDRESS(MATCH('TALLY.'!Hanger_Size,'TALLY.'!Objects,0)+1,2,,,"Casing Info")),0,1,COUNTIF('TALLY.'!Objects, 'TALLY.'!Hanger_Size),1)</definedName>
    <definedName name="Hanger_Size" localSheetId="9" hidden="0" function="0" vbProcedure="0">'[11]Database Pg1'!$G$79</definedName>
    <definedName name="Cotry" localSheetId="9" hidden="0" function="0" vbProcedure="0">'[11]Liner Job Info'!$E$10</definedName>
    <definedName name="Countries" localSheetId="9" hidden="0" function="0" vbProcedure="0">[11]DATA!$BR$1:$BR$196</definedName>
    <definedName name="COUNTRY" localSheetId="9" hidden="0" function="0" vbProcedure="0">'[127]Master data'!$A$2:$A$239</definedName>
    <definedName name="county" localSheetId="9" hidden="0" function="0" vbProcedure="0">'[40]CPS Call Sheet'!$P$7</definedName>
    <definedName name="Coupls" localSheetId="9" hidden="0" function="0" vbProcedure="0">#ref!</definedName>
    <definedName name="Crack_DH" localSheetId="9" hidden="0" function="0" vbProcedure="0">'[108]Tester Valve Calcs'!$F$31</definedName>
    <definedName name="Crack_Press" localSheetId="9" hidden="0" function="0" vbProcedure="0">'[108]Tester Valve Calcs'!$F$13</definedName>
    <definedName name="Critical" localSheetId="9" hidden="0" function="0" vbProcedure="0">#ref!</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'[11]Metric Conversions'!$B$43</definedName>
    <definedName name="Csg_Burstz" localSheetId="9" hidden="0" function="0" vbProcedure="0">'[11]Liner Job Info'!$H$14</definedName>
    <definedName name="Csg_Dft" localSheetId="9" hidden="0" function="0" vbProcedure="0">'[11]Liner Job Info'!$L$14</definedName>
    <definedName name="CSG_DPTH" localSheetId="9" hidden="0" function="0" vbProcedure="0">'[130]Metric Conversions'!$B$15</definedName>
    <definedName name="CSG_DPTHz" localSheetId="9" hidden="0" function="0" vbProcedure="0">'[11]Liner Job Info'!$P$14</definedName>
    <definedName name="CSG_Grd" localSheetId="9" hidden="0" function="0" vbProcedure="0">'[130]Liner Job Info'!$D$14</definedName>
    <definedName name="CSG_ID" localSheetId="9" hidden="0" function="0" vbProcedure="0">'[11]Liner Job Info'!$B$14</definedName>
    <definedName name="CSG_ID_Area" localSheetId="9" hidden="0" function="0" vbProcedure="0">[11]Test!$Z$39</definedName>
    <definedName name="CSG_MYS" localSheetId="9" hidden="0" function="0" vbProcedure="0">[57]DATA!$J$3:$J$22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[57]data!#ref!</definedName>
    <definedName name="Customer" localSheetId="9" hidden="0" function="0" vbProcedure="0">'[94]Job Technical Info'!$C$12</definedName>
    <definedName name="customer1" localSheetId="9" hidden="0" function="0" vbProcedure="0">[183]Data!$A$1:$A$65536</definedName>
    <definedName name="Customer2" localSheetId="9" hidden="0" function="0" vbProcedure="0">[183]Data!$B$1:$B$65536</definedName>
    <definedName name="CustomerName" localSheetId="9" hidden="0" function="0" vbProcedure="0">'[144]job info sheet'!#ref!</definedName>
    <definedName name="customerrep" localSheetId="9" hidden="0" function="0" vbProcedure="0">'[113]#REF'!$E$6</definedName>
    <definedName name="Cyl_Yield" localSheetId="9" hidden="0" function="0" vbProcedure="0">'[49]liner job info'!#ref!</definedName>
    <definedName name="d" localSheetId="9" hidden="0" function="0" vbProcedure="0">'[2]run sheet'!#ref!</definedName>
    <definedName name="DAADA" localSheetId="9" hidden="0" function="0" vbProcedure="0">[118]!Calculate_Pipe</definedName>
    <definedName name="DAD" localSheetId="9" hidden="0" function="0" vbProcedure="0">'TALLY.'!DAD</definedName>
    <definedName name="DADAA" localSheetId="9" hidden="0" function="0" vbProcedure="0">'TALLY.'!DADAA</definedName>
    <definedName name="DAEFF" localSheetId="9" hidden="0" function="0" vbProcedure="0">'TALLY.'!DAEFF</definedName>
    <definedName name="DAPage" localSheetId="9" hidden="0" function="0" vbProcedure="0">'[94]Data Acq. Results'!$S$5</definedName>
    <definedName name="data1" localSheetId="9" hidden="0" function="0" vbProcedure="0">#ref!</definedName>
    <definedName name="Date" localSheetId="9" hidden="0" function="0" vbProcedure="0">#ref!</definedName>
    <definedName name="DAVCO"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[148]试油成果记录!#ref!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ay" localSheetId="9" hidden="0" function="0" vbProcedure="0">#ref!</definedName>
    <definedName name="DelayDual1" localSheetId="9" hidden="0" function="0" vbProcedure="0">#ref!</definedName>
    <definedName name="DelayDual2" localSheetId="9" hidden="0" function="0" vbProcedure="0">#ref!</definedName>
    <definedName name="deliveredto" localSheetId="9" hidden="0" function="0" vbProcedure="0">'[33]data '!#ref!</definedName>
    <definedName name="deliverto" localSheetId="9" hidden="0" function="0" vbProcedure="0">[57]data!#ref!</definedName>
    <definedName name="delma" localSheetId="9" hidden="0" function="0" vbProcedure="0">[151]!JointNumber</definedName>
    <definedName name="DEM" localSheetId="9" hidden="0" function="0" vbProcedure="0">[182]Reference!$F$2:$F$3</definedName>
    <definedName name="DENG" localSheetId="9" hidden="0" function="0" vbProcedure="0">[182]Reference!$B$2:$B$12</definedName>
    <definedName name="DEPTH_TAGGED_PREPACK" localSheetId="9" hidden="0" function="0" vbProcedure="0">'[113]#REF'!$F$80</definedName>
    <definedName name="DEQ" localSheetId="9" hidden="0" function="0" vbProcedure="0">'TALLY.'!DEQ</definedName>
    <definedName name="Desired_Set_Down" localSheetId="9" hidden="0" function="0" vbProcedure="0">'[108]Packer Calculation Sheet'!$G$47</definedName>
    <definedName name="Dev" localSheetId="9" hidden="0" function="0" vbProcedure="0">'[11]Liner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[11]DATA!$AJ$2:$AJ$12</definedName>
    <definedName name="DisplacementMethod" localSheetId="9" hidden="0" function="0" vbProcedure="0">[11]DATA!$AS$2:$AS$4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[11]DATA!$A$6:$A$437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[151]!JointNumber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'[11]Liner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'[11]Liner Job Info'!$E$22</definedName>
    <definedName name="DP1_Leng" localSheetId="9" hidden="0" function="0" vbProcedure="0">'[130]Metric Conversions'!$B$20</definedName>
    <definedName name="DP1_Lengz" localSheetId="9" hidden="0" function="0" vbProcedure="0">'[11]Liner Job Info'!$I$22</definedName>
    <definedName name="DP1_MYS" localSheetId="9" hidden="0" function="0" vbProcedure="0">'[11]Liner Job Info'!$AD$31</definedName>
    <definedName name="DP1_OD" localSheetId="9" hidden="0" function="0" vbProcedure="0">'[130]Liner Job Info'!$C$22</definedName>
    <definedName name="DP1_Tens" localSheetId="9" hidden="0" function="0" vbProcedure="0">'[11]Liner Job Info'!$M$22</definedName>
    <definedName name="DP1_Volz" localSheetId="9" hidden="0" function="0" vbProcedure="0">'[11]Metric Conversions'!$C$70</definedName>
    <definedName name="DP1_Wt_inmud" localSheetId="9" hidden="0" function="0" vbProcedure="0">'[11]Weight Calculations'!$H$8</definedName>
    <definedName name="DP1_Wt_Per_Ft" localSheetId="9" hidden="0" function="0" vbProcedure="0">'[130]Liner Job Info'!$D$22</definedName>
    <definedName name="DP1_X_Csg_Volz" localSheetId="9" hidden="0" function="0" vbProcedure="0">'[11]Metric Conversions'!$C$85</definedName>
    <definedName name="DP2_Cap" localSheetId="9" hidden="0" function="0" vbProcedure="0">'[11]Liner Job Info'!$G$23</definedName>
    <definedName name="DP2_conn" localSheetId="9" hidden="0" function="0" vbProcedure="0">'[130]Liner Job Info'!$J$23</definedName>
    <definedName name="DP2_Cross_Sect" localSheetId="9" hidden="0" function="0" vbProcedure="0">'[49]liner job info'!#ref!</definedName>
    <definedName name="DP2_Grd" localSheetId="9" hidden="0" function="0" vbProcedure="0">'[130]Liner Job Info'!$F$23</definedName>
    <definedName name="DP2_ID" localSheetId="9" hidden="0" function="0" vbProcedure="0">'[11]Liner Job Info'!$E$23</definedName>
    <definedName name="DP2_Leng" localSheetId="9" hidden="0" function="0" vbProcedure="0">'[130]Metric Conversions'!$B$21</definedName>
    <definedName name="DP2_Lengz" localSheetId="9" hidden="0" function="0" vbProcedure="0">'[11]Liner Job Info'!$I$23</definedName>
    <definedName name="DP2_MYS" localSheetId="9" hidden="0" function="0" vbProcedure="0">'[11]Liner Job Info'!$AD$32</definedName>
    <definedName name="DP2_OD" localSheetId="9" hidden="0" function="0" vbProcedure="0">'[130]Liner Job Info'!$C$23</definedName>
    <definedName name="DP2_Tens" localSheetId="9" hidden="0" function="0" vbProcedure="0">'[11]Liner Job Info'!$M$23</definedName>
    <definedName name="DP2_Volz" localSheetId="9" hidden="0" function="0" vbProcedure="0">'[11]Metric Conversions'!$C$71</definedName>
    <definedName name="DP2_Wt_inmud" localSheetId="9" hidden="0" function="0" vbProcedure="0">'[11]Weight Calculations'!$H$9</definedName>
    <definedName name="DP2_Wt_Per_Ft" localSheetId="9" hidden="0" function="0" vbProcedure="0">'[130]Liner Job Info'!$D$23</definedName>
    <definedName name="DP2_X_Csg_Volz" localSheetId="9" hidden="0" function="0" vbProcedure="0">'[11]Metric Conversions'!$C$86</definedName>
    <definedName name="DP3_bbl_per_ft" localSheetId="9" hidden="0" function="0" vbProcedure="0">'[49]liner job info'!#ref!</definedName>
    <definedName name="DP3_Cap" localSheetId="9" hidden="0" function="0" vbProcedure="0">'[11]Liner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'[11]Liner Job Info'!$E$24</definedName>
    <definedName name="DP3_Leng" localSheetId="9" hidden="0" function="0" vbProcedure="0">'[130]Metric Conversions'!$B$22</definedName>
    <definedName name="DP3_Lengz" localSheetId="9" hidden="0" function="0" vbProcedure="0">'[11]Liner Job Info'!$I$24</definedName>
    <definedName name="DP3_MYS" localSheetId="9" hidden="0" function="0" vbProcedure="0">'[11]Liner Job Info'!$AD$33</definedName>
    <definedName name="DP3_OD" localSheetId="9" hidden="0" function="0" vbProcedure="0">'[130]Liner Job Info'!$C$24</definedName>
    <definedName name="DP3_Tens" localSheetId="9" hidden="0" function="0" vbProcedure="0">'[11]Liner Job Info'!$M$24</definedName>
    <definedName name="DP3_Volz" localSheetId="9" hidden="0" function="0" vbProcedure="0">'[11]Metric Conversions'!$C$72</definedName>
    <definedName name="DP3_Wt_inmud" localSheetId="9" hidden="0" function="0" vbProcedure="0">'[11]Weight Calculations'!$H$10</definedName>
    <definedName name="DP3_Wt_Per_Ft" localSheetId="9" hidden="0" function="0" vbProcedure="0">'[130]Liner Job Info'!$D$24</definedName>
    <definedName name="DP3_X_Csg_Volz" localSheetId="9" hidden="0" function="0" vbProcedure="0">'[11]Metric Conversions'!$C$87</definedName>
    <definedName name="DP4_Cap" localSheetId="9" hidden="0" function="0" vbProcedure="0">'[11]Liner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'[11]Liner Job Info'!$E$25</definedName>
    <definedName name="DP4_Leng" localSheetId="9" hidden="0" function="0" vbProcedure="0">'[130]Metric Conversions'!$B$23</definedName>
    <definedName name="DP4_Lengz" localSheetId="9" hidden="0" function="0" vbProcedure="0">'[11]Liner Job Info'!$I$25</definedName>
    <definedName name="DP4_MYS" localSheetId="9" hidden="0" function="0" vbProcedure="0">'[11]Liner Job Info'!$AD$34</definedName>
    <definedName name="DP4_OD" localSheetId="9" hidden="0" function="0" vbProcedure="0">'[130]Liner Job Info'!$C$25</definedName>
    <definedName name="DP4_Tens" localSheetId="9" hidden="0" function="0" vbProcedure="0">'[11]Liner Job Info'!$M$25</definedName>
    <definedName name="DP4_Volz" localSheetId="9" hidden="0" function="0" vbProcedure="0">'[11]Metric Conversions'!$C$73</definedName>
    <definedName name="DP4_Wt_inmud" localSheetId="9" hidden="0" function="0" vbProcedure="0">'[11]Weight Calculations'!$H$11</definedName>
    <definedName name="DP4_Wt_Per_Ft" localSheetId="9" hidden="0" function="0" vbProcedure="0">'[130]Liner Job Info'!$D$25</definedName>
    <definedName name="DP4_X_Csg_Volz" localSheetId="9" hidden="0" function="0" vbProcedure="0">'[11]Metric Conversions'!$C$88</definedName>
    <definedName name="DP5_bbl_per_ft" localSheetId="9" hidden="0" function="0" vbProcedure="0">'[11]Liner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'[11]Liner Job Info'!$E$26</definedName>
    <definedName name="DP5_Leng" localSheetId="9" hidden="0" function="0" vbProcedure="0">'[130]Metric Conversions'!$B$24</definedName>
    <definedName name="DP5_Lengz" localSheetId="9" hidden="0" function="0" vbProcedure="0">'[11]Liner Job Info'!$I$26</definedName>
    <definedName name="DP5_MYS" localSheetId="9" hidden="0" function="0" vbProcedure="0">'[11]Liner Job Info'!$AD$35</definedName>
    <definedName name="DP5_OD" localSheetId="9" hidden="0" function="0" vbProcedure="0">'[130]Liner Job Info'!$C$26</definedName>
    <definedName name="DP5_Tens" localSheetId="9" hidden="0" function="0" vbProcedure="0">'[11]Liner Job Info'!$M$26</definedName>
    <definedName name="DP5_Volz" localSheetId="9" hidden="0" function="0" vbProcedure="0">'[11]Metric Conversions'!$C$74</definedName>
    <definedName name="DP5_Wt_inmud" localSheetId="9" hidden="0" function="0" vbProcedure="0">'[11]Weight Calculations'!$H$12</definedName>
    <definedName name="DP5_Wt_Per_Ft" localSheetId="9" hidden="0" function="0" vbProcedure="0">'[130]Liner Job Info'!$D$26</definedName>
    <definedName name="DP5_X_Csg_Volz" localSheetId="9" hidden="0" function="0" vbProcedure="0">'[11]Metric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[11]DATA!$AA$44:$AA$94</definedName>
    <definedName name="DPTTL_HYD_LENTH" localSheetId="9" hidden="0" function="0" vbProcedure="0">'[11]Weight Calculations'!$F$46</definedName>
    <definedName name="DP_MYS" localSheetId="9" hidden="0" function="0" vbProcedure="0">[11]DATA!$AB$2:$AB$6</definedName>
    <definedName name="DP_Plus_Block" localSheetId="9" hidden="0" function="0" vbProcedure="0">'[11]Weight Calculations'!$H$15</definedName>
    <definedName name="DP_PSI" localSheetId="9" hidden="0" function="0" vbProcedure="0">'[11]Metric Conversions'!$B$49</definedName>
    <definedName name="DP_PSIz" localSheetId="9" hidden="0" function="0" vbProcedure="0">'[11]Liner Job Info'!$D$35</definedName>
    <definedName name="DP_SF" localSheetId="9" hidden="0" function="0" vbProcedure="0">'[11]Liner Job Info'!$R$27</definedName>
    <definedName name="DRAFT" localSheetId="9" hidden="0" function="0" vbProcedure="0">'[2]run sheet'!#ref!</definedName>
    <definedName name="drawblanks" localSheetId="9" hidden="0" function="0" vbProcedure="0">'TALLY.'!drawblanks</definedName>
    <definedName name="drawlinerfirst" localSheetId="9" hidden="0" function="0" vbProcedure="0">'TALLY.'!drawlinerfirst</definedName>
    <definedName name="drawlinersecond" localSheetId="9" hidden="0" function="0" vbProcedure="0">'TALLY.'!drawlinersecond</definedName>
    <definedName name="drawmiscellaneous" localSheetId="9" hidden="0" function="0" vbProcedure="0">'TALLY.'!drawmiscellaneous</definedName>
    <definedName name="drawproductionfirst" localSheetId="9" hidden="0" function="0" vbProcedure="0">'TALLY.'!drawproductionfirst</definedName>
    <definedName name="drawproductionsecond" localSheetId="9" hidden="0" function="0" vbProcedure="0">'TALLY.'!drawproductionsecond</definedName>
    <definedName name="drawquantum" localSheetId="9" hidden="0" function="0" vbProcedure="0">'TALLY.'!drawquantum</definedName>
    <definedName name="drawscreens" localSheetId="9" hidden="0" function="0" vbProcedure="0">'TALLY.'!drawscreens</definedName>
    <definedName name="drawshearsubs" localSheetId="9" hidden="0" function="0" vbProcedure="0">'TALLY.'!drawshearsubs</definedName>
    <definedName name="drawsump" localSheetId="9" hidden="0" function="0" vbProcedure="0">'TALLY.'!drawsump</definedName>
    <definedName name="draw_blanks" localSheetId="9" hidden="0" function="0" vbProcedure="0">'TALLY.'!draw_blanks</definedName>
    <definedName name="draw_linerfirst" localSheetId="9" hidden="0" function="0" vbProcedure="0">'TALLY.'!draw_linerfirst</definedName>
    <definedName name="draw_linersecond" localSheetId="9" hidden="0" function="0" vbProcedure="0">'TALLY.'!draw_linersecond</definedName>
    <definedName name="draw_miscellaneous" localSheetId="9" hidden="0" function="0" vbProcedure="0">'TALLY.'!draw_miscellaneous</definedName>
    <definedName name="draw_productionfirst" localSheetId="9" hidden="0" function="0" vbProcedure="0">'TALLY.'!draw_productionfirst</definedName>
    <definedName name="draw_productionsecond" localSheetId="9" hidden="0" function="0" vbProcedure="0">'TALLY.'!draw_productionsecond</definedName>
    <definedName name="draw_quantum" localSheetId="9" hidden="0" function="0" vbProcedure="0">'TALLY.'!draw_quantum</definedName>
    <definedName name="draw_screens" localSheetId="9" hidden="0" function="0" vbProcedure="0">'TALLY.'!draw_screens</definedName>
    <definedName name="draw_shearsubs" localSheetId="9" hidden="0" function="0" vbProcedure="0">'TALLY.'!draw_shearsubs</definedName>
    <definedName name="draw_sump" localSheetId="9" hidden="0" function="0" vbProcedure="0">'TALLY.'!draw_sump</definedName>
    <definedName name="DRILLER" localSheetId="9" hidden="0" function="0" vbProcedure="0">#ref!</definedName>
    <definedName name="DRILLER2" localSheetId="9" hidden="0" function="0" vbProcedure="0">[162]!Calculate_Pipe</definedName>
    <definedName name="Drillpipesize" localSheetId="9" hidden="0" function="0" vbProcedure="0">[11]DATA!$X$2:$X$10</definedName>
    <definedName name="Drillpipetype" localSheetId="9" hidden="0" function="0" vbProcedure="0">[11]DATA!$AA$2:$AA$6</definedName>
    <definedName name="Drillpipeweight" localSheetId="9" hidden="0" function="0" vbProcedure="0">[11]DATA!$Z$2:$Z$36</definedName>
    <definedName name="Druckbereich_MI" localSheetId="9" hidden="0" function="0" vbProcedure="0">'[138]Dev-Baker'!$A$1:$J$46</definedName>
    <definedName name="Druckbereich_S3" localSheetId="9" hidden="0" function="0" vbProcedure="0">'[165]run_s.xls'!#ref!</definedName>
    <definedName name="dtr" localSheetId="9" hidden="0" function="0" vbProcedure="0">'[115]Max-Torq'!$P$77</definedName>
    <definedName name="DualTally" localSheetId="9" hidden="0" function="0" vbProcedure="0">#ref!</definedName>
    <definedName name="DWS" localSheetId="9" hidden="0" function="0" vbProcedure="0">'[111]DWS2023'!$A$4:$AD$257</definedName>
    <definedName name="E" localSheetId="9" hidden="0" function="0" vbProcedure="0">#ref!</definedName>
    <definedName name="ED" localSheetId="9" hidden="0" function="0" vbProcedure="0">[75]!Calculate_Pipe</definedName>
    <definedName name="edd" localSheetId="9" hidden="0" function="0" vbProcedure="0">[167]!Calculate_Pipe</definedName>
    <definedName name="Eff_Date" localSheetId="9" hidden="0" function="0" vbProcedure="0">'[94]Job Technical Info'!$L$3</definedName>
    <definedName name="EJYETYJEJ" localSheetId="9" hidden="0" function="0" vbProcedure="0">'TALLY.'!EJYETYJEJ</definedName>
    <definedName name="EKIKO2" localSheetId="9" hidden="0" function="0" vbProcedure="0">#ref!</definedName>
    <definedName name="Element_Rating" localSheetId="9" hidden="0" function="0" vbProcedure="0">'[11]Metric Conversions'!$B$57</definedName>
    <definedName name="Element_Ratingz" localSheetId="9" hidden="0" function="0" vbProcedure="0">'[11]Liner Job Info'!$P$41</definedName>
    <definedName name="equipmenttype" localSheetId="9" hidden="0" function="0" vbProcedure="0">[57]data!#ref!</definedName>
    <definedName name="error" localSheetId="9" hidden="0" function="0" vbProcedure="0">[106]Data!$F$10</definedName>
    <definedName name="ertert" localSheetId="9" hidden="0" function="0" vbProcedure="0">[171]试压!#ref!</definedName>
    <definedName name="ES_pricelist" localSheetId="9" hidden="0" function="0" vbProcedure="0">[139]Pricelist!$A$8:$B$18</definedName>
    <definedName name="ex" localSheetId="9" hidden="0" function="0" vbProcedure="0">[151]!JointNumber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ra" localSheetId="9" hidden="0" function="0" vbProcedure="0">#ref!</definedName>
    <definedName name="EXT_LENGTH" localSheetId="9" hidden="0" function="0" vbProcedure="0">'[7]#ref'!#ref!</definedName>
    <definedName name="F" localSheetId="9" hidden="0" function="0" vbProcedure="0">[140]Parts!$A$1:$I$65536</definedName>
    <definedName name="FB" localSheetId="9" hidden="0" function="0" vbProcedure="0">[177]!Calculate_Pipe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'TALLY.'!FEWFW</definedName>
    <definedName name="fff" localSheetId="9" hidden="0" function="0" vbProcedure="0">'TALLY.'!fff</definedName>
    <definedName name="ffff" localSheetId="9" hidden="0" function="0" vbProcedure="0">[181]!Prev.Macro113</definedName>
    <definedName name="FIELD" localSheetId="9" hidden="0" function="0" vbProcedure="0">[184]References!$L$1:$M$7</definedName>
    <definedName name="final" localSheetId="9" hidden="0" function="0" vbProcedure="0">[151]!JointNumber</definedName>
    <definedName name="FJNDEF" localSheetId="9" hidden="0" function="0" vbProcedure="0">'TALLY.'!FJNDEF</definedName>
    <definedName name="Floatequipment" localSheetId="9" hidden="0" function="0" vbProcedure="0">[11]DATA!$AM$2:$AM$9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[57]data!#ref!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'[11]Metric Conversions'!$B$14</definedName>
    <definedName name="Gamma_Quadrant" localSheetId="9" hidden="0" function="0" vbProcedure="0">[129]RSS!$N$139:$N$144</definedName>
    <definedName name="gasrate" localSheetId="9" hidden="0" function="0" vbProcedure="0">'[96]well test sheet'!#ref!</definedName>
    <definedName name="gas_cumm" localSheetId="9" hidden="0" function="0" vbProcedure="0">'[96]well test sheet'!#ref!</definedName>
    <definedName name="Gauge" localSheetId="9" hidden="0" function="0" vbProcedure="0">'[7]Drop-Down Items'!$D$74:$D$92</definedName>
    <definedName name="Gaugecancel" localSheetId="9" hidden="0" function="0" vbProcedure="0">[29]!Gaugecancel</definedName>
    <definedName name="gaugeconok" localSheetId="9" hidden="0" function="0" vbProcedure="0">[29]!gaugeconok</definedName>
    <definedName name="gaugeconok2" localSheetId="9" hidden="0" function="0" vbProcedure="0">[29]!gaugeconok2</definedName>
    <definedName name="gaugeok" localSheetId="9" hidden="0" function="0" vbProcedure="0">[29]!gaugeok</definedName>
    <definedName name="gaugeok2" localSheetId="9" hidden="0" function="0" vbProcedure="0">[29]!gaugeok2</definedName>
    <definedName name="gaugeselect" localSheetId="9" hidden="0" function="0" vbProcedure="0">[29]!gaugeselect</definedName>
    <definedName name="gaugeselect2" localSheetId="9" hidden="0" function="0" vbProcedure="0">[29]!gaugeselect2</definedName>
    <definedName name="gdsg" localSheetId="9" hidden="1" function="0" vbProcedure="0">[103]Run!$C$16:$C$512</definedName>
    <definedName name="GFTTC" localSheetId="9" hidden="0" function="0" vbProcedure="0">[151]!JointNumber</definedName>
    <definedName name="GGGR" localSheetId="9" hidden="0" function="0" vbProcedure="0">'TALLY.'!GGGR</definedName>
    <definedName name="GL" localSheetId="9" hidden="0" function="0" vbProcedure="0">'[189]offset data'!#ref!</definedName>
    <definedName name="GLM" localSheetId="9" hidden="0" function="0" vbProcedure="0">[75]!Calculate_Pipe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'[96]well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'TALLY.'!GQGQ</definedName>
    <definedName name="GQQ" localSheetId="9" hidden="0" function="0" vbProcedure="0">'TALLY.'!GQQ</definedName>
    <definedName name="gravelsize" localSheetId="9" hidden="0" function="0" vbProcedure="0">[5]WTR!$G$82</definedName>
    <definedName name="GRAVEL_IN_CSG." localSheetId="9" hidden="0" function="0" vbProcedure="0">'[113]#REF'!XEP1048377</definedName>
    <definedName name="GroupID" localSheetId="9" hidden="0" function="0" vbProcedure="0">[11]DATA!$Q$2:$Q$268</definedName>
    <definedName name="Group_ID" localSheetId="9" hidden="0" function="0" vbProcedure="0">[57]DATA!$Q$2:$Q$268</definedName>
    <definedName name="GRQ" localSheetId="9" hidden="0" function="0" vbProcedure="0">'TALLY.'!GRQ</definedName>
    <definedName name="GUB24SECWELL" localSheetId="9" hidden="1" function="0" vbProcedure="0">[143]Sheet1!$A$181:$H$210</definedName>
    <definedName name="GudCont" localSheetId="9" hidden="0" function="0" vbProcedure="0">#ref!</definedName>
    <definedName name="Gun_Size" localSheetId="9" hidden="0" function="0" vbProcedure="0">'[108]TCP-BHA'!$F$5</definedName>
    <definedName name="GWS" localSheetId="9" hidden="0" function="0" vbProcedure="0">'TALLY.'!GWS</definedName>
    <definedName name="h" localSheetId="9" hidden="0" function="0" vbProcedure="0">[144]Tally!$A$5:$H$1064</definedName>
    <definedName name="H2S" localSheetId="9" hidden="0" function="0" vbProcedure="0">'[94]Job Technical Info'!$L$41</definedName>
    <definedName name="Hangerfunction" localSheetId="9" hidden="0" function="0" vbProcedure="0">[11]DATA!$AH$2:$AH$9</definedName>
    <definedName name="Hassan" localSheetId="9" hidden="0" function="0" vbProcedure="0">[192]!Macro1</definedName>
    <definedName name="HAUL_Thread" localSheetId="9" hidden="0" function="0" vbProcedure="0">[11]DATA!$BM$22:$BM$114</definedName>
    <definedName name="HEAD" localSheetId="9" hidden="0" function="0" vbProcedure="0">#ref!</definedName>
    <definedName name="hesfluid" localSheetId="9" hidden="0" function="0" vbProcedure="0">[57]data!#ref!</definedName>
    <definedName name="hgh" localSheetId="9" hidden="1" function="0" vbProcedure="0">[1]Run!$D$15:$D$512</definedName>
    <definedName name="HGR_OL_Packoff_In" localSheetId="9" hidden="0" function="0" vbProcedure="0">[11]Test!$M$36</definedName>
    <definedName name="hhp" localSheetId="9" hidden="0" function="0" vbProcedure="0">'[96]well test sheet'!#ref!</definedName>
    <definedName name="hj" localSheetId="9" hidden="0" function="0" vbProcedure="0">[194]bha!#ref!</definedName>
    <definedName name="HKWT" localSheetId="9" hidden="0" function="0" vbProcedure="0">[185]钻井日报表!$E$7</definedName>
    <definedName name="Hngr_Bst" localSheetId="9" hidden="0" function="0" vbProcedure="0">'[11]Metric Conversions'!$B$50</definedName>
    <definedName name="Hngr_Bstz" localSheetId="9" hidden="0" function="0" vbProcedure="0">'[11]Liner Job Info'!$D$39</definedName>
    <definedName name="Hngr_OL_PO_out" localSheetId="9" hidden="0" function="0" vbProcedure="0">[11]Test!$M$30</definedName>
    <definedName name="Hngr_Overload_Cmt_Setup" localSheetId="9" hidden="0" function="0" vbProcedure="0">[11]Test!$M$42</definedName>
    <definedName name="Hngr_Tens" localSheetId="9" hidden="0" function="0" vbProcedure="0">'[11]Liner Job Info'!$D$40</definedName>
    <definedName name="Hng_Cap" localSheetId="9" hidden="0" function="0" vbProcedure="0">'[11]Liner Job Info'!$D$41</definedName>
    <definedName name="holevol" localSheetId="9" hidden="0" function="0" vbProcedure="0">'[64]tool backload dt'!holevol</definedName>
    <definedName name="hpb" localSheetId="9" hidden="0" function="0" vbProcedure="0">'[96]well test sheet'!#ref!</definedName>
    <definedName name="HR_Turns" localSheetId="9" hidden="0" function="0" vbProcedure="0">'[11]Weight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[52]!Prev.Macro106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'[11]Weight Calculations'!$F$47</definedName>
    <definedName name="Hyd_force_element" localSheetId="9" hidden="0" function="0" vbProcedure="0">[11]Test!$M$17</definedName>
    <definedName name="HyfloSeatID" localSheetId="9" hidden="0" function="0" vbProcedure="0">[11]DATA!$AY$2:$AY$4</definedName>
    <definedName name="HyfloSeatNumber" localSheetId="9" hidden="0" function="0" vbProcedure="0">[11]DATA!$AZ$2:$AZ$5</definedName>
    <definedName name="HyfloSupplier" localSheetId="9" hidden="0" function="0" vbProcedure="0">[11]DATA!$BA$2:$BA$5</definedName>
    <definedName name="I" localSheetId="9" hidden="0" function="0" vbProcedure="0">#ref!</definedName>
    <definedName name="idlist" localSheetId="9" hidden="0" function="0" vbProcedure="0">[106]Data!$GD$2:$GE$237</definedName>
    <definedName name="IDUnit" localSheetId="9" hidden="0" function="0" vbProcedure="0">'[94]Job Technical Info'!$F$24</definedName>
    <definedName name="impdwg" localSheetId="9" hidden="0" function="0" vbProcedure="0">[29]!impdwg</definedName>
    <definedName name="impdwg_1" localSheetId="9" hidden="0" function="0" vbProcedure="0">'TALLY.'!impdwg</definedName>
    <definedName name="impdwg_10" localSheetId="9" hidden="0" function="0" vbProcedure="0">'TALLY.'!impdwg</definedName>
    <definedName name="impdwg_11" localSheetId="9" hidden="0" function="0" vbProcedure="0">'TALLY.'!impdwg</definedName>
    <definedName name="impdwg_2" localSheetId="9" hidden="0" function="0" vbProcedure="0">'TALLY.'!impdwg</definedName>
    <definedName name="impdwg_3" localSheetId="9" hidden="0" function="0" vbProcedure="0">'TALLY.'!impdwg</definedName>
    <definedName name="impdwg_4" localSheetId="9" hidden="0" function="0" vbProcedure="0">'TALLY.'!impdwg</definedName>
    <definedName name="impdwg_5" localSheetId="9" hidden="0" function="0" vbProcedure="0">'TALLY.'!impdwg</definedName>
    <definedName name="impdwg_6" localSheetId="9" hidden="0" function="0" vbProcedure="0">'TALLY.'!impdwg</definedName>
    <definedName name="impdwg_7" localSheetId="9" hidden="0" function="0" vbProcedure="0">'TALLY.'!impdwg</definedName>
    <definedName name="impdwg_8" localSheetId="9" hidden="0" function="0" vbProcedure="0">'TALLY.'!impdwg</definedName>
    <definedName name="impdwg_9" localSheetId="9" hidden="0" function="0" vbProcedure="0">'TALLY.'!impdwg</definedName>
    <definedName name="Inc" localSheetId="9" hidden="0" function="0" vbProcedure="0">[185]钻井日报表!$G$8</definedName>
    <definedName name="InclinationData" localSheetId="9" hidden="0" function="0" vbProcedure="0">OFFSET([29]!Inclination,2,0,COUNT(#ref!),1)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[44]!Insert_New_Page</definedName>
    <definedName name="Insert_New_Page_1" localSheetId="9" hidden="0" function="0" vbProcedure="0">'TALLY.'!Insert_New_Page</definedName>
    <definedName name="Insert_New_Page_10" localSheetId="9" hidden="0" function="0" vbProcedure="0">'TALLY.'!Insert_New_Page</definedName>
    <definedName name="Insert_New_Page_11" localSheetId="9" hidden="0" function="0" vbProcedure="0">'TALLY.'!Insert_New_Page</definedName>
    <definedName name="Insert_New_Page_2" localSheetId="9" hidden="0" function="0" vbProcedure="0">'TALLY.'!Insert_New_Page</definedName>
    <definedName name="Insert_New_Page_3" localSheetId="9" hidden="0" function="0" vbProcedure="0">'TALLY.'!Insert_New_Page</definedName>
    <definedName name="Insert_New_Page_4" localSheetId="9" hidden="0" function="0" vbProcedure="0">'TALLY.'!Insert_New_Page</definedName>
    <definedName name="Insert_New_Page_5" localSheetId="9" hidden="0" function="0" vbProcedure="0">'TALLY.'!Insert_New_Page</definedName>
    <definedName name="Insert_New_Page_6" localSheetId="9" hidden="0" function="0" vbProcedure="0">'TALLY.'!Insert_New_Page</definedName>
    <definedName name="Insert_New_Page_7" localSheetId="9" hidden="0" function="0" vbProcedure="0">'TALLY.'!Insert_New_Page</definedName>
    <definedName name="Insert_New_Page_8" localSheetId="9" hidden="0" function="0" vbProcedure="0">'TALLY.'!Insert_New_Page</definedName>
    <definedName name="Insert_New_Page_9" localSheetId="9" hidden="0" function="0" vbProcedure="0">'TALLY.'!Insert_New_Page</definedName>
    <definedName name="Inverse_Balloon_Area" localSheetId="9" hidden="0" function="0" vbProcedure="0">[11]Test!$M$19</definedName>
    <definedName name="isip" localSheetId="9" hidden="0" function="0" vbProcedure="0">[5]WTR!$G$41</definedName>
    <definedName name="Issue" localSheetId="9" hidden="0" function="0" vbProcedure="0">'[146]Title Page'!$Q$2:$Q$20</definedName>
    <definedName name="Item1" localSheetId="9" hidden="0" function="0" vbProcedure="0">INDEX(#ref!,0,MATCH('[59]ENG Input'!$A$12,Categories,0))</definedName>
    <definedName name="Item10" localSheetId="9" hidden="0" function="0" vbProcedure="0">INDEX(#ref!,0,MATCH('[59]ENG Input'!$A$128,Categories,0))</definedName>
    <definedName name="Item11" localSheetId="9" hidden="0" function="0" vbProcedure="0">INDEX(#ref!,0,MATCH('[59]ENG Input'!$A$139,Categories,0))</definedName>
    <definedName name="Item12" localSheetId="9" hidden="0" function="0" vbProcedure="0">INDEX(#ref!,0,MATCH('[59]ENG Input'!$A$155,Categories,0))</definedName>
    <definedName name="Item13" localSheetId="9" hidden="0" function="0" vbProcedure="0">INDEX(#ref!,0,MATCH('[59]ENG Input'!$A$171,Categories,0))</definedName>
    <definedName name="Item14" localSheetId="9" hidden="0" function="0" vbProcedure="0">INDEX(#ref!,0,MATCH('[59]ENG Input'!$A$182,Categories,0))</definedName>
    <definedName name="Item15" localSheetId="9" hidden="0" function="0" vbProcedure="0">INDEX(#ref!,0,MATCH('[59]ENG Input'!$A$193,Categories,0))</definedName>
    <definedName name="Item16" localSheetId="9" hidden="0" function="0" vbProcedure="0">INDEX(#ref!,0,MATCH('[59]ENG Input'!$A$204,Categories,0))</definedName>
    <definedName name="Item17" localSheetId="9" hidden="0" function="0" vbProcedure="0">INDEX(#ref!,0,MATCH('[59]ENG Input'!$A$215,Categories,0))</definedName>
    <definedName name="Item18" localSheetId="9" hidden="0" function="0" vbProcedure="0">INDEX(#ref!,0,MATCH('[59]ENG Input'!$A$226,Categories,0))</definedName>
    <definedName name="Item19" localSheetId="9" hidden="0" function="0" vbProcedure="0">INDEX(#ref!,0,MATCH('[59]ENG Input'!$A$237,Categories,0))</definedName>
    <definedName name="Item2" localSheetId="9" hidden="0" function="0" vbProcedure="0">INDEX(#ref!,0,MATCH('[59]ENG Input'!$A$32,Categories,0))</definedName>
    <definedName name="Item20" localSheetId="9" hidden="0" function="0" vbProcedure="0">INDEX(#ref!,0,MATCH('[59]ENG Input'!$A$248,Categories,0))</definedName>
    <definedName name="Item3" localSheetId="9" hidden="0" function="0" vbProcedure="0">INDEX(#ref!,0,MATCH('[59]ENG Input'!$A$48,Categories,0))</definedName>
    <definedName name="Item4" localSheetId="9" hidden="0" function="0" vbProcedure="0">INDEX(#ref!,0,MATCH('[59]ENG Input'!$A$59,Categories,0))</definedName>
    <definedName name="Item5" localSheetId="9" hidden="0" function="0" vbProcedure="0">INDEX(#ref!,0,MATCH('[59]ENG Input'!$A$73,Categories,0))</definedName>
    <definedName name="Item6" localSheetId="9" hidden="0" function="0" vbProcedure="0">INDEX(#ref!,0,MATCH('[59]ENG Input'!$A$84,Categories,0))</definedName>
    <definedName name="Item7" localSheetId="9" hidden="0" function="0" vbProcedure="0">INDEX(#ref!,0,MATCH('[59]ENG Input'!$A$95,Categories,0))</definedName>
    <definedName name="Item8" localSheetId="9" hidden="0" function="0" vbProcedure="0">INDEX(#ref!,0,MATCH('[59]ENG Input'!$A$106,Categories,0))</definedName>
    <definedName name="Item9" localSheetId="9" hidden="0" function="0" vbProcedure="0">INDEX(#ref!,0,MATCH('[59]ENG Input'!$A$117,Categories,0))</definedName>
    <definedName name="J" localSheetId="9" hidden="1" function="0" vbProcedure="0">#ref!</definedName>
    <definedName name="janrupees" localSheetId="9" hidden="0" function="0" vbProcedure="0">'[147]Cash Expense January-96'!$H$6</definedName>
    <definedName name="jena_9" localSheetId="9" hidden="0" function="0" vbProcedure="0">#ref!</definedName>
    <definedName name="JEYJD" localSheetId="9" hidden="0" function="0" vbProcedure="0">'TALLY.'!JEYJD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'[144]job info sheet'!#ref!</definedName>
    <definedName name="JobNumber" localSheetId="9" hidden="0" function="0" vbProcedure="0">'[129]Front Page Info'!$C$4</definedName>
    <definedName name="jobpurpose1" localSheetId="9" hidden="0" function="0" vbProcedure="0">[183]Data!$L$1:$L$65536</definedName>
    <definedName name="JobType" localSheetId="9" hidden="0" function="0" vbProcedure="0">[6]Sheet1!$A$11:$A$16</definedName>
    <definedName name="Jobtype1" localSheetId="9" hidden="0" function="0" vbProcedure="0">[183]Data!$N$1:$N$65536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[99]!JointNumber</definedName>
    <definedName name="JOINTNUMBER23" localSheetId="9" hidden="0" function="0" vbProcedure="0">[75]!JointNumber</definedName>
    <definedName name="JOINTNYMBER4" localSheetId="9" hidden="0" function="0" vbProcedure="0">[75]!JointNumber</definedName>
    <definedName name="JOYCE" localSheetId="9" hidden="1" function="0" vbProcedure="0">#ref!</definedName>
    <definedName name="JRJTRJT" localSheetId="9" hidden="0" function="0" vbProcedure="0">'TALLY.'!JRJTRJT</definedName>
    <definedName name="JT" localSheetId="9" hidden="0" function="0" vbProcedure="0">[204]!JointNumber</definedName>
    <definedName name="JtCount" localSheetId="9" hidden="0" function="0" vbProcedure="0">'[79]casing talley'!#ref!</definedName>
    <definedName name="JTNFN" localSheetId="9" hidden="0" function="0" vbProcedure="0">'TALLY.'!JTNFN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[29]!Macro1</definedName>
    <definedName name="KL" localSheetId="9" hidden="0" function="0" vbProcedure="0">[149]BHA!$C$4</definedName>
    <definedName name="KO" localSheetId="9" hidden="0" function="0" vbProcedure="0">'[148]CSG13'!$F$6</definedName>
    <definedName name="KRR" localSheetId="9" hidden="0" function="0" vbProcedure="0">'TALLY.'!KRR</definedName>
    <definedName name="KUYUKR" localSheetId="9" hidden="0" function="0" vbProcedure="0">'TALLY.'!KUYUKR</definedName>
    <definedName name="K_1" localSheetId="9" hidden="0" function="0" vbProcedure="0">#ref!</definedName>
    <definedName name="K_2" localSheetId="9" hidden="0" function="0" vbProcedure="0">#ref!</definedName>
    <definedName name="K_Dual" localSheetId="9" hidden="0" function="0" vbProcedure="0">#ref!</definedName>
    <definedName name="L" localSheetId="9" hidden="0" function="0" vbProcedure="0">#ref!</definedName>
    <definedName name="landoffshore" localSheetId="9" hidden="0" function="0" vbProcedure="0">[57]data!#ref!</definedName>
    <definedName name="LastCsgString" localSheetId="9" hidden="0" function="0" vbProcedure="0">[11]DATA!$AU$2:$AU$4</definedName>
    <definedName name="latlong" localSheetId="9" hidden="0" function="0" vbProcedure="0">'[34]Call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 localSheetId="9" hidden="0" function="0" vbProcedure="0">#ref!</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'[11]Metric Conversions'!$B$45</definedName>
    <definedName name="Liner1_Burstz" localSheetId="9" hidden="0" function="0" vbProcedure="0">'[11]Liner Job Info'!$J$17</definedName>
    <definedName name="Liner1_Cap" localSheetId="9" hidden="0" function="0" vbProcedure="0">'[11]Liner Job Info'!$P$17</definedName>
    <definedName name="Liner1_Collapsez" localSheetId="9" hidden="0" function="0" vbProcedure="0">'[11]Liner Job Info'!$L$17</definedName>
    <definedName name="Liner1_ID" localSheetId="9" hidden="0" function="0" vbProcedure="0">'[11]Liner Job Info'!$D$17</definedName>
    <definedName name="Liner1_Length" localSheetId="9" hidden="0" function="0" vbProcedure="0">'[130]Metric Conversions'!$B$17</definedName>
    <definedName name="Liner1_Lengthz" localSheetId="9" hidden="0" function="0" vbProcedure="0">'[11]Liner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'[11]Weight Calculations'!$H$16</definedName>
    <definedName name="Liner1_Wt_Per_Ft" localSheetId="9" hidden="0" function="0" vbProcedure="0">'[130]Liner Job Info'!$E$17</definedName>
    <definedName name="Liner2_Burst" localSheetId="9" hidden="0" function="0" vbProcedure="0">'[11]Metric Conversions'!$B$46</definedName>
    <definedName name="Liner2_Burstz" localSheetId="9" hidden="0" function="0" vbProcedure="0">'[11]Liner Job Info'!$J$18</definedName>
    <definedName name="Liner2_Cap" localSheetId="9" hidden="0" function="0" vbProcedure="0">'[11]Liner Job Info'!$P$18</definedName>
    <definedName name="Liner2_Collapsez" localSheetId="9" hidden="0" function="0" vbProcedure="0">'[11]Liner Job Info'!$L$18</definedName>
    <definedName name="Liner2_ID" localSheetId="9" hidden="0" function="0" vbProcedure="0">'[11]Liner Job Info'!$D$18</definedName>
    <definedName name="Liner2_Length" localSheetId="9" hidden="0" function="0" vbProcedure="0">'[130]Metric Conversions'!$B$18</definedName>
    <definedName name="Liner2_Lengthz" localSheetId="9" hidden="0" function="0" vbProcedure="0">'[11]Liner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'[11]Weight Calculations'!$H$17</definedName>
    <definedName name="Liner2_Wt_Per_FT" localSheetId="9" hidden="0" function="0" vbProcedure="0">'[130]Liner Job Info'!$E$18</definedName>
    <definedName name="Linertype" localSheetId="9" hidden="0" function="0" vbProcedure="0">[11]DATA!$W$2:$W$12</definedName>
    <definedName name="Liner_I.D." localSheetId="9" hidden="0" function="0" vbProcedure="0">'[108]Job Calculation Sheet'!$F$14</definedName>
    <definedName name="Liner_ID_Area" localSheetId="9" hidden="0" function="0" vbProcedure="0">[11]Test!$V$40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ithology" localSheetId="9" hidden="0" function="0" vbProcedure="0">#ref!</definedName>
    <definedName name="lkj" localSheetId="9" hidden="1" function="0" vbProcedure="0">[103]Run!$B$18:$B$512</definedName>
    <definedName name="Lnr1_Grade" localSheetId="9" hidden="0" function="0" vbProcedure="0">'[130]Liner Job Info'!$F$17</definedName>
    <definedName name="Lnr1_Vol" localSheetId="9" hidden="0" function="0" vbProcedure="0">'[11]Metric Conversions'!$B$77</definedName>
    <definedName name="Lnr1_Volz" localSheetId="9" hidden="0" function="0" vbProcedure="0">'[11]Metric Conversions'!$C$77</definedName>
    <definedName name="Lnr1_X_OH_Volz" localSheetId="9" hidden="0" function="0" vbProcedure="0">'[11]Metric Conversions'!$C$82</definedName>
    <definedName name="Lnr2_Grade" localSheetId="9" hidden="0" function="0" vbProcedure="0">'[130]Liner Job Info'!$F$18</definedName>
    <definedName name="Lnr2_Vol" localSheetId="9" hidden="0" function="0" vbProcedure="0">'[11]Metric Conversions'!$B$78</definedName>
    <definedName name="Lnr2_Volz" localSheetId="9" hidden="0" function="0" vbProcedure="0">'[11]Metric Conversions'!$C$78</definedName>
    <definedName name="Lnr2_X_OH_Volz" localSheetId="9" hidden="0" function="0" vbProcedure="0">'[11]Metric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[63]auf_screen!#ref!</definedName>
    <definedName name="LOGGER" localSheetId="9" hidden="0" function="0" vbProcedure="0">[209]!Calculate_Pipe</definedName>
    <definedName name="loudout" localSheetId="9" hidden="1" function="0" vbProcedure="0">[63]Run!$D$15:$D$512</definedName>
    <definedName name="LS" localSheetId="9" hidden="0" function="0" vbProcedure="0">'[196]amberjack a32ream'!#ref!</definedName>
    <definedName name="LSA" localSheetId="9" hidden="0" function="0" vbProcedure="0">[213]!Calculate_Pipe</definedName>
    <definedName name="LSD" localSheetId="9" hidden="0" function="0" vbProcedure="0">'[144]job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[18]!Macro1</definedName>
    <definedName name="Macro112" localSheetId="9" hidden="0" function="0" vbProcedure="0">[59]!Macro59</definedName>
    <definedName name="Macro2" localSheetId="9" hidden="0" function="0" vbProcedure="0">[29]!Macro2</definedName>
    <definedName name="Macro22" localSheetId="9" hidden="0" function="0" vbProcedure="0">[29]!Macro22</definedName>
    <definedName name="Macro22_1" localSheetId="9" hidden="0" function="0" vbProcedure="0">'TALLY.'!Macro22</definedName>
    <definedName name="Macro22_10" localSheetId="9" hidden="0" function="0" vbProcedure="0">'TALLY.'!Macro22</definedName>
    <definedName name="Macro22_11" localSheetId="9" hidden="0" function="0" vbProcedure="0">'TALLY.'!Macro22</definedName>
    <definedName name="Macro22_2" localSheetId="9" hidden="0" function="0" vbProcedure="0">'TALLY.'!Macro22</definedName>
    <definedName name="Macro22_3" localSheetId="9" hidden="0" function="0" vbProcedure="0">'TALLY.'!Macro22</definedName>
    <definedName name="Macro22_4" localSheetId="9" hidden="0" function="0" vbProcedure="0">'TALLY.'!Macro22</definedName>
    <definedName name="Macro22_5" localSheetId="9" hidden="0" function="0" vbProcedure="0">'TALLY.'!Macro22</definedName>
    <definedName name="Macro22_6" localSheetId="9" hidden="0" function="0" vbProcedure="0">'TALLY.'!Macro22</definedName>
    <definedName name="Macro22_7" localSheetId="9" hidden="0" function="0" vbProcedure="0">'TALLY.'!Macro22</definedName>
    <definedName name="Macro22_8" localSheetId="9" hidden="0" function="0" vbProcedure="0">'TALLY.'!Macro22</definedName>
    <definedName name="Macro22_9" localSheetId="9" hidden="0" function="0" vbProcedure="0">'TALLY.'!Macro22</definedName>
    <definedName name="Macro233" localSheetId="9" hidden="0" function="0" vbProcedure="0">[29]!Macro1</definedName>
    <definedName name="Macro2_1" localSheetId="9" hidden="0" function="0" vbProcedure="0">'TALLY.'!Macro2</definedName>
    <definedName name="Macro2_10" localSheetId="9" hidden="0" function="0" vbProcedure="0">'TALLY.'!Macro2</definedName>
    <definedName name="Macro2_11" localSheetId="9" hidden="0" function="0" vbProcedure="0">'TALLY.'!Macro2</definedName>
    <definedName name="Macro2_2" localSheetId="9" hidden="0" function="0" vbProcedure="0">'TALLY.'!Macro2</definedName>
    <definedName name="Macro2_3" localSheetId="9" hidden="0" function="0" vbProcedure="0">'TALLY.'!Macro2</definedName>
    <definedName name="Macro2_4" localSheetId="9" hidden="0" function="0" vbProcedure="0">'TALLY.'!Macro2</definedName>
    <definedName name="Macro2_5" localSheetId="9" hidden="0" function="0" vbProcedure="0">'TALLY.'!Macro2</definedName>
    <definedName name="Macro2_6" localSheetId="9" hidden="0" function="0" vbProcedure="0">'TALLY.'!Macro2</definedName>
    <definedName name="Macro2_7" localSheetId="9" hidden="0" function="0" vbProcedure="0">'TALLY.'!Macro2</definedName>
    <definedName name="Macro2_8" localSheetId="9" hidden="0" function="0" vbProcedure="0">'TALLY.'!Macro2</definedName>
    <definedName name="Macro2_9" localSheetId="9" hidden="0" function="0" vbProcedure="0">'TALLY.'!Macro2</definedName>
    <definedName name="Macro3" localSheetId="9" hidden="0" function="0" vbProcedure="0">[29]!Macro3</definedName>
    <definedName name="Macro3_1" localSheetId="9" hidden="0" function="0" vbProcedure="0">'TALLY.'!Macro3</definedName>
    <definedName name="Macro3_10" localSheetId="9" hidden="0" function="0" vbProcedure="0">'TALLY.'!Macro3</definedName>
    <definedName name="Macro3_11" localSheetId="9" hidden="0" function="0" vbProcedure="0">'TALLY.'!Macro3</definedName>
    <definedName name="Macro3_2" localSheetId="9" hidden="0" function="0" vbProcedure="0">'TALLY.'!Macro3</definedName>
    <definedName name="Macro3_3" localSheetId="9" hidden="0" function="0" vbProcedure="0">'TALLY.'!Macro3</definedName>
    <definedName name="Macro3_4" localSheetId="9" hidden="0" function="0" vbProcedure="0">'TALLY.'!Macro3</definedName>
    <definedName name="Macro3_5" localSheetId="9" hidden="0" function="0" vbProcedure="0">'TALLY.'!Macro3</definedName>
    <definedName name="Macro3_6" localSheetId="9" hidden="0" function="0" vbProcedure="0">'TALLY.'!Macro3</definedName>
    <definedName name="Macro3_7" localSheetId="9" hidden="0" function="0" vbProcedure="0">'TALLY.'!Macro3</definedName>
    <definedName name="Macro3_8" localSheetId="9" hidden="0" function="0" vbProcedure="0">'TALLY.'!Macro3</definedName>
    <definedName name="Macro3_9" localSheetId="9" hidden="0" function="0" vbProcedure="0">'TALLY.'!Macro3</definedName>
    <definedName name="Make_Up_Torque_Of_Weak_Link" localSheetId="9" hidden="0" function="0" vbProcedure="0">'[11]Liner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[11]DATA!$I$3:$I$22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'[11]Metric Conversions'!$B$59</definedName>
    <definedName name="Max_Bump_psiz" localSheetId="9" hidden="0" function="0" vbProcedure="0">'[11]Metric Conversions'!$C$59</definedName>
    <definedName name="Max_Test_Cmt_Setup" localSheetId="9" hidden="0" function="0" vbProcedure="0">'[11]Metric Conversions'!$B$62</definedName>
    <definedName name="Max_Test_Cmt_Setupz" localSheetId="9" hidden="0" function="0" vbProcedure="0">'[11]Metric Conversions'!$C$62</definedName>
    <definedName name="Max_Test_Seals_In" localSheetId="9" hidden="0" function="0" vbProcedure="0">'[11]Metric Conversions'!$B$61</definedName>
    <definedName name="Max_Test_Seals_Inz" localSheetId="9" hidden="0" function="0" vbProcedure="0">'[11]Metric Conversions'!$C$61</definedName>
    <definedName name="Max_test_seals_out" localSheetId="9" hidden="0" function="0" vbProcedure="0">'[11]Metric Conversions'!$B$60</definedName>
    <definedName name="Max_test_seals_outz" localSheetId="9" hidden="0" function="0" vbProcedure="0">'[11]Metric Conversions'!$C$60</definedName>
    <definedName name="Max_Turns" localSheetId="9" hidden="0" function="0" vbProcedure="0">'[11]Weight Calculations'!$T$36</definedName>
    <definedName name="MDData" localSheetId="9" hidden="0" function="0" vbProcedure="0">OFFSET([29]!MDForInclination,2,0,COUNT(#ref!),1)</definedName>
    <definedName name="MeteringTime" localSheetId="9" hidden="0" function="0" vbProcedure="0">[11]DATA!$BG$2:$BG$42</definedName>
    <definedName name="Min._Ten_Sett_Tool_Assy" localSheetId="9" hidden="0" function="0" vbProcedure="0">'[11]Weight Calculations'!$S$60</definedName>
    <definedName name="Min_DP_Tens" localSheetId="9" hidden="0" function="0" vbProcedure="0">'[11]Weight Calculations'!$W$61</definedName>
    <definedName name="Min_Ft_Release_RH" localSheetId="9" hidden="0" function="0" vbProcedure="0">'[11]Metric Conversions'!$B$39</definedName>
    <definedName name="Min_Ft_Release_RHz" localSheetId="9" hidden="0" function="0" vbProcedure="0">'[11]Metric Conversions'!$C$39</definedName>
    <definedName name="mobile" localSheetId="9" hidden="0" function="0" vbProcedure="0">'[34]Call Sheet'!$R$5</definedName>
    <definedName name="Module1.draw_productionfirst" localSheetId="9" hidden="0" function="0" vbProcedure="0">'TALLY.'!Module1.draw_productionfirst</definedName>
    <definedName name="Module1.draw_productionsecond" localSheetId="9" hidden="0" function="0" vbProcedure="0">'TALLY.'!Module1.draw_productionsecond</definedName>
    <definedName name="Module1.impdwg" localSheetId="9" hidden="0" function="0" vbProcedure="0">[29]!Module1.impdwg</definedName>
    <definedName name="Module1.impdwg_1" localSheetId="9" hidden="0" function="0" vbProcedure="0">'TALLY.'!Module1.impdwg</definedName>
    <definedName name="Module1.impdwg_10" localSheetId="9" hidden="0" function="0" vbProcedure="0">'TALLY.'!Module1.impdwg</definedName>
    <definedName name="Module1.impdwg_11" localSheetId="9" hidden="0" function="0" vbProcedure="0">'TALLY.'!Module1.impdwg</definedName>
    <definedName name="Module1.impdwg_2" localSheetId="9" hidden="0" function="0" vbProcedure="0">'TALLY.'!Module1.impdwg</definedName>
    <definedName name="Module1.impdwg_3" localSheetId="9" hidden="0" function="0" vbProcedure="0">'TALLY.'!Module1.impdwg</definedName>
    <definedName name="Module1.impdwg_4" localSheetId="9" hidden="0" function="0" vbProcedure="0">'TALLY.'!Module1.impdwg</definedName>
    <definedName name="Module1.impdwg_5" localSheetId="9" hidden="0" function="0" vbProcedure="0">'TALLY.'!Module1.impdwg</definedName>
    <definedName name="Module1.impdwg_6" localSheetId="9" hidden="0" function="0" vbProcedure="0">'TALLY.'!Module1.impdwg</definedName>
    <definedName name="Module1.impdwg_7" localSheetId="9" hidden="0" function="0" vbProcedure="0">'TALLY.'!Module1.impdwg</definedName>
    <definedName name="Module1.impdwg_8" localSheetId="9" hidden="0" function="0" vbProcedure="0">'TALLY.'!Module1.impdwg</definedName>
    <definedName name="Module1.impdwg_9" localSheetId="9" hidden="0" function="0" vbProcedure="0">'TALLY.'!Module1.impdwg</definedName>
    <definedName name="Module4.drawblanks" localSheetId="9" hidden="0" function="0" vbProcedure="0">'TALLY.'!Module4.drawblanks</definedName>
    <definedName name="Module4.drawlinerfirst" localSheetId="9" hidden="0" function="0" vbProcedure="0">'TALLY.'!Module4.drawlinerfirst</definedName>
    <definedName name="Module4.drawlinersecond" localSheetId="9" hidden="0" function="0" vbProcedure="0">'TALLY.'!Module4.drawlinersecond</definedName>
    <definedName name="Module4.drawmiscellaneous" localSheetId="9" hidden="0" function="0" vbProcedure="0">'TALLY.'!Module4.drawmiscellaneous</definedName>
    <definedName name="Module4.drawproductionfirst" localSheetId="9" hidden="0" function="0" vbProcedure="0">'TALLY.'!Module4.drawproductionfirst</definedName>
    <definedName name="Module4.drawproductionsecond" localSheetId="9" hidden="0" function="0" vbProcedure="0">'TALLY.'!Module4.drawproductionsecond</definedName>
    <definedName name="Module4.drawquantum" localSheetId="9" hidden="0" function="0" vbProcedure="0">'TALLY.'!Module4.drawquantum</definedName>
    <definedName name="Module4.drawscreens" localSheetId="9" hidden="0" function="0" vbProcedure="0">'TALLY.'!Module4.drawscreens</definedName>
    <definedName name="Module4.drawshearsubs" localSheetId="9" hidden="0" function="0" vbProcedure="0">'TALLY.'!Module4.drawshearsubs</definedName>
    <definedName name="Module4.drawsump" localSheetId="9" hidden="0" function="0" vbProcedure="0">'TALLY.'!Module4.drawsump</definedName>
    <definedName name="Module4.textfive" localSheetId="9" hidden="0" function="0" vbProcedure="0">'TALLY.'!Module4.textfive</definedName>
    <definedName name="Module4.textfivehalf" localSheetId="9" hidden="0" function="0" vbProcedure="0">'TALLY.'!Module4.textfivehalf</definedName>
    <definedName name="Module4.textninefiveeightfourfirst" localSheetId="9" hidden="0" function="0" vbProcedure="0">'TALLY.'!Module4.textninefiveeightfourfirst</definedName>
    <definedName name="Module4.textninefiveeightfoursecond" localSheetId="9" hidden="0" function="0" vbProcedure="0">'TALLY.'!Module4.textninefiveeightfoursecond</definedName>
    <definedName name="Module4.textninefiveeightsixfirst" localSheetId="9" hidden="0" function="0" vbProcedure="0">'TALLY.'!Module4.textninefiveeightsixfirst</definedName>
    <definedName name="Module4.textninefiveeightsixsecond" localSheetId="9" hidden="0" function="0" vbProcedure="0">'TALLY.'!Module4.textninefiveeightsixsecond</definedName>
    <definedName name="Module4.textsevenfiveeightfour" localSheetId="9" hidden="0" function="0" vbProcedure="0">'TALLY.'!Module4.textsevenfiveeightfour</definedName>
    <definedName name="Module4.textsevenfiveeightthree" localSheetId="9" hidden="0" function="0" vbProcedure="0">'TALLY.'!Module4.textsevenfiveeightthree</definedName>
    <definedName name="Module4.textsevenfour" localSheetId="9" hidden="0" function="0" vbProcedure="0">'TALLY.'!Module4.textsevenfour</definedName>
    <definedName name="Module4.textseventhree" localSheetId="9" hidden="0" function="0" vbProcedure="0">'TALLY.'!Module4.textseventhree</definedName>
    <definedName name="MOE" localSheetId="9" hidden="0" function="0" vbProcedure="0">#ref!</definedName>
    <definedName name="Month" localSheetId="9" hidden="0" function="0" vbProcedure="0">[63]auf_screen!#ref!</definedName>
    <definedName name="monthref" localSheetId="9" hidden="0" function="0" vbProcedure="0">[184]References!$H$1:$I$12</definedName>
    <definedName name="MorningReport" localSheetId="9" hidden="0" function="0" vbProcedure="0">'[218]morning report'!#ref!</definedName>
    <definedName name="mr" localSheetId="9" hidden="1" function="0" vbProcedure="0">{#N/A,#N/A,FALSE,"Sheet1"}</definedName>
    <definedName name="Mudtype" localSheetId="9" hidden="0" function="0" vbProcedure="0">[11]DATA!$N$2:$N$18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'[11]Liner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[151]!JointNumber</definedName>
    <definedName name="m_choke" localSheetId="9" hidden="0" function="0" vbProcedure="0">'[96]well test sheet'!#ref!</definedName>
    <definedName name="M_Dual" localSheetId="9" hidden="0" function="0" vbProcedure="0">#ref!</definedName>
    <definedName name="n" localSheetId="9" hidden="0" function="0" vbProcedure="0">'TALLY.'!n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'[186]井口装置示意图-4'!$E$1:$E$65536</definedName>
    <definedName name="NEBRIGS" localSheetId="9" hidden="0" function="0" vbProcedure="0">[184]References!$D$1:$D$15</definedName>
    <definedName name="netperf" localSheetId="9" hidden="0" function="0" vbProcedure="0">[5]WTR!$G$33</definedName>
    <definedName name="NET_PERFS" localSheetId="9" hidden="0" function="0" vbProcedure="0">'[113]#REF'!$F$20</definedName>
    <definedName name="NewData" localSheetId="9" hidden="0" function="0" vbProcedure="0">'[183]New Contract'!$A$1:$G$65536</definedName>
    <definedName name="NewDes" localSheetId="9" hidden="0" function="0" vbProcedure="0">'[183]New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'[7]#ref'!#ref!</definedName>
    <definedName name="Nipples" localSheetId="9" hidden="0" function="0" vbProcedure="0">#ref!</definedName>
    <definedName name="NM" localSheetId="9" hidden="0" function="0" vbProcedure="0">[18]!Macro1</definedName>
    <definedName name="No" localSheetId="9" hidden="0" function="0" vbProcedure="0">'[154]BPR LOG'!$A$1:$A$1048576</definedName>
    <definedName name="NOofTools" localSheetId="9" hidden="0" function="0" vbProcedure="0">[11]DATA!$BP$2:$BP$12</definedName>
    <definedName name="NosOfTubing" localSheetId="9" hidden="0" function="0" vbProcedure="0">#ref!</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'[34]Call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'[11]Liner Job Info'!$Q$14</definedName>
    <definedName name="oilrate" localSheetId="9" hidden="0" function="0" vbProcedure="0">'[96]well test sheet'!#ref!</definedName>
    <definedName name="oil_cumm" localSheetId="9" hidden="0" function="0" vbProcedure="0">'[96]well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[57]data!#ref!</definedName>
    <definedName name="OP_1" localSheetId="9" hidden="0" function="0" vbProcedure="0">[187]Inputs!$F$1:$F$3</definedName>
    <definedName name="Overbalance" localSheetId="9" hidden="0" function="0" vbProcedure="0">'[108]Pre-Job Info Sheet'!$D$34</definedName>
    <definedName name="Overlap" localSheetId="9" hidden="0" function="0" vbProcedure="0">'[11]Metric Conversions'!$B$16</definedName>
    <definedName name="Overlapz" localSheetId="9" hidden="0" function="0" vbProcedure="0">'[11]Liner Job Info'!$R$14</definedName>
    <definedName name="Overlap_Volz" localSheetId="9" hidden="0" function="0" vbProcedure="0">'[11]Metric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'[79]casing talley'!#ref!</definedName>
    <definedName name="PACKER_2" localSheetId="9" hidden="0" function="0" vbProcedure="0">INDEX([111]DRAW!$D$13:$E$14,MATCH([112]AUTO_DHWS!$AV$12,[111]DRAW!$D$13:$D$14,0),2)</definedName>
    <definedName name="Packer_Rotation" localSheetId="9" hidden="0" function="0" vbProcedure="0">'[11]Liner Job Info'!$P$40</definedName>
    <definedName name="Packer_Set_In" localSheetId="9" hidden="0" function="0" vbProcedure="0">'[108]Pre-Job Info Sheet'!$D$22</definedName>
    <definedName name="PackOff" localSheetId="9" hidden="0" function="0" vbProcedure="0">[11]DATA!$AP$2:$AP$6</definedName>
    <definedName name="PackoffXDP1_Pist_Area" localSheetId="9" hidden="0" function="0" vbProcedure="0">'[11]Liner Job Info'!$AF$2</definedName>
    <definedName name="PackoffXDP2_Pist_Area" localSheetId="9" hidden="0" function="0" vbProcedure="0">'[11]Liner Job Info'!$AF$3</definedName>
    <definedName name="PackoffXDP3_Pist_Area" localSheetId="9" hidden="0" function="0" vbProcedure="0">'[11]Liner Job Info'!$AG$28</definedName>
    <definedName name="PackoffXDP4_Pist_Area" localSheetId="9" hidden="0" function="0" vbProcedure="0">'[11]Liner Job Info'!$AG$29</definedName>
    <definedName name="PackoffXDP5_Pist_Area" localSheetId="9" hidden="0" function="0" vbProcedure="0">'[11]Liner Job Info'!$AG$30</definedName>
    <definedName name="Packoff_Pist_Area" localSheetId="9" hidden="0" function="0" vbProcedure="0">'[11]Liner Job Info'!$AG$31</definedName>
    <definedName name="Packoff_Stinger_OD" localSheetId="9" hidden="0" function="0" vbProcedure="0">'[11]Liner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arts" localSheetId="9" hidden="0" function="0" vbProcedure="0">#ref!</definedName>
    <definedName name="PBTD" localSheetId="9" hidden="0" function="0" vbProcedure="0">'[79]casing talley'!#ref!</definedName>
    <definedName name="Pckr_Body_Bst" localSheetId="9" hidden="0" function="0" vbProcedure="0">'[11]Metric Conversions'!$B$52</definedName>
    <definedName name="Pckr_Body_Bstz" localSheetId="9" hidden="0" function="0" vbProcedure="0">'[11]Liner Job Info'!$P$32</definedName>
    <definedName name="Pckr_Body_Collz" localSheetId="9" hidden="0" function="0" vbProcedure="0">'[11]Liner Job Info'!$P$33</definedName>
    <definedName name="Pckr_Body_Tens" localSheetId="9" hidden="0" function="0" vbProcedure="0">'[11]Liner Job Info'!$P$34</definedName>
    <definedName name="Pckr_Seal_Surf_OD" localSheetId="9" hidden="0" function="0" vbProcedure="0">'[11]Liner Job Info'!$P$31</definedName>
    <definedName name="Pckr_Sett_Force" localSheetId="9" hidden="0" function="0" vbProcedure="0">'[11]Liner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[241]index!#ref!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'[79]casing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[183]Data!$P$1:$P$65536</definedName>
    <definedName name="Perv.Macro140" localSheetId="9" hidden="0" function="0" vbProcedure="0">[52]!Prev.Macro102</definedName>
    <definedName name="PFIVE_TOTAL" localSheetId="9" hidden="0" function="0" vbProcedure="0">[241]index!#ref!</definedName>
    <definedName name="PFOUR_TOTAL" localSheetId="9" hidden="0" function="0" vbProcedure="0">[241]index!#ref!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'TALLY.'!pick1_958x475_system</definedName>
    <definedName name="pick1_958x6_system" localSheetId="9" hidden="0" function="0" vbProcedure="0">'TALLY.'!pick1_958x6_system</definedName>
    <definedName name="pick1_production" localSheetId="9" hidden="0" function="0" vbProcedure="0">'TALLY.'!pick1_production</definedName>
    <definedName name="pick2_958x475_system" localSheetId="9" hidden="0" function="0" vbProcedure="0">'TALLY.'!pick2_958x475_system</definedName>
    <definedName name="pick2_958x6_system" localSheetId="9" hidden="0" function="0" vbProcedure="0">'TALLY.'!pick2_958x6_system</definedName>
    <definedName name="pick2_production" localSheetId="9" hidden="0" function="0" vbProcedure="0">'TALLY.'!pick2_production</definedName>
    <definedName name="pick_512_system" localSheetId="9" hidden="0" function="0" vbProcedure="0">'TALLY.'!pick_512_system</definedName>
    <definedName name="pick_5_system" localSheetId="9" hidden="0" function="0" vbProcedure="0">'TALLY.'!pick_5_system</definedName>
    <definedName name="pick_758x314_system" localSheetId="9" hidden="0" function="0" vbProcedure="0">'TALLY.'!pick_758x314_system</definedName>
    <definedName name="pick_758x4_system" localSheetId="9" hidden="0" function="0" vbProcedure="0">'TALLY.'!pick_758x4_system</definedName>
    <definedName name="pick_7x314_system" localSheetId="9" hidden="0" function="0" vbProcedure="0">'TALLY.'!pick_7x314_system</definedName>
    <definedName name="pick_7x4_system" localSheetId="9" hidden="0" function="0" vbProcedure="0">'TALLY.'!pick_7x4_system</definedName>
    <definedName name="pick_blanks" localSheetId="9" hidden="0" function="0" vbProcedure="0">'TALLY.'!pick_blanks</definedName>
    <definedName name="pick_liner" localSheetId="9" hidden="0" function="0" vbProcedure="0">'TALLY.'!pick_liner</definedName>
    <definedName name="pick_liner2" localSheetId="9" hidden="0" function="0" vbProcedure="0">'TALLY.'!pick_liner2</definedName>
    <definedName name="pick_miscellaneous" localSheetId="9" hidden="0" function="0" vbProcedure="0">'TALLY.'!pick_miscellaneous</definedName>
    <definedName name="pick_quantum" localSheetId="9" hidden="0" function="0" vbProcedure="0">'TALLY.'!pick_quantum</definedName>
    <definedName name="pick_screens" localSheetId="9" hidden="0" function="0" vbProcedure="0">'TALLY.'!pick_screens</definedName>
    <definedName name="pick_shearsubs" localSheetId="9" hidden="0" function="0" vbProcedure="0">'TALLY.'!pick_shearsubs</definedName>
    <definedName name="pick_sump" localSheetId="9" hidden="0" function="0" vbProcedure="0">'TALLY.'!pick_sump</definedName>
    <definedName name="Pilot" localSheetId="9" hidden="0" function="0" vbProcedure="0">[242]!'[module4 formula].macro1'</definedName>
    <definedName name="PistArea_Packoff_to_DP_OD" localSheetId="9" hidden="0" function="0" vbProcedure="0">[11]Test!$M$16</definedName>
    <definedName name="Piston_Disp" localSheetId="9" hidden="0" function="0" vbProcedure="0">'[108]Tester Valve Calcs'!$M$16</definedName>
    <definedName name="Pist_Area_Csg_ID_to_DP1_OD" localSheetId="9" hidden="0" function="0" vbProcedure="0">[11]Test!$U$26</definedName>
    <definedName name="Pist_Area_Csg_ID_to_DP2_OD" localSheetId="9" hidden="0" function="0" vbProcedure="0">[11]Test!$U$27</definedName>
    <definedName name="Pist_Area_Csg_ID_to_DP3_OD" localSheetId="9" hidden="0" function="0" vbProcedure="0">[11]Test!$U$28</definedName>
    <definedName name="Pist_Area_Csg_ID_to_DP4_OD" localSheetId="9" hidden="0" function="0" vbProcedure="0">[11]Test!$U$29</definedName>
    <definedName name="Pist_Area_Csg_ID_to_DP5_OD" localSheetId="9" hidden="0" function="0" vbProcedure="0">[11]Test!$U$30</definedName>
    <definedName name="Pist_Area_from_CsgID_to_Packoff_OD" localSheetId="9" hidden="0" function="0" vbProcedure="0">[11]Test!$M$14</definedName>
    <definedName name="Pist_Area_PackoffOD_DP2_OD" localSheetId="9" hidden="0" function="0" vbProcedure="0">[11]Test!$Y$27</definedName>
    <definedName name="Pist_Area_PackoffOD_DP4_OD" localSheetId="9" hidden="0" function="0" vbProcedure="0">[11]Test!$Y$29</definedName>
    <definedName name="Pist_Area_PackoffOD_DP5_OD" localSheetId="9" hidden="0" function="0" vbProcedure="0">[11]Test!$Y$30</definedName>
    <definedName name="Pist_Area_PackoffOD_to_DP1_OD" localSheetId="9" hidden="0" function="0" vbProcedure="0">[11]Test!$Y$26</definedName>
    <definedName name="Pist_Area_PackoffOD_to_DP3_OD" localSheetId="9" hidden="0" function="0" vbProcedure="0">[11]Test!$Y$28</definedName>
    <definedName name="Pkrs" localSheetId="9" hidden="0" function="0" vbProcedure="0">#ref!</definedName>
    <definedName name="plotm" localSheetId="9" hidden="0" function="0" vbProcedure="0">'[64]tool backload dt'!plotm</definedName>
    <definedName name="PlugMethod" localSheetId="9" hidden="0" function="0" vbProcedure="0">[11]DATA!$BI$2:$BI$6</definedName>
    <definedName name="Plugs" localSheetId="9" hidden="0" function="0" vbProcedure="0">[11]DATA!$AL$2:$AL$13</definedName>
    <definedName name="Plug_Bmp_Hngr_Ovr_Ld" localSheetId="9" hidden="0" function="0" vbProcedure="0">[11]Test!$M$25</definedName>
    <definedName name="Plug_Bmp_psi_wo_DP" localSheetId="9" hidden="0" function="0" vbProcedure="0">[11]Test!$M$23</definedName>
    <definedName name="Plug_Bmp_psi_w_DP" localSheetId="9" hidden="0" function="0" vbProcedure="0">[11]Test!$M$24</definedName>
    <definedName name="Plug_Press_Rating" localSheetId="9" hidden="0" function="0" vbProcedure="0">'[11]Metric Conversions'!$B$51</definedName>
    <definedName name="Plug_Press_Ratingz" localSheetId="9" hidden="0" function="0" vbProcedure="0">'[11]Liner Job Info'!$D$43</definedName>
    <definedName name="Plug_Temp_Rating" localSheetId="9" hidden="0" function="0" vbProcedure="0">'[11]Liner Job Info'!$D$44</definedName>
    <definedName name="PNINE_TOTAL" localSheetId="9" hidden="0" function="0" vbProcedure="0">[241]index!#ref!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'[11]Metric Conversions'!$B$65</definedName>
    <definedName name="pph" localSheetId="9" hidden="0" function="0" vbProcedure="0">[43]!Calculate_Pipe</definedName>
    <definedName name="pre.Macro220" localSheetId="9" hidden="0" function="0" vbProcedure="0">[52]!Prev.Macro110</definedName>
    <definedName name="pregpstim" localSheetId="9" hidden="0" function="0" vbProcedure="0">[5]WTR!$G$48</definedName>
    <definedName name="PREPACK_MIX_RATIO" localSheetId="9" hidden="0" function="0" vbProcedure="0">'[113]#REF'!$K$44</definedName>
    <definedName name="Pressure" localSheetId="9" hidden="0" function="0" vbProcedure="0">#ref!</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ssure_1" localSheetId="9" hidden="0" function="0" vbProcedure="0">#ref!</definedName>
    <definedName name="Pressure_2" localSheetId="9" hidden="0" function="0" vbProcedure="0">#ref!</definedName>
    <definedName name="prev.Macro150" localSheetId="9" hidden="0" function="0" vbProcedure="0">[52]!Prev.Macro122</definedName>
    <definedName name="prev.Macro200" localSheetId="9" hidden="0" function="0" vbProcedure="0">[52]!Prev.Macro128</definedName>
    <definedName name="Prev.Macro242" localSheetId="9" hidden="0" function="0" vbProcedure="0">[52]!Prev.Macro106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INDEX([161]PKR!$A$2:$B$15,MATCH([161]INPUT!$H$37,[161]PKR!$A$2:$A$15,0),2)</definedName>
    <definedName name="production" localSheetId="9" hidden="0" function="0" vbProcedure="0">[162]WTR!$L$6</definedName>
    <definedName name="Production_History_by_Well" localSheetId="9" hidden="0" function="0" vbProcedure="0">'[250]neb-wells'!#ref!</definedName>
    <definedName name="profitcntr1" localSheetId="9" hidden="0" function="0" vbProcedure="0">[183]Data!$I$1:$I$65536</definedName>
    <definedName name="Prog" localSheetId="9" hidden="0" function="0" vbProcedure="0">[184]References!$E$1:$E$4</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[241]index!#ref!</definedName>
    <definedName name="PSI" localSheetId="9" hidden="0" function="0" vbProcedure="0">'[78]tester valve calcs'!#ref!</definedName>
    <definedName name="psia_array" localSheetId="9" hidden="0" function="0" vbProcedure="0">{"HMR","HMR-GT","ZI Probe","Spartek","Omega SP"}</definedName>
    <definedName name="psibarkpa" localSheetId="9" hidden="0" function="0" vbProcedure="0">'[11]Metric Conversions'!$B$42</definedName>
    <definedName name="psig_array" localSheetId="9" hidden="0" function="0" vbProcedure="0">{"RPG-3","RPG-4"}</definedName>
    <definedName name="PSIX_TOTAL" localSheetId="9" hidden="0" function="0" vbProcedure="0">[241]index!#ref!</definedName>
    <definedName name="psl" localSheetId="9" hidden="0" function="0" vbProcedure="0">[57]data!#ref!</definedName>
    <definedName name="Pstn_Force_Actual" localSheetId="9" hidden="0" function="0" vbProcedure="0">'[11]Weight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[241]index!#ref!</definedName>
    <definedName name="PTWO_TOTAL" localSheetId="9" hidden="0" function="0" vbProcedure="0">[241]index!#ref!</definedName>
    <definedName name="Pups" localSheetId="9" hidden="0" function="0" vbProcedure="0">#ref!</definedName>
    <definedName name="PU_Dogs" localSheetId="9" hidden="0" function="0" vbProcedure="0">'[11]Metric Conversions'!$B$25</definedName>
    <definedName name="PU_Dogsz" localSheetId="9" hidden="0" function="0" vbProcedure="0">'[11]Liner Job Info'!$P$47</definedName>
    <definedName name="PU_Packoffz" localSheetId="9" hidden="0" function="0" vbProcedure="0">'[11]Liner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[254]!Calculate_Pipe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'TALLY.'!quantum</definedName>
    <definedName name="Range1" localSheetId="9" hidden="0" function="0" vbProcedure="0">OFFSET([257]sheet1!$e$5, 1, 0,[257]sheet1!$e$2,1)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'[188]2B Raw Rig Tally'!$B$13:$D$501</definedName>
    <definedName name="raw_tally_upper" localSheetId="9" hidden="0" function="0" vbProcedure="0">'[188]2B Raw Rig Tally'!$F$13:$H$501</definedName>
    <definedName name="Reasons" localSheetId="9" hidden="0" function="0" vbProcedure="0">'[146]Title Page'!$O$2:$O$23</definedName>
    <definedName name="Recalc" localSheetId="9" hidden="0" function="0" vbProcedure="0">[120]!Recalc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'[11]Weight Calculations'!$W$53</definedName>
    <definedName name="Rem_DP2_Tens" localSheetId="9" hidden="0" function="0" vbProcedure="0">'[11]Weight Calculations'!$W$54</definedName>
    <definedName name="Rem_DP3_Tens" localSheetId="9" hidden="0" function="0" vbProcedure="0">'[11]Weight Calculations'!$W$55</definedName>
    <definedName name="Rem_DP4_Tens" localSheetId="9" hidden="0" function="0" vbProcedure="0">'[11]Weight Calculations'!$W$59</definedName>
    <definedName name="Rem_DP5_Tens" localSheetId="9" hidden="0" function="0" vbProcedure="0">'[11]Weight Calculations'!$W$60</definedName>
    <definedName name="Rentalequipment" localSheetId="9" hidden="0" function="0" vbProcedure="0">[11]DATA!$R$2:$R$79</definedName>
    <definedName name="Rental_Tool_ID" localSheetId="9" hidden="0" function="0" vbProcedure="0">[11]DATA!$S$2:$S$79</definedName>
    <definedName name="REPORT3" localSheetId="9" hidden="0" function="0" vbProcedure="0">'[2]run sheet'!#ref!</definedName>
    <definedName name="RESE" localSheetId="9" hidden="0" function="0" vbProcedure="0">'TALLY.'!RESE</definedName>
    <definedName name="reservoir15" localSheetId="9" hidden="0" function="0" vbProcedure="0">'[73]geological prognosis'!#ref!</definedName>
    <definedName name="reservoir16" localSheetId="9" hidden="0" function="0" vbProcedure="0">'[73]geological prognosis'!#ref!</definedName>
    <definedName name="reservoir17" localSheetId="9" hidden="0" function="0" vbProcedure="0">'[73]geological prognosis'!#ref!</definedName>
    <definedName name="reservoir18" localSheetId="9" hidden="0" function="0" vbProcedure="0">'[73]geological prognosis'!#ref!</definedName>
    <definedName name="reservoir19" localSheetId="9" hidden="0" function="0" vbProcedure="0">'[73]geological prognosis'!#ref!</definedName>
    <definedName name="reservoir20" localSheetId="9" hidden="0" function="0" vbProcedure="0">'[73]geological prognosis'!#ref!</definedName>
    <definedName name="reservoir21" localSheetId="9" hidden="0" function="0" vbProcedure="0">'[73]geological prognosis'!#ref!</definedName>
    <definedName name="reservoir22" localSheetId="9" hidden="0" function="0" vbProcedure="0">'[73]geological prognosis'!#ref!</definedName>
    <definedName name="reservoir23" localSheetId="9" hidden="0" function="0" vbProcedure="0">'[73]geological prognosis'!#ref!</definedName>
    <definedName name="reservoir24" localSheetId="9" hidden="0" function="0" vbProcedure="0">'[73]geological prognosis'!#ref!</definedName>
    <definedName name="reservoir25" localSheetId="9" hidden="0" function="0" vbProcedure="0">'[73]geological prognosis'!#ref!</definedName>
    <definedName name="reservoir26" localSheetId="9" hidden="0" function="0" vbProcedure="0">'[73]geological prognosis'!#ref!</definedName>
    <definedName name="reservoir27" localSheetId="9" hidden="0" function="0" vbProcedure="0">'[73]geological prognosis'!#ref!</definedName>
    <definedName name="reservoir28" localSheetId="9" hidden="0" function="0" vbProcedure="0">'[73]geological prognosis'!#ref!</definedName>
    <definedName name="reservoir29" localSheetId="9" hidden="0" function="0" vbProcedure="0">'[73]geological prognosis'!#ref!</definedName>
    <definedName name="resrevoir09" localSheetId="9" hidden="0" function="0" vbProcedure="0">'[73]geological prognosis'!#ref!</definedName>
    <definedName name="resrevoir10" localSheetId="9" hidden="0" function="0" vbProcedure="0">'[73]geological prognosis'!#ref!</definedName>
    <definedName name="resrevoir12" localSheetId="9" hidden="0" function="0" vbProcedure="0">'[73]geological prognosis'!#ref!</definedName>
    <definedName name="resrevoir13" localSheetId="9" hidden="0" function="0" vbProcedure="0">'[73]geological prognosis'!#ref!</definedName>
    <definedName name="resrevoir14" localSheetId="9" hidden="0" function="0" vbProcedure="0">'[73]geological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'[11]Metric Conversions'!$C$38</definedName>
    <definedName name="RH_SHEAR" localSheetId="9" hidden="0" function="0" vbProcedure="0">'[11]Weight Calculations'!$H$21</definedName>
    <definedName name="RH_SHEAR_LNGTH" localSheetId="9" hidden="0" function="0" vbProcedure="0">'[11]Metric Conversions'!$B$37</definedName>
    <definedName name="RH_SHEAR_LNGTHz" localSheetId="9" hidden="0" function="0" vbProcedure="0">'[11]Metric Conversions'!$C$37</definedName>
    <definedName name="Rig" localSheetId="9" hidden="0" function="0" vbProcedure="0">'[88]Report Long(Esso)'!$E$4</definedName>
    <definedName name="rigcontractor1" localSheetId="9" hidden="0" function="0" vbProcedure="0">[183]Data!$G$1:$G$65536</definedName>
    <definedName name="Rigname1" localSheetId="9" hidden="0" function="0" vbProcedure="0">[183]Data!$E$1:$E$65536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'[11]Displacement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MR" localSheetId="9" hidden="0" function="0" vbProcedure="0">[184]References!$A$1:$A$3</definedName>
    <definedName name="Rotation" localSheetId="9" hidden="0" function="0" vbProcedure="0">[11]DATA!$AK$2:$AK$10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thLth" localSheetId="9" hidden="0" function="0" vbProcedure="0">#ref!</definedName>
    <definedName name="Runningtool" localSheetId="9" hidden="0" function="0" vbProcedure="0">[11]DATA!$AO$2:$AO$8</definedName>
    <definedName name="Rupees" localSheetId="9" hidden="0" function="0" vbProcedure="0">'[141]Cash Expense March-96'!$H$6</definedName>
    <definedName name="R_Group_ID" localSheetId="9" hidden="0" function="0" vbProcedure="0">[11]DATA!$T$2:$T$79</definedName>
    <definedName name="S" localSheetId="9" hidden="0" function="0" vbProcedure="0">'[2]run sheet'!#ref!</definedName>
    <definedName name="Salesequipment" localSheetId="9" hidden="0" function="0" vbProcedure="0">[11]DATA!$O$2:$O$268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'[96]well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'[7]#ref'!#ref!</definedName>
    <definedName name="SAND_IN_CAS_EXT" localSheetId="9" hidden="0" function="0" vbProcedure="0">'[7]#ref'!#ref!</definedName>
    <definedName name="SAND_IN_CAS_PREPACK" localSheetId="9" hidden="0" function="0" vbProcedure="0">'[113]#REF'!$F$81</definedName>
    <definedName name="SAND_IN_CAS_SCR" localSheetId="9" hidden="0" function="0" vbProcedure="0">'[7]#ref'!#ref!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[29]!Save_Document</definedName>
    <definedName name="Save_Document_1" localSheetId="9" hidden="0" function="0" vbProcedure="0">'TALLY.'!Save_Document</definedName>
    <definedName name="Save_Document_10" localSheetId="9" hidden="0" function="0" vbProcedure="0">'TALLY.'!Save_Document</definedName>
    <definedName name="Save_Document_11" localSheetId="9" hidden="0" function="0" vbProcedure="0">'TALLY.'!Save_Document</definedName>
    <definedName name="Save_Document_2" localSheetId="9" hidden="0" function="0" vbProcedure="0">'TALLY.'!Save_Document</definedName>
    <definedName name="Save_Document_3" localSheetId="9" hidden="0" function="0" vbProcedure="0">'TALLY.'!Save_Document</definedName>
    <definedName name="Save_Document_4" localSheetId="9" hidden="0" function="0" vbProcedure="0">'TALLY.'!Save_Document</definedName>
    <definedName name="Save_Document_5" localSheetId="9" hidden="0" function="0" vbProcedure="0">'TALLY.'!Save_Document</definedName>
    <definedName name="Save_Document_6" localSheetId="9" hidden="0" function="0" vbProcedure="0">'TALLY.'!Save_Document</definedName>
    <definedName name="Save_Document_7" localSheetId="9" hidden="0" function="0" vbProcedure="0">'TALLY.'!Save_Document</definedName>
    <definedName name="Save_Document_8" localSheetId="9" hidden="0" function="0" vbProcedure="0">'TALLY.'!Save_Document</definedName>
    <definedName name="Save_Document_9" localSheetId="9" hidden="0" function="0" vbProcedure="0">'TALLY.'!Save_Document</definedName>
    <definedName name="SBE" localSheetId="9" hidden="0" function="0" vbProcedure="0">#ref!</definedName>
    <definedName name="SCB" localSheetId="9" hidden="0" function="0" vbProcedure="0">[129]RSS!$B$136:$B$144</definedName>
    <definedName name="SCHE" localSheetId="9" hidden="0" function="0" vbProcedure="0">[18]!Macro1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[75]!Calculate_Pipe</definedName>
    <definedName name="se" localSheetId="9" hidden="0" function="0" vbProcedure="0">'[270]calculo de gas total'!#ref!</definedName>
    <definedName name="Seals" localSheetId="9" hidden="0" function="0" vbProcedure="0">#ref!</definedName>
    <definedName name="SeatID" localSheetId="9" hidden="0" function="0" vbProcedure="0">[11]DATA!$BC$2:$BC$6</definedName>
    <definedName name="SeatNumber" localSheetId="9" hidden="0" function="0" vbProcedure="0">[11]DATA!$BD$2:$BD$7</definedName>
    <definedName name="SeatShear" localSheetId="9" hidden="0" function="0" vbProcedure="0">[11]DATA!$BE$2:$BE$4</definedName>
    <definedName name="SeatType" localSheetId="9" hidden="0" function="0" vbProcedure="0">[11]DATA!$BB$2:$BB$4</definedName>
    <definedName name="sep_press" localSheetId="9" hidden="0" function="0" vbProcedure="0">'[96]well test sheet'!#ref!</definedName>
    <definedName name="sep_temp" localSheetId="9" hidden="0" function="0" vbProcedure="0">'[96]well test sheet'!#ref!</definedName>
    <definedName name="serialselect1" localSheetId="9" hidden="0" function="0" vbProcedure="0">[29]!serialselect1</definedName>
    <definedName name="serialselect2" localSheetId="9" hidden="0" function="0" vbProcedure="0">[29]!serialselect2</definedName>
    <definedName name="serialselect3" localSheetId="9" hidden="0" function="0" vbProcedure="0">[29]!serialselect3</definedName>
    <definedName name="serialselect4" localSheetId="9" hidden="0" function="0" vbProcedure="0">[29]!serialselect4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'[11]Liner Job Info'!$P$44</definedName>
    <definedName name="Shear_HR_Mech_Release" localSheetId="9" hidden="0" function="0" vbProcedure="0">'[11]Liner Job Info'!$P$49</definedName>
    <definedName name="SHER" localSheetId="9" hidden="0" function="0" vbProcedure="0">'TALLY.'!SHER</definedName>
    <definedName name="shippedvia" localSheetId="9" hidden="0" function="0" vbProcedure="0">'[33]data '!#ref!</definedName>
    <definedName name="shit" localSheetId="9" hidden="1" function="0" vbProcedure="0">{#N/A,#N/A,FALSE,"Sheet1"}</definedName>
    <definedName name="SHO" localSheetId="9" hidden="0" function="0" vbProcedure="0">[185]钻井日报表!$G$3</definedName>
    <definedName name="ShoeTrack_Vol" localSheetId="9" hidden="0" function="0" vbProcedure="0">'[11]Metric Conversions'!$B$76</definedName>
    <definedName name="ShoeTrack_Volz" localSheetId="9" hidden="0" function="0" vbProcedure="0">'[11]Metric Conversions'!$C$76</definedName>
    <definedName name="Shoe_Track_Length" localSheetId="9" hidden="0" function="0" vbProcedure="0">'[11]Metric Conversions'!$B$19</definedName>
    <definedName name="Shoe_Track_Lengthz" localSheetId="9" hidden="0" function="0" vbProcedure="0">'[11]Liner Job Info'!$D$19</definedName>
    <definedName name="Show_1" localSheetId="9" hidden="0" function="0" vbProcedure="0">[44]!Show_1</definedName>
    <definedName name="Show_1_1" localSheetId="9" hidden="0" function="0" vbProcedure="0">'TALLY.'!Show_1</definedName>
    <definedName name="Show_1_10" localSheetId="9" hidden="0" function="0" vbProcedure="0">'TALLY.'!Show_1</definedName>
    <definedName name="Show_1_11" localSheetId="9" hidden="0" function="0" vbProcedure="0">'TALLY.'!Show_1</definedName>
    <definedName name="Show_1_2" localSheetId="9" hidden="0" function="0" vbProcedure="0">'TALLY.'!Show_1</definedName>
    <definedName name="Show_1_3" localSheetId="9" hidden="0" function="0" vbProcedure="0">'TALLY.'!Show_1</definedName>
    <definedName name="Show_1_4" localSheetId="9" hidden="0" function="0" vbProcedure="0">'TALLY.'!Show_1</definedName>
    <definedName name="Show_1_5" localSheetId="9" hidden="0" function="0" vbProcedure="0">'TALLY.'!Show_1</definedName>
    <definedName name="Show_1_6" localSheetId="9" hidden="0" function="0" vbProcedure="0">'TALLY.'!Show_1</definedName>
    <definedName name="Show_1_7" localSheetId="9" hidden="0" function="0" vbProcedure="0">'TALLY.'!Show_1</definedName>
    <definedName name="Show_1_8" localSheetId="9" hidden="0" function="0" vbProcedure="0">'TALLY.'!Show_1</definedName>
    <definedName name="Show_1_9" localSheetId="9" hidden="0" function="0" vbProcedure="0">'TALLY.'!Show_1</definedName>
    <definedName name="Show_2" localSheetId="9" hidden="0" function="0" vbProcedure="0">[44]!Show_2</definedName>
    <definedName name="Show_2_1" localSheetId="9" hidden="0" function="0" vbProcedure="0">'TALLY.'!Show_2</definedName>
    <definedName name="Show_2_10" localSheetId="9" hidden="0" function="0" vbProcedure="0">'TALLY.'!Show_2</definedName>
    <definedName name="Show_2_11" localSheetId="9" hidden="0" function="0" vbProcedure="0">'TALLY.'!Show_2</definedName>
    <definedName name="Show_2_2" localSheetId="9" hidden="0" function="0" vbProcedure="0">'TALLY.'!Show_2</definedName>
    <definedName name="Show_2_3" localSheetId="9" hidden="0" function="0" vbProcedure="0">'TALLY.'!Show_2</definedName>
    <definedName name="Show_2_4" localSheetId="9" hidden="0" function="0" vbProcedure="0">'TALLY.'!Show_2</definedName>
    <definedName name="Show_2_5" localSheetId="9" hidden="0" function="0" vbProcedure="0">'TALLY.'!Show_2</definedName>
    <definedName name="Show_2_6" localSheetId="9" hidden="0" function="0" vbProcedure="0">'TALLY.'!Show_2</definedName>
    <definedName name="Show_2_7" localSheetId="9" hidden="0" function="0" vbProcedure="0">'TALLY.'!Show_2</definedName>
    <definedName name="Show_2_8" localSheetId="9" hidden="0" function="0" vbProcedure="0">'TALLY.'!Show_2</definedName>
    <definedName name="Show_2_9" localSheetId="9" hidden="0" function="0" vbProcedure="0">'TALLY.'!Show_2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[11]DATA!$AV$2:$AV$4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'[34]Call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[11]DATA!$BK$2:$BK$7</definedName>
    <definedName name="Spiral_Type" localSheetId="9" hidden="0" function="0" vbProcedure="0">[11]DATA!$BM$2:$BM$5</definedName>
    <definedName name="SPM" localSheetId="9" hidden="0" function="0" vbProcedure="0">#ref!</definedName>
    <definedName name="SSA" localSheetId="9" hidden="0" function="0" vbProcedure="0">[275]!Macro46</definedName>
    <definedName name="SSDHGR" localSheetId="9" hidden="0" function="0" vbProcedure="0">#ref!</definedName>
    <definedName name="ssdsd" localSheetId="9" hidden="0" function="0" vbProcedure="0">'TALLY.'!ssdsd</definedName>
    <definedName name="SSID" localSheetId="9" hidden="0" function="0" vbProcedure="0">'[11]Liner Job Info'!$O$6</definedName>
    <definedName name="sss" localSheetId="9" hidden="1" function="0" vbProcedure="0">{#N/A,#N/A,FALSE,"Drlg Param Run 1-1";#N/A,#N/A,FALSE,"DDR (3)";#N/A,#N/A,FALSE,"BHA AT (1)";#N/A,#N/A,FALSE,"Downlinkbha";#N/A,#N/A,FALSE,"Job Status Report"}</definedName>
    <definedName name="SSSV" localSheetId="9" hidden="0" function="0" vbProcedure="0">#ref!</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'[11]Metric Conversions'!$B$30</definedName>
    <definedName name="Stretch_DP1_Lnr_Wtz" localSheetId="9" hidden="0" function="0" vbProcedure="0">'[11]Metric Conversions'!$C$30</definedName>
    <definedName name="Stretch_DP2_Lnr_Wt" localSheetId="9" hidden="0" function="0" vbProcedure="0">'[11]Metric Conversions'!$B$31</definedName>
    <definedName name="Stretch_DP2_Lnr_Wtz" localSheetId="9" hidden="0" function="0" vbProcedure="0">'[11]Metric Conversions'!$C$31</definedName>
    <definedName name="Stretch_DP3_Lnr_Wt" localSheetId="9" hidden="0" function="0" vbProcedure="0">'[11]Metric Conversions'!$B$32</definedName>
    <definedName name="Stretch_DP3_Lnr_Wtz" localSheetId="9" hidden="0" function="0" vbProcedure="0">'[11]Metric Conversions'!$C$32</definedName>
    <definedName name="Stretch_DP4_Lnr_Wt" localSheetId="9" hidden="0" function="0" vbProcedure="0">'[11]Metric Conversions'!$B$33</definedName>
    <definedName name="Stretch_DP4_Lnr_Wtz" localSheetId="9" hidden="0" function="0" vbProcedure="0">'[11]Metric Conversions'!$C$33</definedName>
    <definedName name="Stretch_DP5_Lnr_Wt" localSheetId="9" hidden="0" function="0" vbProcedure="0">'[11]Metric Conversions'!$B$34</definedName>
    <definedName name="Stretch_DP5_Lnr_Wtz" localSheetId="9" hidden="0" function="0" vbProcedure="0">'[11]Metric Conversions'!$C$34</definedName>
    <definedName name="Stretch_TTL_Lnr_Wt" localSheetId="9" hidden="0" function="0" vbProcedure="0">'[11]Metric Conversions'!$B$36</definedName>
    <definedName name="Stretch_TTL_Lnr_Wtz" localSheetId="9" hidden="0" function="0" vbProcedure="0">'[11]Metric Conversions'!$C$36</definedName>
    <definedName name="SUBJECT" localSheetId="9" hidden="0" function="0" vbProcedure="0">[184]References!$B$1:$B$15</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[11]DATA!$AQ$2:$AQ$11</definedName>
    <definedName name="surfacefracpressure" localSheetId="9" hidden="0" function="0" vbProcedure="0">[106]Data!$F$4</definedName>
    <definedName name="Surf_Equip_Tens" localSheetId="9" hidden="0" function="0" vbProcedure="0">'[11]Liner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#ref!</definedName>
    <definedName name="t." localSheetId="9" hidden="0" function="0" vbProcedure="0">[52]!Prev.Macro102</definedName>
    <definedName name="Tally" localSheetId="9" hidden="0" function="0" vbProcedure="0">#ref!</definedName>
    <definedName name="tallyc" localSheetId="9" hidden="0" function="0" vbProcedure="0">'[3]run sheet'!#ref!</definedName>
    <definedName name="Tally_2" localSheetId="9" hidden="0" function="0" vbProcedure="0">[189]Tally!$E$5:$G$1004</definedName>
    <definedName name="Tally_3" localSheetId="9" hidden="0" function="0" vbProcedure="0">[189]Tally!$I$5:$K$1004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[151]!Calculate_Pipe</definedName>
    <definedName name="Tbg" localSheetId="9" hidden="0" function="0" vbProcedure="0">#ref!</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#ref!</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ize" localSheetId="9" hidden="0" function="0" vbProcedure="0">#ref!</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'[11]Metric Conversions'!$B$55</definedName>
    <definedName name="TB_Ext_API_Collz" localSheetId="9" hidden="0" function="0" vbProcedure="0">'[11]Liner Job Info'!$P$37</definedName>
    <definedName name="TB_Ext_Bst" localSheetId="9" hidden="0" function="0" vbProcedure="0">'[11]Metric Conversions'!$B$54</definedName>
    <definedName name="TB_Ext_Bstz" localSheetId="9" hidden="0" function="0" vbProcedure="0">'[11]Liner Job Info'!$P$36</definedName>
    <definedName name="TB_EXT_ID" localSheetId="9" hidden="0" function="0" vbProcedure="0">'[11]Liner Job Info'!$P$35</definedName>
    <definedName name="TB_Ext_Yield_Collz" localSheetId="9" hidden="0" function="0" vbProcedure="0">'[11]Liner Job Info'!$P$38</definedName>
    <definedName name="TCPSTRING" localSheetId="9" hidden="0" function="0" vbProcedure="0">[287]!ADDSTAB</definedName>
    <definedName name="TD_Depth_md" localSheetId="9" hidden="0" function="0" vbProcedure="0">'[73]well specification'!#ref!</definedName>
    <definedName name="TD_md" localSheetId="9" hidden="0" function="0" vbProcedure="0">'[73]well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9" hidden="0" function="0" vbProcedure="0">#ref!</definedName>
    <definedName name="Temperature" localSheetId="9" hidden="0" function="0" vbProcedure="0">#ref!</definedName>
    <definedName name="TENDER" localSheetId="9" hidden="0" function="0" vbProcedure="0">'[88]Report Long(Esso)'!$E$4</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[11]Test!$M$28</definedName>
    <definedName name="Test_po_out_2" localSheetId="9" hidden="0" function="0" vbProcedure="0">[11]Test!$M$29</definedName>
    <definedName name="textfive" localSheetId="9" hidden="0" function="0" vbProcedure="0">'TALLY.'!textfive</definedName>
    <definedName name="textfivehalf" localSheetId="9" hidden="0" function="0" vbProcedure="0">'TALLY.'!textfivehalf</definedName>
    <definedName name="textninefiveeightfourfirst" localSheetId="9" hidden="0" function="0" vbProcedure="0">'TALLY.'!textninefiveeightfourfirst</definedName>
    <definedName name="textninefiveeightfoursecond" localSheetId="9" hidden="0" function="0" vbProcedure="0">'TALLY.'!textninefiveeightfoursecond</definedName>
    <definedName name="textninefiveeightsixfirst" localSheetId="9" hidden="0" function="0" vbProcedure="0">'TALLY.'!textninefiveeightsixfirst</definedName>
    <definedName name="textninefiveeightsixsecond" localSheetId="9" hidden="0" function="0" vbProcedure="0">'TALLY.'!textninefiveeightsixsecond</definedName>
    <definedName name="textsevenfiveeightfour" localSheetId="9" hidden="0" function="0" vbProcedure="0">'TALLY.'!textsevenfiveeightfour</definedName>
    <definedName name="textsevenfiveeightthree" localSheetId="9" hidden="0" function="0" vbProcedure="0">'TALLY.'!textsevenfiveeightthree</definedName>
    <definedName name="textsevenfour" localSheetId="9" hidden="0" function="0" vbProcedure="0">'TALLY.'!textsevenfour</definedName>
    <definedName name="textseventhree" localSheetId="9" hidden="0" function="0" vbProcedure="0">'TALLY.'!textseventhree</definedName>
    <definedName name="text_five" localSheetId="9" hidden="0" function="0" vbProcedure="0">'TALLY.'!text_five</definedName>
    <definedName name="text_fivehalf" localSheetId="9" hidden="0" function="0" vbProcedure="0">'TALLY.'!text_fivehalf</definedName>
    <definedName name="text_ninefiveeightfourfirst" localSheetId="9" hidden="0" function="0" vbProcedure="0">'TALLY.'!text_ninefiveeightfourfirst</definedName>
    <definedName name="text_ninefiveeightfoursecond" localSheetId="9" hidden="0" function="0" vbProcedure="0">'TALLY.'!text_ninefiveeightfoursecond</definedName>
    <definedName name="text_ninefiveeightsixfirst" localSheetId="9" hidden="0" function="0" vbProcedure="0">'TALLY.'!text_ninefiveeightsixfirst</definedName>
    <definedName name="text_ninefiveeightsixsecond" localSheetId="9" hidden="0" function="0" vbProcedure="0">'TALLY.'!text_ninefiveeightsixsecond</definedName>
    <definedName name="text_sevenfiveeightfour" localSheetId="9" hidden="0" function="0" vbProcedure="0">'TALLY.'!text_sevenfiveeightfour</definedName>
    <definedName name="text_sevenfiveeightthree" localSheetId="9" hidden="0" function="0" vbProcedure="0">'TALLY.'!text_sevenfiveeightthree</definedName>
    <definedName name="text_sevenfour" localSheetId="9" hidden="0" function="0" vbProcedure="0">'TALLY.'!text_sevenfour</definedName>
    <definedName name="text_seventhree" localSheetId="9" hidden="0" function="0" vbProcedure="0">'TALLY.'!text_seventhree</definedName>
    <definedName name="tgrade" localSheetId="9" hidden="0" function="0" vbProcedure="0">[157]Control!$D$9</definedName>
    <definedName name="TGW" localSheetId="9" hidden="0" function="0" vbProcedure="0">'TALLY.'!TGW</definedName>
    <definedName name="ThreadCon" localSheetId="9" hidden="0" function="0" vbProcedure="0">#ref!</definedName>
    <definedName name="ticketdate" localSheetId="9" hidden="0" function="0" vbProcedure="0">'[34]Call Sheet'!$AH$1</definedName>
    <definedName name="tickettype" localSheetId="9" hidden="0" function="0" vbProcedure="0">[57]data!#ref!</definedName>
    <definedName name="time" localSheetId="9" hidden="0" function="0" vbProcedure="0">'[96]well test sheet'!#ref!</definedName>
    <definedName name="Time_1" localSheetId="9" hidden="0" function="0" vbProcedure="0">#ref!</definedName>
    <definedName name="Time_1__Time_2" localSheetId="9" hidden="0" function="0" vbProcedure="0">'[290]k factor'!#ref!</definedName>
    <definedName name="Time_2" localSheetId="9" hidden="0" function="0" vbProcedure="0">#ref!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'[11]Liner Job Info'!$I$19</definedName>
    <definedName name="ToolMaterial" localSheetId="9" hidden="0" function="0" vbProcedure="0">[11]DATA!$BN$2:$BN$8</definedName>
    <definedName name="Tool_ID" localSheetId="9" hidden="0" function="0" vbProcedure="0">[11]DATA!$P$2:$P$268</definedName>
    <definedName name="TOPPKRIMG" localSheetId="9" hidden="0" function="0" vbProcedure="0">INDEX([172]PKR!$A$16:$B$17,MATCH([172]INPUT!$G$56,[172]PKR!$A$16:$A$17,0),2)</definedName>
    <definedName name="TOPPKRIMG_1" localSheetId="9" hidden="0" function="0" vbProcedure="0">INDEX([161]PKR!$A$16:$B$18,MATCH([161]INPUT!$G$56,[161]PKR!$A$16:$A$18,0),2)</definedName>
    <definedName name="Top_Drive_y_n" localSheetId="9" hidden="0" function="0" vbProcedure="0">'[49]liner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'[11]Weight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'[11]Metric Conversions'!$C$90</definedName>
    <definedName name="TOT_CAP_HOLE" localSheetId="9" hidden="0" function="0" vbProcedure="0">'[113]#REF'!$G$190</definedName>
    <definedName name="Tot_DP_Vol" localSheetId="9" hidden="0" function="0" vbProcedure="0">'[11]Metric Conversions'!$B$75</definedName>
    <definedName name="Tot_DP_Volz" localSheetId="9" hidden="0" function="0" vbProcedure="0">'[11]Metric Conversions'!$C$75</definedName>
    <definedName name="Tot_Liner_Wt" localSheetId="9" hidden="0" function="0" vbProcedure="0">'[11]Weight Calculations'!$H$18</definedName>
    <definedName name="Tot_Lnr_Vol_to_LC" localSheetId="9" hidden="0" function="0" vbProcedure="0">'[11]Metric Conversions'!$B$79</definedName>
    <definedName name="Tot_Lnr_Vol_to_LCz" localSheetId="9" hidden="0" function="0" vbProcedure="0">'[11]Metric Conversions'!$C$79</definedName>
    <definedName name="TOT_SAND_2B_PUMPED" localSheetId="9" hidden="0" function="0" vbProcedure="0">'[7]#ref'!#ref!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'[7]#ref'!#ref!</definedName>
    <definedName name="Tot_Vol_to_Bump_Plugs" localSheetId="9" hidden="0" function="0" vbProcedure="0">'[11]Metric Conversions'!$B$80</definedName>
    <definedName name="Tot_Vol_to_Bump_Plugsz" localSheetId="9" hidden="0" function="0" vbProcedure="0">'[11]Metric Conversions'!$C$80</definedName>
    <definedName name="Tot_Vol_to_Shoez" localSheetId="9" hidden="0" function="0" vbProcedure="0">'[11]Metric Conversions'!$C$81</definedName>
    <definedName name="tpermit" localSheetId="9" hidden="0" function="0" vbProcedure="0">[157]Control!$D$5</definedName>
    <definedName name="TQW" localSheetId="9" hidden="0" function="0" vbProcedure="0">'TALLY.'!TQW</definedName>
    <definedName name="tr" localSheetId="9" hidden="0" function="0" vbProcedure="0">null</definedName>
    <definedName name="transport" localSheetId="9" hidden="0" function="0" vbProcedure="0">[57]data!#ref!</definedName>
    <definedName name="treatment" localSheetId="9" hidden="0" function="0" vbProcedure="0">[57]data!#ref!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((SUM([29]!NosOfTubing))-(MakeupLoss*COUNT([29]!NosOfTubing)))/COUNT([29]!NosOfTubing)</definedName>
    <definedName name="tubingInfo" localSheetId="9" hidden="0" function="0" vbProcedure="0">#ref!</definedName>
    <definedName name="TubingLength" localSheetId="9" hidden="0" function="0" vbProcedure="0">#ref!</definedName>
    <definedName name="tubingmat" localSheetId="9" hidden="0" function="0" vbProcedure="0">#ref!</definedName>
    <definedName name="TubingOD" localSheetId="9" hidden="0" function="0" vbProcedure="0">[94]Lists!$AH$3:$AH$297</definedName>
    <definedName name="tubingSG" localSheetId="9" hidden="0" function="0" vbProcedure="0">#ref!</definedName>
    <definedName name="tubingsize" localSheetId="9" hidden="0" function="0" vbProcedure="0">#ref!</definedName>
    <definedName name="TubingSizes" localSheetId="9" hidden="0" function="0" vbProcedure="0">[94]Lists!$H$2:$H$14</definedName>
    <definedName name="tubingtype" localSheetId="9" hidden="0" function="0" vbProcedure="0">#ref!</definedName>
    <definedName name="tubingW" localSheetId="9" hidden="0" function="0" vbProcedure="0">#ref!</definedName>
    <definedName name="tubingweight" localSheetId="9" hidden="0" function="0" vbProcedure="0">[86]!TubTable[id LIST (in)]</definedName>
    <definedName name="tubingweigth" localSheetId="9" hidden="0" function="0" vbProcedure="0">#ref!</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'TALLY.'!TYJEJE</definedName>
    <definedName name="TYPE" localSheetId="9" hidden="0" function="0" vbProcedure="0">[184]References!$F$1:$F$2</definedName>
    <definedName name="TYPEOFPLUG" localSheetId="9" hidden="0" function="0" vbProcedure="0">'[190]DATA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'[50]12(762mm)套管'!#ref!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Dual" localSheetId="9" hidden="0" function="0" vbProcedure="0">#ref!</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[11]DATA!$AR$2:$AR$3</definedName>
    <definedName name="Using_Hanger" localSheetId="9" hidden="0" function="0" vbProcedure="0">'[11]Liner Job Info'!$D$38</definedName>
    <definedName name="Using_Packer" localSheetId="9" hidden="0" function="0" vbProcedure="0">'[11]Liner Job Info'!$P$30</definedName>
    <definedName name="VALIDCURR" localSheetId="9" hidden="0" function="0" vbProcedure="0">[177]Currency!$A$1:$A$170</definedName>
    <definedName name="Vallist" localSheetId="9" hidden="0" function="0" vbProcedure="0">'[11]Casing Info'!$A$2:$A$34</definedName>
    <definedName name="vallist2" localSheetId="9" hidden="0" function="0" vbProcedure="0">#N/A</definedName>
    <definedName name="vbcode.draw_blanks" localSheetId="9" hidden="0" function="0" vbProcedure="0">'TALLY.'!vbcode.draw_blanks</definedName>
    <definedName name="vbcode.draw_linerfirst" localSheetId="9" hidden="0" function="0" vbProcedure="0">'TALLY.'!vbcode.draw_linerfirst</definedName>
    <definedName name="vbcode.draw_linersecond" localSheetId="9" hidden="0" function="0" vbProcedure="0">'TALLY.'!vbcode.draw_linersecond</definedName>
    <definedName name="vbcode.draw_miscellaneous" localSheetId="9" hidden="0" function="0" vbProcedure="0">'TALLY.'!vbcode.draw_miscellaneous</definedName>
    <definedName name="vbcode.draw_productionfirst" localSheetId="9" hidden="0" function="0" vbProcedure="0">'TALLY.'!vbcode.draw_productionfirst</definedName>
    <definedName name="vbcode.draw_productionsecond" localSheetId="9" hidden="0" function="0" vbProcedure="0">'TALLY.'!vbcode.draw_productionsecond</definedName>
    <definedName name="vbcode.draw_quantum" localSheetId="9" hidden="0" function="0" vbProcedure="0">'TALLY.'!vbcode.draw_quantum</definedName>
    <definedName name="vbcode.draw_screens" localSheetId="9" hidden="0" function="0" vbProcedure="0">'TALLY.'!vbcode.draw_screens</definedName>
    <definedName name="vbcode.draw_shearsubs" localSheetId="9" hidden="0" function="0" vbProcedure="0">'TALLY.'!vbcode.draw_shearsubs</definedName>
    <definedName name="vbcode.draw_sump" localSheetId="9" hidden="0" function="0" vbProcedure="0">'TALLY.'!vbcode.draw_sump</definedName>
    <definedName name="vbcode.text_five" localSheetId="9" hidden="0" function="0" vbProcedure="0">'TALLY.'!vbcode.text_five</definedName>
    <definedName name="vbcode.text_fivehalf" localSheetId="9" hidden="0" function="0" vbProcedure="0">'TALLY.'!vbcode.text_fivehalf</definedName>
    <definedName name="vbcode.text_ninefiveeightfourfirst" localSheetId="9" hidden="0" function="0" vbProcedure="0">'TALLY.'!vbcode.text_ninefiveeightfourfirst</definedName>
    <definedName name="vbcode.text_ninefiveeightfoursecond" localSheetId="9" hidden="0" function="0" vbProcedure="0">'TALLY.'!vbcode.text_ninefiveeightfoursecond</definedName>
    <definedName name="vbcode.text_ninefiveeightsixfirst" localSheetId="9" hidden="0" function="0" vbProcedure="0">'TALLY.'!vbcode.text_ninefiveeightsixfirst</definedName>
    <definedName name="vbcode.text_ninefiveeightsixsecond" localSheetId="9" hidden="0" function="0" vbProcedure="0">'TALLY.'!vbcode.text_ninefiveeightsixsecond</definedName>
    <definedName name="vbcode.text_sevenfiveeightfour" localSheetId="9" hidden="0" function="0" vbProcedure="0">'TALLY.'!vbcode.text_sevenfiveeightfour</definedName>
    <definedName name="vbcode.text_sevenfiveeightthree" localSheetId="9" hidden="0" function="0" vbProcedure="0">'TALLY.'!vbcode.text_sevenfiveeightthree</definedName>
    <definedName name="vbcode.text_sevenfour" localSheetId="9" hidden="0" function="0" vbProcedure="0">'TALLY.'!vbcode.text_sevenfour</definedName>
    <definedName name="vbcode.text_seventhree" localSheetId="9" hidden="0" function="0" vbProcedure="0">'TALLY.'!vbcode.text_seventhree</definedName>
    <definedName name="Verticaldepth" localSheetId="9" hidden="0" function="0" vbProcedure="0">'[129]Front Page Info'!$C$18</definedName>
    <definedName name="vfdvf" localSheetId="9" hidden="0" function="0" vbProcedure="0">[181]!Macro61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[82]!Macro60</definedName>
    <definedName name="w" localSheetId="9" hidden="0" function="0" vbProcedure="0">'[306]run sheet'!#ref!</definedName>
    <definedName name="WBJobRev" localSheetId="9" hidden="0" function="0" vbProcedure="0">'[94]Job Technical Info'!$C$11</definedName>
    <definedName name="Weak_DP" localSheetId="9" hidden="0" function="0" vbProcedure="0">'[11]Weight Calculations'!$V$63</definedName>
    <definedName name="Weak_link" localSheetId="9" hidden="0" function="0" vbProcedure="0">'[11]Weight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[183]Data!$K$1:$K$65536</definedName>
    <definedName name="Welllocation1" localSheetId="9" hidden="0" function="0" vbProcedure="0">[183]Data!$M$1:$M$65536</definedName>
    <definedName name="WellMD" localSheetId="9" hidden="0" function="0" vbProcedure="0">'[94]Job Technical Info'!$H$41</definedName>
    <definedName name="WellNo" localSheetId="9" hidden="0" function="0" vbProcedure="0">'[88]Report Long(Esso)'!$E$2</definedName>
    <definedName name="Wells" localSheetId="9" hidden="0" function="0" vbProcedure="0">[307]welltest!#ref!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'[96]well test sheet'!#ref!</definedName>
    <definedName name="wiperplugunity" localSheetId="9" hidden="0" function="0" vbProcedure="0">[11]Test!$G$18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[86]!CasingTable[#data]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FULL._.DTL." localSheetId="9" hidden="1" function="0" vbProcedure="0">{"CF",#N/A,FALSE,"FULL COST";"MANUFACT",#N/A,FALSE,"FULL COST";"PAYNMENT",#N/A,FALSE,"FULL COST"}</definedName>
    <definedName name="wrn.FULLSUM." localSheetId="9" hidden="1" function="0" vbProcedure="0">{#N/A,#N/A,FALSE,"SUM-1";#N/A,#N/A,FALSE,"SUM-2";#N/A,#N/A,FALSE,"TENDER"}</definedName>
    <definedName name="wrn.ratios." localSheetId="9" hidden="1" function="0" vbProcedure="0">{"raatios",#N/A,FALSE,"A";"ratios",#N/A,FALSE,"B";"ratios",#N/A,FALSE,"C";"ratios",#N/A,FALSE,"D";"ratios",#N/A,FALSE,"F"}</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'[96]well test sheet'!#ref!</definedName>
    <definedName name="wtr_rate" localSheetId="9" hidden="0" function="0" vbProcedure="0">'[96]well test sheet'!#ref!</definedName>
    <definedName name="wtworkstring" localSheetId="9" hidden="0" function="0" vbProcedure="0">[106]Data!$W$21</definedName>
    <definedName name="Wtype" localSheetId="9" hidden="0" function="0" vbProcedure="0">'[11]Liner Job Info'!$E$9</definedName>
    <definedName name="Wt_Bouyant" localSheetId="9" hidden="0" function="0" vbProcedure="0">'[108]Packer Calculation Sheet'!$I$34</definedName>
    <definedName name="Wt_w_Cmt" localSheetId="9" hidden="0" function="0" vbProcedure="0">'[11]Liner Job Info'!$D$34</definedName>
    <definedName name="Wt_W_Pkr_Tst" localSheetId="9" hidden="0" function="0" vbProcedure="0">'[11]Liner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 localSheetId="9" hidden="0" function="0" vbProcedure="0">#ref!</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0" function="0" vbProcedure="0">[145]tonmiles!#ref!</definedName>
    <definedName name="xxxx" localSheetId="9" hidden="0" function="0" vbProcedure="0">[309]!Macro46</definedName>
    <definedName name="Y" localSheetId="9" hidden="0" function="0" vbProcedure="0">'[310]#ref'!#ref!</definedName>
    <definedName name="YESNO" localSheetId="9" hidden="0" function="0" vbProcedure="0">[129]RSS!$E$139:$E$141</definedName>
    <definedName name="YJEJD" localSheetId="9" hidden="0" function="0" vbProcedure="0">'TALLY.'!YJEJD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yyyyyyyyyyyy" localSheetId="9" hidden="1" function="0" vbProcedure="0">{"raatios",#N/A,FALSE,"A";"ratios",#N/A,FALSE,"B";"ratios",#N/A,FALSE,"C";"ratios",#N/A,FALSE,"D";"ratios",#N/A,FALSE,"F"}</definedName>
    <definedName name="Z" localSheetId="9" hidden="0" function="0" vbProcedure="0">#ref!</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[11]Test!$Z$38</definedName>
    <definedName name="zzzzzz" localSheetId="9" hidden="0" function="0" vbProcedure="0">[309]!'[module4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'[2]run sheet'!#ref!</definedName>
    <definedName name="_B" localSheetId="9" hidden="0" function="0" vbProcedure="0">#ref!</definedName>
    <definedName name="_C" localSheetId="9" hidden="0" function="0" vbProcedure="0">'[2]run sheet'!#ref!</definedName>
    <definedName name="_D" localSheetId="9" hidden="0" function="0" vbProcedure="0">'[2]run sheet'!#ref!</definedName>
    <definedName name="_E" localSheetId="9" hidden="0" function="0" vbProcedure="0">'[2]run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'[2]run sheet'!#ref!</definedName>
    <definedName name="_J" localSheetId="9" hidden="0" function="0" vbProcedure="0">'[2]run sheet'!#ref!</definedName>
    <definedName name="_L" localSheetId="9" hidden="0" function="0" vbProcedure="0">'[2]run sheet'!#ref!</definedName>
    <definedName name="_N" localSheetId="9" hidden="0" function="0" vbProcedure="0">'[2]run sheet'!#ref!</definedName>
    <definedName name="_q" localSheetId="9" hidden="0" function="0" vbProcedure="0">'[4]run sheet'!#ref!</definedName>
    <definedName name="_T" localSheetId="9" hidden="0" function="0" vbProcedure="0">{#N/A,#N/A,FALSE,"Volume"}</definedName>
    <definedName name="_V" localSheetId="9" hidden="0" function="0" vbProcedure="0">#ref!</definedName>
    <definedName name="_X" localSheetId="9" hidden="0" function="0" vbProcedure="0">'[2]run sheet'!#ref!</definedName>
    <definedName name="_Z" localSheetId="9" hidden="0" function="0" vbProcedure="0">'[2]run sheet'!#ref!</definedName>
    <definedName name="_" localSheetId="9" hidden="0" function="0" vbProcedure="0">[6]readings!#ref!</definedName>
    <definedName name="_1" localSheetId="9" hidden="0" function="0" vbProcedure="0">{#N/A,#N/A,FALSE,"Volume"}</definedName>
    <definedName name="_11Druckbereich" localSheetId="9" hidden="0" function="0" vbProcedure="0">[36]run_s!#ref!</definedName>
    <definedName name="_1234GRAPH_G" localSheetId="9" hidden="1" function="0" vbProcedure="0">[100]Run!$F$16:$F$514</definedName>
    <definedName name="_1Module2__2__.gaugeconok2" localSheetId="9" hidden="0" function="0" vbProcedure="0">[29]!_1Module2__2__.gaugeconok2</definedName>
    <definedName name="_2" localSheetId="9" hidden="0" function="0" vbProcedure="0">{#N/A,#N/A,FALSE,"Volume"}</definedName>
    <definedName name="_2Module2__2__.gaugeok2" localSheetId="9" hidden="0" function="0" vbProcedure="0">[29]!_2Module2__2__.gaugeok2</definedName>
    <definedName name="_3Module2__2__.gaugeselect2" localSheetId="9" hidden="0" function="0" vbProcedure="0">[29]!_3Module2__2__.gaugeselect2</definedName>
    <definedName name="_4Module2__2__.serialselect3" localSheetId="9" hidden="0" function="0" vbProcedure="0">[29]!_4Module2__2__.serialselect3</definedName>
    <definedName name="_5" localSheetId="9" hidden="0" function="0" vbProcedure="0">{#N/A,#N/A,FALSE,"Volume"}</definedName>
    <definedName name="_5Module2__2__.serialselect4" localSheetId="9" hidden="0" function="0" vbProcedure="0">[29]!_5Module2__2__.serialselect4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[100]Run!$B$18:$B$512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[10]!Calculate_Pipe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'[40]sap serv 06-02'!#ref!</definedName>
    <definedName name="_DAT17" localSheetId="9" hidden="0" function="0" vbProcedure="0">'[40]sap serv 06-02'!#ref!</definedName>
    <definedName name="_DAT19" localSheetId="9" hidden="0" function="0" vbProcedure="0">'[40]sap serv 06-02'!#ref!</definedName>
    <definedName name="_DAT20" localSheetId="9" hidden="0" function="0" vbProcedure="0">'[40]sap serv 06-02'!#ref!</definedName>
    <definedName name="_DAT25" localSheetId="9" hidden="0" function="0" vbProcedure="0">'[40]sap serv 06-02'!#ref!</definedName>
    <definedName name="_DAT26" localSheetId="9" hidden="0" function="0" vbProcedure="0">'[40]sap serv 06-02'!#ref!</definedName>
    <definedName name="_DAT27" localSheetId="9" hidden="0" function="0" vbProcedure="0">'[40]sap serv 06-02'!#ref!</definedName>
    <definedName name="_DAT28" localSheetId="9" hidden="0" function="0" vbProcedure="0">'[40]sap serv 06-02'!#ref!</definedName>
    <definedName name="_DAT29" localSheetId="9" hidden="0" function="0" vbProcedure="0">'[40]sap serv 06-02'!#ref!</definedName>
    <definedName name="_DAT31" localSheetId="9" hidden="0" function="0" vbProcedure="0">'[40]sap serv 06-02'!#ref!</definedName>
    <definedName name="_DAT32" localSheetId="9" hidden="0" function="0" vbProcedure="0">'[40]sap serv 06-02'!#ref!</definedName>
    <definedName name="_DAT34" localSheetId="9" hidden="0" function="0" vbProcedure="0">'[40]sap serv 06-02'!#ref!</definedName>
    <definedName name="_DAT35" localSheetId="9" hidden="0" function="0" vbProcedure="0">'[40]sap serv 06-02'!#ref!</definedName>
    <definedName name="_DAT36" localSheetId="9" hidden="0" function="0" vbProcedure="0">'[40]sap serv 06-02'!#ref!</definedName>
    <definedName name="_DAT40" localSheetId="9" hidden="0" function="0" vbProcedure="0">'[40]sap serv 06-02'!#ref!</definedName>
    <definedName name="_DAT41" localSheetId="9" hidden="0" function="0" vbProcedure="0">'[40]sap serv 06-02'!#ref!</definedName>
    <definedName name="_DAT42" localSheetId="9" hidden="0" function="0" vbProcedure="0">'[40]sap serv 06-02'!#ref!</definedName>
    <definedName name="_DAT44" localSheetId="9" hidden="0" function="0" vbProcedure="0">'[40]sap serv 06-02'!#ref!</definedName>
    <definedName name="_DAT45" localSheetId="9" hidden="0" function="0" vbProcedure="0">'[40]sap serv 06-02'!#ref!</definedName>
    <definedName name="_DAT46" localSheetId="9" hidden="0" function="0" vbProcedure="0">'[40]sap serv 06-02'!#ref!</definedName>
    <definedName name="_DAT47" localSheetId="9" hidden="0" function="0" vbProcedure="0">'[40]sap serv 06-02'!#ref!</definedName>
    <definedName name="_DAT48" localSheetId="9" hidden="0" function="0" vbProcedure="0">'[40]sap serv 06-02'!#ref!</definedName>
    <definedName name="_DAT49" localSheetId="9" hidden="0" function="0" vbProcedure="0">'[40]sap serv 06-02'!#ref!</definedName>
    <definedName name="_DAT50" localSheetId="9" hidden="0" function="0" vbProcedure="0">'[40]sap serv 06-02'!#ref!</definedName>
    <definedName name="_DAT52" localSheetId="9" hidden="0" function="0" vbProcedure="0">'[40]sap serv 06-02'!#ref!</definedName>
    <definedName name="_DAT53" localSheetId="9" hidden="0" function="0" vbProcedure="0">'[40]sap serv 06-02'!#ref!</definedName>
    <definedName name="_DAT54" localSheetId="9" hidden="0" function="0" vbProcedure="0">'[40]sap serv 06-02'!#ref!</definedName>
    <definedName name="_DAT56" localSheetId="9" hidden="0" function="0" vbProcedure="0">'[40]sap serv 06-02'!#ref!</definedName>
    <definedName name="_DAT57" localSheetId="9" hidden="0" function="0" vbProcedure="0">'[40]sap serv 06-02'!#ref!</definedName>
    <definedName name="_DAT62" localSheetId="9" hidden="0" function="0" vbProcedure="0">'[40]sap serv 06-02'!#ref!</definedName>
    <definedName name="_DAT63" localSheetId="9" hidden="0" function="0" vbProcedure="0">'[40]sap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'[33]data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[43]!Calculate_Pipe</definedName>
    <definedName name="_r06" localSheetId="9" hidden="0" function="0" vbProcedure="0">[44]!AutoCAD</definedName>
    <definedName name="_Sort" localSheetId="9" hidden="1" function="0" vbProcedure="0">#ref!</definedName>
    <definedName name="_SPM1" localSheetId="9" hidden="0" function="0" vbProcedure="0">[18]!Macro1</definedName>
    <definedName name="_SSA1" localSheetId="9" hidden="0" function="0" vbProcedure="0">[46]!Macro46</definedName>
    <definedName name="_Table1_In1" localSheetId="9" hidden="1" function="0" vbProcedure="0">[103]Run!$E$575</definedName>
    <definedName name="_Table1_Out" localSheetId="9" hidden="1" function="0" vbProcedure="0">[103]Run!$C$16:$E$577</definedName>
    <definedName name="_TST2" localSheetId="9" hidden="0" function="0" vbProcedure="0">'[11]Liner Job Info'!$O$7</definedName>
    <definedName name="_UA38" localSheetId="9" hidden="0" function="0" vbProcedure="0">[29]!_UA38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[29]!__1Module2__2__.gaugeconok2</definedName>
    <definedName name="__2Module2__2__.gaugeok2" localSheetId="9" hidden="0" function="0" vbProcedure="0">[29]!__2Module2__2__.gaugeok2</definedName>
    <definedName name="__3Module2__2__.gaugeselect2" localSheetId="9" hidden="0" function="0" vbProcedure="0">[29]!__3Module2__2__.gaugeselect2</definedName>
    <definedName name="__4Module2__2__.serialselect3" localSheetId="9" hidden="0" function="0" vbProcedure="0">[29]!__4Module2__2__.serialselect3</definedName>
    <definedName name="__5Module2__2__.serialselect4" localSheetId="9" hidden="0" function="0" vbProcedure="0">[29]!__5Module2__2__.serialselect4</definedName>
    <definedName name="__A4" localSheetId="9" hidden="1" function="0" vbProcedure="0">[100]Run!$B$18:$B$512</definedName>
    <definedName name="__bb2789" localSheetId="9" hidden="0" function="0" vbProcedure="0">[10]!Calculate_Pipe</definedName>
    <definedName name="__SPM1" localSheetId="9" hidden="0" function="0" vbProcedure="0">[18]!Macro1</definedName>
    <definedName name="__UA38" localSheetId="9" hidden="0" function="0" vbProcedure="0">[29]!__UA38</definedName>
    <definedName name="__wrn1" localSheetId="9" hidden="0" function="0" vbProcedure="0">{#N/A,#N/A,FALSE,"Volume"}</definedName>
    <definedName name="___A4" localSheetId="9" hidden="1" function="0" vbProcedure="0">[179]Run!$B$18:$B$512</definedName>
    <definedName name="___bb2789" localSheetId="9" hidden="0" function="0" vbProcedure="0">[10]!Calculate_Pipe</definedName>
    <definedName name="___SPM1" localSheetId="9" hidden="0" function="0" vbProcedure="0">[18]!Macro1</definedName>
    <definedName name="___wrn1" localSheetId="9" hidden="0" function="0" vbProcedure="0">{#N/A,#N/A,FALSE,"Volume"}</definedName>
    <definedName name="____A4" localSheetId="9" hidden="1" function="0" vbProcedure="0">[179]Run!$B$18:$B$512</definedName>
    <definedName name="____bb2789" localSheetId="9" hidden="0" function="0" vbProcedure="0">[10]!Calculate_Pipe</definedName>
    <definedName name="____SPM1" localSheetId="9" hidden="0" function="0" vbProcedure="0">[18]!Macro1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[16]!Calculate_Pipe</definedName>
    <definedName name="_____SPM1" localSheetId="9" hidden="0" function="0" vbProcedure="0">[18]!Macro1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[16]!Calculate_Pipe</definedName>
    <definedName name="______SPM1" localSheetId="9" hidden="0" function="0" vbProcedure="0">[18]!Macro1</definedName>
    <definedName name="_______A4" localSheetId="9" hidden="1" function="0" vbProcedure="0">[179]Run!$B$18:$B$512</definedName>
    <definedName name="_______bb2789" localSheetId="9" hidden="0" function="0" vbProcedure="0">[16]!Calculate_Pipe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[16]!Calculate_Pipe</definedName>
    <definedName name="_________A4" localSheetId="9" hidden="1" function="0" vbProcedure="0">[179]Run!$B$18:$B$512</definedName>
    <definedName name="_________bb2789" localSheetId="9" hidden="0" function="0" vbProcedure="0">[16]!Calculate_Pipe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[16]!Calculate_Pipe</definedName>
    <definedName name="___________A4" localSheetId="9" hidden="1" function="0" vbProcedure="0">[179]Run!$B$18:$B$512</definedName>
    <definedName name="___________bb2789" localSheetId="9" hidden="0" function="0" vbProcedure="0">[16]!Calculate_Pipe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[16]!Calculate_Pipe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[16]!Calculate_Pipe</definedName>
    <definedName name="______________A4" localSheetId="9" hidden="1" function="0" vbProcedure="0">[179]Run!$B$18:$B$512</definedName>
    <definedName name="______________bb2789" localSheetId="9" hidden="0" function="0" vbProcedure="0">[16]!Calculate_Pipe</definedName>
    <definedName name="_______________A4" localSheetId="9" hidden="1" function="0" vbProcedure="0">[179]Run!$B$18:$B$512</definedName>
    <definedName name="_______________bb2789" localSheetId="9" hidden="0" function="0" vbProcedure="0">[16]!Calculate_Pipe</definedName>
    <definedName name="________________A4" localSheetId="9" hidden="1" function="0" vbProcedure="0">[179]Run!$B$18:$B$512</definedName>
    <definedName name="________________bb2789" localSheetId="9" hidden="0" function="0" vbProcedure="0">[10]!Calculate_Pipe</definedName>
    <definedName name="_________________A4" localSheetId="9" hidden="1" function="0" vbProcedure="0">[179]Run!$B$18:$B$512</definedName>
    <definedName name="_________________bb2789" localSheetId="9" hidden="0" function="0" vbProcedure="0">[10]!Calculate_Pipe</definedName>
    <definedName name="__________________A4" localSheetId="9" hidden="1" function="0" vbProcedure="0">[179]Run!$B$18:$B$512</definedName>
    <definedName name="__________________bb2789" localSheetId="9" hidden="0" function="0" vbProcedure="0">[12]!Calculate_Pipe</definedName>
    <definedName name="___________________A4" localSheetId="9" hidden="1" function="0" vbProcedure="0">[179]Run!$B$18:$B$512</definedName>
    <definedName name="___________________bb2789" localSheetId="9" hidden="0" function="0" vbProcedure="0">[12]!Calculate_Pipe</definedName>
    <definedName name="____________________A4" localSheetId="9" hidden="1" function="0" vbProcedure="0">[191]Run!$B$18:$B$512</definedName>
    <definedName name="____________________bb2789" localSheetId="9" hidden="0" function="0" vbProcedure="0">[10]!Calculate_Pipe</definedName>
    <definedName name="_____________________A4" localSheetId="9" hidden="1" function="0" vbProcedure="0">[179]Run!$B$18:$B$512</definedName>
    <definedName name="_____________________bb2789" localSheetId="9" hidden="0" function="0" vbProcedure="0">[13]!Calculate_Pipe</definedName>
    <definedName name="______________________A4" localSheetId="9" hidden="1" function="0" vbProcedure="0">[179]Run!$B$18:$B$512</definedName>
    <definedName name="______________________bb2789" localSheetId="9" hidden="0" function="0" vbProcedure="0">[10]!Calculate_Pipe</definedName>
    <definedName name="_______________________A4" localSheetId="9" hidden="1" function="0" vbProcedure="0">[191]Run!$B$18:$B$512</definedName>
    <definedName name="_______________________bb2789" localSheetId="9" hidden="0" function="0" vbProcedure="0">[10]!Calculate_Pipe</definedName>
    <definedName name="________________________A4" localSheetId="9" hidden="1" function="0" vbProcedure="0">[179]Run!$B$18:$B$512</definedName>
    <definedName name="________________________bb2789" localSheetId="9" hidden="0" function="0" vbProcedure="0">[12]!Calculate_Pipe</definedName>
    <definedName name="_________________________bb2789" localSheetId="9" hidden="0" function="0" vbProcedure="0">[10]!Calculate_Pipe</definedName>
    <definedName name="__________________________A4" localSheetId="9" hidden="1" function="0" vbProcedure="0">[191]Run!$B$18:$B$512</definedName>
    <definedName name="歼击机" localSheetId="9" hidden="0" function="0" vbProcedure="0">[192]钻井日报表!$E$7</definedName>
    <definedName name="起始日期" localSheetId="9" hidden="0" function="0" vbProcedure="0">[181]钻井日报表!$B$1</definedName>
    <definedName name="_xlnm.Print_Area" localSheetId="9">'TALLY.'!$A$1:$H$423</definedName>
    <definedName name="a" localSheetId="10" hidden="1" function="0" vbProcedure="0">#ref!</definedName>
    <definedName name="AA" localSheetId="10" hidden="0" function="0" vbProcedure="0">#ref!</definedName>
    <definedName name="aa.macro111" localSheetId="10" hidden="0" function="0" vbProcedure="0">[51]!Prev.Macro111</definedName>
    <definedName name="aaaa" localSheetId="10" hidden="0" function="0" vbProcedure="0">[52]!Macro59</definedName>
    <definedName name="ABX" localSheetId="10" hidden="1" function="0" vbProcedure="0">[103]Run!$B$18:$B$512</definedName>
    <definedName name="addresstwo" localSheetId="10" hidden="0" function="0" vbProcedure="0">[56]data!#ref!</definedName>
    <definedName name="ADDSTAB" localSheetId="10" hidden="0" function="0" vbProcedure="0">[58]!ADDSTAB</definedName>
    <definedName name="adf" localSheetId="10" hidden="0" function="0" vbProcedure="0">[59]!Macro60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MACRO.n2foam" localSheetId="10" hidden="0" function="0" vbProcedure="0">'[64]tool backload dt'!amacro.n2foam</definedName>
    <definedName name="Ambient_temp" localSheetId="10" hidden="0" function="0" vbProcedure="0">'[7]#ref'!#ref!</definedName>
    <definedName name="amis" localSheetId="10" hidden="0" function="0" vbProcedure="0">[105]Tally!$A$5:$J$825</definedName>
    <definedName name="ANDERGAUGE" localSheetId="10" hidden="0" function="0" vbProcedure="0">[58]!ANDERGAUGE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'[73]well team goals'!#ref!</definedName>
    <definedName name="Approver_Well_Plan" localSheetId="10" hidden="0" function="0" vbProcedure="0">'[73]well team goals'!#ref!</definedName>
    <definedName name="ASDA" localSheetId="10" hidden="0" function="0" vbProcedure="0">[74]!Calculate_Pipe</definedName>
    <definedName name="ASS" localSheetId="10" hidden="0" function="0" vbProcedure="0">[75]!JointNumber</definedName>
    <definedName name="Assembly1" localSheetId="10" hidden="0" function="0" vbProcedure="0">[75]!Calculate_Pipe</definedName>
    <definedName name="assy.3" localSheetId="10" hidden="0" function="0" vbProcedure="0">[75]!Calculate_Pipe</definedName>
    <definedName name="ASSY.6" localSheetId="10" hidden="0" function="0" vbProcedure="0">[75]!Calculate_Pipe</definedName>
    <definedName name="ASSY2312" localSheetId="10" hidden="0" function="0" vbProcedure="0">[28]!Macro1</definedName>
    <definedName name="ASSY7" localSheetId="10" hidden="0" function="0" vbProcedure="0">[43]!Calculate_Pipe</definedName>
    <definedName name="ASSY_098" localSheetId="10" hidden="0" function="0" vbProcedure="0">[75]!JointNumber</definedName>
    <definedName name="ASSY_122" localSheetId="10" hidden="0" function="0" vbProcedure="0">[28]!Macro1</definedName>
    <definedName name="ASSY_123" localSheetId="10" hidden="0" function="0" vbProcedure="0">[75]!JointNumber</definedName>
    <definedName name="ASSY_2111" localSheetId="10" hidden="0" function="0" vbProcedure="0">[28]!Macro1</definedName>
    <definedName name="ASSY_231" localSheetId="10" hidden="0" function="0" vbProcedure="0">[28]!Macro1</definedName>
    <definedName name="ASSY_342" localSheetId="10" hidden="0" function="0" vbProcedure="0">[28]!Macro1</definedName>
    <definedName name="ASSY_36" localSheetId="10" hidden="0" function="0" vbProcedure="0">[28]!Macro1</definedName>
    <definedName name="ASSY_4" localSheetId="10" hidden="0" function="0" vbProcedure="0">[28]!Macro1</definedName>
    <definedName name="ASSY_432" localSheetId="10" hidden="0" function="0" vbProcedure="0">[28]!Macro1</definedName>
    <definedName name="assy_5" localSheetId="10" hidden="0" function="0" vbProcedure="0">[75]!JointNumber</definedName>
    <definedName name="assy_543" localSheetId="10" hidden="0" function="0" vbProcedure="0">[75]!JointNumber</definedName>
    <definedName name="Assy_765" localSheetId="10" hidden="0" function="0" vbProcedure="0">[75]!Calculate_Pipe</definedName>
    <definedName name="ASSy_blast" localSheetId="10" hidden="0" function="0" vbProcedure="0">[75]!Calculate_Pipe</definedName>
    <definedName name="ASSY_W2" localSheetId="10" hidden="0" function="0" vbProcedure="0">[75]!Calculate_Pipe</definedName>
    <definedName name="AutoCAD" localSheetId="10" hidden="0" function="0" vbProcedure="0">[44]!AutoCAD</definedName>
    <definedName name="AutoCAD_1" localSheetId="10" hidden="0" function="0" vbProcedure="0">[28]!AutoCAD</definedName>
    <definedName name="AutoCAD_10" localSheetId="10" hidden="0" function="0" vbProcedure="0">[28]!AutoCAD</definedName>
    <definedName name="AutoCAD_11" localSheetId="10" hidden="0" function="0" vbProcedure="0">[28]!AutoCAD</definedName>
    <definedName name="AutoCAD_2" localSheetId="10" hidden="0" function="0" vbProcedure="0">[28]!AutoCAD</definedName>
    <definedName name="AutoCAD_3" localSheetId="10" hidden="0" function="0" vbProcedure="0">[28]!AutoCAD</definedName>
    <definedName name="AutoCAD_4" localSheetId="10" hidden="0" function="0" vbProcedure="0">[28]!AutoCAD</definedName>
    <definedName name="AutoCAD_5" localSheetId="10" hidden="0" function="0" vbProcedure="0">[28]!AutoCAD</definedName>
    <definedName name="AutoCAD_6" localSheetId="10" hidden="0" function="0" vbProcedure="0">[28]!AutoCAD</definedName>
    <definedName name="AutoCAD_7" localSheetId="10" hidden="0" function="0" vbProcedure="0">[28]!AutoCAD</definedName>
    <definedName name="AutoCAD_8" localSheetId="10" hidden="0" function="0" vbProcedure="0">[28]!AutoCAD</definedName>
    <definedName name="AutoCAD_9" localSheetId="10" hidden="0" function="0" vbProcedure="0">[28]!AutoCAD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[109]DATA!$BO$2:$BO$9</definedName>
    <definedName name="AvgLength" localSheetId="10" hidden="0" function="0" vbProcedure="0">'[79]casing talley'!#ref!</definedName>
    <definedName name="axj" localSheetId="10" hidden="1" function="0" vbProcedure="0">{#N/A,#N/A,FALSE,"Sheet1"}</definedName>
    <definedName name="A_L" localSheetId="10" hidden="0" function="0" vbProcedure="0">'[50]12(762mm)套管'!#ref!</definedName>
    <definedName name="b" localSheetId="10" hidden="1" function="0" vbProcedure="0">#ref!</definedName>
    <definedName name="back" localSheetId="10" hidden="0" function="0" vbProcedure="0">'[64]tool backload dt'!back</definedName>
    <definedName name="BallMaterial" localSheetId="10" hidden="0" function="0" vbProcedure="0">[109]DATA!$BL$2:$BL$11</definedName>
    <definedName name="Ballooning_Area" localSheetId="10" hidden="0" function="0" vbProcedure="0">[109]Test!$M$18</definedName>
    <definedName name="Ballseat" localSheetId="10" hidden="0" function="0" vbProcedure="0">[109]DATA!$AG$2:$AG$9</definedName>
    <definedName name="BallSize" localSheetId="10" hidden="0" function="0" vbProcedure="0">[109]DATA!$BF$3:$BF$8</definedName>
    <definedName name="basicok" localSheetId="10" hidden="0" function="0" vbProcedure="0">'JOB ORDER '!basicok</definedName>
    <definedName name="BBB" localSheetId="10" hidden="0" function="0" vbProcedure="0">'[110]DD Worksheet'!$C$1</definedName>
    <definedName name="bbbbb" localSheetId="10" hidden="0" function="0" vbProcedure="0">[82]!Macro61</definedName>
    <definedName name="bbllm3" localSheetId="10" hidden="0" function="0" vbProcedure="0">'[109]Metric Conversions'!$B$69</definedName>
    <definedName name="bblstk" localSheetId="10" hidden="0" function="0" vbProcedure="0">'[109]Displacement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T" localSheetId="10" hidden="0" function="0" vbProcedure="0">'[94]Job Technical Info'!$D$42</definedName>
    <definedName name="Bitsize" localSheetId="10" hidden="0" function="0" vbProcedure="0">[109]DATA!$L$2:$L$41</definedName>
    <definedName name="bj_stroke" localSheetId="10" hidden="0" function="0" vbProcedure="0">'[109]Metric Conversions'!$B$35</definedName>
    <definedName name="bj_strokez" localSheetId="10" hidden="0" function="0" vbProcedure="0">'[109]Metric Conversions'!$C$35</definedName>
    <definedName name="BJ_Tens" localSheetId="10" hidden="0" function="0" vbProcedure="0">'[109]Liner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'[109]Weight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[86]!TubTable[[340]:[438]]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'[96]well test sheet'!#ref!</definedName>
    <definedName name="Budget_owner" localSheetId="10" hidden="0" function="0" vbProcedure="0">'[73]well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[86]!TubTable[[340]:[438]]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[75]!Calculate_Pipe</definedName>
    <definedName name="Calculate_Pipe" localSheetId="10" hidden="0" function="0" vbProcedure="0">[99]!Calculate_Pipe</definedName>
    <definedName name="Cancel" localSheetId="10" hidden="0" function="0" vbProcedure="0">[100]!Cancel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'[109]Liner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'[7]#ref'!#ref!</definedName>
    <definedName name="CAS_EXT_VOL" localSheetId="10" hidden="0" function="0" vbProcedure="0">'[7]#ref'!#ref!</definedName>
    <definedName name="CAS_ID" localSheetId="10" hidden="0" function="0" vbProcedure="0">'[113]#REF'!$H$11</definedName>
    <definedName name="CAS_OD" localSheetId="10" hidden="0" function="0" vbProcedure="0">'[113]#REF'!$J$11</definedName>
    <definedName name="CAS_SCR_VOL" localSheetId="10" hidden="0" function="0" vbProcedure="0">'[7]#ref'!#ref!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[82]!Macro59</definedName>
    <definedName name="cdr" localSheetId="10" hidden="0" function="0" vbProcedure="0">'[96]well test sheet'!#ref!</definedName>
    <definedName name="CDWimdbase" localSheetId="10" hidden="0" function="0" vbProcedure="0">'[120]CD''s'!$A$2:$G$374</definedName>
    <definedName name="CementCompany" localSheetId="10" hidden="0" function="0" vbProcedure="0">[109]DATA!$BJ$2:$BJ$8</definedName>
    <definedName name="CENG" localSheetId="10" hidden="0" function="0" vbProcedure="0">[193]Reference!$A$2:$A$4</definedName>
    <definedName name="Centralizers" localSheetId="10" hidden="0" function="0" vbProcedure="0">[109]DATA!$AI$2:$AI$9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'[64]tool backload dt'!chemmac</definedName>
    <definedName name="cim" localSheetId="10" hidden="0" function="0" vbProcedure="0">[117]!Calculate_Pipe</definedName>
    <definedName name="CIPMACRO.n2foam" localSheetId="10" hidden="0" function="0" vbProcedure="0">'[64]tool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[58]!CLAMPON</definedName>
    <definedName name="CLEARCONTENTS" localSheetId="10" hidden="0" function="0" vbProcedure="0">[120]!CLEARCONTENTS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OFFSET(INDIRECT(ADDRESS(MATCH('JOB ORDER '!CL_Wt,'JOB ORDER '!Objects,0)+1,2,,,"Casing Info")),0,1,COUNTIF('JOB ORDER '!Objects,'JOB ORDER '!CL_Wt),1)</definedName>
    <definedName name="CL_Wt" localSheetId="10" hidden="0" function="0" vbProcedure="0">'[109]Database Pg1'!$E$28</definedName>
    <definedName name="Objects" localSheetId="10" hidden="0" function="0" vbProcedure="0">'[109]Casing Info'!$B$2:$B$241</definedName>
    <definedName name="Clist2" localSheetId="10" hidden="0" function="0" vbProcedure="0">OFFSET(INDIRECT(ADDRESS(MATCH('JOB ORDER '!Hsize2,'JOB ORDER '!Objects,0)+1,2,,,"Casing Info")),0,1,COUNTIF('JOB ORDER '!Objects,'JOB ORDER '!Hsize2),1)</definedName>
    <definedName name="Hsize2" localSheetId="10" hidden="0" function="0" vbProcedure="0">'[109]Database Pg1'!$G$81</definedName>
    <definedName name="Clist3" localSheetId="10" hidden="0" function="0" vbProcedure="0">OFFSET(INDIRECT(ADDRESS(MATCH('JOB ORDER '!Hsize3,'JOB ORDER '!Objects,0)+1,2,,,"Casing Info")),0,1,COUNTIF('JOB ORDER '!Objects,'JOB ORDER '!Hsize3),1)</definedName>
    <definedName name="Hsize3" localSheetId="10" hidden="0" function="0" vbProcedure="0">'[109]Database Pg1'!$G$83</definedName>
    <definedName name="Clrmess" localSheetId="10" hidden="0" function="0" vbProcedure="0">[120]!Clrmess</definedName>
    <definedName name="CO2_" localSheetId="10" hidden="0" function="0" vbProcedure="0">'[94]Job Technical Info'!$L$42</definedName>
    <definedName name="CODELIST" localSheetId="10" hidden="0" function="0" vbProcedure="0">'[194]CODE SIN'!$A$3:$A$240</definedName>
    <definedName name="CODETAB" localSheetId="10" hidden="0" function="0" vbProcedure="0">'[194]CODE SIN'!$C$3:$AD$240</definedName>
    <definedName name="coections" localSheetId="10" hidden="0" function="0" vbProcedure="0">'JOB ORDER '!coections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'JOB ORDER '!conections</definedName>
    <definedName name="Conflict1" localSheetId="10" hidden="1" function="0" vbProcedure="0">{#N/A,#N/A,FALSE,"Drlg Param Run 1-1";#N/A,#N/A,FALSE,"DDR (3)";#N/A,#N/A,FALSE,"BHA AT (1)";#N/A,#N/A,FALSE,"Downlinkbha";#N/A,#N/A,FALSE,"Job Status Report"}</definedName>
    <definedName name="conref" localSheetId="10" hidden="0" function="0" vbProcedure="0">[124]Price!$A$1:$A$65536</definedName>
    <definedName name="consequence" localSheetId="10" hidden="0" function="0" vbProcedure="0">[125]Sheet2!$A$1:$A$5</definedName>
    <definedName name="contract" localSheetId="10" hidden="0" function="0" vbProcedure="0">'[126]Call Sheet'!$E$3</definedName>
    <definedName name="contractnum" localSheetId="10" hidden="0" function="0" vbProcedure="0">'[33]data '!#ref!</definedName>
    <definedName name="contractor" localSheetId="10" hidden="0" function="0" vbProcedure="0">'[126]Call Sheet'!$E$6</definedName>
    <definedName name="Coordinator" localSheetId="10" hidden="0" function="0" vbProcedure="0">'[94]Job Technical Info'!$G$10</definedName>
    <definedName name="COPYDESGN" localSheetId="10" hidden="0" function="0" vbProcedure="0">[58]!COPYDESGN</definedName>
    <definedName name="CoRep" localSheetId="10" hidden="0" function="0" vbProcedure="0">'[94]Job Technical Info'!$C$16</definedName>
    <definedName name="corrlist2" localSheetId="10" hidden="0" function="0" vbProcedure="0">OFFSET(INDIRECT(ADDRESS(MATCH('JOB ORDER '!Hsize2,'JOB ORDER '!Objects,0)+1,2,,,"Casing Info")),0,1,COUNTIF('JOB ORDER '!Objects,[28]!Liner1_OD),1)</definedName>
    <definedName name="corrlist4" localSheetId="10" hidden="0" function="0" vbProcedure="0">OFFSET(INDIRECT(ADDRESS(MATCH('JOB ORDER '!Hanger_Size,'JOB ORDER '!Objects,0)+1,2,,,"Casing Info")),0,1,COUNTIF('JOB ORDER '!Objects, 'JOB ORDER '!Hanger_Size),1)</definedName>
    <definedName name="Hanger_Size" localSheetId="10" hidden="0" function="0" vbProcedure="0">'[109]Database Pg1'!$G$79</definedName>
    <definedName name="Cotry" localSheetId="10" hidden="0" function="0" vbProcedure="0">'[109]Liner Job Info'!$E$10</definedName>
    <definedName name="Countries" localSheetId="10" hidden="0" function="0" vbProcedure="0">[109]DATA!$BR$1:$BR$196</definedName>
    <definedName name="COUNTRY" localSheetId="10" hidden="0" function="0" vbProcedure="0">'[127]Master data'!$A$2:$A$239</definedName>
    <definedName name="county" localSheetId="10" hidden="0" function="0" vbProcedure="0">'[40]CPS Call Sheet'!$P$7</definedName>
    <definedName name="Crack_DH" localSheetId="10" hidden="0" function="0" vbProcedure="0">'[108]Tester Valve Calcs'!$F$31</definedName>
    <definedName name="Crack_Press" localSheetId="10" hidden="0" function="0" vbProcedure="0">'[108]Tester Valve Calcs'!$F$13</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'[109]Metric Conversions'!$B$43</definedName>
    <definedName name="Csg_Burstz" localSheetId="10" hidden="0" function="0" vbProcedure="0">'[109]Liner Job Info'!$H$14</definedName>
    <definedName name="Csg_Dft" localSheetId="10" hidden="0" function="0" vbProcedure="0">'[109]Liner Job Info'!$L$14</definedName>
    <definedName name="CSG_DPTH" localSheetId="10" hidden="0" function="0" vbProcedure="0">'[130]Metric Conversions'!$B$15</definedName>
    <definedName name="CSG_DPTHz" localSheetId="10" hidden="0" function="0" vbProcedure="0">'[109]Liner Job Info'!$P$14</definedName>
    <definedName name="CSG_Grd" localSheetId="10" hidden="0" function="0" vbProcedure="0">'[130]Liner Job Info'!$D$14</definedName>
    <definedName name="CSG_ID" localSheetId="10" hidden="0" function="0" vbProcedure="0">'[109]Liner Job Info'!$B$14</definedName>
    <definedName name="CSG_ID_Area" localSheetId="10" hidden="0" function="0" vbProcedure="0">[109]Test!$Z$39</definedName>
    <definedName name="CSG_MYS" localSheetId="10" hidden="0" function="0" vbProcedure="0">[131]DATA!$J$3:$J$22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[56]data!#ref!</definedName>
    <definedName name="Customer" localSheetId="10" hidden="0" function="0" vbProcedure="0">'[94]Job Technical Info'!$C$12</definedName>
    <definedName name="customer1" localSheetId="10" hidden="0" function="0" vbProcedure="0">[132]Data!$A$1:$A$65536</definedName>
    <definedName name="Customer2" localSheetId="10" hidden="0" function="0" vbProcedure="0">[132]Data!$B$1:$B$65536</definedName>
    <definedName name="CustomerName" localSheetId="10" hidden="0" function="0" vbProcedure="0">'[144]job info sheet'!#ref!</definedName>
    <definedName name="customerrep" localSheetId="10" hidden="0" function="0" vbProcedure="0">'[113]#REF'!$E$6</definedName>
    <definedName name="Cyl_Yield" localSheetId="10" hidden="0" function="0" vbProcedure="0">'[48]liner job info'!#ref!</definedName>
    <definedName name="d" localSheetId="10" hidden="0" function="0" vbProcedure="0">'[2]run sheet'!#ref!</definedName>
    <definedName name="DAADA" localSheetId="10" hidden="0" function="0" vbProcedure="0">[117]!Calculate_Pipe</definedName>
    <definedName name="DAD" localSheetId="10" hidden="0" function="0" vbProcedure="0">'[146]tally checklist'!dad</definedName>
    <definedName name="DADAA" localSheetId="10" hidden="0" function="0" vbProcedure="0">'[146]tally checklist'!dadaa</definedName>
    <definedName name="DAEFF" localSheetId="10" hidden="0" function="0" vbProcedure="0">'[146]tally checklist'!daeff</definedName>
    <definedName name="DAPage" localSheetId="10" hidden="0" function="0" vbProcedure="0">'[94]Data Acq. Results'!$S$5</definedName>
    <definedName name="data1"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[148]试油成果记录!#ref!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iveredto" localSheetId="10" hidden="0" function="0" vbProcedure="0">'[33]data '!#ref!</definedName>
    <definedName name="deliverto" localSheetId="10" hidden="0" function="0" vbProcedure="0">[56]data!#ref!</definedName>
    <definedName name="delma" localSheetId="10" hidden="0" function="0" vbProcedure="0">[151]!JointNumber</definedName>
    <definedName name="DENG" localSheetId="10" hidden="0" function="0" vbProcedure="0">[193]Reference!$B$2:$B$12</definedName>
    <definedName name="DEPTH_TAGGED_PREPACK" localSheetId="10" hidden="0" function="0" vbProcedure="0">'[113]#REF'!$F$80</definedName>
    <definedName name="DEQ" localSheetId="10" hidden="0" function="0" vbProcedure="0">'[146]tally checklist'!deq</definedName>
    <definedName name="Desired_Set_Down" localSheetId="10" hidden="0" function="0" vbProcedure="0">'[108]Packer Calculation Sheet'!$G$47</definedName>
    <definedName name="Dev" localSheetId="10" hidden="0" function="0" vbProcedure="0">'[109]Liner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[109]DATA!$AJ$2:$AJ$12</definedName>
    <definedName name="DisplacementMethod" localSheetId="10" hidden="0" function="0" vbProcedure="0">[109]DATA!$AS$2:$AS$4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[109]DATA!$A$6:$A$437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[151]!JointNumber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'[109]Liner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'[109]Liner Job Info'!$E$22</definedName>
    <definedName name="DP1_Leng" localSheetId="10" hidden="0" function="0" vbProcedure="0">'[130]Metric Conversions'!$B$20</definedName>
    <definedName name="DP1_Lengz" localSheetId="10" hidden="0" function="0" vbProcedure="0">'[109]Liner Job Info'!$I$22</definedName>
    <definedName name="DP1_MYS" localSheetId="10" hidden="0" function="0" vbProcedure="0">'[109]Liner Job Info'!$AD$31</definedName>
    <definedName name="DP1_OD" localSheetId="10" hidden="0" function="0" vbProcedure="0">'[130]Liner Job Info'!$C$22</definedName>
    <definedName name="DP1_Tens" localSheetId="10" hidden="0" function="0" vbProcedure="0">'[109]Liner Job Info'!$M$22</definedName>
    <definedName name="DP1_Volz" localSheetId="10" hidden="0" function="0" vbProcedure="0">'[109]Metric Conversions'!$C$70</definedName>
    <definedName name="DP1_Wt_inmud" localSheetId="10" hidden="0" function="0" vbProcedure="0">'[109]Weight Calculations'!$H$8</definedName>
    <definedName name="DP1_Wt_Per_Ft" localSheetId="10" hidden="0" function="0" vbProcedure="0">'[130]Liner Job Info'!$D$22</definedName>
    <definedName name="DP1_X_Csg_Volz" localSheetId="10" hidden="0" function="0" vbProcedure="0">'[109]Metric Conversions'!$C$85</definedName>
    <definedName name="DP2_Cap" localSheetId="10" hidden="0" function="0" vbProcedure="0">'[109]Liner Job Info'!$G$23</definedName>
    <definedName name="DP2_conn" localSheetId="10" hidden="0" function="0" vbProcedure="0">'[130]Liner Job Info'!$J$23</definedName>
    <definedName name="DP2_Cross_Sect" localSheetId="10" hidden="0" function="0" vbProcedure="0">'[48]liner job info'!#ref!</definedName>
    <definedName name="DP2_Grd" localSheetId="10" hidden="0" function="0" vbProcedure="0">'[130]Liner Job Info'!$F$23</definedName>
    <definedName name="DP2_ID" localSheetId="10" hidden="0" function="0" vbProcedure="0">'[109]Liner Job Info'!$E$23</definedName>
    <definedName name="DP2_Leng" localSheetId="10" hidden="0" function="0" vbProcedure="0">'[130]Metric Conversions'!$B$21</definedName>
    <definedName name="DP2_Lengz" localSheetId="10" hidden="0" function="0" vbProcedure="0">'[109]Liner Job Info'!$I$23</definedName>
    <definedName name="DP2_MYS" localSheetId="10" hidden="0" function="0" vbProcedure="0">'[109]Liner Job Info'!$AD$32</definedName>
    <definedName name="DP2_OD" localSheetId="10" hidden="0" function="0" vbProcedure="0">'[130]Liner Job Info'!$C$23</definedName>
    <definedName name="DP2_Tens" localSheetId="10" hidden="0" function="0" vbProcedure="0">'[109]Liner Job Info'!$M$23</definedName>
    <definedName name="DP2_Volz" localSheetId="10" hidden="0" function="0" vbProcedure="0">'[109]Metric Conversions'!$C$71</definedName>
    <definedName name="DP2_Wt_inmud" localSheetId="10" hidden="0" function="0" vbProcedure="0">'[109]Weight Calculations'!$H$9</definedName>
    <definedName name="DP2_Wt_Per_Ft" localSheetId="10" hidden="0" function="0" vbProcedure="0">'[130]Liner Job Info'!$D$23</definedName>
    <definedName name="DP2_X_Csg_Volz" localSheetId="10" hidden="0" function="0" vbProcedure="0">'[109]Metric Conversions'!$C$86</definedName>
    <definedName name="DP3_bbl_per_ft" localSheetId="10" hidden="0" function="0" vbProcedure="0">'[48]liner job info'!#ref!</definedName>
    <definedName name="DP3_Cap" localSheetId="10" hidden="0" function="0" vbProcedure="0">'[109]Liner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'[109]Liner Job Info'!$E$24</definedName>
    <definedName name="DP3_Leng" localSheetId="10" hidden="0" function="0" vbProcedure="0">'[130]Metric Conversions'!$B$22</definedName>
    <definedName name="DP3_Lengz" localSheetId="10" hidden="0" function="0" vbProcedure="0">'[109]Liner Job Info'!$I$24</definedName>
    <definedName name="DP3_MYS" localSheetId="10" hidden="0" function="0" vbProcedure="0">'[109]Liner Job Info'!$AD$33</definedName>
    <definedName name="DP3_OD" localSheetId="10" hidden="0" function="0" vbProcedure="0">'[130]Liner Job Info'!$C$24</definedName>
    <definedName name="DP3_Tens" localSheetId="10" hidden="0" function="0" vbProcedure="0">'[109]Liner Job Info'!$M$24</definedName>
    <definedName name="DP3_Volz" localSheetId="10" hidden="0" function="0" vbProcedure="0">'[109]Metric Conversions'!$C$72</definedName>
    <definedName name="DP3_Wt_inmud" localSheetId="10" hidden="0" function="0" vbProcedure="0">'[109]Weight Calculations'!$H$10</definedName>
    <definedName name="DP3_Wt_Per_Ft" localSheetId="10" hidden="0" function="0" vbProcedure="0">'[130]Liner Job Info'!$D$24</definedName>
    <definedName name="DP3_X_Csg_Volz" localSheetId="10" hidden="0" function="0" vbProcedure="0">'[109]Metric Conversions'!$C$87</definedName>
    <definedName name="DP4_Cap" localSheetId="10" hidden="0" function="0" vbProcedure="0">'[109]Liner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'[109]Liner Job Info'!$E$25</definedName>
    <definedName name="DP4_Leng" localSheetId="10" hidden="0" function="0" vbProcedure="0">'[130]Metric Conversions'!$B$23</definedName>
    <definedName name="DP4_Lengz" localSheetId="10" hidden="0" function="0" vbProcedure="0">'[109]Liner Job Info'!$I$25</definedName>
    <definedName name="DP4_MYS" localSheetId="10" hidden="0" function="0" vbProcedure="0">'[109]Liner Job Info'!$AD$34</definedName>
    <definedName name="DP4_OD" localSheetId="10" hidden="0" function="0" vbProcedure="0">'[130]Liner Job Info'!$C$25</definedName>
    <definedName name="DP4_Tens" localSheetId="10" hidden="0" function="0" vbProcedure="0">'[109]Liner Job Info'!$M$25</definedName>
    <definedName name="DP4_Volz" localSheetId="10" hidden="0" function="0" vbProcedure="0">'[109]Metric Conversions'!$C$73</definedName>
    <definedName name="DP4_Wt_inmud" localSheetId="10" hidden="0" function="0" vbProcedure="0">'[109]Weight Calculations'!$H$11</definedName>
    <definedName name="DP4_Wt_Per_Ft" localSheetId="10" hidden="0" function="0" vbProcedure="0">'[130]Liner Job Info'!$D$25</definedName>
    <definedName name="DP4_X_Csg_Volz" localSheetId="10" hidden="0" function="0" vbProcedure="0">'[109]Metric Conversions'!$C$88</definedName>
    <definedName name="DP5_bbl_per_ft" localSheetId="10" hidden="0" function="0" vbProcedure="0">'[109]Liner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'[109]Liner Job Info'!$E$26</definedName>
    <definedName name="DP5_Leng" localSheetId="10" hidden="0" function="0" vbProcedure="0">'[130]Metric Conversions'!$B$24</definedName>
    <definedName name="DP5_Lengz" localSheetId="10" hidden="0" function="0" vbProcedure="0">'[109]Liner Job Info'!$I$26</definedName>
    <definedName name="DP5_MYS" localSheetId="10" hidden="0" function="0" vbProcedure="0">'[109]Liner Job Info'!$AD$35</definedName>
    <definedName name="DP5_OD" localSheetId="10" hidden="0" function="0" vbProcedure="0">'[130]Liner Job Info'!$C$26</definedName>
    <definedName name="DP5_Tens" localSheetId="10" hidden="0" function="0" vbProcedure="0">'[109]Liner Job Info'!$M$26</definedName>
    <definedName name="DP5_Volz" localSheetId="10" hidden="0" function="0" vbProcedure="0">'[109]Metric Conversions'!$C$74</definedName>
    <definedName name="DP5_Wt_inmud" localSheetId="10" hidden="0" function="0" vbProcedure="0">'[109]Weight Calculations'!$H$12</definedName>
    <definedName name="DP5_Wt_Per_Ft" localSheetId="10" hidden="0" function="0" vbProcedure="0">'[130]Liner Job Info'!$D$26</definedName>
    <definedName name="DP5_X_Csg_Volz" localSheetId="10" hidden="0" function="0" vbProcedure="0">'[109]Metric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[109]DATA!$AA$44:$AA$94</definedName>
    <definedName name="DPTTL_HYD_LENTH" localSheetId="10" hidden="0" function="0" vbProcedure="0">'[109]Weight Calculations'!$F$46</definedName>
    <definedName name="DP_MYS" localSheetId="10" hidden="0" function="0" vbProcedure="0">[109]DATA!$AB$2:$AB$6</definedName>
    <definedName name="DP_Plus_Block" localSheetId="10" hidden="0" function="0" vbProcedure="0">'[109]Weight Calculations'!$H$15</definedName>
    <definedName name="DP_PSI" localSheetId="10" hidden="0" function="0" vbProcedure="0">'[109]Metric Conversions'!$B$49</definedName>
    <definedName name="DP_PSIz" localSheetId="10" hidden="0" function="0" vbProcedure="0">'[109]Liner Job Info'!$D$35</definedName>
    <definedName name="DP_SF" localSheetId="10" hidden="0" function="0" vbProcedure="0">'[109]Liner Job Info'!$R$27</definedName>
    <definedName name="drawblanks" localSheetId="10" hidden="0" function="0" vbProcedure="0">'[146]tally checklist'!drawblanks</definedName>
    <definedName name="drawlinerfirst" localSheetId="10" hidden="0" function="0" vbProcedure="0">'[146]tally checklist'!drawlinerfirst</definedName>
    <definedName name="drawlinersecond" localSheetId="10" hidden="0" function="0" vbProcedure="0">'[146]tally checklist'!drawlinersecond</definedName>
    <definedName name="drawmiscellaneous" localSheetId="10" hidden="0" function="0" vbProcedure="0">'[146]tally checklist'!drawmiscellaneous</definedName>
    <definedName name="drawproductionfirst" localSheetId="10" hidden="0" function="0" vbProcedure="0">'[146]tally checklist'!drawproductionfirst</definedName>
    <definedName name="drawproductionsecond" localSheetId="10" hidden="0" function="0" vbProcedure="0">'[146]tally checklist'!drawproductionsecond</definedName>
    <definedName name="drawquantum" localSheetId="10" hidden="0" function="0" vbProcedure="0">'[146]tally checklist'!drawquantum</definedName>
    <definedName name="drawscreens" localSheetId="10" hidden="0" function="0" vbProcedure="0">'[146]tally checklist'!drawscreens</definedName>
    <definedName name="drawshearsubs" localSheetId="10" hidden="0" function="0" vbProcedure="0">'[146]tally checklist'!drawshearsubs</definedName>
    <definedName name="drawsump" localSheetId="10" hidden="0" function="0" vbProcedure="0">'[146]tally checklist'!drawsump</definedName>
    <definedName name="draw_blanks" localSheetId="10" hidden="0" function="0" vbProcedure="0">'[146]tally checklist'!draw_blanks</definedName>
    <definedName name="draw_linerfirst" localSheetId="10" hidden="0" function="0" vbProcedure="0">'[146]tally checklist'!draw_linerfirst</definedName>
    <definedName name="draw_linersecond" localSheetId="10" hidden="0" function="0" vbProcedure="0">'[146]tally checklist'!draw_linersecond</definedName>
    <definedName name="draw_miscellaneous" localSheetId="10" hidden="0" function="0" vbProcedure="0">'[146]tally checklist'!draw_miscellaneous</definedName>
    <definedName name="draw_productionfirst" localSheetId="10" hidden="0" function="0" vbProcedure="0">'[146]tally checklist'!draw_productionfirst</definedName>
    <definedName name="draw_productionsecond" localSheetId="10" hidden="0" function="0" vbProcedure="0">'[146]tally checklist'!draw_productionsecond</definedName>
    <definedName name="draw_quantum" localSheetId="10" hidden="0" function="0" vbProcedure="0">'[146]tally checklist'!draw_quantum</definedName>
    <definedName name="draw_screens" localSheetId="10" hidden="0" function="0" vbProcedure="0">'[146]tally checklist'!draw_screens</definedName>
    <definedName name="draw_shearsubs" localSheetId="10" hidden="0" function="0" vbProcedure="0">'[146]tally checklist'!draw_shearsubs</definedName>
    <definedName name="draw_sump" localSheetId="10" hidden="0" function="0" vbProcedure="0">'[146]tally checklist'!draw_sump</definedName>
    <definedName name="DRILLER" localSheetId="10" hidden="0" function="0" vbProcedure="0">#ref!</definedName>
    <definedName name="DRILLER2" localSheetId="10" hidden="0" function="0" vbProcedure="0">[162]!Calculate_Pipe</definedName>
    <definedName name="Drillpipesize" localSheetId="10" hidden="0" function="0" vbProcedure="0">[109]DATA!$X$2:$X$10</definedName>
    <definedName name="Drillpipetype" localSheetId="10" hidden="0" function="0" vbProcedure="0">[109]DATA!$AA$2:$AA$6</definedName>
    <definedName name="Drillpipeweight" localSheetId="10" hidden="0" function="0" vbProcedure="0">[109]DATA!$Z$2:$Z$36</definedName>
    <definedName name="Druckbereich_MI" localSheetId="10" hidden="0" function="0" vbProcedure="0">'[138]Dev-Baker'!$A$1:$J$46</definedName>
    <definedName name="Druckbereich_S3" localSheetId="10" hidden="0" function="0" vbProcedure="0">'[165]run_s.xls'!#ref!</definedName>
    <definedName name="dtr" localSheetId="10" hidden="0" function="0" vbProcedure="0">'[115]Max-Torq'!$P$77</definedName>
    <definedName name="DWS" localSheetId="10" hidden="0" function="0" vbProcedure="0">'[111]DWS2023'!$A$4:$AD$257</definedName>
    <definedName name="ED" localSheetId="10" hidden="0" function="0" vbProcedure="0">[75]!Calculate_Pipe</definedName>
    <definedName name="edd" localSheetId="10" hidden="0" function="0" vbProcedure="0">[167]!Calculate_Pipe</definedName>
    <definedName name="Eff_Date" localSheetId="10" hidden="0" function="0" vbProcedure="0">'[94]Job Technical Info'!$L$3</definedName>
    <definedName name="EJYETYJEJ" localSheetId="10" hidden="0" function="0" vbProcedure="0">'[146]tally checklist'!ejyetyjej</definedName>
    <definedName name="Element_Rating" localSheetId="10" hidden="0" function="0" vbProcedure="0">'[109]Metric Conversions'!$B$57</definedName>
    <definedName name="Element_Ratingz" localSheetId="10" hidden="0" function="0" vbProcedure="0">'[109]Liner Job Info'!$P$41</definedName>
    <definedName name="equipmenttype" localSheetId="10" hidden="0" function="0" vbProcedure="0">[56]data!#ref!</definedName>
    <definedName name="error" localSheetId="10" hidden="0" function="0" vbProcedure="0">[106]Data!$F$10</definedName>
    <definedName name="ertert" localSheetId="10" hidden="0" function="0" vbProcedure="0">[171]试压!#ref!</definedName>
    <definedName name="ES_pricelist" localSheetId="10" hidden="0" function="0" vbProcedure="0">[139]Pricelist!$A$8:$B$18</definedName>
    <definedName name="ex" localSheetId="10" hidden="0" function="0" vbProcedure="0">[151]!JointNumber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_LENGTH" localSheetId="10" hidden="0" function="0" vbProcedure="0">'[7]#ref'!#ref!</definedName>
    <definedName name="F" localSheetId="10" hidden="0" function="0" vbProcedure="0">[140]Parts!$A$1:$I$65536</definedName>
    <definedName name="FB" localSheetId="10" hidden="0" function="0" vbProcedure="0">[177]!Calculate_Pipe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'[146]tally checklist'!fewfw</definedName>
    <definedName name="fff" localSheetId="10" hidden="0" function="0" vbProcedure="0">'[146]tally checklist'!fff</definedName>
    <definedName name="ffff" localSheetId="10" hidden="0" function="0" vbProcedure="0">[181]!Prev.Macro113</definedName>
    <definedName name="final" localSheetId="10" hidden="0" function="0" vbProcedure="0">[151]!JointNumber</definedName>
    <definedName name="FJNDEF" localSheetId="10" hidden="0" function="0" vbProcedure="0">'[146]tally checklist'!fjndef</definedName>
    <definedName name="Floatequipment" localSheetId="10" hidden="0" function="0" vbProcedure="0">[109]DATA!$AM$2:$AM$9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[56]data!#ref!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'[109]Metric Conversions'!$B$14</definedName>
    <definedName name="Gamma_Quadrant" localSheetId="10" hidden="0" function="0" vbProcedure="0">[129]RSS!$N$139:$N$144</definedName>
    <definedName name="gasrate" localSheetId="10" hidden="0" function="0" vbProcedure="0">'[96]well test sheet'!#ref!</definedName>
    <definedName name="gas_cumm" localSheetId="10" hidden="0" function="0" vbProcedure="0">'[96]well test sheet'!#ref!</definedName>
    <definedName name="Gauge" localSheetId="10" hidden="0" function="0" vbProcedure="0">'[7]Drop-Down Items'!$D$74:$D$92</definedName>
    <definedName name="Gaugecancel" localSheetId="10" hidden="0" function="0" vbProcedure="0">'JOB ORDER '!Gaugecancel</definedName>
    <definedName name="gaugeconok" localSheetId="10" hidden="0" function="0" vbProcedure="0">'JOB ORDER '!gaugeconok</definedName>
    <definedName name="gaugeconok2" localSheetId="10" hidden="0" function="0" vbProcedure="0">'JOB ORDER '!gaugeconok2</definedName>
    <definedName name="gaugeok" localSheetId="10" hidden="0" function="0" vbProcedure="0">'JOB ORDER '!gaugeok</definedName>
    <definedName name="gaugeok2" localSheetId="10" hidden="0" function="0" vbProcedure="0">'JOB ORDER '!gaugeok2</definedName>
    <definedName name="gaugeselect" localSheetId="10" hidden="0" function="0" vbProcedure="0">'JOB ORDER '!gaugeselect</definedName>
    <definedName name="gaugeselect2" localSheetId="10" hidden="0" function="0" vbProcedure="0">'JOB ORDER '!gaugeselect2</definedName>
    <definedName name="gdsg" localSheetId="10" hidden="1" function="0" vbProcedure="0">[103]Run!$C$16:$C$512</definedName>
    <definedName name="GFTTC" localSheetId="10" hidden="0" function="0" vbProcedure="0">[151]!JointNumber</definedName>
    <definedName name="GGGR" localSheetId="10" hidden="0" function="0" vbProcedure="0">'[146]tally checklist'!gggr</definedName>
    <definedName name="GL" localSheetId="10" hidden="0" function="0" vbProcedure="0">'[189]offset data'!#ref!</definedName>
    <definedName name="GLM" localSheetId="10" hidden="0" function="0" vbProcedure="0">[75]!Calculate_Pipe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'[96]well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'[146]tally checklist'!gqgq</definedName>
    <definedName name="GQQ" localSheetId="10" hidden="0" function="0" vbProcedure="0">'[146]tally checklist'!gqq</definedName>
    <definedName name="gravelsize" localSheetId="10" hidden="0" function="0" vbProcedure="0">[5]WTR!$G$82</definedName>
    <definedName name="GRAVEL_IN_CSG." localSheetId="10" hidden="0" function="0" vbProcedure="0">'[113]#REF'!XEP1048377</definedName>
    <definedName name="GroupID" localSheetId="10" hidden="0" function="0" vbProcedure="0">[109]DATA!$Q$2:$Q$268</definedName>
    <definedName name="Group_ID" localSheetId="10" hidden="0" function="0" vbProcedure="0">[131]DATA!$Q$2:$Q$268</definedName>
    <definedName name="GRQ" localSheetId="10" hidden="0" function="0" vbProcedure="0">'[146]tally checklist'!grq</definedName>
    <definedName name="GUB24SECWELL" localSheetId="10" hidden="1" function="0" vbProcedure="0">[143]Sheet1!$A$181:$H$210</definedName>
    <definedName name="Gun_Size" localSheetId="10" hidden="0" function="0" vbProcedure="0">'[108]TCP-BHA'!$F$5</definedName>
    <definedName name="GWS" localSheetId="10" hidden="0" function="0" vbProcedure="0">'[146]tally checklist'!gws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[109]DATA!$AH$2:$AH$9</definedName>
    <definedName name="Hassan" localSheetId="10" hidden="0" function="0" vbProcedure="0">[192]!Macro1</definedName>
    <definedName name="HAUL_Thread" localSheetId="10" hidden="0" function="0" vbProcedure="0">[109]DATA!$BM$22:$BM$114</definedName>
    <definedName name="hesfluid" localSheetId="10" hidden="0" function="0" vbProcedure="0">[56]data!#ref!</definedName>
    <definedName name="hgh" localSheetId="10" hidden="1" function="0" vbProcedure="0">[103]Run!$D$15:$D$512</definedName>
    <definedName name="HGR_OL_Packoff_In" localSheetId="10" hidden="0" function="0" vbProcedure="0">[109]Test!$M$36</definedName>
    <definedName name="hhp" localSheetId="10" hidden="0" function="0" vbProcedure="0">'[96]well test sheet'!#ref!</definedName>
    <definedName name="hj" localSheetId="10" hidden="0" function="0" vbProcedure="0">[194]bha!#ref!</definedName>
    <definedName name="HKWT" localSheetId="10" hidden="0" function="0" vbProcedure="0">[119]钻井日报表!$E$7</definedName>
    <definedName name="Hngr_Bst" localSheetId="10" hidden="0" function="0" vbProcedure="0">'[109]Metric Conversions'!$B$50</definedName>
    <definedName name="Hngr_Bstz" localSheetId="10" hidden="0" function="0" vbProcedure="0">'[109]Liner Job Info'!$D$39</definedName>
    <definedName name="Hngr_OL_PO_out" localSheetId="10" hidden="0" function="0" vbProcedure="0">[109]Test!$M$30</definedName>
    <definedName name="Hngr_Overload_Cmt_Setup" localSheetId="10" hidden="0" function="0" vbProcedure="0">[109]Test!$M$42</definedName>
    <definedName name="Hngr_Tens" localSheetId="10" hidden="0" function="0" vbProcedure="0">'[109]Liner Job Info'!$D$40</definedName>
    <definedName name="Hng_Cap" localSheetId="10" hidden="0" function="0" vbProcedure="0">'[109]Liner Job Info'!$D$41</definedName>
    <definedName name="holevol" localSheetId="10" hidden="0" function="0" vbProcedure="0">'[64]tool backload dt'!holevol</definedName>
    <definedName name="hpb" localSheetId="10" hidden="0" function="0" vbProcedure="0">'[96]well test sheet'!#ref!</definedName>
    <definedName name="HR_Turns" localSheetId="10" hidden="0" function="0" vbProcedure="0">'[109]Weight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[52]!Prev.Macro106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'[109]Weight Calculations'!$F$47</definedName>
    <definedName name="Hyd_force_element" localSheetId="10" hidden="0" function="0" vbProcedure="0">[109]Test!$M$17</definedName>
    <definedName name="HyfloSeatID" localSheetId="10" hidden="0" function="0" vbProcedure="0">[109]DATA!$AY$2:$AY$4</definedName>
    <definedName name="HyfloSeatNumber" localSheetId="10" hidden="0" function="0" vbProcedure="0">[109]DATA!$AZ$2:$AZ$5</definedName>
    <definedName name="HyfloSupplier" localSheetId="10" hidden="0" function="0" vbProcedure="0">[109]DATA!$BA$2:$BA$5</definedName>
    <definedName name="idlist" localSheetId="10" hidden="0" function="0" vbProcedure="0">[106]Data!$GD$2:$GE$237</definedName>
    <definedName name="IDUnit" localSheetId="10" hidden="0" function="0" vbProcedure="0">'[94]Job Technical Info'!$F$24</definedName>
    <definedName name="impdwg" localSheetId="10" hidden="0" function="0" vbProcedure="0">[28]!impdwg</definedName>
    <definedName name="impdwg_1" localSheetId="10" hidden="0" function="0" vbProcedure="0">'JOB ORDER '!impdwg</definedName>
    <definedName name="impdwg_10" localSheetId="10" hidden="0" function="0" vbProcedure="0">'JOB ORDER '!impdwg</definedName>
    <definedName name="impdwg_11" localSheetId="10" hidden="0" function="0" vbProcedure="0">'JOB ORDER '!impdwg</definedName>
    <definedName name="impdwg_2" localSheetId="10" hidden="0" function="0" vbProcedure="0">'JOB ORDER '!impdwg</definedName>
    <definedName name="impdwg_3" localSheetId="10" hidden="0" function="0" vbProcedure="0">'JOB ORDER '!impdwg</definedName>
    <definedName name="impdwg_4" localSheetId="10" hidden="0" function="0" vbProcedure="0">'JOB ORDER '!impdwg</definedName>
    <definedName name="impdwg_5" localSheetId="10" hidden="0" function="0" vbProcedure="0">'JOB ORDER '!impdwg</definedName>
    <definedName name="impdwg_6" localSheetId="10" hidden="0" function="0" vbProcedure="0">'JOB ORDER '!impdwg</definedName>
    <definedName name="impdwg_7" localSheetId="10" hidden="0" function="0" vbProcedure="0">'JOB ORDER '!impdwg</definedName>
    <definedName name="impdwg_8" localSheetId="10" hidden="0" function="0" vbProcedure="0">'JOB ORDER '!impdwg</definedName>
    <definedName name="impdwg_9" localSheetId="10" hidden="0" function="0" vbProcedure="0">'JOB ORDER '!impdwg</definedName>
    <definedName name="Inc" localSheetId="10" hidden="0" function="0" vbProcedure="0">[119]钻井日报表!$G$8</definedName>
    <definedName name="InclinationData" localSheetId="10" hidden="0" function="0" vbProcedure="0">OFFSET([28]!Inclination,2,0,COUNT(#ref!),1)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[44]!Insert_New_Page</definedName>
    <definedName name="Insert_New_Page_1" localSheetId="10" hidden="0" function="0" vbProcedure="0">[28]!Insert_New_Page</definedName>
    <definedName name="Insert_New_Page_10" localSheetId="10" hidden="0" function="0" vbProcedure="0">[28]!Insert_New_Page</definedName>
    <definedName name="Insert_New_Page_11" localSheetId="10" hidden="0" function="0" vbProcedure="0">[28]!Insert_New_Page</definedName>
    <definedName name="Insert_New_Page_2" localSheetId="10" hidden="0" function="0" vbProcedure="0">[28]!Insert_New_Page</definedName>
    <definedName name="Insert_New_Page_3" localSheetId="10" hidden="0" function="0" vbProcedure="0">[28]!Insert_New_Page</definedName>
    <definedName name="Insert_New_Page_4" localSheetId="10" hidden="0" function="0" vbProcedure="0">[28]!Insert_New_Page</definedName>
    <definedName name="Insert_New_Page_5" localSheetId="10" hidden="0" function="0" vbProcedure="0">[28]!Insert_New_Page</definedName>
    <definedName name="Insert_New_Page_6" localSheetId="10" hidden="0" function="0" vbProcedure="0">[28]!Insert_New_Page</definedName>
    <definedName name="Insert_New_Page_7" localSheetId="10" hidden="0" function="0" vbProcedure="0">[28]!Insert_New_Page</definedName>
    <definedName name="Insert_New_Page_8" localSheetId="10" hidden="0" function="0" vbProcedure="0">[28]!Insert_New_Page</definedName>
    <definedName name="Insert_New_Page_9" localSheetId="10" hidden="0" function="0" vbProcedure="0">[28]!Insert_New_Page</definedName>
    <definedName name="Inverse_Balloon_Area" localSheetId="10" hidden="0" function="0" vbProcedure="0">[109]Test!$M$19</definedName>
    <definedName name="isip" localSheetId="10" hidden="0" function="0" vbProcedure="0">[5]WTR!$G$41</definedName>
    <definedName name="Issue" localSheetId="10" hidden="0" function="0" vbProcedure="0">'[146]Title Page'!$Q$2:$Q$20</definedName>
    <definedName name="J" localSheetId="10" hidden="1" function="0" vbProcedure="0">#ref!</definedName>
    <definedName name="janrupees" localSheetId="10" hidden="0" function="0" vbProcedure="0">'[147]Cash Expense January-96'!$H$6</definedName>
    <definedName name="JEYJD" localSheetId="10" hidden="0" function="0" vbProcedure="0">'[146]tally checklist'!jeyjd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'[144]job info sheet'!#ref!</definedName>
    <definedName name="JobNumber" localSheetId="10" hidden="0" function="0" vbProcedure="0">'[129]Front Page Info'!$C$4</definedName>
    <definedName name="jobpurpose1" localSheetId="10" hidden="0" function="0" vbProcedure="0">[132]Data!$L$1:$L$65536</definedName>
    <definedName name="JobType" localSheetId="10" hidden="0" function="0" vbProcedure="0">[6]Sheet1!$A$11:$A$16</definedName>
    <definedName name="Jobtype1" localSheetId="10" hidden="0" function="0" vbProcedure="0">[132]Data!$N$1:$N$65536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[99]!JointNumber</definedName>
    <definedName name="JOINTNUMBER23" localSheetId="10" hidden="0" function="0" vbProcedure="0">[75]!JointNumber</definedName>
    <definedName name="JOINTNYMBER4" localSheetId="10" hidden="0" function="0" vbProcedure="0">[75]!JointNumber</definedName>
    <definedName name="JOYCE" localSheetId="10" hidden="1" function="0" vbProcedure="0">#ref!</definedName>
    <definedName name="JRJTRJT" localSheetId="10" hidden="0" function="0" vbProcedure="0">'[146]tally checklist'!jrjtrjt</definedName>
    <definedName name="JT" localSheetId="10" hidden="0" function="0" vbProcedure="0">[204]!JointNumber</definedName>
    <definedName name="JtCount" localSheetId="10" hidden="0" function="0" vbProcedure="0">'[79]casing talley'!#ref!</definedName>
    <definedName name="JTNFN" localSheetId="10" hidden="0" function="0" vbProcedure="0">'[146]tally checklist'!jtnfn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[28]!Macro1</definedName>
    <definedName name="KL" localSheetId="10" hidden="0" function="0" vbProcedure="0">[149]BHA!$C$4</definedName>
    <definedName name="KO" localSheetId="10" hidden="0" function="0" vbProcedure="0">'[148]CSG13'!$F$6</definedName>
    <definedName name="KRR" localSheetId="10" hidden="0" function="0" vbProcedure="0">'[146]tally checklist'!krr</definedName>
    <definedName name="KUYUKR" localSheetId="10" hidden="0" function="0" vbProcedure="0">'[146]tally checklist'!kuyukr</definedName>
    <definedName name="landoffshore" localSheetId="10" hidden="0" function="0" vbProcedure="0">[56]data!#ref!</definedName>
    <definedName name="LastCsgString" localSheetId="10" hidden="0" function="0" vbProcedure="0">[109]DATA!$AU$2:$AU$4</definedName>
    <definedName name="latlong" localSheetId="10" hidden="0" function="0" vbProcedure="0">'[126]Call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'[109]Metric Conversions'!$B$45</definedName>
    <definedName name="Liner1_Burstz" localSheetId="10" hidden="0" function="0" vbProcedure="0">'[109]Liner Job Info'!$J$17</definedName>
    <definedName name="Liner1_Cap" localSheetId="10" hidden="0" function="0" vbProcedure="0">'[109]Liner Job Info'!$P$17</definedName>
    <definedName name="Liner1_Collapsez" localSheetId="10" hidden="0" function="0" vbProcedure="0">'[109]Liner Job Info'!$L$17</definedName>
    <definedName name="Liner1_ID" localSheetId="10" hidden="0" function="0" vbProcedure="0">'[109]Liner Job Info'!$D$17</definedName>
    <definedName name="Liner1_Length" localSheetId="10" hidden="0" function="0" vbProcedure="0">'[130]Metric Conversions'!$B$17</definedName>
    <definedName name="Liner1_Lengthz" localSheetId="10" hidden="0" function="0" vbProcedure="0">'[109]Liner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'[109]Weight Calculations'!$H$16</definedName>
    <definedName name="Liner1_Wt_Per_Ft" localSheetId="10" hidden="0" function="0" vbProcedure="0">'[130]Liner Job Info'!$E$17</definedName>
    <definedName name="Liner2_Burst" localSheetId="10" hidden="0" function="0" vbProcedure="0">'[109]Metric Conversions'!$B$46</definedName>
    <definedName name="Liner2_Burstz" localSheetId="10" hidden="0" function="0" vbProcedure="0">'[109]Liner Job Info'!$J$18</definedName>
    <definedName name="Liner2_Cap" localSheetId="10" hidden="0" function="0" vbProcedure="0">'[109]Liner Job Info'!$P$18</definedName>
    <definedName name="Liner2_Collapsez" localSheetId="10" hidden="0" function="0" vbProcedure="0">'[109]Liner Job Info'!$L$18</definedName>
    <definedName name="Liner2_ID" localSheetId="10" hidden="0" function="0" vbProcedure="0">'[109]Liner Job Info'!$D$18</definedName>
    <definedName name="Liner2_Length" localSheetId="10" hidden="0" function="0" vbProcedure="0">'[130]Metric Conversions'!$B$18</definedName>
    <definedName name="Liner2_Lengthz" localSheetId="10" hidden="0" function="0" vbProcedure="0">'[109]Liner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'[109]Weight Calculations'!$H$17</definedName>
    <definedName name="Liner2_Wt_Per_FT" localSheetId="10" hidden="0" function="0" vbProcedure="0">'[130]Liner Job Info'!$E$18</definedName>
    <definedName name="Linertype" localSheetId="10" hidden="0" function="0" vbProcedure="0">[109]DATA!$W$2:$W$12</definedName>
    <definedName name="Liner_I.D." localSheetId="10" hidden="0" function="0" vbProcedure="0">'[108]Job Calculation Sheet'!$F$14</definedName>
    <definedName name="Liner_ID_Area" localSheetId="10" hidden="0" function="0" vbProcedure="0">[109]Test!$V$40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kj" localSheetId="10" hidden="1" function="0" vbProcedure="0">[103]Run!$B$18:$B$512</definedName>
    <definedName name="Lnr1_Grade" localSheetId="10" hidden="0" function="0" vbProcedure="0">'[130]Liner Job Info'!$F$17</definedName>
    <definedName name="Lnr1_Vol" localSheetId="10" hidden="0" function="0" vbProcedure="0">'[109]Metric Conversions'!$B$77</definedName>
    <definedName name="Lnr1_Volz" localSheetId="10" hidden="0" function="0" vbProcedure="0">'[109]Metric Conversions'!$C$77</definedName>
    <definedName name="Lnr1_X_OH_Volz" localSheetId="10" hidden="0" function="0" vbProcedure="0">'[109]Metric Conversions'!$C$82</definedName>
    <definedName name="Lnr2_Grade" localSheetId="10" hidden="0" function="0" vbProcedure="0">'[130]Liner Job Info'!$F$18</definedName>
    <definedName name="Lnr2_Vol" localSheetId="10" hidden="0" function="0" vbProcedure="0">'[109]Metric Conversions'!$B$78</definedName>
    <definedName name="Lnr2_Volz" localSheetId="10" hidden="0" function="0" vbProcedure="0">'[109]Metric Conversions'!$C$78</definedName>
    <definedName name="Lnr2_X_OH_Volz" localSheetId="10" hidden="0" function="0" vbProcedure="0">'[109]Metric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[63]auf_screen!#ref!</definedName>
    <definedName name="LOGGER" localSheetId="10" hidden="0" function="0" vbProcedure="0">[209]!Calculate_Pipe</definedName>
    <definedName name="loudout" localSheetId="10" hidden="1" function="0" vbProcedure="0">[151]Run!$D$15:$D$512</definedName>
    <definedName name="LS" localSheetId="10" hidden="0" function="0" vbProcedure="0">'[196]amberjack a32ream'!#ref!</definedName>
    <definedName name="LSA" localSheetId="10" hidden="0" function="0" vbProcedure="0">[213]!Calculate_Pipe</definedName>
    <definedName name="LSD" localSheetId="10" hidden="0" function="0" vbProcedure="0">'[144]job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[18]!Macro1</definedName>
    <definedName name="Macro112" localSheetId="10" hidden="0" function="0" vbProcedure="0">[59]!Macro59</definedName>
    <definedName name="Macro2" localSheetId="10" hidden="0" function="0" vbProcedure="0">[28]!Macro2</definedName>
    <definedName name="Macro22" localSheetId="10" hidden="0" function="0" vbProcedure="0">[28]!Macro22</definedName>
    <definedName name="Macro22_1" localSheetId="10" hidden="0" function="0" vbProcedure="0">'JOB ORDER '!Macro22</definedName>
    <definedName name="Macro22_10" localSheetId="10" hidden="0" function="0" vbProcedure="0">'JOB ORDER '!Macro22</definedName>
    <definedName name="Macro22_11" localSheetId="10" hidden="0" function="0" vbProcedure="0">'JOB ORDER '!Macro22</definedName>
    <definedName name="Macro22_2" localSheetId="10" hidden="0" function="0" vbProcedure="0">'JOB ORDER '!Macro22</definedName>
    <definedName name="Macro22_3" localSheetId="10" hidden="0" function="0" vbProcedure="0">'JOB ORDER '!Macro22</definedName>
    <definedName name="Macro22_4" localSheetId="10" hidden="0" function="0" vbProcedure="0">'JOB ORDER '!Macro22</definedName>
    <definedName name="Macro22_5" localSheetId="10" hidden="0" function="0" vbProcedure="0">'JOB ORDER '!Macro22</definedName>
    <definedName name="Macro22_6" localSheetId="10" hidden="0" function="0" vbProcedure="0">'JOB ORDER '!Macro22</definedName>
    <definedName name="Macro22_7" localSheetId="10" hidden="0" function="0" vbProcedure="0">'JOB ORDER '!Macro22</definedName>
    <definedName name="Macro22_8" localSheetId="10" hidden="0" function="0" vbProcedure="0">'JOB ORDER '!Macro22</definedName>
    <definedName name="Macro22_9" localSheetId="10" hidden="0" function="0" vbProcedure="0">'JOB ORDER '!Macro22</definedName>
    <definedName name="Macro233" localSheetId="10" hidden="0" function="0" vbProcedure="0">[28]!Macro1</definedName>
    <definedName name="Macro2_1" localSheetId="10" hidden="0" function="0" vbProcedure="0">'JOB ORDER '!Macro2</definedName>
    <definedName name="Macro2_10" localSheetId="10" hidden="0" function="0" vbProcedure="0">'JOB ORDER '!Macro2</definedName>
    <definedName name="Macro2_11" localSheetId="10" hidden="0" function="0" vbProcedure="0">'JOB ORDER '!Macro2</definedName>
    <definedName name="Macro2_2" localSheetId="10" hidden="0" function="0" vbProcedure="0">'JOB ORDER '!Macro2</definedName>
    <definedName name="Macro2_3" localSheetId="10" hidden="0" function="0" vbProcedure="0">'JOB ORDER '!Macro2</definedName>
    <definedName name="Macro2_4" localSheetId="10" hidden="0" function="0" vbProcedure="0">'JOB ORDER '!Macro2</definedName>
    <definedName name="Macro2_5" localSheetId="10" hidden="0" function="0" vbProcedure="0">'JOB ORDER '!Macro2</definedName>
    <definedName name="Macro2_6" localSheetId="10" hidden="0" function="0" vbProcedure="0">'JOB ORDER '!Macro2</definedName>
    <definedName name="Macro2_7" localSheetId="10" hidden="0" function="0" vbProcedure="0">'JOB ORDER '!Macro2</definedName>
    <definedName name="Macro2_8" localSheetId="10" hidden="0" function="0" vbProcedure="0">'JOB ORDER '!Macro2</definedName>
    <definedName name="Macro2_9" localSheetId="10" hidden="0" function="0" vbProcedure="0">'JOB ORDER '!Macro2</definedName>
    <definedName name="Macro3" localSheetId="10" hidden="0" function="0" vbProcedure="0">[28]!Macro3</definedName>
    <definedName name="Macro3_1" localSheetId="10" hidden="0" function="0" vbProcedure="0">'JOB ORDER '!Macro3</definedName>
    <definedName name="Macro3_10" localSheetId="10" hidden="0" function="0" vbProcedure="0">'JOB ORDER '!Macro3</definedName>
    <definedName name="Macro3_11" localSheetId="10" hidden="0" function="0" vbProcedure="0">'JOB ORDER '!Macro3</definedName>
    <definedName name="Macro3_2" localSheetId="10" hidden="0" function="0" vbProcedure="0">'JOB ORDER '!Macro3</definedName>
    <definedName name="Macro3_3" localSheetId="10" hidden="0" function="0" vbProcedure="0">'JOB ORDER '!Macro3</definedName>
    <definedName name="Macro3_4" localSheetId="10" hidden="0" function="0" vbProcedure="0">'JOB ORDER '!Macro3</definedName>
    <definedName name="Macro3_5" localSheetId="10" hidden="0" function="0" vbProcedure="0">'JOB ORDER '!Macro3</definedName>
    <definedName name="Macro3_6" localSheetId="10" hidden="0" function="0" vbProcedure="0">'JOB ORDER '!Macro3</definedName>
    <definedName name="Macro3_7" localSheetId="10" hidden="0" function="0" vbProcedure="0">'JOB ORDER '!Macro3</definedName>
    <definedName name="Macro3_8" localSheetId="10" hidden="0" function="0" vbProcedure="0">'JOB ORDER '!Macro3</definedName>
    <definedName name="Macro3_9" localSheetId="10" hidden="0" function="0" vbProcedure="0">'JOB ORDER '!Macro3</definedName>
    <definedName name="Make_Up_Torque_Of_Weak_Link" localSheetId="10" hidden="0" function="0" vbProcedure="0">'[109]Liner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[109]DATA!$I$3:$I$22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'[109]Metric Conversions'!$B$59</definedName>
    <definedName name="Max_Bump_psiz" localSheetId="10" hidden="0" function="0" vbProcedure="0">'[109]Metric Conversions'!$C$59</definedName>
    <definedName name="Max_Test_Cmt_Setup" localSheetId="10" hidden="0" function="0" vbProcedure="0">'[109]Metric Conversions'!$B$62</definedName>
    <definedName name="Max_Test_Cmt_Setupz" localSheetId="10" hidden="0" function="0" vbProcedure="0">'[109]Metric Conversions'!$C$62</definedName>
    <definedName name="Max_Test_Seals_In" localSheetId="10" hidden="0" function="0" vbProcedure="0">'[109]Metric Conversions'!$B$61</definedName>
    <definedName name="Max_Test_Seals_Inz" localSheetId="10" hidden="0" function="0" vbProcedure="0">'[109]Metric Conversions'!$C$61</definedName>
    <definedName name="Max_test_seals_out" localSheetId="10" hidden="0" function="0" vbProcedure="0">'[109]Metric Conversions'!$B$60</definedName>
    <definedName name="Max_test_seals_outz" localSheetId="10" hidden="0" function="0" vbProcedure="0">'[109]Metric Conversions'!$C$60</definedName>
    <definedName name="Max_Turns" localSheetId="10" hidden="0" function="0" vbProcedure="0">'[109]Weight Calculations'!$T$36</definedName>
    <definedName name="MDData" localSheetId="10" hidden="0" function="0" vbProcedure="0">OFFSET([28]!MDForInclination,2,0,COUNT(#ref!),1)</definedName>
    <definedName name="MeteringTime" localSheetId="10" hidden="0" function="0" vbProcedure="0">[109]DATA!$BG$2:$BG$42</definedName>
    <definedName name="Min._Ten_Sett_Tool_Assy" localSheetId="10" hidden="0" function="0" vbProcedure="0">'[109]Weight Calculations'!$S$60</definedName>
    <definedName name="Min_DP_Tens" localSheetId="10" hidden="0" function="0" vbProcedure="0">'[109]Weight Calculations'!$W$61</definedName>
    <definedName name="Min_Ft_Release_RH" localSheetId="10" hidden="0" function="0" vbProcedure="0">'[109]Metric Conversions'!$B$39</definedName>
    <definedName name="Min_Ft_Release_RHz" localSheetId="10" hidden="0" function="0" vbProcedure="0">'[109]Metric Conversions'!$C$39</definedName>
    <definedName name="mobile" localSheetId="10" hidden="0" function="0" vbProcedure="0">'[126]Call Sheet'!$R$5</definedName>
    <definedName name="Module1.draw_productionfirst" localSheetId="10" hidden="0" function="0" vbProcedure="0">'[146]tally checklist'!module1.draw_productionfirst</definedName>
    <definedName name="Module1.draw_productionsecond" localSheetId="10" hidden="0" function="0" vbProcedure="0">'[146]tally checklist'!module1.draw_productionsecond</definedName>
    <definedName name="Module1.impdwg" localSheetId="10" hidden="0" function="0" vbProcedure="0">[28]!Module1.impdwg</definedName>
    <definedName name="Module1.impdwg_1" localSheetId="10" hidden="0" function="0" vbProcedure="0">'JOB ORDER '!Module1.impdwg</definedName>
    <definedName name="Module1.impdwg_10" localSheetId="10" hidden="0" function="0" vbProcedure="0">'JOB ORDER '!Module1.impdwg</definedName>
    <definedName name="Module1.impdwg_11" localSheetId="10" hidden="0" function="0" vbProcedure="0">'JOB ORDER '!Module1.impdwg</definedName>
    <definedName name="Module1.impdwg_2" localSheetId="10" hidden="0" function="0" vbProcedure="0">'JOB ORDER '!Module1.impdwg</definedName>
    <definedName name="Module1.impdwg_3" localSheetId="10" hidden="0" function="0" vbProcedure="0">'JOB ORDER '!Module1.impdwg</definedName>
    <definedName name="Module1.impdwg_4" localSheetId="10" hidden="0" function="0" vbProcedure="0">'JOB ORDER '!Module1.impdwg</definedName>
    <definedName name="Module1.impdwg_5" localSheetId="10" hidden="0" function="0" vbProcedure="0">'JOB ORDER '!Module1.impdwg</definedName>
    <definedName name="Module1.impdwg_6" localSheetId="10" hidden="0" function="0" vbProcedure="0">'JOB ORDER '!Module1.impdwg</definedName>
    <definedName name="Module1.impdwg_7" localSheetId="10" hidden="0" function="0" vbProcedure="0">'JOB ORDER '!Module1.impdwg</definedName>
    <definedName name="Module1.impdwg_8" localSheetId="10" hidden="0" function="0" vbProcedure="0">'JOB ORDER '!Module1.impdwg</definedName>
    <definedName name="Module1.impdwg_9" localSheetId="10" hidden="0" function="0" vbProcedure="0">'JOB ORDER '!Module1.impdwg</definedName>
    <definedName name="Module4.drawblanks" localSheetId="10" hidden="0" function="0" vbProcedure="0">'[146]tally checklist'!module4.drawblanks</definedName>
    <definedName name="Module4.drawlinerfirst" localSheetId="10" hidden="0" function="0" vbProcedure="0">'[146]tally checklist'!module4.drawlinerfirst</definedName>
    <definedName name="Module4.drawlinersecond" localSheetId="10" hidden="0" function="0" vbProcedure="0">'[146]tally checklist'!module4.drawlinersecond</definedName>
    <definedName name="Module4.drawmiscellaneous" localSheetId="10" hidden="0" function="0" vbProcedure="0">'[146]tally checklist'!module4.drawmiscellaneous</definedName>
    <definedName name="Module4.drawproductionfirst" localSheetId="10" hidden="0" function="0" vbProcedure="0">'[146]tally checklist'!module4.drawproductionfirst</definedName>
    <definedName name="Module4.drawproductionsecond" localSheetId="10" hidden="0" function="0" vbProcedure="0">'[146]tally checklist'!module4.drawproductionsecond</definedName>
    <definedName name="Module4.drawquantum" localSheetId="10" hidden="0" function="0" vbProcedure="0">'[146]tally checklist'!module4.drawquantum</definedName>
    <definedName name="Module4.drawscreens" localSheetId="10" hidden="0" function="0" vbProcedure="0">'[146]tally checklist'!module4.drawscreens</definedName>
    <definedName name="Module4.drawshearsubs" localSheetId="10" hidden="0" function="0" vbProcedure="0">'[146]tally checklist'!module4.drawshearsubs</definedName>
    <definedName name="Module4.drawsump" localSheetId="10" hidden="0" function="0" vbProcedure="0">'[146]tally checklist'!module4.drawsump</definedName>
    <definedName name="Module4.textfive" localSheetId="10" hidden="0" function="0" vbProcedure="0">'[146]tally checklist'!module4.textfive</definedName>
    <definedName name="Module4.textfivehalf" localSheetId="10" hidden="0" function="0" vbProcedure="0">'[146]tally checklist'!module4.textfivehalf</definedName>
    <definedName name="Module4.textninefiveeightfourfirst" localSheetId="10" hidden="0" function="0" vbProcedure="0">'[146]tally checklist'!module4.textninefiveeightfourfirst</definedName>
    <definedName name="Module4.textninefiveeightfoursecond" localSheetId="10" hidden="0" function="0" vbProcedure="0">'[146]tally checklist'!module4.textninefiveeightfoursecond</definedName>
    <definedName name="Module4.textninefiveeightsixfirst" localSheetId="10" hidden="0" function="0" vbProcedure="0">'[146]tally checklist'!module4.textninefiveeightsixfirst</definedName>
    <definedName name="Module4.textninefiveeightsixsecond" localSheetId="10" hidden="0" function="0" vbProcedure="0">'[146]tally checklist'!module4.textninefiveeightsixsecond</definedName>
    <definedName name="Module4.textsevenfiveeightfour" localSheetId="10" hidden="0" function="0" vbProcedure="0">'[146]tally checklist'!module4.textsevenfiveeightfour</definedName>
    <definedName name="Module4.textsevenfiveeightthree" localSheetId="10" hidden="0" function="0" vbProcedure="0">'[146]tally checklist'!module4.textsevenfiveeightthree</definedName>
    <definedName name="Module4.textsevenfour" localSheetId="10" hidden="0" function="0" vbProcedure="0">'[146]tally checklist'!module4.textsevenfour</definedName>
    <definedName name="Module4.textseventhree" localSheetId="10" hidden="0" function="0" vbProcedure="0">'[146]tally checklist'!module4.textseventhree</definedName>
    <definedName name="Month" localSheetId="10" hidden="0" function="0" vbProcedure="0">[63]auf_screen!#ref!</definedName>
    <definedName name="MorningReport" localSheetId="10" hidden="0" function="0" vbProcedure="0">'[218]morning report'!#ref!</definedName>
    <definedName name="mr" localSheetId="10" hidden="1" function="0" vbProcedure="0">{#N/A,#N/A,FALSE,"Sheet1"}</definedName>
    <definedName name="Mudtype" localSheetId="10" hidden="0" function="0" vbProcedure="0">[109]DATA!$N$2:$N$18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'[109]Liner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[151]!JointNumber</definedName>
    <definedName name="m_choke" localSheetId="10" hidden="0" function="0" vbProcedure="0">'[96]well test sheet'!#ref!</definedName>
    <definedName name="n" localSheetId="10" hidden="0" function="0" vbProcedure="0">'[146]tally checklist'!n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'[134]井口装置示意图-4'!$E$1:$E$65536</definedName>
    <definedName name="netperf" localSheetId="10" hidden="0" function="0" vbProcedure="0">[5]WTR!$G$33</definedName>
    <definedName name="NET_PERFS" localSheetId="10" hidden="0" function="0" vbProcedure="0">'[113]#REF'!$F$20</definedName>
    <definedName name="NewData" localSheetId="10" hidden="0" function="0" vbProcedure="0">'[132]New Contract'!$A$1:$G$65536</definedName>
    <definedName name="NewDes" localSheetId="10" hidden="0" function="0" vbProcedure="0">'[132]New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'[7]#ref'!#ref!</definedName>
    <definedName name="NM" localSheetId="10" hidden="0" function="0" vbProcedure="0">[18]!Macro1</definedName>
    <definedName name="No" localSheetId="10" hidden="0" function="0" vbProcedure="0">'[154]BPR LOG'!$A$1:$A$1048576</definedName>
    <definedName name="NOofTools" localSheetId="10" hidden="0" function="0" vbProcedure="0">[109]DATA!$BP$2:$BP$12</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'[126]Call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'[109]Liner Job Info'!$Q$14</definedName>
    <definedName name="oilrate" localSheetId="10" hidden="0" function="0" vbProcedure="0">'[96]well test sheet'!#ref!</definedName>
    <definedName name="oil_cumm" localSheetId="10" hidden="0" function="0" vbProcedure="0">'[96]well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[56]data!#ref!</definedName>
    <definedName name="OP_1" localSheetId="10" hidden="0" function="0" vbProcedure="0">[158]Data!$F$1:$F$3</definedName>
    <definedName name="Overbalance" localSheetId="10" hidden="0" function="0" vbProcedure="0">'[108]Pre-Job Info Sheet'!$D$34</definedName>
    <definedName name="Overlap" localSheetId="10" hidden="0" function="0" vbProcedure="0">'[109]Metric Conversions'!$B$16</definedName>
    <definedName name="Overlapz" localSheetId="10" hidden="0" function="0" vbProcedure="0">'[109]Liner Job Info'!$R$14</definedName>
    <definedName name="Overlap_Volz" localSheetId="10" hidden="0" function="0" vbProcedure="0">'[109]Metric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'[79]casing talley'!#ref!</definedName>
    <definedName name="PACKER_2" localSheetId="10" hidden="0" function="0" vbProcedure="0">INDEX([111]DRAW!$D$13:$E$14,MATCH([112]AUTO_DHWS!$AV$12,[111]DRAW!$D$13:$D$14,0),2)</definedName>
    <definedName name="Packer_Rotation" localSheetId="10" hidden="0" function="0" vbProcedure="0">'[109]Liner Job Info'!$P$40</definedName>
    <definedName name="Packer_Set_In" localSheetId="10" hidden="0" function="0" vbProcedure="0">'[108]Pre-Job Info Sheet'!$D$22</definedName>
    <definedName name="PackOff" localSheetId="10" hidden="0" function="0" vbProcedure="0">[109]DATA!$AP$2:$AP$6</definedName>
    <definedName name="PackoffXDP1_Pist_Area" localSheetId="10" hidden="0" function="0" vbProcedure="0">'[109]Liner Job Info'!$AF$2</definedName>
    <definedName name="PackoffXDP2_Pist_Area" localSheetId="10" hidden="0" function="0" vbProcedure="0">'[109]Liner Job Info'!$AF$3</definedName>
    <definedName name="PackoffXDP3_Pist_Area" localSheetId="10" hidden="0" function="0" vbProcedure="0">'[109]Liner Job Info'!$AG$28</definedName>
    <definedName name="PackoffXDP4_Pist_Area" localSheetId="10" hidden="0" function="0" vbProcedure="0">'[109]Liner Job Info'!$AG$29</definedName>
    <definedName name="PackoffXDP5_Pist_Area" localSheetId="10" hidden="0" function="0" vbProcedure="0">'[109]Liner Job Info'!$AG$30</definedName>
    <definedName name="Packoff_Pist_Area" localSheetId="10" hidden="0" function="0" vbProcedure="0">'[109]Liner Job Info'!$AG$31</definedName>
    <definedName name="Packoff_Stinger_OD" localSheetId="10" hidden="0" function="0" vbProcedure="0">'[109]Liner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BTD" localSheetId="10" hidden="0" function="0" vbProcedure="0">'[79]casing talley'!#ref!</definedName>
    <definedName name="Pckr_Body_Bst" localSheetId="10" hidden="0" function="0" vbProcedure="0">'[109]Metric Conversions'!$B$52</definedName>
    <definedName name="Pckr_Body_Bstz" localSheetId="10" hidden="0" function="0" vbProcedure="0">'[109]Liner Job Info'!$P$32</definedName>
    <definedName name="Pckr_Body_Collz" localSheetId="10" hidden="0" function="0" vbProcedure="0">'[109]Liner Job Info'!$P$33</definedName>
    <definedName name="Pckr_Body_Tens" localSheetId="10" hidden="0" function="0" vbProcedure="0">'[109]Liner Job Info'!$P$34</definedName>
    <definedName name="Pckr_Seal_Surf_OD" localSheetId="10" hidden="0" function="0" vbProcedure="0">'[109]Liner Job Info'!$P$31</definedName>
    <definedName name="Pckr_Sett_Force" localSheetId="10" hidden="0" function="0" vbProcedure="0">'[109]Liner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[241]index!#ref!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'[79]casing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[132]Data!$P$1:$P$65536</definedName>
    <definedName name="Perv.Macro140" localSheetId="10" hidden="0" function="0" vbProcedure="0">[52]!Prev.Macro102</definedName>
    <definedName name="PFIVE_TOTAL" localSheetId="10" hidden="0" function="0" vbProcedure="0">[241]index!#ref!</definedName>
    <definedName name="PFOUR_TOTAL" localSheetId="10" hidden="0" function="0" vbProcedure="0">[241]index!#ref!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'[146]tally checklist'!pick1_958x475_system</definedName>
    <definedName name="pick1_958x6_system" localSheetId="10" hidden="0" function="0" vbProcedure="0">'[146]tally checklist'!pick1_958x6_system</definedName>
    <definedName name="pick1_production" localSheetId="10" hidden="0" function="0" vbProcedure="0">'[146]tally checklist'!pick1_production</definedName>
    <definedName name="pick2_958x475_system" localSheetId="10" hidden="0" function="0" vbProcedure="0">'[146]tally checklist'!pick2_958x475_system</definedName>
    <definedName name="pick2_958x6_system" localSheetId="10" hidden="0" function="0" vbProcedure="0">'[146]tally checklist'!pick2_958x6_system</definedName>
    <definedName name="pick2_production" localSheetId="10" hidden="0" function="0" vbProcedure="0">'[146]tally checklist'!pick2_production</definedName>
    <definedName name="pick_512_system" localSheetId="10" hidden="0" function="0" vbProcedure="0">'[146]tally checklist'!pick_512_system</definedName>
    <definedName name="pick_5_system" localSheetId="10" hidden="0" function="0" vbProcedure="0">'[146]tally checklist'!pick_5_system</definedName>
    <definedName name="pick_758x314_system" localSheetId="10" hidden="0" function="0" vbProcedure="0">'[146]tally checklist'!pick_758x314_system</definedName>
    <definedName name="pick_758x4_system" localSheetId="10" hidden="0" function="0" vbProcedure="0">'[146]tally checklist'!pick_758x4_system</definedName>
    <definedName name="pick_7x314_system" localSheetId="10" hidden="0" function="0" vbProcedure="0">'[146]tally checklist'!pick_7x314_system</definedName>
    <definedName name="pick_7x4_system" localSheetId="10" hidden="0" function="0" vbProcedure="0">'[146]tally checklist'!pick_7x4_system</definedName>
    <definedName name="pick_blanks" localSheetId="10" hidden="0" function="0" vbProcedure="0">'[146]tally checklist'!pick_blanks</definedName>
    <definedName name="pick_liner" localSheetId="10" hidden="0" function="0" vbProcedure="0">'[146]tally checklist'!pick_liner</definedName>
    <definedName name="pick_liner2" localSheetId="10" hidden="0" function="0" vbProcedure="0">'[146]tally checklist'!pick_liner2</definedName>
    <definedName name="pick_miscellaneous" localSheetId="10" hidden="0" function="0" vbProcedure="0">'[146]tally checklist'!pick_miscellaneous</definedName>
    <definedName name="pick_quantum" localSheetId="10" hidden="0" function="0" vbProcedure="0">'[146]tally checklist'!pick_quantum</definedName>
    <definedName name="pick_screens" localSheetId="10" hidden="0" function="0" vbProcedure="0">'[146]tally checklist'!pick_screens</definedName>
    <definedName name="pick_shearsubs" localSheetId="10" hidden="0" function="0" vbProcedure="0">'[146]tally checklist'!pick_shearsubs</definedName>
    <definedName name="pick_sump" localSheetId="10" hidden="0" function="0" vbProcedure="0">'[146]tally checklist'!pick_sump</definedName>
    <definedName name="Pilot" localSheetId="10" hidden="0" function="0" vbProcedure="0">[242]!'[module4 formula].macro1'</definedName>
    <definedName name="PistArea_Packoff_to_DP_OD" localSheetId="10" hidden="0" function="0" vbProcedure="0">[109]Test!$M$16</definedName>
    <definedName name="Piston_Disp" localSheetId="10" hidden="0" function="0" vbProcedure="0">'[108]Tester Valve Calcs'!$M$16</definedName>
    <definedName name="Pist_Area_Csg_ID_to_DP1_OD" localSheetId="10" hidden="0" function="0" vbProcedure="0">[109]Test!$U$26</definedName>
    <definedName name="Pist_Area_Csg_ID_to_DP2_OD" localSheetId="10" hidden="0" function="0" vbProcedure="0">[109]Test!$U$27</definedName>
    <definedName name="Pist_Area_Csg_ID_to_DP3_OD" localSheetId="10" hidden="0" function="0" vbProcedure="0">[109]Test!$U$28</definedName>
    <definedName name="Pist_Area_Csg_ID_to_DP4_OD" localSheetId="10" hidden="0" function="0" vbProcedure="0">[109]Test!$U$29</definedName>
    <definedName name="Pist_Area_Csg_ID_to_DP5_OD" localSheetId="10" hidden="0" function="0" vbProcedure="0">[109]Test!$U$30</definedName>
    <definedName name="Pist_Area_from_CsgID_to_Packoff_OD" localSheetId="10" hidden="0" function="0" vbProcedure="0">[109]Test!$M$14</definedName>
    <definedName name="Pist_Area_PackoffOD_DP2_OD" localSheetId="10" hidden="0" function="0" vbProcedure="0">[109]Test!$Y$27</definedName>
    <definedName name="Pist_Area_PackoffOD_DP4_OD" localSheetId="10" hidden="0" function="0" vbProcedure="0">[109]Test!$Y$29</definedName>
    <definedName name="Pist_Area_PackoffOD_DP5_OD" localSheetId="10" hidden="0" function="0" vbProcedure="0">[109]Test!$Y$30</definedName>
    <definedName name="Pist_Area_PackoffOD_to_DP1_OD" localSheetId="10" hidden="0" function="0" vbProcedure="0">[109]Test!$Y$26</definedName>
    <definedName name="Pist_Area_PackoffOD_to_DP3_OD" localSheetId="10" hidden="0" function="0" vbProcedure="0">[109]Test!$Y$28</definedName>
    <definedName name="plotm" localSheetId="10" hidden="0" function="0" vbProcedure="0">'[64]tool backload dt'!plotm</definedName>
    <definedName name="PlugMethod" localSheetId="10" hidden="0" function="0" vbProcedure="0">[109]DATA!$BI$2:$BI$6</definedName>
    <definedName name="Plugs" localSheetId="10" hidden="0" function="0" vbProcedure="0">[109]DATA!$AL$2:$AL$13</definedName>
    <definedName name="Plug_Bmp_Hngr_Ovr_Ld" localSheetId="10" hidden="0" function="0" vbProcedure="0">[109]Test!$M$25</definedName>
    <definedName name="Plug_Bmp_psi_wo_DP" localSheetId="10" hidden="0" function="0" vbProcedure="0">[109]Test!$M$23</definedName>
    <definedName name="Plug_Bmp_psi_w_DP" localSheetId="10" hidden="0" function="0" vbProcedure="0">[109]Test!$M$24</definedName>
    <definedName name="Plug_Press_Rating" localSheetId="10" hidden="0" function="0" vbProcedure="0">'[109]Metric Conversions'!$B$51</definedName>
    <definedName name="Plug_Press_Ratingz" localSheetId="10" hidden="0" function="0" vbProcedure="0">'[109]Liner Job Info'!$D$43</definedName>
    <definedName name="Plug_Temp_Rating" localSheetId="10" hidden="0" function="0" vbProcedure="0">'[109]Liner Job Info'!$D$44</definedName>
    <definedName name="PNINE_TOTAL" localSheetId="10" hidden="0" function="0" vbProcedure="0">[241]index!#ref!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'[109]Metric Conversions'!$B$65</definedName>
    <definedName name="pph" localSheetId="10" hidden="0" function="0" vbProcedure="0">[43]!Calculate_Pipe</definedName>
    <definedName name="pre.Macro220" localSheetId="10" hidden="0" function="0" vbProcedure="0">[52]!Prev.Macro110</definedName>
    <definedName name="pregpstim" localSheetId="10" hidden="0" function="0" vbProcedure="0">[5]WTR!$G$48</definedName>
    <definedName name="PREPACK_MIX_RATIO" localSheetId="10" hidden="0" function="0" vbProcedure="0">'[113]#REF'!$K$44</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v.Macro150" localSheetId="10" hidden="0" function="0" vbProcedure="0">[52]!Prev.Macro122</definedName>
    <definedName name="prev.Macro200" localSheetId="10" hidden="0" function="0" vbProcedure="0">[52]!Prev.Macro128</definedName>
    <definedName name="Prev.Macro242" localSheetId="10" hidden="0" function="0" vbProcedure="0">[52]!Prev.Macro106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INDEX([78]PKR!$A$2:$B$15,MATCH([78]INPUT!$H$37,[78]PKR!$A$2:$A$15,0),2)</definedName>
    <definedName name="production" localSheetId="10" hidden="0" function="0" vbProcedure="0">[162]WTR!$L$6</definedName>
    <definedName name="Production_History_by_Well" localSheetId="10" hidden="0" function="0" vbProcedure="0">'[250]neb-wells'!#ref!</definedName>
    <definedName name="profitcntr1" localSheetId="10" hidden="0" function="0" vbProcedure="0">[132]Data!$I$1:$I$65536</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[241]index!#ref!</definedName>
    <definedName name="PSI" localSheetId="10" hidden="0" function="0" vbProcedure="0">'[78]tester valve calcs'!#ref!</definedName>
    <definedName name="psia_array" localSheetId="10" hidden="0" function="0" vbProcedure="0">{"HMR","HMR-GT","ZI Probe","Spartek","Omega SP"}</definedName>
    <definedName name="psibarkpa" localSheetId="10" hidden="0" function="0" vbProcedure="0">'[109]Metric Conversions'!$B$42</definedName>
    <definedName name="psig_array" localSheetId="10" hidden="0" function="0" vbProcedure="0">{"RPG-3","RPG-4"}</definedName>
    <definedName name="PSIX_TOTAL" localSheetId="10" hidden="0" function="0" vbProcedure="0">[241]index!#ref!</definedName>
    <definedName name="psl" localSheetId="10" hidden="0" function="0" vbProcedure="0">[56]data!#ref!</definedName>
    <definedName name="Pstn_Force_Actual" localSheetId="10" hidden="0" function="0" vbProcedure="0">'[109]Weight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[241]index!#ref!</definedName>
    <definedName name="PTWO_TOTAL" localSheetId="10" hidden="0" function="0" vbProcedure="0">[241]index!#ref!</definedName>
    <definedName name="PU_Dogs" localSheetId="10" hidden="0" function="0" vbProcedure="0">'[109]Metric Conversions'!$B$25</definedName>
    <definedName name="PU_Dogsz" localSheetId="10" hidden="0" function="0" vbProcedure="0">'[109]Liner Job Info'!$P$47</definedName>
    <definedName name="PU_Packoffz" localSheetId="10" hidden="0" function="0" vbProcedure="0">'[109]Liner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[254]!Calculate_Pipe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'[146]tally checklist'!quantum</definedName>
    <definedName name="Range1" localSheetId="10" hidden="0" function="0" vbProcedure="0">OFFSET([257]sheet1!$e$5, 1, 0,[257]sheet1!$e$2,1)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'[164]2B Raw Rig Tally'!$B$13:$D$501</definedName>
    <definedName name="raw_tally_upper" localSheetId="10" hidden="0" function="0" vbProcedure="0">'[164]2B Raw Rig Tally'!$F$13:$H$501</definedName>
    <definedName name="Reasons" localSheetId="10" hidden="0" function="0" vbProcedure="0">'[146]Title Page'!$O$2:$O$23</definedName>
    <definedName name="Recalc" localSheetId="10" hidden="0" function="0" vbProcedure="0">[120]!Recalc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'[109]Weight Calculations'!$W$53</definedName>
    <definedName name="Rem_DP2_Tens" localSheetId="10" hidden="0" function="0" vbProcedure="0">'[109]Weight Calculations'!$W$54</definedName>
    <definedName name="Rem_DP3_Tens" localSheetId="10" hidden="0" function="0" vbProcedure="0">'[109]Weight Calculations'!$W$55</definedName>
    <definedName name="Rem_DP4_Tens" localSheetId="10" hidden="0" function="0" vbProcedure="0">'[109]Weight Calculations'!$W$59</definedName>
    <definedName name="Rem_DP5_Tens" localSheetId="10" hidden="0" function="0" vbProcedure="0">'[109]Weight Calculations'!$W$60</definedName>
    <definedName name="Rentalequipment" localSheetId="10" hidden="0" function="0" vbProcedure="0">[109]DATA!$R$2:$R$79</definedName>
    <definedName name="Rental_Tool_ID" localSheetId="10" hidden="0" function="0" vbProcedure="0">[109]DATA!$S$2:$S$79</definedName>
    <definedName name="RESE" localSheetId="10" hidden="0" function="0" vbProcedure="0">'[146]tally checklist'!rese</definedName>
    <definedName name="reservoir15" localSheetId="10" hidden="0" function="0" vbProcedure="0">'[73]geological prognosis'!#ref!</definedName>
    <definedName name="reservoir16" localSheetId="10" hidden="0" function="0" vbProcedure="0">'[73]geological prognosis'!#ref!</definedName>
    <definedName name="reservoir17" localSheetId="10" hidden="0" function="0" vbProcedure="0">'[73]geological prognosis'!#ref!</definedName>
    <definedName name="reservoir18" localSheetId="10" hidden="0" function="0" vbProcedure="0">'[73]geological prognosis'!#ref!</definedName>
    <definedName name="reservoir19" localSheetId="10" hidden="0" function="0" vbProcedure="0">'[73]geological prognosis'!#ref!</definedName>
    <definedName name="reservoir20" localSheetId="10" hidden="0" function="0" vbProcedure="0">'[73]geological prognosis'!#ref!</definedName>
    <definedName name="reservoir21" localSheetId="10" hidden="0" function="0" vbProcedure="0">'[73]geological prognosis'!#ref!</definedName>
    <definedName name="reservoir22" localSheetId="10" hidden="0" function="0" vbProcedure="0">'[73]geological prognosis'!#ref!</definedName>
    <definedName name="reservoir23" localSheetId="10" hidden="0" function="0" vbProcedure="0">'[73]geological prognosis'!#ref!</definedName>
    <definedName name="reservoir24" localSheetId="10" hidden="0" function="0" vbProcedure="0">'[73]geological prognosis'!#ref!</definedName>
    <definedName name="reservoir25" localSheetId="10" hidden="0" function="0" vbProcedure="0">'[73]geological prognosis'!#ref!</definedName>
    <definedName name="reservoir26" localSheetId="10" hidden="0" function="0" vbProcedure="0">'[73]geological prognosis'!#ref!</definedName>
    <definedName name="reservoir27" localSheetId="10" hidden="0" function="0" vbProcedure="0">'[73]geological prognosis'!#ref!</definedName>
    <definedName name="reservoir28" localSheetId="10" hidden="0" function="0" vbProcedure="0">'[73]geological prognosis'!#ref!</definedName>
    <definedName name="reservoir29" localSheetId="10" hidden="0" function="0" vbProcedure="0">'[73]geological prognosis'!#ref!</definedName>
    <definedName name="resrevoir09" localSheetId="10" hidden="0" function="0" vbProcedure="0">'[73]geological prognosis'!#ref!</definedName>
    <definedName name="resrevoir10" localSheetId="10" hidden="0" function="0" vbProcedure="0">'[73]geological prognosis'!#ref!</definedName>
    <definedName name="resrevoir12" localSheetId="10" hidden="0" function="0" vbProcedure="0">'[73]geological prognosis'!#ref!</definedName>
    <definedName name="resrevoir13" localSheetId="10" hidden="0" function="0" vbProcedure="0">'[73]geological prognosis'!#ref!</definedName>
    <definedName name="resrevoir14" localSheetId="10" hidden="0" function="0" vbProcedure="0">'[73]geological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'[109]Metric Conversions'!$C$38</definedName>
    <definedName name="RH_SHEAR" localSheetId="10" hidden="0" function="0" vbProcedure="0">'[109]Weight Calculations'!$H$21</definedName>
    <definedName name="RH_SHEAR_LNGTH" localSheetId="10" hidden="0" function="0" vbProcedure="0">'[109]Metric Conversions'!$B$37</definedName>
    <definedName name="RH_SHEAR_LNGTHz" localSheetId="10" hidden="0" function="0" vbProcedure="0">'[109]Metric Conversions'!$C$37</definedName>
    <definedName name="Rig" localSheetId="10" hidden="0" function="0" vbProcedure="0">'[130]Liner Job Info'!$E$8</definedName>
    <definedName name="rigcontractor1" localSheetId="10" hidden="0" function="0" vbProcedure="0">[132]Data!$G$1:$G$65536</definedName>
    <definedName name="Rigname1" localSheetId="10" hidden="0" function="0" vbProcedure="0">[132]Data!$E$1:$E$65536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'[109]Displacement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tation" localSheetId="10" hidden="0" function="0" vbProcedure="0">[109]DATA!$AK$2:$AK$10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unningtool" localSheetId="10" hidden="0" function="0" vbProcedure="0">[109]DATA!$AO$2:$AO$8</definedName>
    <definedName name="Rupees" localSheetId="10" hidden="0" function="0" vbProcedure="0">'[141]Cash Expense March-96'!$H$6</definedName>
    <definedName name="R_Group_ID" localSheetId="10" hidden="0" function="0" vbProcedure="0">[109]DATA!$T$2:$T$79</definedName>
    <definedName name="S" localSheetId="10" hidden="0" function="0" vbProcedure="0">'[2]run sheet'!#ref!</definedName>
    <definedName name="Salesequipment" localSheetId="10" hidden="0" function="0" vbProcedure="0">[109]DATA!$O$2:$O$268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'[96]well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'[7]#ref'!#ref!</definedName>
    <definedName name="SAND_IN_CAS_EXT" localSheetId="10" hidden="0" function="0" vbProcedure="0">'[7]#ref'!#ref!</definedName>
    <definedName name="SAND_IN_CAS_PREPACK" localSheetId="10" hidden="0" function="0" vbProcedure="0">'[113]#REF'!$F$81</definedName>
    <definedName name="SAND_IN_CAS_SCR" localSheetId="10" hidden="0" function="0" vbProcedure="0">'[7]#ref'!#ref!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[28]!Save_Document</definedName>
    <definedName name="Save_Document_1" localSheetId="10" hidden="0" function="0" vbProcedure="0">'JOB ORDER '!Save_Document</definedName>
    <definedName name="Save_Document_10" localSheetId="10" hidden="0" function="0" vbProcedure="0">'JOB ORDER '!Save_Document</definedName>
    <definedName name="Save_Document_11" localSheetId="10" hidden="0" function="0" vbProcedure="0">'JOB ORDER '!Save_Document</definedName>
    <definedName name="Save_Document_2" localSheetId="10" hidden="0" function="0" vbProcedure="0">'JOB ORDER '!Save_Document</definedName>
    <definedName name="Save_Document_3" localSheetId="10" hidden="0" function="0" vbProcedure="0">'JOB ORDER '!Save_Document</definedName>
    <definedName name="Save_Document_4" localSheetId="10" hidden="0" function="0" vbProcedure="0">'JOB ORDER '!Save_Document</definedName>
    <definedName name="Save_Document_5" localSheetId="10" hidden="0" function="0" vbProcedure="0">'JOB ORDER '!Save_Document</definedName>
    <definedName name="Save_Document_6" localSheetId="10" hidden="0" function="0" vbProcedure="0">'JOB ORDER '!Save_Document</definedName>
    <definedName name="Save_Document_7" localSheetId="10" hidden="0" function="0" vbProcedure="0">'JOB ORDER '!Save_Document</definedName>
    <definedName name="Save_Document_8" localSheetId="10" hidden="0" function="0" vbProcedure="0">'JOB ORDER '!Save_Document</definedName>
    <definedName name="Save_Document_9" localSheetId="10" hidden="0" function="0" vbProcedure="0">'JOB ORDER '!Save_Document</definedName>
    <definedName name="SCB" localSheetId="10" hidden="0" function="0" vbProcedure="0">[129]RSS!$B$136:$B$144</definedName>
    <definedName name="SCHE" localSheetId="10" hidden="0" function="0" vbProcedure="0">[18]!Macro1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[75]!Calculate_Pipe</definedName>
    <definedName name="se" localSheetId="10" hidden="0" function="0" vbProcedure="0">'[270]calculo de gas total'!#ref!</definedName>
    <definedName name="SeatID" localSheetId="10" hidden="0" function="0" vbProcedure="0">[109]DATA!$BC$2:$BC$6</definedName>
    <definedName name="SeatNumber" localSheetId="10" hidden="0" function="0" vbProcedure="0">[109]DATA!$BD$2:$BD$7</definedName>
    <definedName name="SeatShear" localSheetId="10" hidden="0" function="0" vbProcedure="0">[109]DATA!$BE$2:$BE$4</definedName>
    <definedName name="SeatType" localSheetId="10" hidden="0" function="0" vbProcedure="0">[109]DATA!$BB$2:$BB$4</definedName>
    <definedName name="sep_press" localSheetId="10" hidden="0" function="0" vbProcedure="0">'[96]well test sheet'!#ref!</definedName>
    <definedName name="sep_temp" localSheetId="10" hidden="0" function="0" vbProcedure="0">'[96]well test sheet'!#ref!</definedName>
    <definedName name="serialselect1" localSheetId="10" hidden="0" function="0" vbProcedure="0">'JOB ORDER '!serialselect1</definedName>
    <definedName name="serialselect2" localSheetId="10" hidden="0" function="0" vbProcedure="0">'JOB ORDER '!serialselect2</definedName>
    <definedName name="serialselect3" localSheetId="10" hidden="0" function="0" vbProcedure="0">'JOB ORDER '!serialselect3</definedName>
    <definedName name="serialselect4" localSheetId="10" hidden="0" function="0" vbProcedure="0">'JOB ORDER '!serialselect4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'[109]Liner Job Info'!$P$44</definedName>
    <definedName name="Shear_HR_Mech_Release" localSheetId="10" hidden="0" function="0" vbProcedure="0">'[109]Liner Job Info'!$P$49</definedName>
    <definedName name="SHER" localSheetId="10" hidden="0" function="0" vbProcedure="0">'[146]tally checklist'!sher</definedName>
    <definedName name="shippedvia" localSheetId="10" hidden="0" function="0" vbProcedure="0">'[33]data '!#ref!</definedName>
    <definedName name="shit" localSheetId="10" hidden="1" function="0" vbProcedure="0">{#N/A,#N/A,FALSE,"Sheet1"}</definedName>
    <definedName name="SHO" localSheetId="10" hidden="0" function="0" vbProcedure="0">[119]钻井日报表!$G$3</definedName>
    <definedName name="ShoeTrack_Vol" localSheetId="10" hidden="0" function="0" vbProcedure="0">'[109]Metric Conversions'!$B$76</definedName>
    <definedName name="ShoeTrack_Volz" localSheetId="10" hidden="0" function="0" vbProcedure="0">'[109]Metric Conversions'!$C$76</definedName>
    <definedName name="Shoe_Track_Length" localSheetId="10" hidden="0" function="0" vbProcedure="0">'[109]Metric Conversions'!$B$19</definedName>
    <definedName name="Shoe_Track_Lengthz" localSheetId="10" hidden="0" function="0" vbProcedure="0">'[109]Liner Job Info'!$D$19</definedName>
    <definedName name="Show_1" localSheetId="10" hidden="0" function="0" vbProcedure="0">[44]!Show_1</definedName>
    <definedName name="Show_1_1" localSheetId="10" hidden="0" function="0" vbProcedure="0">[28]!Show_1</definedName>
    <definedName name="Show_1_10" localSheetId="10" hidden="0" function="0" vbProcedure="0">[28]!Show_1</definedName>
    <definedName name="Show_1_11" localSheetId="10" hidden="0" function="0" vbProcedure="0">[28]!Show_1</definedName>
    <definedName name="Show_1_2" localSheetId="10" hidden="0" function="0" vbProcedure="0">[28]!Show_1</definedName>
    <definedName name="Show_1_3" localSheetId="10" hidden="0" function="0" vbProcedure="0">[28]!Show_1</definedName>
    <definedName name="Show_1_4" localSheetId="10" hidden="0" function="0" vbProcedure="0">[28]!Show_1</definedName>
    <definedName name="Show_1_5" localSheetId="10" hidden="0" function="0" vbProcedure="0">[28]!Show_1</definedName>
    <definedName name="Show_1_6" localSheetId="10" hidden="0" function="0" vbProcedure="0">[28]!Show_1</definedName>
    <definedName name="Show_1_7" localSheetId="10" hidden="0" function="0" vbProcedure="0">[28]!Show_1</definedName>
    <definedName name="Show_1_8" localSheetId="10" hidden="0" function="0" vbProcedure="0">[28]!Show_1</definedName>
    <definedName name="Show_1_9" localSheetId="10" hidden="0" function="0" vbProcedure="0">[28]!Show_1</definedName>
    <definedName name="Show_2" localSheetId="10" hidden="0" function="0" vbProcedure="0">[44]!Show_2</definedName>
    <definedName name="Show_2_1" localSheetId="10" hidden="0" function="0" vbProcedure="0">[28]!Show_2</definedName>
    <definedName name="Show_2_10" localSheetId="10" hidden="0" function="0" vbProcedure="0">[28]!Show_2</definedName>
    <definedName name="Show_2_11" localSheetId="10" hidden="0" function="0" vbProcedure="0">[28]!Show_2</definedName>
    <definedName name="Show_2_2" localSheetId="10" hidden="0" function="0" vbProcedure="0">[28]!Show_2</definedName>
    <definedName name="Show_2_3" localSheetId="10" hidden="0" function="0" vbProcedure="0">[28]!Show_2</definedName>
    <definedName name="Show_2_4" localSheetId="10" hidden="0" function="0" vbProcedure="0">[28]!Show_2</definedName>
    <definedName name="Show_2_5" localSheetId="10" hidden="0" function="0" vbProcedure="0">[28]!Show_2</definedName>
    <definedName name="Show_2_6" localSheetId="10" hidden="0" function="0" vbProcedure="0">[28]!Show_2</definedName>
    <definedName name="Show_2_7" localSheetId="10" hidden="0" function="0" vbProcedure="0">[28]!Show_2</definedName>
    <definedName name="Show_2_8" localSheetId="10" hidden="0" function="0" vbProcedure="0">[28]!Show_2</definedName>
    <definedName name="Show_2_9" localSheetId="10" hidden="0" function="0" vbProcedure="0">[28]!Show_2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[109]DATA!$AV$2:$AV$4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'[126]Call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[109]DATA!$BK$2:$BK$7</definedName>
    <definedName name="Spiral_Type" localSheetId="10" hidden="0" function="0" vbProcedure="0">[109]DATA!$BM$2:$BM$5</definedName>
    <definedName name="SSA" localSheetId="10" hidden="0" function="0" vbProcedure="0">[275]!Macro46</definedName>
    <definedName name="ssdsd" localSheetId="10" hidden="0" function="0" vbProcedure="0">'[146]tally checklist'!ssdsd</definedName>
    <definedName name="SSID" localSheetId="10" hidden="0" function="0" vbProcedure="0">'[109]Liner Job Info'!$O$6</definedName>
    <definedName name="sss" localSheetId="10" hidden="1" function="0" vbProcedure="0">{#N/A,#N/A,FALSE,"Drlg Param Run 1-1";#N/A,#N/A,FALSE,"DDR (3)";#N/A,#N/A,FALSE,"BHA AT (1)";#N/A,#N/A,FALSE,"Downlinkbha";#N/A,#N/A,FALSE,"Job Status Report"}</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'[109]Metric Conversions'!$B$30</definedName>
    <definedName name="Stretch_DP1_Lnr_Wtz" localSheetId="10" hidden="0" function="0" vbProcedure="0">'[109]Metric Conversions'!$C$30</definedName>
    <definedName name="Stretch_DP2_Lnr_Wt" localSheetId="10" hidden="0" function="0" vbProcedure="0">'[109]Metric Conversions'!$B$31</definedName>
    <definedName name="Stretch_DP2_Lnr_Wtz" localSheetId="10" hidden="0" function="0" vbProcedure="0">'[109]Metric Conversions'!$C$31</definedName>
    <definedName name="Stretch_DP3_Lnr_Wt" localSheetId="10" hidden="0" function="0" vbProcedure="0">'[109]Metric Conversions'!$B$32</definedName>
    <definedName name="Stretch_DP3_Lnr_Wtz" localSheetId="10" hidden="0" function="0" vbProcedure="0">'[109]Metric Conversions'!$C$32</definedName>
    <definedName name="Stretch_DP4_Lnr_Wt" localSheetId="10" hidden="0" function="0" vbProcedure="0">'[109]Metric Conversions'!$B$33</definedName>
    <definedName name="Stretch_DP4_Lnr_Wtz" localSheetId="10" hidden="0" function="0" vbProcedure="0">'[109]Metric Conversions'!$C$33</definedName>
    <definedName name="Stretch_DP5_Lnr_Wt" localSheetId="10" hidden="0" function="0" vbProcedure="0">'[109]Metric Conversions'!$B$34</definedName>
    <definedName name="Stretch_DP5_Lnr_Wtz" localSheetId="10" hidden="0" function="0" vbProcedure="0">'[109]Metric Conversions'!$C$34</definedName>
    <definedName name="Stretch_TTL_Lnr_Wt" localSheetId="10" hidden="0" function="0" vbProcedure="0">'[109]Metric Conversions'!$B$36</definedName>
    <definedName name="Stretch_TTL_Lnr_Wtz" localSheetId="10" hidden="0" function="0" vbProcedure="0">'[109]Metric Conversions'!$C$36</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[109]DATA!$AQ$2:$AQ$11</definedName>
    <definedName name="surfacefracpressure" localSheetId="10" hidden="0" function="0" vbProcedure="0">[106]Data!$F$4</definedName>
    <definedName name="Surf_Equip_Tens" localSheetId="10" hidden="0" function="0" vbProcedure="0">'[109]Liner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[52]!Prev.Macro102</definedName>
    <definedName name="Tally" localSheetId="10" hidden="0" function="0" vbProcedure="0">[169]Tally!$A$5:$C$1004</definedName>
    <definedName name="Tally_2" localSheetId="10" hidden="0" function="0" vbProcedure="0">[169]Tally!$E$5:$G$1004</definedName>
    <definedName name="Tally_3" localSheetId="10" hidden="0" function="0" vbProcedure="0">[169]Tally!$I$5:$K$1004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[151]!Calculate_Pipe</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[170]MUT!$O$3:$O$4</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'[109]Metric Conversions'!$B$55</definedName>
    <definedName name="TB_Ext_API_Collz" localSheetId="10" hidden="0" function="0" vbProcedure="0">'[109]Liner Job Info'!$P$37</definedName>
    <definedName name="TB_Ext_Bst" localSheetId="10" hidden="0" function="0" vbProcedure="0">'[109]Metric Conversions'!$B$54</definedName>
    <definedName name="TB_Ext_Bstz" localSheetId="10" hidden="0" function="0" vbProcedure="0">'[109]Liner Job Info'!$P$36</definedName>
    <definedName name="TB_EXT_ID" localSheetId="10" hidden="0" function="0" vbProcedure="0">'[109]Liner Job Info'!$P$35</definedName>
    <definedName name="TB_Ext_Yield_Collz" localSheetId="10" hidden="0" function="0" vbProcedure="0">'[109]Liner Job Info'!$P$38</definedName>
    <definedName name="TCPSTRING" localSheetId="10" hidden="0" function="0" vbProcedure="0">[287]!ADDSTAB</definedName>
    <definedName name="TD_Depth_md" localSheetId="10" hidden="0" function="0" vbProcedure="0">'[73]well specification'!#ref!</definedName>
    <definedName name="TD_md" localSheetId="10" hidden="0" function="0" vbProcedure="0">'[73]well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[109]Test!$M$28</definedName>
    <definedName name="Test_po_out_2" localSheetId="10" hidden="0" function="0" vbProcedure="0">[109]Test!$M$29</definedName>
    <definedName name="textfive" localSheetId="10" hidden="0" function="0" vbProcedure="0">'[146]tally checklist'!textfive</definedName>
    <definedName name="textfivehalf" localSheetId="10" hidden="0" function="0" vbProcedure="0">'[146]tally checklist'!textfivehalf</definedName>
    <definedName name="textninefiveeightfourfirst" localSheetId="10" hidden="0" function="0" vbProcedure="0">'[146]tally checklist'!textninefiveeightfourfirst</definedName>
    <definedName name="textninefiveeightfoursecond" localSheetId="10" hidden="0" function="0" vbProcedure="0">'[146]tally checklist'!textninefiveeightfoursecond</definedName>
    <definedName name="textninefiveeightsixfirst" localSheetId="10" hidden="0" function="0" vbProcedure="0">'[146]tally checklist'!textninefiveeightsixfirst</definedName>
    <definedName name="textninefiveeightsixsecond" localSheetId="10" hidden="0" function="0" vbProcedure="0">'[146]tally checklist'!textninefiveeightsixsecond</definedName>
    <definedName name="textsevenfiveeightfour" localSheetId="10" hidden="0" function="0" vbProcedure="0">'[146]tally checklist'!textsevenfiveeightfour</definedName>
    <definedName name="textsevenfiveeightthree" localSheetId="10" hidden="0" function="0" vbProcedure="0">'[146]tally checklist'!textsevenfiveeightthree</definedName>
    <definedName name="textsevenfour" localSheetId="10" hidden="0" function="0" vbProcedure="0">'[146]tally checklist'!textsevenfour</definedName>
    <definedName name="textseventhree" localSheetId="10" hidden="0" function="0" vbProcedure="0">'[146]tally checklist'!textseventhree</definedName>
    <definedName name="text_five" localSheetId="10" hidden="0" function="0" vbProcedure="0">'[146]tally checklist'!text_five</definedName>
    <definedName name="text_fivehalf" localSheetId="10" hidden="0" function="0" vbProcedure="0">'[146]tally checklist'!text_fivehalf</definedName>
    <definedName name="text_ninefiveeightfourfirst" localSheetId="10" hidden="0" function="0" vbProcedure="0">'[146]tally checklist'!text_ninefiveeightfourfirst</definedName>
    <definedName name="text_ninefiveeightfoursecond" localSheetId="10" hidden="0" function="0" vbProcedure="0">'[146]tally checklist'!text_ninefiveeightfoursecond</definedName>
    <definedName name="text_ninefiveeightsixfirst" localSheetId="10" hidden="0" function="0" vbProcedure="0">'[146]tally checklist'!text_ninefiveeightsixfirst</definedName>
    <definedName name="text_ninefiveeightsixsecond" localSheetId="10" hidden="0" function="0" vbProcedure="0">'[146]tally checklist'!text_ninefiveeightsixsecond</definedName>
    <definedName name="text_sevenfiveeightfour" localSheetId="10" hidden="0" function="0" vbProcedure="0">'[146]tally checklist'!text_sevenfiveeightfour</definedName>
    <definedName name="text_sevenfiveeightthree" localSheetId="10" hidden="0" function="0" vbProcedure="0">'[146]tally checklist'!text_sevenfiveeightthree</definedName>
    <definedName name="text_sevenfour" localSheetId="10" hidden="0" function="0" vbProcedure="0">'[146]tally checklist'!text_sevenfour</definedName>
    <definedName name="text_seventhree" localSheetId="10" hidden="0" function="0" vbProcedure="0">'[146]tally checklist'!text_seventhree</definedName>
    <definedName name="tgrade" localSheetId="10" hidden="0" function="0" vbProcedure="0">[157]Control!$D$9</definedName>
    <definedName name="TGW" localSheetId="10" hidden="0" function="0" vbProcedure="0">'[146]tally checklist'!tgw</definedName>
    <definedName name="ThreadCon" localSheetId="10" hidden="0" function="0" vbProcedure="0">[171]MUT!$R$3:$R$9</definedName>
    <definedName name="ticketdate" localSheetId="10" hidden="0" function="0" vbProcedure="0">'[126]Call Sheet'!$AH$1</definedName>
    <definedName name="tickettype" localSheetId="10" hidden="0" function="0" vbProcedure="0">[56]data!#ref!</definedName>
    <definedName name="time" localSheetId="10" hidden="0" function="0" vbProcedure="0">'[96]well test sheet'!#ref!</definedName>
    <definedName name="TLCENG" localSheetId="10" hidden="0" function="0" vbProcedure="0">[193]Reference!$D$2</definedName>
    <definedName name="TLDENG" localSheetId="10" hidden="0" function="0" vbProcedure="0">[193]Reference!$C$2</definedName>
    <definedName name="TLDOPS" localSheetId="10" hidden="0" function="0" vbProcedure="0">[193]Reference!$E$2:$E$3</definedName>
    <definedName name="TOL" localSheetId="10" hidden="0" function="0" vbProcedure="0">'[130]Metric Conversions'!$B$28</definedName>
    <definedName name="TOLz" localSheetId="10" hidden="0" function="0" vbProcedure="0">'[109]Liner Job Info'!$I$19</definedName>
    <definedName name="ToolMaterial" localSheetId="10" hidden="0" function="0" vbProcedure="0">[109]DATA!$BN$2:$BN$8</definedName>
    <definedName name="Tool_ID" localSheetId="10" hidden="0" function="0" vbProcedure="0">[109]DATA!$P$2:$P$268</definedName>
    <definedName name="TOPPKRIMG" localSheetId="10" hidden="0" function="0" vbProcedure="0">INDEX([172]PKR!$A$16:$B$17,MATCH([172]INPUT!$G$56,[172]PKR!$A$16:$A$17,0),2)</definedName>
    <definedName name="TOPPKRIMG_1" localSheetId="10" hidden="0" function="0" vbProcedure="0">INDEX([78]PKR!$A$16:$B$18,MATCH([78]INPUT!$G$56,[78]PKR!$A$16:$A$18,0),2)</definedName>
    <definedName name="Top_Drive_y_n" localSheetId="10" hidden="0" function="0" vbProcedure="0">'[48]liner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'[109]Weight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'[109]Metric Conversions'!$C$90</definedName>
    <definedName name="TOT_CAP_HOLE" localSheetId="10" hidden="0" function="0" vbProcedure="0">'[113]#REF'!$G$190</definedName>
    <definedName name="Tot_DP_Vol" localSheetId="10" hidden="0" function="0" vbProcedure="0">'[109]Metric Conversions'!$B$75</definedName>
    <definedName name="Tot_DP_Volz" localSheetId="10" hidden="0" function="0" vbProcedure="0">'[109]Metric Conversions'!$C$75</definedName>
    <definedName name="Tot_Liner_Wt" localSheetId="10" hidden="0" function="0" vbProcedure="0">'[109]Weight Calculations'!$H$18</definedName>
    <definedName name="Tot_Lnr_Vol_to_LC" localSheetId="10" hidden="0" function="0" vbProcedure="0">'[109]Metric Conversions'!$B$79</definedName>
    <definedName name="Tot_Lnr_Vol_to_LCz" localSheetId="10" hidden="0" function="0" vbProcedure="0">'[109]Metric Conversions'!$C$79</definedName>
    <definedName name="TOT_SAND_2B_PUMPED" localSheetId="10" hidden="0" function="0" vbProcedure="0">'[7]#ref'!#ref!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'[7]#ref'!#ref!</definedName>
    <definedName name="Tot_Vol_to_Bump_Plugs" localSheetId="10" hidden="0" function="0" vbProcedure="0">'[109]Metric Conversions'!$B$80</definedName>
    <definedName name="Tot_Vol_to_Bump_Plugsz" localSheetId="10" hidden="0" function="0" vbProcedure="0">'[109]Metric Conversions'!$C$80</definedName>
    <definedName name="Tot_Vol_to_Shoez" localSheetId="10" hidden="0" function="0" vbProcedure="0">'[109]Metric Conversions'!$C$81</definedName>
    <definedName name="tpermit" localSheetId="10" hidden="0" function="0" vbProcedure="0">[157]Control!$D$5</definedName>
    <definedName name="TQW" localSheetId="10" hidden="0" function="0" vbProcedure="0">'[146]tally checklist'!tqw</definedName>
    <definedName name="tr" localSheetId="10" hidden="0" function="0" vbProcedure="0">null</definedName>
    <definedName name="transport" localSheetId="10" hidden="0" function="0" vbProcedure="0">[56]data!#ref!</definedName>
    <definedName name="treatment" localSheetId="10" hidden="0" function="0" vbProcedure="0">[56]data!#ref!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((SUM(NosOfTubing))-(MakeupLoss*COUNT(NosOfTubing)))/COUNT(NosOfTubing)</definedName>
    <definedName name="TubingOD" localSheetId="10" hidden="0" function="0" vbProcedure="0">[94]Lists!$AH$3:$AH$297</definedName>
    <definedName name="TubingSizes" localSheetId="10" hidden="0" function="0" vbProcedure="0">[94]Lists!$H$2:$H$14</definedName>
    <definedName name="tubingweight" localSheetId="10" hidden="0" function="0" vbProcedure="0">[86]!TubTable[id LIST (in)]</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'[146]tally checklist'!tyjeje</definedName>
    <definedName name="TYPE" localSheetId="10" hidden="0" function="0" vbProcedure="0">'[61]7-30-04'!#ref!</definedName>
    <definedName name="TYPEOFPLUG" localSheetId="10" hidden="0" function="0" vbProcedure="0">'[175]DATA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'[50]12(762mm)套管'!#ref!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[109]DATA!$AR$2:$AR$3</definedName>
    <definedName name="Using_Hanger" localSheetId="10" hidden="0" function="0" vbProcedure="0">'[109]Liner Job Info'!$D$38</definedName>
    <definedName name="Using_Packer" localSheetId="10" hidden="0" function="0" vbProcedure="0">'[109]Liner Job Info'!$P$30</definedName>
    <definedName name="VALIDCURR" localSheetId="10" hidden="0" function="0" vbProcedure="0">[177]Currency!$A$1:$A$170</definedName>
    <definedName name="Vallist" localSheetId="10" hidden="0" function="0" vbProcedure="0">'[109]Casing Info'!$A$2:$A$34</definedName>
    <definedName name="vallist2" localSheetId="10" hidden="0" function="0" vbProcedure="0">#N/A</definedName>
    <definedName name="vbcode.draw_blanks" localSheetId="10" hidden="0" function="0" vbProcedure="0">'[146]tally checklist'!vbcode.draw_blanks</definedName>
    <definedName name="vbcode.draw_linerfirst" localSheetId="10" hidden="0" function="0" vbProcedure="0">'[146]tally checklist'!vbcode.draw_linerfirst</definedName>
    <definedName name="vbcode.draw_linersecond" localSheetId="10" hidden="0" function="0" vbProcedure="0">'[146]tally checklist'!vbcode.draw_linersecond</definedName>
    <definedName name="vbcode.draw_miscellaneous" localSheetId="10" hidden="0" function="0" vbProcedure="0">'[146]tally checklist'!vbcode.draw_miscellaneous</definedName>
    <definedName name="vbcode.draw_productionfirst" localSheetId="10" hidden="0" function="0" vbProcedure="0">'[146]tally checklist'!vbcode.draw_productionfirst</definedName>
    <definedName name="vbcode.draw_productionsecond" localSheetId="10" hidden="0" function="0" vbProcedure="0">'[146]tally checklist'!vbcode.draw_productionsecond</definedName>
    <definedName name="vbcode.draw_quantum" localSheetId="10" hidden="0" function="0" vbProcedure="0">'[146]tally checklist'!vbcode.draw_quantum</definedName>
    <definedName name="vbcode.draw_screens" localSheetId="10" hidden="0" function="0" vbProcedure="0">'[146]tally checklist'!vbcode.draw_screens</definedName>
    <definedName name="vbcode.draw_shearsubs" localSheetId="10" hidden="0" function="0" vbProcedure="0">'[146]tally checklist'!vbcode.draw_shearsubs</definedName>
    <definedName name="vbcode.draw_sump" localSheetId="10" hidden="0" function="0" vbProcedure="0">'[146]tally checklist'!vbcode.draw_sump</definedName>
    <definedName name="vbcode.text_five" localSheetId="10" hidden="0" function="0" vbProcedure="0">'[146]tally checklist'!vbcode.text_five</definedName>
    <definedName name="vbcode.text_fivehalf" localSheetId="10" hidden="0" function="0" vbProcedure="0">'[146]tally checklist'!vbcode.text_fivehalf</definedName>
    <definedName name="vbcode.text_ninefiveeightfourfirst" localSheetId="10" hidden="0" function="0" vbProcedure="0">'[146]tally checklist'!vbcode.text_ninefiveeightfourfirst</definedName>
    <definedName name="vbcode.text_ninefiveeightfoursecond" localSheetId="10" hidden="0" function="0" vbProcedure="0">'[146]tally checklist'!vbcode.text_ninefiveeightfoursecond</definedName>
    <definedName name="vbcode.text_ninefiveeightsixfirst" localSheetId="10" hidden="0" function="0" vbProcedure="0">'[146]tally checklist'!vbcode.text_ninefiveeightsixfirst</definedName>
    <definedName name="vbcode.text_ninefiveeightsixsecond" localSheetId="10" hidden="0" function="0" vbProcedure="0">'[146]tally checklist'!vbcode.text_ninefiveeightsixsecond</definedName>
    <definedName name="vbcode.text_sevenfiveeightfour" localSheetId="10" hidden="0" function="0" vbProcedure="0">'[146]tally checklist'!vbcode.text_sevenfiveeightfour</definedName>
    <definedName name="vbcode.text_sevenfiveeightthree" localSheetId="10" hidden="0" function="0" vbProcedure="0">'[146]tally checklist'!vbcode.text_sevenfiveeightthree</definedName>
    <definedName name="vbcode.text_sevenfour" localSheetId="10" hidden="0" function="0" vbProcedure="0">'[146]tally checklist'!vbcode.text_sevenfour</definedName>
    <definedName name="vbcode.text_seventhree" localSheetId="10" hidden="0" function="0" vbProcedure="0">'[146]tally checklist'!vbcode.text_seventhree</definedName>
    <definedName name="Verticaldepth" localSheetId="10" hidden="0" function="0" vbProcedure="0">'[129]Front Page Info'!$C$18</definedName>
    <definedName name="vfdvf" localSheetId="10" hidden="0" function="0" vbProcedure="0">[181]!Macro61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[82]!Macro60</definedName>
    <definedName name="w" localSheetId="10" hidden="0" function="0" vbProcedure="0">'[306]run sheet'!#ref!</definedName>
    <definedName name="WBJobRev" localSheetId="10" hidden="0" function="0" vbProcedure="0">'[94]Job Technical Info'!$C$11</definedName>
    <definedName name="Weak_DP" localSheetId="10" hidden="0" function="0" vbProcedure="0">'[109]Weight Calculations'!$V$63</definedName>
    <definedName name="Weak_link" localSheetId="10" hidden="0" function="0" vbProcedure="0">'[109]Weight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[132]Data!$K$1:$K$65536</definedName>
    <definedName name="Welllocation1" localSheetId="10" hidden="0" function="0" vbProcedure="0">[132]Data!$M$1:$M$65536</definedName>
    <definedName name="WellMD" localSheetId="10" hidden="0" function="0" vbProcedure="0">'[94]Job Technical Info'!$H$41</definedName>
    <definedName name="WellNo" localSheetId="10" hidden="0" function="0" vbProcedure="0">'[30]Liner Job Info'!$E$6</definedName>
    <definedName name="Wells" localSheetId="10" hidden="0" function="0" vbProcedure="0">[307]welltest!#ref!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'[96]well test sheet'!#ref!</definedName>
    <definedName name="wiperplugunity" localSheetId="10" hidden="0" function="0" vbProcedure="0">[109]Test!$G$18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[86]!CasingTable[#data]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'[96]well test sheet'!#ref!</definedName>
    <definedName name="wtr_rate" localSheetId="10" hidden="0" function="0" vbProcedure="0">'[96]well test sheet'!#ref!</definedName>
    <definedName name="wtworkstring" localSheetId="10" hidden="0" function="0" vbProcedure="0">[106]Data!$W$21</definedName>
    <definedName name="Wtype" localSheetId="10" hidden="0" function="0" vbProcedure="0">'[109]Liner Job Info'!$E$9</definedName>
    <definedName name="Wt_Bouyant" localSheetId="10" hidden="0" function="0" vbProcedure="0">'[108]Packer Calculation Sheet'!$I$34</definedName>
    <definedName name="Wt_w_Cmt" localSheetId="10" hidden="0" function="0" vbProcedure="0">'[109]Liner Job Info'!$D$34</definedName>
    <definedName name="Wt_W_Pkr_Tst" localSheetId="10" hidden="0" function="0" vbProcedure="0">'[109]Liner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1" function="0" vbProcedure="0">{#N/A,#N/A,FALSE,"Sheet1"}</definedName>
    <definedName name="xxxx" localSheetId="10" hidden="0" function="0" vbProcedure="0">[309]!Macro46</definedName>
    <definedName name="Y" localSheetId="10" hidden="0" function="0" vbProcedure="0">'[310]#ref'!#ref!</definedName>
    <definedName name="YESNO" localSheetId="10" hidden="0" function="0" vbProcedure="0">[129]RSS!$E$139:$E$141</definedName>
    <definedName name="YJEJD" localSheetId="10" hidden="0" function="0" vbProcedure="0">'[146]tally checklist'!yjejd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[109]Test!$Z$38</definedName>
    <definedName name="zzzzzz" localSheetId="10" hidden="0" function="0" vbProcedure="0">[309]!'[module4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'[2]run sheet'!#ref!</definedName>
    <definedName name="_C" localSheetId="10" hidden="0" function="0" vbProcedure="0">'[2]run sheet'!#ref!</definedName>
    <definedName name="_D" localSheetId="10" hidden="0" function="0" vbProcedure="0">'[2]run sheet'!#ref!</definedName>
    <definedName name="_E" localSheetId="10" hidden="0" function="0" vbProcedure="0">'[2]run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'[2]run sheet'!#ref!</definedName>
    <definedName name="_L" localSheetId="10" hidden="0" function="0" vbProcedure="0">'[2]run sheet'!#ref!</definedName>
    <definedName name="_N" localSheetId="10" hidden="0" function="0" vbProcedure="0">'[2]run sheet'!#ref!</definedName>
    <definedName name="_q" localSheetId="10" hidden="0" function="0" vbProcedure="0">'[4]run sheet'!#ref!</definedName>
    <definedName name="_T" localSheetId="10" hidden="0" function="0" vbProcedure="0">{#N/A,#N/A,FALSE,"Volume"}</definedName>
    <definedName name="_Z" localSheetId="10" hidden="0" function="0" vbProcedure="0">'[2]run sheet'!#ref!</definedName>
    <definedName name="_" localSheetId="10" hidden="0" function="0" vbProcedure="0">[6]readings!#ref!</definedName>
    <definedName name="_1" localSheetId="10" hidden="0" function="0" vbProcedure="0">{#N/A,#N/A,FALSE,"Volume"}</definedName>
    <definedName name="_11Druckbereich" localSheetId="10" hidden="0" function="0" vbProcedure="0">[36]run_s!#ref!</definedName>
    <definedName name="_1234GRAPH_G" localSheetId="10" hidden="1" function="0" vbProcedure="0">[179]Run!$F$16:$F$514</definedName>
    <definedName name="_1Module2__2__.gaugeconok2" localSheetId="10" hidden="0" function="0" vbProcedure="0">'JOB ORDER '!_1Module2__2__.gaugeconok2</definedName>
    <definedName name="_2" localSheetId="10" hidden="0" function="0" vbProcedure="0">{#N/A,#N/A,FALSE,"Volume"}</definedName>
    <definedName name="_2Module2__2__.gaugeok2" localSheetId="10" hidden="0" function="0" vbProcedure="0">'JOB ORDER '!_2Module2__2__.gaugeok2</definedName>
    <definedName name="_3Module2__2__.gaugeselect2" localSheetId="10" hidden="0" function="0" vbProcedure="0">'JOB ORDER '!_3Module2__2__.gaugeselect2</definedName>
    <definedName name="_4Module2__2__.serialselect3" localSheetId="10" hidden="0" function="0" vbProcedure="0">'JOB ORDER '!_4Module2__2__.serialselect3</definedName>
    <definedName name="_5" localSheetId="10" hidden="0" function="0" vbProcedure="0">{#N/A,#N/A,FALSE,"Volume"}</definedName>
    <definedName name="_5Module2__2__.serialselect4" localSheetId="10" hidden="0" function="0" vbProcedure="0">'JOB ORDER '!_5Module2__2__.serialselect4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[179]Run!$B$18:$B$512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[10]!Calculate_Pipe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'[40]sap serv 06-02'!#ref!</definedName>
    <definedName name="_DAT17" localSheetId="10" hidden="0" function="0" vbProcedure="0">'[40]sap serv 06-02'!#ref!</definedName>
    <definedName name="_DAT19" localSheetId="10" hidden="0" function="0" vbProcedure="0">'[40]sap serv 06-02'!#ref!</definedName>
    <definedName name="_DAT20" localSheetId="10" hidden="0" function="0" vbProcedure="0">'[40]sap serv 06-02'!#ref!</definedName>
    <definedName name="_DAT25" localSheetId="10" hidden="0" function="0" vbProcedure="0">'[40]sap serv 06-02'!#ref!</definedName>
    <definedName name="_DAT26" localSheetId="10" hidden="0" function="0" vbProcedure="0">'[40]sap serv 06-02'!#ref!</definedName>
    <definedName name="_DAT27" localSheetId="10" hidden="0" function="0" vbProcedure="0">'[40]sap serv 06-02'!#ref!</definedName>
    <definedName name="_DAT28" localSheetId="10" hidden="0" function="0" vbProcedure="0">'[40]sap serv 06-02'!#ref!</definedName>
    <definedName name="_DAT29" localSheetId="10" hidden="0" function="0" vbProcedure="0">'[40]sap serv 06-02'!#ref!</definedName>
    <definedName name="_DAT31" localSheetId="10" hidden="0" function="0" vbProcedure="0">'[40]sap serv 06-02'!#ref!</definedName>
    <definedName name="_DAT32" localSheetId="10" hidden="0" function="0" vbProcedure="0">'[40]sap serv 06-02'!#ref!</definedName>
    <definedName name="_DAT34" localSheetId="10" hidden="0" function="0" vbProcedure="0">'[40]sap serv 06-02'!#ref!</definedName>
    <definedName name="_DAT35" localSheetId="10" hidden="0" function="0" vbProcedure="0">'[40]sap serv 06-02'!#ref!</definedName>
    <definedName name="_DAT36" localSheetId="10" hidden="0" function="0" vbProcedure="0">'[40]sap serv 06-02'!#ref!</definedName>
    <definedName name="_DAT40" localSheetId="10" hidden="0" function="0" vbProcedure="0">'[40]sap serv 06-02'!#ref!</definedName>
    <definedName name="_DAT41" localSheetId="10" hidden="0" function="0" vbProcedure="0">'[40]sap serv 06-02'!#ref!</definedName>
    <definedName name="_DAT42" localSheetId="10" hidden="0" function="0" vbProcedure="0">'[40]sap serv 06-02'!#ref!</definedName>
    <definedName name="_DAT44" localSheetId="10" hidden="0" function="0" vbProcedure="0">'[40]sap serv 06-02'!#ref!</definedName>
    <definedName name="_DAT45" localSheetId="10" hidden="0" function="0" vbProcedure="0">'[40]sap serv 06-02'!#ref!</definedName>
    <definedName name="_DAT46" localSheetId="10" hidden="0" function="0" vbProcedure="0">'[40]sap serv 06-02'!#ref!</definedName>
    <definedName name="_DAT47" localSheetId="10" hidden="0" function="0" vbProcedure="0">'[40]sap serv 06-02'!#ref!</definedName>
    <definedName name="_DAT48" localSheetId="10" hidden="0" function="0" vbProcedure="0">'[40]sap serv 06-02'!#ref!</definedName>
    <definedName name="_DAT49" localSheetId="10" hidden="0" function="0" vbProcedure="0">'[40]sap serv 06-02'!#ref!</definedName>
    <definedName name="_DAT50" localSheetId="10" hidden="0" function="0" vbProcedure="0">'[40]sap serv 06-02'!#ref!</definedName>
    <definedName name="_DAT52" localSheetId="10" hidden="0" function="0" vbProcedure="0">'[40]sap serv 06-02'!#ref!</definedName>
    <definedName name="_DAT53" localSheetId="10" hidden="0" function="0" vbProcedure="0">'[40]sap serv 06-02'!#ref!</definedName>
    <definedName name="_DAT54" localSheetId="10" hidden="0" function="0" vbProcedure="0">'[40]sap serv 06-02'!#ref!</definedName>
    <definedName name="_DAT56" localSheetId="10" hidden="0" function="0" vbProcedure="0">'[40]sap serv 06-02'!#ref!</definedName>
    <definedName name="_DAT57" localSheetId="10" hidden="0" function="0" vbProcedure="0">'[40]sap serv 06-02'!#ref!</definedName>
    <definedName name="_DAT62" localSheetId="10" hidden="0" function="0" vbProcedure="0">'[40]sap serv 06-02'!#ref!</definedName>
    <definedName name="_DAT63" localSheetId="10" hidden="0" function="0" vbProcedure="0">'[40]sap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'[33]data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[43]!Calculate_Pipe</definedName>
    <definedName name="_r06" localSheetId="10" hidden="0" function="0" vbProcedure="0">[44]!AutoCAD</definedName>
    <definedName name="_Sort" localSheetId="10" hidden="1" function="0" vbProcedure="0">#ref!</definedName>
    <definedName name="_SPM1" localSheetId="10" hidden="0" function="0" vbProcedure="0">[18]!Macro1</definedName>
    <definedName name="_SSA1" localSheetId="10" hidden="0" function="0" vbProcedure="0">[46]!Macro46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'[109]Liner Job Info'!$O$7</definedName>
    <definedName name="_UA38" localSheetId="10" hidden="0" function="0" vbProcedure="0">'JOB ORDER '!_UA38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'JOB ORDER '!__1Module2__2__.gaugeconok2</definedName>
    <definedName name="__2Module2__2__.gaugeok2" localSheetId="10" hidden="0" function="0" vbProcedure="0">'JOB ORDER '!__2Module2__2__.gaugeok2</definedName>
    <definedName name="__3Module2__2__.gaugeselect2" localSheetId="10" hidden="0" function="0" vbProcedure="0">'JOB ORDER '!__3Module2__2__.gaugeselect2</definedName>
    <definedName name="__4Module2__2__.serialselect3" localSheetId="10" hidden="0" function="0" vbProcedure="0">'JOB ORDER '!__4Module2__2__.serialselect3</definedName>
    <definedName name="__5Module2__2__.serialselect4" localSheetId="10" hidden="0" function="0" vbProcedure="0">'JOB ORDER '!__5Module2__2__.serialselect4</definedName>
    <definedName name="__A4" localSheetId="10" hidden="1" function="0" vbProcedure="0">[179]Run!$B$18:$B$512</definedName>
    <definedName name="__bb2789" localSheetId="10" hidden="0" function="0" vbProcedure="0">[10]!Calculate_Pipe</definedName>
    <definedName name="__SPM1" localSheetId="10" hidden="0" function="0" vbProcedure="0">[18]!Macro1</definedName>
    <definedName name="__UA38" localSheetId="10" hidden="0" function="0" vbProcedure="0">'JOB ORDER '!__UA38</definedName>
    <definedName name="__wrn1" localSheetId="10" hidden="0" function="0" vbProcedure="0">{#N/A,#N/A,FALSE,"Volume"}</definedName>
    <definedName name="___A4" localSheetId="10" hidden="1" function="0" vbProcedure="0">[179]Run!$B$18:$B$512</definedName>
    <definedName name="___bb2789" localSheetId="10" hidden="0" function="0" vbProcedure="0">[10]!Calculate_Pipe</definedName>
    <definedName name="___SPM1" localSheetId="10" hidden="0" function="0" vbProcedure="0">[18]!Macro1</definedName>
    <definedName name="___wrn1" localSheetId="10" hidden="0" function="0" vbProcedure="0">{#N/A,#N/A,FALSE,"Volume"}</definedName>
    <definedName name="____A4" localSheetId="10" hidden="1" function="0" vbProcedure="0">[179]Run!$B$18:$B$512</definedName>
    <definedName name="____bb2789" localSheetId="10" hidden="0" function="0" vbProcedure="0">[10]!Calculate_Pipe</definedName>
    <definedName name="____SPM1" localSheetId="10" hidden="0" function="0" vbProcedure="0">[18]!Macro1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[16]!Calculate_Pipe</definedName>
    <definedName name="_____SPM1" localSheetId="10" hidden="0" function="0" vbProcedure="0">[18]!Macro1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[16]!Calculate_Pipe</definedName>
    <definedName name="______SPM1" localSheetId="10" hidden="0" function="0" vbProcedure="0">[18]!Macro1</definedName>
    <definedName name="_______A4" localSheetId="10" hidden="1" function="0" vbProcedure="0">[179]Run!$B$18:$B$512</definedName>
    <definedName name="_______bb2789" localSheetId="10" hidden="0" function="0" vbProcedure="0">[16]!Calculate_Pipe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[16]!Calculate_Pipe</definedName>
    <definedName name="_________A4" localSheetId="10" hidden="1" function="0" vbProcedure="0">[179]Run!$B$18:$B$512</definedName>
    <definedName name="_________bb2789" localSheetId="10" hidden="0" function="0" vbProcedure="0">[16]!Calculate_Pipe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[16]!Calculate_Pipe</definedName>
    <definedName name="___________A4" localSheetId="10" hidden="1" function="0" vbProcedure="0">[179]Run!$B$18:$B$512</definedName>
    <definedName name="___________bb2789" localSheetId="10" hidden="0" function="0" vbProcedure="0">[16]!Calculate_Pipe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[16]!Calculate_Pipe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[16]!Calculate_Pipe</definedName>
    <definedName name="______________A4" localSheetId="10" hidden="1" function="0" vbProcedure="0">[179]Run!$B$18:$B$512</definedName>
    <definedName name="______________bb2789" localSheetId="10" hidden="0" function="0" vbProcedure="0">[16]!Calculate_Pipe</definedName>
    <definedName name="_______________A4" localSheetId="10" hidden="1" function="0" vbProcedure="0">[179]Run!$B$18:$B$512</definedName>
    <definedName name="_______________bb2789" localSheetId="10" hidden="0" function="0" vbProcedure="0">[16]!Calculate_Pipe</definedName>
    <definedName name="________________A4" localSheetId="10" hidden="1" function="0" vbProcedure="0">[179]Run!$B$18:$B$512</definedName>
    <definedName name="________________bb2789" localSheetId="10" hidden="0" function="0" vbProcedure="0">[10]!Calculate_Pipe</definedName>
    <definedName name="_________________A4" localSheetId="10" hidden="1" function="0" vbProcedure="0">[179]Run!$B$18:$B$512</definedName>
    <definedName name="_________________bb2789" localSheetId="10" hidden="0" function="0" vbProcedure="0">[10]!Calculate_Pipe</definedName>
    <definedName name="__________________A4" localSheetId="10" hidden="1" function="0" vbProcedure="0">[179]Run!$B$18:$B$512</definedName>
    <definedName name="__________________bb2789" localSheetId="10" hidden="0" function="0" vbProcedure="0">[12]!Calculate_Pipe</definedName>
    <definedName name="___________________A4" localSheetId="10" hidden="1" function="0" vbProcedure="0">[179]Run!$B$18:$B$512</definedName>
    <definedName name="___________________bb2789" localSheetId="10" hidden="0" function="0" vbProcedure="0">[12]!Calculate_Pipe</definedName>
    <definedName name="____________________A4" localSheetId="10" hidden="1" function="0" vbProcedure="0">[191]Run!$B$18:$B$512</definedName>
    <definedName name="____________________bb2789" localSheetId="10" hidden="0" function="0" vbProcedure="0">[10]!Calculate_Pipe</definedName>
    <definedName name="_____________________A4" localSheetId="10" hidden="1" function="0" vbProcedure="0">[179]Run!$B$18:$B$512</definedName>
    <definedName name="_____________________bb2789" localSheetId="10" hidden="0" function="0" vbProcedure="0">[13]!Calculate_Pipe</definedName>
    <definedName name="______________________A4" localSheetId="10" hidden="1" function="0" vbProcedure="0">[179]Run!$B$18:$B$512</definedName>
    <definedName name="______________________bb2789" localSheetId="10" hidden="0" function="0" vbProcedure="0">[10]!Calculate_Pipe</definedName>
    <definedName name="_______________________A4" localSheetId="10" hidden="1" function="0" vbProcedure="0">[191]Run!$B$18:$B$512</definedName>
    <definedName name="_______________________bb2789" localSheetId="10" hidden="0" function="0" vbProcedure="0">[10]!Calculate_Pipe</definedName>
    <definedName name="________________________A4" localSheetId="10" hidden="1" function="0" vbProcedure="0">[179]Run!$B$18:$B$512</definedName>
    <definedName name="________________________bb2789" localSheetId="10" hidden="0" function="0" vbProcedure="0">[12]!Calculate_Pipe</definedName>
    <definedName name="_________________________bb2789" localSheetId="10" hidden="0" function="0" vbProcedure="0">[10]!Calculate_Pipe</definedName>
    <definedName name="__________________________A4" localSheetId="10" hidden="1" function="0" vbProcedure="0">[191]Run!$B$18:$B$512</definedName>
    <definedName name="歼击机" localSheetId="10" hidden="0" function="0" vbProcedure="0">[119]钻井日报表!$E$7</definedName>
    <definedName name="起始日期" localSheetId="10" hidden="0" function="0" vbProcedure="0">[181]钻井日报表!$B$1</definedName>
    <definedName name="_xlnm.Print_Area" localSheetId="10">'JOB ORDER '!$A$1:$L$109</definedName>
    <definedName name="a" localSheetId="13" hidden="1" function="0" vbProcedure="0">#ref!</definedName>
    <definedName name="AA" localSheetId="13" hidden="0" function="0" vbProcedure="0">#ref!</definedName>
    <definedName name="aa.macro111" localSheetId="13" hidden="0" function="0" vbProcedure="0">[51]!Prev.Macro111</definedName>
    <definedName name="AAA" localSheetId="13" hidden="0" function="0" vbProcedure="0">#ref!</definedName>
    <definedName name="aaaa" localSheetId="13" hidden="0" function="0" vbProcedure="0">[52]!Macro59</definedName>
    <definedName name="Aboveballdb" localSheetId="13" hidden="0" function="0" vbProcedure="0">#ref!</definedName>
    <definedName name="Aboveballslb" localSheetId="13" hidden="0" function="0" vbProcedure="0">#ref!</definedName>
    <definedName name="Aboveballstring" localSheetId="13" hidden="0" function="0" vbProcedure="0">#ref!</definedName>
    <definedName name="Absexternalstring" localSheetId="13" hidden="0" function="0" vbProcedure="0">#ref!</definedName>
    <definedName name="Absinternalstring" localSheetId="13" hidden="0" function="0" vbProcedure="0">#ref!</definedName>
    <definedName name="Absoluteexternaldb" localSheetId="13" hidden="0" function="0" vbProcedure="0">#ref!</definedName>
    <definedName name="Absoluteexternalslb" localSheetId="13" hidden="0" function="0" vbProcedure="0">#ref!</definedName>
    <definedName name="Absoluteinternaldb" localSheetId="13" hidden="0" function="0" vbProcedure="0">#ref!</definedName>
    <definedName name="Absoluteinternalslb" localSheetId="13" hidden="0" function="0" vbProcedure="0">#ref!</definedName>
    <definedName name="ABX" localSheetId="13" hidden="1" function="0" vbProcedure="0">[103]Run!$B$18:$B$512</definedName>
    <definedName name="AddCtrl" localSheetId="13" hidden="0" function="0" vbProcedure="0">#ref!</definedName>
    <definedName name="addresstwo" localSheetId="13" hidden="0" function="0" vbProcedure="0">[57]data!#ref!</definedName>
    <definedName name="ADDSTAB" localSheetId="13" hidden="0" function="0" vbProcedure="0">[58]!ADDSTAB</definedName>
    <definedName name="AddWeight" localSheetId="13" hidden="0" function="0" vbProcedure="0">#ref!</definedName>
    <definedName name="adf" localSheetId="13" hidden="0" function="0" vbProcedure="0">[59]!Macro60</definedName>
    <definedName name="ADHDHDJKK" localSheetId="13" hidden="0" function="0" vbProcedure="0">#ref!</definedName>
    <definedName name="ADNOC" localSheetId="13" hidden="0" function="0" vbProcedure="0">#ref!</definedName>
    <definedName name="ae" localSheetId="13" hidden="0" function="0" vbProcedure="0">'[104]forecast 3YP'!$AD$6</definedName>
    <definedName name="AFE19R"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localSheetId="13" hidden="0" function="0" vbProcedure="0">#ref!</definedName>
    <definedName name="Ai" localSheetId="13" hidden="0" function="0" vbProcedure="0">#ref!</definedName>
    <definedName name="AirHW" localSheetId="13" hidden="0" function="0" vbProcedure="0">#ref!</definedName>
    <definedName name="AIR_WEIGHT" localSheetId="13" hidden="0" function="0" vbProcedure="0">#ref!</definedName>
    <definedName name="ALL" localSheetId="13" hidden="0" function="0" vbProcedure="0">'[44]7-30-04'!$W$55:$IV$7457</definedName>
    <definedName name="Altered" localSheetId="13" hidden="0" function="0" vbProcedure="0">[63]auf_screen!#ref!</definedName>
    <definedName name="Altered_by" localSheetId="13" hidden="0" function="0" vbProcedure="0">[63]auf_screen!#ref!</definedName>
    <definedName name="alwyn1" localSheetId="13" hidden="0" function="0" vbProcedure="0">#ref!</definedName>
    <definedName name="AMACRO.n2foam" localSheetId="13" hidden="0" function="0" vbProcedure="0">'[64]tool backload dt'!amacro.n2foam</definedName>
    <definedName name="Ambient_temp" localSheetId="13" hidden="0" function="0" vbProcedure="0">'[7]#ref'!#ref!</definedName>
    <definedName name="amis" localSheetId="13" hidden="0" function="0" vbProcedure="0">[105]Tally!$A$5:$J$825</definedName>
    <definedName name="ANA" localSheetId="13" hidden="0" function="0" vbProcedure="0">#ref!</definedName>
    <definedName name="Anc" localSheetId="13" hidden="0" function="0" vbProcedure="0">[20]sheet1!#ref!</definedName>
    <definedName name="ANDERGAUGE" localSheetId="13" hidden="0" function="0" vbProcedure="0">[58]!ANDERGAUGE</definedName>
    <definedName name="AnnFBot1" localSheetId="13" hidden="0" function="0" vbProcedure="0">#ref!</definedName>
    <definedName name="AnnFBot2" localSheetId="13" hidden="0" function="0" vbProcedure="0">#ref!</definedName>
    <definedName name="AnnFBot3" localSheetId="13" hidden="0" function="0" vbProcedure="0">#ref!</definedName>
    <definedName name="AnnFBot4" localSheetId="13" hidden="0" function="0" vbProcedure="0">#ref!</definedName>
    <definedName name="AnnFTop1" localSheetId="13" hidden="0" function="0" vbProcedure="0">#ref!</definedName>
    <definedName name="AnnFTop2" localSheetId="13" hidden="0" function="0" vbProcedure="0">#ref!</definedName>
    <definedName name="AnnFTop3" localSheetId="13" hidden="0" function="0" vbProcedure="0">#ref!</definedName>
    <definedName name="AnnFTop4" localSheetId="13" hidden="0" function="0" vbProcedure="0">#ref!</definedName>
    <definedName name="AnnFW1" localSheetId="13" hidden="0" function="0" vbProcedure="0">#ref!</definedName>
    <definedName name="AnnFW2" localSheetId="13" hidden="0" function="0" vbProcedure="0">#ref!</definedName>
    <definedName name="AnnFW3" localSheetId="13" hidden="0" function="0" vbProcedure="0">#ref!</definedName>
    <definedName name="AnnFW4" localSheetId="13" hidden="0" function="0" vbProcedure="0">#ref!</definedName>
    <definedName name="annularvol" localSheetId="13" hidden="0" function="0" vbProcedure="0">[106]Data!$F$13</definedName>
    <definedName name="annvol1" localSheetId="13" hidden="0" function="0" vbProcedure="0">#ref!</definedName>
    <definedName name="annvol2" localSheetId="13" hidden="0" function="0" vbProcedure="0">#ref!</definedName>
    <definedName name="Ao" localSheetId="13" hidden="0" function="0" vbProcedure="0">[107]Piston!$F$5</definedName>
    <definedName name="Ap" localSheetId="13" hidden="0" function="0" vbProcedure="0">[107]Piston!$F$6</definedName>
    <definedName name="API_Number" localSheetId="13" hidden="0" function="0" vbProcedure="0">#ref!</definedName>
    <definedName name="Approver_Objectives" localSheetId="13" hidden="0" function="0" vbProcedure="0">'[73]well team goals'!#ref!</definedName>
    <definedName name="Approver_Well_Plan" localSheetId="13" hidden="0" function="0" vbProcedure="0">'[73]well team goals'!#ref!</definedName>
    <definedName name="ARM" localSheetId="13" hidden="0" function="0" vbProcedure="0">#ref!</definedName>
    <definedName name="as" localSheetId="13" hidden="0" function="0" vbProcedure="0">#ref!</definedName>
    <definedName name="asd" localSheetId="13" hidden="1" function="0" vbProcedure="0">#ref!</definedName>
    <definedName name="ASDA" localSheetId="13" hidden="0" function="0" vbProcedure="0">[74]!Calculate_Pipe</definedName>
    <definedName name="ASDF" localSheetId="13" hidden="0" function="0" vbProcedure="0">#ref!</definedName>
    <definedName name="ASDFF" localSheetId="13" hidden="0" function="0" vbProcedure="0">#ref!</definedName>
    <definedName name="ASS" localSheetId="13" hidden="0" function="0" vbProcedure="0">[75]!JointNumber</definedName>
    <definedName name="Assembly1" localSheetId="13" hidden="0" function="0" vbProcedure="0">[75]!Calculate_Pipe</definedName>
    <definedName name="assy.3" localSheetId="13" hidden="0" function="0" vbProcedure="0">[75]!Calculate_Pipe</definedName>
    <definedName name="ASSY.6" localSheetId="13" hidden="0" function="0" vbProcedure="0">[75]!Calculate_Pipe</definedName>
    <definedName name="ASSY2312" localSheetId="13" hidden="0" function="0" vbProcedure="0">DATA!Macro1</definedName>
    <definedName name="Macro1" localSheetId="13" hidden="0" function="0" vbProcedure="0">[18]!Macro1</definedName>
    <definedName name="ASSY7" localSheetId="13" hidden="0" function="0" vbProcedure="0">[43]!Calculate_Pipe</definedName>
    <definedName name="ASSY_098" localSheetId="13" hidden="0" function="0" vbProcedure="0">[75]!JointNumber</definedName>
    <definedName name="ASSY_122" localSheetId="13" hidden="0" function="0" vbProcedure="0">DATA!Macro1</definedName>
    <definedName name="ASSY_123" localSheetId="13" hidden="0" function="0" vbProcedure="0">[75]!JointNumber</definedName>
    <definedName name="ASSY_2111" localSheetId="13" hidden="0" function="0" vbProcedure="0">DATA!Macro1</definedName>
    <definedName name="ASSY_231" localSheetId="13" hidden="0" function="0" vbProcedure="0">DATA!Macro1</definedName>
    <definedName name="ASSY_342" localSheetId="13" hidden="0" function="0" vbProcedure="0">DATA!Macro1</definedName>
    <definedName name="ASSY_36" localSheetId="13" hidden="0" function="0" vbProcedure="0">DATA!Macro1</definedName>
    <definedName name="ASSY_4" localSheetId="13" hidden="0" function="0" vbProcedure="0">DATA!Macro1</definedName>
    <definedName name="ASSY_432" localSheetId="13" hidden="0" function="0" vbProcedure="0">DATA!Macro1</definedName>
    <definedName name="assy_5" localSheetId="13" hidden="0" function="0" vbProcedure="0">[75]!JointNumber</definedName>
    <definedName name="assy_543" localSheetId="13" hidden="0" function="0" vbProcedure="0">[75]!JointNumber</definedName>
    <definedName name="Assy_765" localSheetId="13" hidden="0" function="0" vbProcedure="0">[75]!Calculate_Pipe</definedName>
    <definedName name="ASSy_blast" localSheetId="13" hidden="0" function="0" vbProcedure="0">[75]!Calculate_Pipe</definedName>
    <definedName name="ASSY_W2" localSheetId="13" hidden="0" function="0" vbProcedure="0">[75]!Calculate_Pipe</definedName>
    <definedName name="AutoCAD" localSheetId="13" hidden="0" function="0" vbProcedure="0">[44]!AutoCAD</definedName>
    <definedName name="AutoCAD_1" localSheetId="13" hidden="0" function="0" vbProcedure="0">DATA!AutoCAD</definedName>
    <definedName name="AutoCAD_10" localSheetId="13" hidden="0" function="0" vbProcedure="0">DATA!AutoCAD</definedName>
    <definedName name="AutoCAD_11" localSheetId="13" hidden="0" function="0" vbProcedure="0">DATA!AutoCAD</definedName>
    <definedName name="AutoCAD_2" localSheetId="13" hidden="0" function="0" vbProcedure="0">DATA!AutoCAD</definedName>
    <definedName name="AutoCAD_3" localSheetId="13" hidden="0" function="0" vbProcedure="0">DATA!AutoCAD</definedName>
    <definedName name="AutoCAD_4" localSheetId="13" hidden="0" function="0" vbProcedure="0">DATA!AutoCAD</definedName>
    <definedName name="AutoCAD_5" localSheetId="13" hidden="0" function="0" vbProcedure="0">DATA!AutoCAD</definedName>
    <definedName name="AutoCAD_6" localSheetId="13" hidden="0" function="0" vbProcedure="0">DATA!AutoCAD</definedName>
    <definedName name="AutoCAD_7" localSheetId="13" hidden="0" function="0" vbProcedure="0">DATA!AutoCAD</definedName>
    <definedName name="AutoCAD_8" localSheetId="13" hidden="0" function="0" vbProcedure="0">DATA!AutoCAD</definedName>
    <definedName name="AutoCAD_9" localSheetId="13" hidden="0" function="0" vbProcedure="0">DATA!AutoCAD</definedName>
    <definedName name="Aux_BHA_ID" localSheetId="13" hidden="0" function="0" vbProcedure="0">'[108]Job Calculation Sheet'!$F$20</definedName>
    <definedName name="Aux_BHA_OD" localSheetId="13" hidden="0" function="0" vbProcedure="0">'[108]Job Calculation Sheet'!$E$20</definedName>
    <definedName name="AvgLength" localSheetId="13" hidden="0" function="0" vbProcedure="0">'[79]casing talley'!#ref!</definedName>
    <definedName name="axj" localSheetId="13" hidden="1" function="0" vbProcedure="0">{#N/A,#N/A,FALSE,"Sheet1"}</definedName>
    <definedName name="AzimColumn" localSheetId="13" hidden="0" function="0" vbProcedure="0">!#ref!</definedName>
    <definedName name="AzimUnit" localSheetId="13" hidden="0" function="0" vbProcedure="0">#ref!</definedName>
    <definedName name="Azimuth" localSheetId="13" hidden="0" function="0" vbProcedure="0">#ref!</definedName>
    <definedName name="Azimuth_In" localSheetId="13" hidden="0" function="0" vbProcedure="0">#ref!</definedName>
    <definedName name="Azimuth_Out" localSheetId="13" hidden="0" function="0" vbProcedure="0">#ref!</definedName>
    <definedName name="A_L" localSheetId="13" hidden="0" function="0" vbProcedure="0">'[50]12(762mm)套管'!#ref!</definedName>
    <definedName name="b" localSheetId="13" hidden="1" function="0" vbProcedure="0">#ref!</definedName>
    <definedName name="back" localSheetId="13" hidden="0" function="0" vbProcedure="0">'[64]tool backload dt'!back</definedName>
    <definedName name="BACKLOAD" localSheetId="13" hidden="0" function="0" vbProcedure="0">[20]sheet1!#ref!</definedName>
    <definedName name="BallMaterial" localSheetId="13" hidden="0" function="0" vbProcedure="0">[11]DATA!$BL$2:$BL$11</definedName>
    <definedName name="Ballooning_Area" localSheetId="13" hidden="0" function="0" vbProcedure="0">[11]Test!$M$18</definedName>
    <definedName name="Ballseat" localSheetId="13" hidden="0" function="0" vbProcedure="0">[11]DATA!$AG$2:$AG$9</definedName>
    <definedName name="BallSize" localSheetId="13" hidden="0" function="0" vbProcedure="0">[11]DATA!$BF$3:$BF$8</definedName>
    <definedName name="Base" localSheetId="13" hidden="0" function="0" vbProcedure="0">#ref!</definedName>
    <definedName name="basicok" localSheetId="13" hidden="0" function="0" vbProcedure="0">DATA!basicok</definedName>
    <definedName name="BBB" localSheetId="13" hidden="0" function="0" vbProcedure="0">'[110]DD Worksheet'!$C$1</definedName>
    <definedName name="bbbbb" localSheetId="13" hidden="0" function="0" vbProcedure="0">[82]!Macro61</definedName>
    <definedName name="BD" localSheetId="13" hidden="0" function="0" vbProcedure="0">INDEX([111]DRAW!$A$2:$B$13,MATCH([112]AUTO_DHWS!$AV$15,[111]DRAW!$A$2:$A$13,0),2)</definedName>
    <definedName name="BD_SC" localSheetId="13" hidden="0" function="0" vbProcedure="0">INDEX([111]DRAW!$A$2:$B$13,MATCH([112]AUTO_DHWS!$AV$16,[111]DRAW!$A$2:$A$13,0),2)</definedName>
    <definedName name="BD_TB" localSheetId="13" hidden="0" function="0" vbProcedure="0">INDEX([111]DRAW!$A$2:$B$13,MATCH([112]AUTO_DHWS!$AV$9,[111]DRAW!$A$2:$A$13,0),2)</definedName>
    <definedName name="Belowballdb" localSheetId="13" hidden="0" function="0" vbProcedure="0">#ref!</definedName>
    <definedName name="Belowballslb" localSheetId="13" hidden="0" function="0" vbProcedure="0">#ref!</definedName>
    <definedName name="Belowballstring" localSheetId="13" hidden="0" function="0" vbProcedure="0">#ref!</definedName>
    <definedName name="BendInformation" localSheetId="13" hidden="0" function="0" vbProcedure="0">#ref!</definedName>
    <definedName name="bgn" localSheetId="13" hidden="1" function="0" vbProcedure="0">{#N/A,#N/A,FALSE,"Sheet1"}</definedName>
    <definedName name="BHA" localSheetId="13" hidden="0" function="0" vbProcedure="0">#ref!</definedName>
    <definedName name="BhaComments" localSheetId="13" hidden="0" function="0" vbProcedure="0">#ref!</definedName>
    <definedName name="BhaName" localSheetId="13" hidden="0" function="0" vbProcedure="0">#ref!</definedName>
    <definedName name="BhaSchematic" localSheetId="13" hidden="0" function="0" vbProcedure="0">#ref!</definedName>
    <definedName name="Bha_Range" localSheetId="13" hidden="0" function="0" vbProcedure="0">#ref!</definedName>
    <definedName name="BHP" localSheetId="13" hidden="0" function="0" vbProcedure="0">#ref!</definedName>
    <definedName name="bhr" localSheetId="13" hidden="0" function="0" vbProcedure="0">#ref!</definedName>
    <definedName name="BHRR" localSheetId="13" hidden="0" function="0" vbProcedure="0">#ref!</definedName>
    <definedName name="BHServRep" localSheetId="13" hidden="0" function="0" vbProcedure="0">#ref!</definedName>
    <definedName name="BHT" localSheetId="13" hidden="0" function="0" vbProcedure="0">'[94]Job Technical Info'!$D$42</definedName>
    <definedName name="BHTFlow" localSheetId="13" hidden="0" function="0" vbProcedure="0">#ref!</definedName>
    <definedName name="BHTStatic" localSheetId="13" hidden="0" function="0" vbProcedure="0">#ref!</definedName>
    <definedName name="BIT" localSheetId="13" hidden="0" function="0" vbProcedure="0">#ref!</definedName>
    <definedName name="BitNozzles" localSheetId="13" hidden="0" function="0" vbProcedure="0">#ref!</definedName>
    <definedName name="BitNozzleTFA" localSheetId="13" hidden="0" function="0" vbProcedure="0">#ref!</definedName>
    <definedName name="BitNozzleTFAUnits" localSheetId="13" hidden="0" function="0" vbProcedure="0">#ref!</definedName>
    <definedName name="BitNozzleUnit" localSheetId="13" hidden="0" function="0" vbProcedure="0">#ref!</definedName>
    <definedName name="Bitsize" localSheetId="13" hidden="0" function="0" vbProcedure="0">[11]DATA!$L$2:$L$41</definedName>
    <definedName name="BJ_Tens" localSheetId="13" hidden="0" function="0" vbProcedure="0">'[11]Liner Job Info'!$P$45</definedName>
    <definedName name="BlankCell" localSheetId="13" hidden="0" function="0" vbProcedure="0">#ref!</definedName>
    <definedName name="BlankCheck" localSheetId="13" hidden="0" function="0" vbProcedure="0">#ref!</definedName>
    <definedName name="blanklength" localSheetId="13" hidden="0" function="0" vbProcedure="0">'[113]#REF'!$J$13</definedName>
    <definedName name="blankod" localSheetId="13" hidden="0" function="0" vbProcedure="0">'[113]#REF'!$F$13</definedName>
    <definedName name="BLANK_COVERED_NV" localSheetId="13" hidden="0" function="0" vbProcedure="0">'[113]#REF'!$G$111</definedName>
    <definedName name="BLANK_LENGTH" localSheetId="13" hidden="0" function="0" vbProcedure="0">'[113]#REF'!$J$13</definedName>
    <definedName name="BLANK_OD" localSheetId="13" hidden="0" function="0" vbProcedure="0">'[113]#REF'!$F$13</definedName>
    <definedName name="BlFl" localSheetId="13" hidden="0" function="0" vbProcedure="0">#ref!</definedName>
    <definedName name="blnk2" localSheetId="13" hidden="0" function="0" vbProcedure="0">#ref!,#ref!,#ref!,#ref!,#ref!,#ref!,#ref!,#ref!,#ref!,#ref!,#ref!,#ref!</definedName>
    <definedName name="block" localSheetId="13" hidden="0" function="0" vbProcedure="0">[5]WTR!$I$5</definedName>
    <definedName name="Block_Field" localSheetId="13" hidden="0" function="0" vbProcedure="0">'[108]Pre-Job Info Sheet'!$D$7</definedName>
    <definedName name="BLock_TD_Wt" localSheetId="13" hidden="0" function="0" vbProcedure="0">'[30]Liner Job Info'!$D$33</definedName>
    <definedName name="Block_Wt" localSheetId="13" hidden="0" function="0" vbProcedure="0">'[11]Weight Calculations'!$H$14</definedName>
    <definedName name="bOB" localSheetId="13" hidden="0" function="0" vbProcedure="0">[114]Volumes!$K$1:$Y$76</definedName>
    <definedName name="Body" localSheetId="13" hidden="0" function="0" vbProcedure="0">#ref!</definedName>
    <definedName name="bonusticket" localSheetId="13" hidden="0" function="0" vbProcedure="0">'[91]k factor'!#ref!</definedName>
    <definedName name="BONUSVALUES" localSheetId="13" hidden="0" function="0" vbProcedure="0">#ref!</definedName>
    <definedName name="BOPDepth" localSheetId="13" hidden="0" function="0" vbProcedure="0">#ref!</definedName>
    <definedName name="BOPRams" localSheetId="13" hidden="0" function="0" vbProcedure="0">#ref!</definedName>
    <definedName name="Borehole" localSheetId="13" hidden="0" function="0" vbProcedure="0">#ref!</definedName>
    <definedName name="BoreholeName" localSheetId="13" hidden="0" function="0" vbProcedure="0">#ref!</definedName>
    <definedName name="BOT" localSheetId="13" hidden="0" function="0" vbProcedure="0">'[94]Job Technical Info'!$A$4</definedName>
    <definedName name="bottomdepthstring" localSheetId="13" hidden="0" function="0" vbProcedure="0">#ref!</definedName>
    <definedName name="bottomPinBoxdb" localSheetId="13" hidden="0" function="0" vbProcedure="0">#ref!</definedName>
    <definedName name="bottompinboxslb" localSheetId="13" hidden="0" function="0" vbProcedure="0">#ref!</definedName>
    <definedName name="bottomthreadstring" localSheetId="13" hidden="0" function="0" vbProcedure="0">#ref!</definedName>
    <definedName name="bottomTypedb" localSheetId="13" hidden="0" function="0" vbProcedure="0">#ref!</definedName>
    <definedName name="bottomtypeslb" localSheetId="13" hidden="0" function="0" vbProcedure="0">#ref!</definedName>
    <definedName name="Bottom_Hole_Temp." localSheetId="13" hidden="0" function="0" vbProcedure="0">'[108]Pre-Job Info Sheet'!$B$34</definedName>
    <definedName name="Bottom_Perforation" localSheetId="13" hidden="0" function="0" vbProcedure="0">'[108]Pre-Job Info Sheet'!$B$29</definedName>
    <definedName name="Bottom_Shot" localSheetId="13" hidden="0" function="0" vbProcedure="0">'[108]TCP-BHA'!$H$36</definedName>
    <definedName name="BPLimit" localSheetId="13" hidden="0" function="0" vbProcedure="0">[86]!TubTable[[340]:[438]]</definedName>
    <definedName name="BR_Column" localSheetId="13" hidden="0" function="0" vbProcedure="0">null</definedName>
    <definedName name="BR_Unit" localSheetId="13" hidden="0" function="0" vbProcedure="0">null</definedName>
    <definedName name="bs" localSheetId="13" hidden="0" function="0" vbProcedure="0">'[115]Max-Torq'!$Q$79</definedName>
    <definedName name="bsw" localSheetId="13" hidden="0" function="0" vbProcedure="0">'[96]well test sheet'!#ref!</definedName>
    <definedName name="Budget_owner" localSheetId="13" hidden="0" function="0" vbProcedure="0">'[73]well specification'!#ref!</definedName>
    <definedName name="Buoyancy" localSheetId="13" hidden="0" function="0" vbProcedure="0">#ref!</definedName>
    <definedName name="BuoyantWeightBelowJar" localSheetId="13" hidden="0" function="0" vbProcedure="0">#ref!</definedName>
    <definedName name="BuoyantWeightBelowJarUnits" localSheetId="13" hidden="0" function="0" vbProcedure="0">#ref!</definedName>
    <definedName name="Buoy_Factor" localSheetId="13" hidden="0" function="0" vbProcedure="0">'[30]Liner Job Info'!$D$32</definedName>
    <definedName name="Burstdb" localSheetId="13" hidden="0" function="0" vbProcedure="0">#ref!</definedName>
    <definedName name="Burstslb" localSheetId="13" hidden="0" function="0" vbProcedure="0">#ref!</definedName>
    <definedName name="burststring" localSheetId="13" hidden="0" function="0" vbProcedure="0">#ref!</definedName>
    <definedName name="bxf" localSheetId="13" hidden="0" function="0" vbProcedure="0">'[115]Max-Torq'!$P$62</definedName>
    <definedName name="BypassRate" localSheetId="13" hidden="0" function="0" vbProcedure="0">[86]!TubTable[[340]:[438]]</definedName>
    <definedName name="Ca" localSheetId="13" hidden="1" function="0" vbProcedure="0">{#N/A,#N/A,FALSE,"Drlg Param Run 1-1";#N/A,#N/A,FALSE,"DDR (3)";#N/A,#N/A,FALSE,"BHA AT (1)";#N/A,#N/A,FALSE,"Downlinkbha";#N/A,#N/A,FALSE,"Job Status Report"}</definedName>
    <definedName name="CABLE2_1" localSheetId="13" hidden="0" function="0" vbProcedure="0">INDEX([111]DRAW!$L$52:$M$54,MATCH([112]AUTO_DHWS!$AY$8,[111]DRAW!$L$52:$L$54,0),2)</definedName>
    <definedName name="CABLE2_2" localSheetId="13" hidden="0" function="0" vbProcedure="0">INDEX([111]DRAW!$L$52:$M$56,MATCH([112]AUTO_DHWS!$AY$9,[111]DRAW!$L$52:$L$56,0),2)</definedName>
    <definedName name="CABLE_1" localSheetId="13" hidden="0" function="0" vbProcedure="0">INDEX([111]DRAW!$L$52:$M$53,MATCH([112]AUTO_DHWS!$AY$4,[111]DRAW!$L$52:$L$53,0),2)</definedName>
    <definedName name="CABLE_2" localSheetId="13" hidden="0" function="0" vbProcedure="0">INDEX([111]DRAW!$L$52:$M$56,MATCH([112]AUTO_DHWS!$AY$5,[111]DRAW!$L$52:$L$56,0),2)</definedName>
    <definedName name="CABLE_3" localSheetId="13" hidden="0" function="0" vbProcedure="0">INDEX([111]DRAW!$M$57:$N$63,MATCH([112]AUTO_DHWS!$AY$6,[111]DRAW!$M$57:$M$63,0),2)</definedName>
    <definedName name="CalculatePipe" localSheetId="13" hidden="0" function="0" vbProcedure="0">[75]!Calculate_Pipe</definedName>
    <definedName name="Calculate_Pipe" localSheetId="13" hidden="0" function="0" vbProcedure="0">[99]!Calculate_Pipe</definedName>
    <definedName name="Cancel" localSheetId="13" hidden="0" function="0" vbProcedure="0">[100]!Cancel</definedName>
    <definedName name="Capacities" localSheetId="13"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3" hidden="0" function="0" vbProcedure="0">'[113]#REF'!$G$188</definedName>
    <definedName name="CARRIER_FL_WT" localSheetId="13" hidden="0" function="0" vbProcedure="0">'[113]#REF'!$F$67</definedName>
    <definedName name="CARR_FL_VISCOSITY" localSheetId="13" hidden="0" function="0" vbProcedure="0">'[113]#REF'!$I$106</definedName>
    <definedName name="CARR_FL_VOL_PREPACK" localSheetId="13" hidden="0" function="0" vbProcedure="0">'[113]#REF'!$F$47</definedName>
    <definedName name="Carr_fl_wt_prepack" localSheetId="13" hidden="0" function="0" vbProcedure="0">'[113]#REF'!$F$46</definedName>
    <definedName name="CasFluidInput" localSheetId="13" hidden="0" function="0" vbProcedure="0">#ref!</definedName>
    <definedName name="casidstring" localSheetId="13" hidden="0" function="0" vbProcedure="0">#ref!</definedName>
    <definedName name="casingcolumn" localSheetId="13" hidden="0" function="0" vbProcedure="0">[106]Data!$J$17</definedName>
    <definedName name="casingid" localSheetId="13" hidden="0" function="0" vbProcedure="0">'[113]#REF'!$H$11</definedName>
    <definedName name="casingidref" localSheetId="13" hidden="0" function="0" vbProcedure="0">[106]Data!$GC$1</definedName>
    <definedName name="casinginfuserate" localSheetId="13" hidden="0" function="0" vbProcedure="0">'[113]#REF'!$K$50</definedName>
    <definedName name="casingliner" localSheetId="13" hidden="0" function="0" vbProcedure="0">[106]Data!$E$45</definedName>
    <definedName name="casingod" localSheetId="13" hidden="0" function="0" vbProcedure="0">'[113]#REF'!$F$11</definedName>
    <definedName name="CasingSize" localSheetId="13" hidden="0" function="0" vbProcedure="0">'[117]Well Installation Drawing'!$E$15</definedName>
    <definedName name="CasingWeight" localSheetId="13" hidden="0" function="0" vbProcedure="0">'[117]Well Installation Drawing'!$G$15</definedName>
    <definedName name="casingwt" localSheetId="13" hidden="0" function="0" vbProcedure="0">'[113]#REF'!$J$11</definedName>
    <definedName name="Casing_I.D." localSheetId="13" hidden="0" function="0" vbProcedure="0">'[108]Job Calculation Sheet'!$F$13</definedName>
    <definedName name="Casing_Liner" localSheetId="13" hidden="0" function="0" vbProcedure="0">'[94]Installation Results #1'!$C$27</definedName>
    <definedName name="Casing_Size" localSheetId="13" hidden="0" function="0" vbProcedure="0">'[108]Pre-Job Info Sheet'!$D$15</definedName>
    <definedName name="Casing_Size_Weight" localSheetId="13" hidden="0" function="0" vbProcedure="0">'[108]TCP-BHA'!$I$5</definedName>
    <definedName name="Casing_Weight" localSheetId="13" hidden="0" function="0" vbProcedure="0">'[108]Pre-Job Info Sheet'!$D$16</definedName>
    <definedName name="CasTestInput" localSheetId="13" hidden="0" function="0" vbProcedure="0">#ref!</definedName>
    <definedName name="CasTestOutPut" localSheetId="13" hidden="0" function="0" vbProcedure="0">#ref!</definedName>
    <definedName name="CAS_BLNK_ANNULUS" localSheetId="13" hidden="0" function="0" vbProcedure="0">'[113]#REF'!$I$108</definedName>
    <definedName name="CAS_BLNK_VOL" localSheetId="13" hidden="0" function="0" vbProcedure="0">'[7]#ref'!#ref!</definedName>
    <definedName name="CAS_EXT_VOL" localSheetId="13" hidden="0" function="0" vbProcedure="0">'[7]#ref'!#ref!</definedName>
    <definedName name="CAS_ID" localSheetId="13" hidden="0" function="0" vbProcedure="0">'[113]#REF'!$H$11</definedName>
    <definedName name="CAS_OD" localSheetId="13" hidden="0" function="0" vbProcedure="0">'[113]#REF'!$J$11</definedName>
    <definedName name="CAS_SCR_VOL" localSheetId="13" hidden="0" function="0" vbProcedure="0">'[7]#ref'!#ref!</definedName>
    <definedName name="CAS_WT" localSheetId="13" hidden="0" function="0" vbProcedure="0">'[113]#REF'!$J$11</definedName>
    <definedName name="category" localSheetId="13" hidden="0" function="0" vbProcedure="0">[118]Sheet2!$A$70:$A$73</definedName>
    <definedName name="Cc" localSheetId="13" hidden="0" function="0" vbProcedure="0">0.3</definedName>
    <definedName name="ccc" localSheetId="13" hidden="0" function="0" vbProcedure="0">[119]钻井日报表!$I$7</definedName>
    <definedName name="ccccc" localSheetId="13" hidden="0" function="0" vbProcedure="0">[82]!Macro59</definedName>
    <definedName name="cdr" localSheetId="13" hidden="0" function="0" vbProcedure="0">'[96]well test sheet'!#ref!</definedName>
    <definedName name="CDWimdbase" localSheetId="13" hidden="0" function="0" vbProcedure="0">'[120]CD''s'!$A$2:$G$374</definedName>
    <definedName name="Celldb" localSheetId="13" hidden="0" function="0" vbProcedure="0">#ref!</definedName>
    <definedName name="CellLoco" localSheetId="13" hidden="0" function="0" vbProcedure="0">#ref!</definedName>
    <definedName name="Cellslb" localSheetId="13" hidden="0" function="0" vbProcedure="0">#ref!</definedName>
    <definedName name="CementCompany" localSheetId="13" hidden="0" function="0" vbProcedure="0">[11]DATA!$BJ$2:$BJ$8</definedName>
    <definedName name="CENG" localSheetId="13" hidden="0" function="0" vbProcedure="0">[182]Reference!$A$2:$A$4</definedName>
    <definedName name="Centralizers" localSheetId="13" hidden="0" function="0" vbProcedure="0">[11]DATA!$AI$2:$AI$9</definedName>
    <definedName name="cf" localSheetId="13" hidden="1" function="0" vbProcedure="0">{#N/A,#N/A,FALSE,"Sheet1"}</definedName>
    <definedName name="Chart" localSheetId="13" hidden="1" function="0" vbProcedure="0">{#N/A,#N/A,FALSE,"Sheet1"}</definedName>
    <definedName name="chart1" localSheetId="13" hidden="1" function="0" vbProcedure="0">{#N/A,#N/A,FALSE,"Sheet1"}</definedName>
    <definedName name="Chemmac" localSheetId="13" hidden="0" function="0" vbProcedure="0">'[64]tool backload dt'!chemmac</definedName>
    <definedName name="cim" localSheetId="13" hidden="0" function="0" vbProcedure="0">[118]!Calculate_Pipe</definedName>
    <definedName name="CIPMACRO.n2foam" localSheetId="13" hidden="0" function="0" vbProcedure="0">'[64]tool backload dt'!cipmacro.n2foam</definedName>
    <definedName name="circsqz" localSheetId="13" hidden="0" function="0" vbProcedure="0">[5]WTR!$M$86</definedName>
    <definedName name="CIR_RATE_RESTRESS" localSheetId="13" hidden="0" function="0" vbProcedure="0">'[113]#REF'!$I$109</definedName>
    <definedName name="CIV" localSheetId="13" hidden="0" function="0" vbProcedure="0">INDEX([111]DRAW!$A$2:$B$13,MATCH([112]AUTO_DHWS!$AV$10,[111]DRAW!$A$2:$A$13,0),2)</definedName>
    <definedName name="CIV_2" localSheetId="13" hidden="0" function="0" vbProcedure="0">INDEX([111]DRAW!$A$2:$B$14,MATCH([112]AUTO_DHWS!$AV$14,[111]DRAW!$A$2:$A$13,0),2)</definedName>
    <definedName name="CIV_PDHG" localSheetId="13" hidden="0" function="0" vbProcedure="0">INDEX([111]DRAW!$A$2:$B$13,MATCH([112]AUTO_DHWS!$AV$11,[111]DRAW!$A$2:$A$13,0),2)</definedName>
    <definedName name="CLAMPON" localSheetId="13" hidden="0" function="0" vbProcedure="0">[58]!CLAMPON</definedName>
    <definedName name="CLEARCONTENTS" localSheetId="13" hidden="0" function="0" vbProcedure="0">[120]!CLEARCONTENTS</definedName>
    <definedName name="CLFluid1" localSheetId="13" hidden="0" function="0" vbProcedure="0">'[94]Installation Results #1'!$E$270</definedName>
    <definedName name="CLFluid10" localSheetId="13" hidden="0" function="0" vbProcedure="0">'[94]Installation Results #1'!$E$279</definedName>
    <definedName name="CLFluid11" localSheetId="13" hidden="0" function="0" vbProcedure="0">'[94]Installation Results #1'!$E$280</definedName>
    <definedName name="CLFluid12" localSheetId="13" hidden="0" function="0" vbProcedure="0">'[94]Installation Results #1'!$E$281</definedName>
    <definedName name="CLFluid13" localSheetId="13" hidden="0" function="0" vbProcedure="0">'[94]Installation Results #1'!$E$282</definedName>
    <definedName name="CLFluid14" localSheetId="13" hidden="0" function="0" vbProcedure="0">'[94]Installation Results #1'!$E$283</definedName>
    <definedName name="CLFluid15" localSheetId="13" hidden="0" function="0" vbProcedure="0">'[94]Installation Results #1'!$E$284</definedName>
    <definedName name="CLFluid2" localSheetId="13" hidden="0" function="0" vbProcedure="0">'[94]Installation Results #1'!$E$271</definedName>
    <definedName name="CLFluid3" localSheetId="13" hidden="0" function="0" vbProcedure="0">'[94]Installation Results #1'!$E$272</definedName>
    <definedName name="CLFluid4" localSheetId="13" hidden="0" function="0" vbProcedure="0">'[94]Installation Results #1'!$E$273</definedName>
    <definedName name="CLFluid5" localSheetId="13" hidden="0" function="0" vbProcedure="0">'[94]Installation Results #1'!$E$274</definedName>
    <definedName name="CLFluid6" localSheetId="13" hidden="0" function="0" vbProcedure="0">'[94]Installation Results #1'!$E$275</definedName>
    <definedName name="CLFluid7" localSheetId="13" hidden="0" function="0" vbProcedure="0">'[94]Installation Results #1'!$E$276</definedName>
    <definedName name="CLFluid8" localSheetId="13" hidden="0" function="0" vbProcedure="0">'[94]Installation Results #1'!$E$277</definedName>
    <definedName name="CLFluid9" localSheetId="13" hidden="0" function="0" vbProcedure="0">'[94]Installation Results #1'!$E$278</definedName>
    <definedName name="Client" localSheetId="13" hidden="0" function="0" vbProcedure="0">#ref!</definedName>
    <definedName name="ClientFd" localSheetId="13" hidden="0" function="0" vbProcedure="0">#ref!</definedName>
    <definedName name="Clist" localSheetId="13" hidden="0" function="0" vbProcedure="0">OFFSET(INDIRECT(ADDRESS(MATCH(CL_Wt,DATA!Objects,0)+1,2,,,"Casing Info")),0,1,COUNTIF(DATA!Objects,CL_Wt),1)</definedName>
    <definedName name="Objects" localSheetId="13" hidden="0" function="0" vbProcedure="0">'[11]Casing Info'!$B$2:$B$241</definedName>
    <definedName name="Clist2" localSheetId="13" hidden="0" function="0" vbProcedure="0">OFFSET(INDIRECT(ADDRESS(MATCH(Hsize2,DATA!Objects,0)+1,2,,,"Casing Info")),0,1,COUNTIF(DATA!Objects,Hsize2),1)</definedName>
    <definedName name="Clist3" localSheetId="13" hidden="0" function="0" vbProcedure="0">OFFSET(INDIRECT(ADDRESS(MATCH(Hsize3,DATA!Objects,0)+1,2,,,"Casing Info")),0,1,COUNTIF(DATA!Objects,Hsize3),1)</definedName>
    <definedName name="ClosureAzimColumn" localSheetId="13" hidden="0" function="0" vbProcedure="0">#ref!</definedName>
    <definedName name="ClosureAzimUnit" localSheetId="13" hidden="0" function="0" vbProcedure="0">#ref!</definedName>
    <definedName name="ClosureColumn" localSheetId="13" hidden="0" function="0" vbProcedure="0">#ref!</definedName>
    <definedName name="ClosureUnit" localSheetId="13" hidden="0" function="0" vbProcedure="0">#ref!</definedName>
    <definedName name="Clrmess" localSheetId="13" hidden="0" function="0" vbProcedure="0">[120]!Clrmess</definedName>
    <definedName name="CO2_" localSheetId="13" hidden="0" function="0" vbProcedure="0">'[94]Job Technical Info'!$L$42</definedName>
    <definedName name="Code" localSheetId="13" hidden="0" function="0" vbProcedure="0">#ref!</definedName>
    <definedName name="CODETAB" localSheetId="13" hidden="0" function="0" vbProcedure="0">#ref!</definedName>
    <definedName name="coections" localSheetId="13" hidden="0" function="0" vbProcedure="0">DATA!coections</definedName>
    <definedName name="Col10_Name" localSheetId="13" hidden="0" function="0" vbProcedure="0">#ref!</definedName>
    <definedName name="Col10_Stat" localSheetId="13" hidden="0" function="0" vbProcedure="0">#ref!</definedName>
    <definedName name="Col10_Stat_Name" localSheetId="13" hidden="0" function="0" vbProcedure="0">#ref!</definedName>
    <definedName name="Col10_Unit" localSheetId="13" hidden="0" function="0" vbProcedure="0">#ref!</definedName>
    <definedName name="Col11_Name" localSheetId="13" hidden="0" function="0" vbProcedure="0">#ref!</definedName>
    <definedName name="Col11_Stat" localSheetId="13" hidden="0" function="0" vbProcedure="0">#ref!</definedName>
    <definedName name="Col11_Stat_Name" localSheetId="13" hidden="0" function="0" vbProcedure="0">#ref!</definedName>
    <definedName name="Col11_Unit" localSheetId="13" hidden="0" function="0" vbProcedure="0">#ref!</definedName>
    <definedName name="Col12_Name" localSheetId="13" hidden="0" function="0" vbProcedure="0">#ref!</definedName>
    <definedName name="Col12_Stat" localSheetId="13" hidden="0" function="0" vbProcedure="0">#ref!</definedName>
    <definedName name="Col12_Stat_Name" localSheetId="13" hidden="0" function="0" vbProcedure="0">#ref!</definedName>
    <definedName name="Col12_Unit" localSheetId="13" hidden="0" function="0" vbProcedure="0">#ref!</definedName>
    <definedName name="Col12_Unti" localSheetId="13" hidden="0" function="0" vbProcedure="0">#ref!</definedName>
    <definedName name="Col13_Name" localSheetId="13" hidden="0" function="0" vbProcedure="0">#ref!</definedName>
    <definedName name="Col13_Stat" localSheetId="13" hidden="0" function="0" vbProcedure="0">#ref!</definedName>
    <definedName name="Col13_Stat_Name" localSheetId="13" hidden="0" function="0" vbProcedure="0">#ref!</definedName>
    <definedName name="Col13_Unit" localSheetId="13" hidden="0" function="0" vbProcedure="0">#ref!</definedName>
    <definedName name="Col14_Name" localSheetId="13" hidden="0" function="0" vbProcedure="0">#ref!</definedName>
    <definedName name="Col14_Stat" localSheetId="13" hidden="0" function="0" vbProcedure="0">#ref!</definedName>
    <definedName name="Col14_Stat_Name" localSheetId="13" hidden="0" function="0" vbProcedure="0">#ref!</definedName>
    <definedName name="Col14_Unit" localSheetId="13" hidden="0" function="0" vbProcedure="0">#ref!</definedName>
    <definedName name="Col15_Name" localSheetId="13" hidden="0" function="0" vbProcedure="0">#ref!</definedName>
    <definedName name="Col15_Stat" localSheetId="13" hidden="0" function="0" vbProcedure="0">#ref!</definedName>
    <definedName name="Col15_Stat_Name" localSheetId="13" hidden="0" function="0" vbProcedure="0">#ref!</definedName>
    <definedName name="Col15_Unit" localSheetId="13" hidden="0" function="0" vbProcedure="0">#ref!</definedName>
    <definedName name="Col16_Name" localSheetId="13" hidden="0" function="0" vbProcedure="0">#ref!</definedName>
    <definedName name="Col16_Stat" localSheetId="13" hidden="0" function="0" vbProcedure="0">#ref!</definedName>
    <definedName name="Col16_Stat_Name" localSheetId="13" hidden="0" function="0" vbProcedure="0">#ref!</definedName>
    <definedName name="Col16_Unit" localSheetId="13" hidden="0" function="0" vbProcedure="0">#ref!</definedName>
    <definedName name="Col17_Name" localSheetId="13" hidden="0" function="0" vbProcedure="0">#ref!</definedName>
    <definedName name="Col17_Stat" localSheetId="13" hidden="0" function="0" vbProcedure="0">#ref!</definedName>
    <definedName name="Col17_Stat_Name" localSheetId="13" hidden="0" function="0" vbProcedure="0">#ref!</definedName>
    <definedName name="Col17_Unit" localSheetId="13" hidden="0" function="0" vbProcedure="0">#ref!</definedName>
    <definedName name="Col18_Name" localSheetId="13" hidden="0" function="0" vbProcedure="0">#ref!</definedName>
    <definedName name="Col18_Stat" localSheetId="13" hidden="0" function="0" vbProcedure="0">#ref!</definedName>
    <definedName name="Col18_Stat_Name" localSheetId="13" hidden="0" function="0" vbProcedure="0">#ref!</definedName>
    <definedName name="Col18_Unit" localSheetId="13" hidden="0" function="0" vbProcedure="0">#ref!</definedName>
    <definedName name="Col19_Name" localSheetId="13" hidden="0" function="0" vbProcedure="0">#ref!</definedName>
    <definedName name="Col19_Stat" localSheetId="13" hidden="0" function="0" vbProcedure="0">#ref!</definedName>
    <definedName name="Col19_Stat_Name" localSheetId="13" hidden="0" function="0" vbProcedure="0">#ref!</definedName>
    <definedName name="Col19_Unit" localSheetId="13" hidden="0" function="0" vbProcedure="0">#ref!</definedName>
    <definedName name="Col1_Name" localSheetId="13" hidden="0" function="0" vbProcedure="0">#ref!</definedName>
    <definedName name="Col1_Stat_Name" localSheetId="13" hidden="0" function="0" vbProcedure="0">#ref!</definedName>
    <definedName name="Col1_Unit" localSheetId="13" hidden="0" function="0" vbProcedure="0">#ref!</definedName>
    <definedName name="Col20_Name" localSheetId="13" hidden="0" function="0" vbProcedure="0">#ref!</definedName>
    <definedName name="Col20_Stat" localSheetId="13" hidden="0" function="0" vbProcedure="0">#ref!</definedName>
    <definedName name="Col20_Stat_Name" localSheetId="13" hidden="0" function="0" vbProcedure="0">#ref!</definedName>
    <definedName name="Col20_Unit" localSheetId="13" hidden="0" function="0" vbProcedure="0">#ref!</definedName>
    <definedName name="Col21_Name" localSheetId="13" hidden="0" function="0" vbProcedure="0">#ref!</definedName>
    <definedName name="Col21_Stat" localSheetId="13" hidden="0" function="0" vbProcedure="0">#ref!</definedName>
    <definedName name="Col21_Stat_Name" localSheetId="13" hidden="0" function="0" vbProcedure="0">#ref!</definedName>
    <definedName name="Col21_Unit" localSheetId="13" hidden="0" function="0" vbProcedure="0">#ref!</definedName>
    <definedName name="Col22_Name" localSheetId="13" hidden="0" function="0" vbProcedure="0">#ref!</definedName>
    <definedName name="Col22_Stat" localSheetId="13" hidden="0" function="0" vbProcedure="0">#ref!</definedName>
    <definedName name="Col22_Stat_Name" localSheetId="13" hidden="0" function="0" vbProcedure="0">#ref!</definedName>
    <definedName name="Col22_Unit" localSheetId="13" hidden="0" function="0" vbProcedure="0">#ref!</definedName>
    <definedName name="Col23_Name" localSheetId="13" hidden="0" function="0" vbProcedure="0">#ref!</definedName>
    <definedName name="Col23_Stat" localSheetId="13" hidden="0" function="0" vbProcedure="0">#ref!</definedName>
    <definedName name="Col23_Stat_Name" localSheetId="13" hidden="0" function="0" vbProcedure="0">#ref!</definedName>
    <definedName name="Col23_Unit" localSheetId="13" hidden="0" function="0" vbProcedure="0">#ref!</definedName>
    <definedName name="Col24_Name" localSheetId="13" hidden="0" function="0" vbProcedure="0">#ref!</definedName>
    <definedName name="Col24_Stat" localSheetId="13" hidden="0" function="0" vbProcedure="0">#ref!</definedName>
    <definedName name="Col24_Stat_Name" localSheetId="13" hidden="0" function="0" vbProcedure="0">#ref!</definedName>
    <definedName name="Col24_Unit" localSheetId="13" hidden="0" function="0" vbProcedure="0">#ref!</definedName>
    <definedName name="Col25_Name" localSheetId="13" hidden="0" function="0" vbProcedure="0">#ref!</definedName>
    <definedName name="Col25_Stat" localSheetId="13" hidden="0" function="0" vbProcedure="0">#ref!</definedName>
    <definedName name="Col25_Stat_Name" localSheetId="13" hidden="0" function="0" vbProcedure="0">#ref!</definedName>
    <definedName name="Col25_Unit" localSheetId="13" hidden="0" function="0" vbProcedure="0">#ref!</definedName>
    <definedName name="Col26_Name" localSheetId="13" hidden="0" function="0" vbProcedure="0">#ref!</definedName>
    <definedName name="Col26_Stat" localSheetId="13" hidden="0" function="0" vbProcedure="0">#ref!</definedName>
    <definedName name="Col26_Stat_Name" localSheetId="13" hidden="0" function="0" vbProcedure="0">#ref!</definedName>
    <definedName name="Col26_Unit" localSheetId="13" hidden="0" function="0" vbProcedure="0">#ref!</definedName>
    <definedName name="Col27_Name" localSheetId="13" hidden="0" function="0" vbProcedure="0">#ref!</definedName>
    <definedName name="Col27_Stat" localSheetId="13" hidden="0" function="0" vbProcedure="0">#ref!</definedName>
    <definedName name="Col27_Stat_Name" localSheetId="13" hidden="0" function="0" vbProcedure="0">#ref!</definedName>
    <definedName name="Col27_Unit" localSheetId="13" hidden="0" function="0" vbProcedure="0">#ref!</definedName>
    <definedName name="Col28_Name" localSheetId="13" hidden="0" function="0" vbProcedure="0">#ref!</definedName>
    <definedName name="Col28_Stat" localSheetId="13" hidden="0" function="0" vbProcedure="0">#ref!</definedName>
    <definedName name="Col28_Stat_Name" localSheetId="13" hidden="0" function="0" vbProcedure="0">#ref!</definedName>
    <definedName name="Col28_Unit" localSheetId="13" hidden="0" function="0" vbProcedure="0">#ref!</definedName>
    <definedName name="Col29_Name" localSheetId="13" hidden="0" function="0" vbProcedure="0">#ref!</definedName>
    <definedName name="Col29_Stat" localSheetId="13" hidden="0" function="0" vbProcedure="0">#ref!</definedName>
    <definedName name="Col29_Stat_Name" localSheetId="13" hidden="0" function="0" vbProcedure="0">#ref!</definedName>
    <definedName name="Col29_Unit" localSheetId="13" hidden="0" function="0" vbProcedure="0">#ref!</definedName>
    <definedName name="Col2_Name" localSheetId="13" hidden="0" function="0" vbProcedure="0">#ref!</definedName>
    <definedName name="Col2_Stat" localSheetId="13" hidden="0" function="0" vbProcedure="0">#ref!</definedName>
    <definedName name="Col2_Stat_Name" localSheetId="13" hidden="0" function="0" vbProcedure="0">#ref!</definedName>
    <definedName name="Col2_Unit" localSheetId="13" hidden="0" function="0" vbProcedure="0">#ref!</definedName>
    <definedName name="Col30_Name" localSheetId="13" hidden="0" function="0" vbProcedure="0">#ref!</definedName>
    <definedName name="Col30_Stat" localSheetId="13" hidden="0" function="0" vbProcedure="0">#ref!</definedName>
    <definedName name="Col30_Stat_Name" localSheetId="13" hidden="0" function="0" vbProcedure="0">#ref!</definedName>
    <definedName name="Col30_Unit" localSheetId="13" hidden="0" function="0" vbProcedure="0">#ref!</definedName>
    <definedName name="Col3_Name" localSheetId="13" hidden="0" function="0" vbProcedure="0">#ref!</definedName>
    <definedName name="Col3_Stat" localSheetId="13" hidden="0" function="0" vbProcedure="0">#ref!</definedName>
    <definedName name="Col3_Stat_Name" localSheetId="13" hidden="0" function="0" vbProcedure="0">#ref!</definedName>
    <definedName name="Col3_Unit" localSheetId="13" hidden="0" function="0" vbProcedure="0">#ref!</definedName>
    <definedName name="Col4_Name" localSheetId="13" hidden="0" function="0" vbProcedure="0">#ref!</definedName>
    <definedName name="Col4_Stat" localSheetId="13" hidden="0" function="0" vbProcedure="0">#ref!</definedName>
    <definedName name="Col4_Stat_Name" localSheetId="13" hidden="0" function="0" vbProcedure="0">#ref!</definedName>
    <definedName name="Col4_Unit" localSheetId="13" hidden="0" function="0" vbProcedure="0">#ref!</definedName>
    <definedName name="Col5_Name" localSheetId="13" hidden="0" function="0" vbProcedure="0">#ref!</definedName>
    <definedName name="Col5_Stat" localSheetId="13" hidden="0" function="0" vbProcedure="0">#ref!</definedName>
    <definedName name="Col5_Stat_Name" localSheetId="13" hidden="0" function="0" vbProcedure="0">#ref!</definedName>
    <definedName name="Col5_Unit" localSheetId="13" hidden="0" function="0" vbProcedure="0">#ref!</definedName>
    <definedName name="Col6_Name" localSheetId="13" hidden="0" function="0" vbProcedure="0">#ref!</definedName>
    <definedName name="Col6_Stat" localSheetId="13" hidden="0" function="0" vbProcedure="0">#ref!</definedName>
    <definedName name="Col6_Stat_Name" localSheetId="13" hidden="0" function="0" vbProcedure="0">#ref!</definedName>
    <definedName name="Col6_Unit" localSheetId="13" hidden="0" function="0" vbProcedure="0">#ref!</definedName>
    <definedName name="Col7_Name" localSheetId="13" hidden="0" function="0" vbProcedure="0">#ref!</definedName>
    <definedName name="Col7_Stat" localSheetId="13" hidden="0" function="0" vbProcedure="0">#ref!</definedName>
    <definedName name="Col7_Stat_Name" localSheetId="13" hidden="0" function="0" vbProcedure="0">#ref!</definedName>
    <definedName name="Col7_Unit" localSheetId="13" hidden="0" function="0" vbProcedure="0">#ref!</definedName>
    <definedName name="Col8_Name" localSheetId="13" hidden="0" function="0" vbProcedure="0">#ref!</definedName>
    <definedName name="Col8_Stat" localSheetId="13" hidden="0" function="0" vbProcedure="0">#ref!</definedName>
    <definedName name="Col8_Stat_Name" localSheetId="13" hidden="0" function="0" vbProcedure="0">#ref!</definedName>
    <definedName name="Col8_Unit" localSheetId="13" hidden="0" function="0" vbProcedure="0">#ref!</definedName>
    <definedName name="Col9_Name" localSheetId="13" hidden="0" function="0" vbProcedure="0">#ref!</definedName>
    <definedName name="Col9_Stat" localSheetId="13" hidden="0" function="0" vbProcedure="0">#ref!</definedName>
    <definedName name="Col9_Stat_Name" localSheetId="13" hidden="0" function="0" vbProcedure="0">#ref!</definedName>
    <definedName name="Col9_Unit" localSheetId="13" hidden="0" function="0" vbProcedure="0">#ref!</definedName>
    <definedName name="Collapsedb" localSheetId="13" hidden="0" function="0" vbProcedure="0">#ref!</definedName>
    <definedName name="Collapseslb" localSheetId="13" hidden="0" function="0" vbProcedure="0">#ref!</definedName>
    <definedName name="Collapsestring" localSheetId="13" hidden="0" function="0" vbProcedure="0">#ref!</definedName>
    <definedName name="Colordb" localSheetId="13" hidden="0" function="0" vbProcedure="0">#ref!</definedName>
    <definedName name="Colorslb" localSheetId="13" hidden="0" function="0" vbProcedure="0">#ref!</definedName>
    <definedName name="Col_16" localSheetId="13" hidden="0" function="0" vbProcedure="0">#ref!</definedName>
    <definedName name="ComDetails" localSheetId="13" hidden="0" function="0" vbProcedure="0">#ref!</definedName>
    <definedName name="ComLOg" localSheetId="13" hidden="0" function="0" vbProcedure="0">#ref!</definedName>
    <definedName name="CommentColumn" localSheetId="13" hidden="0" function="0" vbProcedure="0">!#ref!</definedName>
    <definedName name="CommSchemes" localSheetId="13" hidden="0" function="0" vbProcedure="0">#ref!</definedName>
    <definedName name="COMP" localSheetId="13" hidden="0" function="0" vbProcedure="0">#ref!</definedName>
    <definedName name="Companies" localSheetId="13" hidden="0" function="0" vbProcedure="0">#ref!</definedName>
    <definedName name="company" localSheetId="13" hidden="0" function="0" vbProcedure="0">'[40]CPS Call Sheet'!$E$4</definedName>
    <definedName name="Company_Man" localSheetId="13" hidden="0" function="0" vbProcedure="0">'[62]Liner Job Info'!$E$7</definedName>
    <definedName name="Company_Name" localSheetId="13" hidden="0" function="0" vbProcedure="0">'[123]Liner Job Info'!$E$4</definedName>
    <definedName name="compfluidwt" localSheetId="13" hidden="0" function="0" vbProcedure="0">'[113]#REF'!$L$27</definedName>
    <definedName name="Compl._Fluid_Type" localSheetId="13" hidden="0" function="0" vbProcedure="0">'[108]Pre-Job Info Sheet'!$D$32</definedName>
    <definedName name="Compl._Fluid_Wt." localSheetId="13" hidden="0" function="0" vbProcedure="0">'[108]Pre-Job Info Sheet'!$D$33</definedName>
    <definedName name="COMPL_FL_VOL" localSheetId="13" hidden="0" function="0" vbProcedure="0">'[113]#REF'!$F$68</definedName>
    <definedName name="COMPL_FL_WT" localSheetId="13" hidden="0" function="0" vbProcedure="0">'[113]#REF'!$K$27</definedName>
    <definedName name="ComponentTable" localSheetId="13" hidden="0" function="0" vbProcedure="0">#ref!</definedName>
    <definedName name="ComponentTableHeader" localSheetId="13" hidden="0" function="0" vbProcedure="0">#ref!</definedName>
    <definedName name="Compressionaldb" localSheetId="13" hidden="0" function="0" vbProcedure="0">#ref!</definedName>
    <definedName name="Compressionalslb" localSheetId="13" hidden="0" function="0" vbProcedure="0">#ref!</definedName>
    <definedName name="Compressionstring" localSheetId="13" hidden="0" function="0" vbProcedure="0">#ref!</definedName>
    <definedName name="conections" localSheetId="13" hidden="0" function="0" vbProcedure="0">DATA!conections</definedName>
    <definedName name="Conflict1" localSheetId="13" hidden="1" function="0" vbProcedure="0">{#N/A,#N/A,FALSE,"Drlg Param Run 1-1";#N/A,#N/A,FALSE,"DDR (3)";#N/A,#N/A,FALSE,"BHA AT (1)";#N/A,#N/A,FALSE,"Downlinkbha";#N/A,#N/A,FALSE,"Job Status Report"}</definedName>
    <definedName name="conical" localSheetId="13" hidden="0" function="0" vbProcedure="0">#ref!</definedName>
    <definedName name="ConnAll" localSheetId="13" hidden="0" function="0" vbProcedure="0">#ref!</definedName>
    <definedName name="ConnDn" localSheetId="13" hidden="0" function="0" vbProcedure="0">#ref!</definedName>
    <definedName name="Connect" localSheetId="13" hidden="0" function="0" vbProcedure="0">#ref!</definedName>
    <definedName name="ConnectionHeader" localSheetId="13" hidden="0" function="0" vbProcedure="0">#ref!</definedName>
    <definedName name="ConnectionUnits" localSheetId="13" hidden="0" function="0" vbProcedure="0">#ref!</definedName>
    <definedName name="ConnUp" localSheetId="13" hidden="0" function="0" vbProcedure="0">#ref!</definedName>
    <definedName name="conref" localSheetId="13" hidden="0" function="0" vbProcedure="0">[124]Price!$A$1:$A$65536</definedName>
    <definedName name="consequence" localSheetId="13" hidden="0" function="0" vbProcedure="0">[125]Sheet2!$A$1:$A$5</definedName>
    <definedName name="Consolidation" localSheetId="13" hidden="0" function="0" vbProcedure="0">[63]auf_screen!#ref!,[63]auf_screen!#ref!,[63]auf_screen!#ref!,[63]auf_screen!#ref!,[63]auf_screen!#ref!,[63]auf_screen!#ref!,[63]auf_screen!#ref!,[63]auf_screen!#ref!,[63]auf_screen!#ref!</definedName>
    <definedName name="Consolisdation" localSheetId="13" hidden="0" function="0" vbProcedure="0">[63]auf_screen!#ref!,[63]auf_screen!#ref!,[63]auf_screen!#ref!,[63]auf_screen!#ref!,[63]auf_screen!#ref!,[63]auf_screen!#ref!,[63]auf_screen!#ref!,[63]auf_screen!#ref!,[63]auf_screen!#ref!,[63]auf_screen!#ref!</definedName>
    <definedName name="Contraction" localSheetId="13" hidden="0" function="0" vbProcedure="0">#ref!</definedName>
    <definedName name="contractnum" localSheetId="13" hidden="0" function="0" vbProcedure="0">'[33]data '!#ref!</definedName>
    <definedName name="CoordinateReference" localSheetId="13" hidden="0" function="0" vbProcedure="0">#ref!</definedName>
    <definedName name="CoordinateSystem" localSheetId="13" hidden="0" function="0" vbProcedure="0">#ref!</definedName>
    <definedName name="Coordinator" localSheetId="13" hidden="0" function="0" vbProcedure="0">'[94]Job Technical Info'!$G$10</definedName>
    <definedName name="COPYDESGN" localSheetId="13" hidden="0" function="0" vbProcedure="0">[58]!COPYDESGN</definedName>
    <definedName name="CoRep" localSheetId="13" hidden="0" function="0" vbProcedure="0">'[94]Job Technical Info'!$C$16</definedName>
    <definedName name="corrlist2" localSheetId="13" hidden="0" function="0" vbProcedure="0">OFFSET(INDIRECT(ADDRESS(MATCH(Hsize2,DATA!Objects,0)+1,2,,,"Casing Info")),0,1,COUNTIF(DATA!Objects,[133]!liner1_od),1)</definedName>
    <definedName name="corrlist4" localSheetId="13" hidden="0" function="0" vbProcedure="0">OFFSET(INDIRECT(ADDRESS(MATCH(DATA!Hanger_Size,DATA!Objects,0)+1,2,,,"Casing Info")),0,1,COUNTIF(DATA!Objects, DATA!Hanger_Size),1)</definedName>
    <definedName name="Hanger_Size" localSheetId="13" hidden="0" function="0" vbProcedure="0">'[11]Database Pg1'!$G$79</definedName>
    <definedName name="COUNTRY" localSheetId="13" hidden="0" function="0" vbProcedure="0">'[127]Master data'!$A$2:$A$239</definedName>
    <definedName name="county" localSheetId="13" hidden="0" function="0" vbProcedure="0">'[40]CPS Call Sheet'!$P$7</definedName>
    <definedName name="Coupls" localSheetId="13" hidden="0" function="0" vbProcedure="0">#ref!</definedName>
    <definedName name="Crack_DH" localSheetId="13" hidden="0" function="0" vbProcedure="0">'[108]Tester Valve Calcs'!$F$31</definedName>
    <definedName name="Crack_Press" localSheetId="13" hidden="0" function="0" vbProcedure="0">'[108]Tester Valve Calcs'!$F$13</definedName>
    <definedName name="Created" localSheetId="13" hidden="0" function="0" vbProcedure="0">[63]auf_screen!#ref!</definedName>
    <definedName name="CreateDate" localSheetId="13" hidden="0" function="0" vbProcedure="0">#ref!</definedName>
    <definedName name="CreatedBy" localSheetId="13" hidden="0" function="0" vbProcedure="0">#ref!</definedName>
    <definedName name="Created_By" localSheetId="13" hidden="0" function="0" vbProcedure="0">[63]auf_screen!#ref!</definedName>
    <definedName name="Critical" localSheetId="13" hidden="0" function="0" vbProcedure="0">#ref!</definedName>
    <definedName name="crs" localSheetId="13" hidden="0" function="0" vbProcedure="0">[128]RSS!$E$199:$E$205</definedName>
    <definedName name="CRS_FLOAT_VALVE" localSheetId="13" hidden="0" function="0" vbProcedure="0">[129]RSS!$O$177:$O$180</definedName>
    <definedName name="CRS_FLOW_KIT" localSheetId="13" hidden="0" function="0" vbProcedure="0">[129]RSS!$E$181:$E$184</definedName>
    <definedName name="CRS_STAB" localSheetId="13" hidden="0" function="0" vbProcedure="0">[129]RSS!$E$191:$E$197</definedName>
    <definedName name="Csg" localSheetId="13" hidden="0" function="0" vbProcedure="0">[6]Sheet1!$G$1:$G$3</definedName>
    <definedName name="Csg1a" localSheetId="13" hidden="0" function="0" vbProcedure="0">#ref!</definedName>
    <definedName name="Csg2a" localSheetId="13" hidden="0" function="0" vbProcedure="0">#ref!</definedName>
    <definedName name="Csg3a" localSheetId="13" hidden="0" function="0" vbProcedure="0">#ref!</definedName>
    <definedName name="CsgDrift1" localSheetId="13" hidden="0" function="0" vbProcedure="0">'[94]Job Technical Info'!$G$25</definedName>
    <definedName name="CsgDrift2" localSheetId="13" hidden="0" function="0" vbProcedure="0">'[94]Job Technical Info'!$G$26</definedName>
    <definedName name="CsgDrift3" localSheetId="13" hidden="0" function="0" vbProcedure="0">'[94]Job Technical Info'!$G$27</definedName>
    <definedName name="CsgDrift4" localSheetId="13" hidden="0" function="0" vbProcedure="0">'[94]Job Technical Info'!$G$28</definedName>
    <definedName name="CsgGrd1" localSheetId="13" hidden="0" function="0" vbProcedure="0">'[94]Job Technical Info'!$H$25</definedName>
    <definedName name="CsgGrd2" localSheetId="13" hidden="0" function="0" vbProcedure="0">'[94]Job Technical Info'!$H$26</definedName>
    <definedName name="CsgGrd3" localSheetId="13" hidden="0" function="0" vbProcedure="0">'[94]Job Technical Info'!$H$27</definedName>
    <definedName name="CsgGrd4" localSheetId="13" hidden="0" function="0" vbProcedure="0">'[94]Job Technical Info'!$H$28</definedName>
    <definedName name="CsgID1" localSheetId="13" hidden="0" function="0" vbProcedure="0">'[94]Job Technical Info'!$F$25</definedName>
    <definedName name="CsgID2" localSheetId="13" hidden="0" function="0" vbProcedure="0">'[94]Job Technical Info'!$F$26</definedName>
    <definedName name="CsgID3" localSheetId="13" hidden="0" function="0" vbProcedure="0">'[94]Job Technical Info'!$F$27</definedName>
    <definedName name="CsgID4" localSheetId="13" hidden="0" function="0" vbProcedure="0">'[94]Job Technical Info'!$F$28</definedName>
    <definedName name="CsgPt" localSheetId="13" hidden="0" function="0" vbProcedure="0">#ref!</definedName>
    <definedName name="CsgSelect" localSheetId="13" hidden="0" function="0" vbProcedure="0">#ref!</definedName>
    <definedName name="CsgSz1" localSheetId="13" hidden="0" function="0" vbProcedure="0">'[94]Job Technical Info'!$D$25</definedName>
    <definedName name="CsgSz2" localSheetId="13" hidden="0" function="0" vbProcedure="0">'[94]Job Technical Info'!$D$26</definedName>
    <definedName name="CsgSz3" localSheetId="13" hidden="0" function="0" vbProcedure="0">'[94]Job Technical Info'!$D$27</definedName>
    <definedName name="CsgSz4" localSheetId="13" hidden="0" function="0" vbProcedure="0">'[94]Job Technical Info'!$D$28</definedName>
    <definedName name="CsgThd1" localSheetId="13" hidden="0" function="0" vbProcedure="0">'[94]Job Technical Info'!$J$25</definedName>
    <definedName name="CsgThd2" localSheetId="13" hidden="0" function="0" vbProcedure="0">'[94]Job Technical Info'!$J$26</definedName>
    <definedName name="CsgThd3" localSheetId="13" hidden="0" function="0" vbProcedure="0">'[94]Job Technical Info'!$J$27</definedName>
    <definedName name="CsgThd4" localSheetId="13" hidden="0" function="0" vbProcedure="0">'[94]Job Technical Info'!$J$28</definedName>
    <definedName name="CsgWt" localSheetId="13" hidden="0" function="0" vbProcedure="0">[6]Sheet1!$H$1:$H$10</definedName>
    <definedName name="CsgWt1" localSheetId="13" hidden="0" function="0" vbProcedure="0">'[94]Job Technical Info'!$E$25</definedName>
    <definedName name="CsgWt2" localSheetId="13" hidden="0" function="0" vbProcedure="0">'[94]Job Technical Info'!$E$26</definedName>
    <definedName name="CsgWt3" localSheetId="13" hidden="0" function="0" vbProcedure="0">'[94]Job Technical Info'!$E$27</definedName>
    <definedName name="CsgWt4" localSheetId="13" hidden="0" function="0" vbProcedure="0">'[94]Job Technical Info'!$E$28</definedName>
    <definedName name="Csg_Bst" localSheetId="13" hidden="0" function="0" vbProcedure="0">'[11]Metric Conversions'!$B$43</definedName>
    <definedName name="Csg_Dft" localSheetId="13" hidden="0" function="0" vbProcedure="0">'[11]Liner Job Info'!$L$14</definedName>
    <definedName name="CSG_DPTH" localSheetId="13" hidden="0" function="0" vbProcedure="0">'[130]Metric Conversions'!$B$15</definedName>
    <definedName name="CSG_Grd" localSheetId="13" hidden="0" function="0" vbProcedure="0">'[130]Liner Job Info'!$D$14</definedName>
    <definedName name="CSG_ID" localSheetId="13" hidden="0" function="0" vbProcedure="0">'[11]Liner Job Info'!$B$14</definedName>
    <definedName name="CSG_ID_Area" localSheetId="13" hidden="0" function="0" vbProcedure="0">[11]Test!$Z$39</definedName>
    <definedName name="CSG_MYS" localSheetId="13" hidden="0" function="0" vbProcedure="0">[57]DATA!$J$3:$J$22</definedName>
    <definedName name="CSG_OD" localSheetId="13" hidden="0" function="0" vbProcedure="0">'[130]Liner Job Info'!$A$14</definedName>
    <definedName name="CSG_Thread" localSheetId="13" hidden="0" function="0" vbProcedure="0">'[130]Liner Job Info'!$E$14</definedName>
    <definedName name="Csg_Wt" localSheetId="13" hidden="0" function="0" vbProcedure="0">'[130]Liner Job Info'!$C$14</definedName>
    <definedName name="cslipjoint" localSheetId="13" hidden="0" function="0" vbProcedure="0">#ref!</definedName>
    <definedName name="CSR" localSheetId="13" hidden="0" function="0" vbProcedure="0">#ref!</definedName>
    <definedName name="CsShoeDepth" localSheetId="13" hidden="0" function="0" vbProcedure="0">'[94]Job Technical Info'!$F$40</definedName>
    <definedName name="CU.FT." localSheetId="13" hidden="0" function="0" vbProcedure="0">'[113]#REF'!$E$23</definedName>
    <definedName name="CumLengthUnits" localSheetId="13" hidden="0" function="0" vbProcedure="0">#ref!</definedName>
    <definedName name="CumP1a" localSheetId="13" hidden="0" function="0" vbProcedure="0">#ref!</definedName>
    <definedName name="CumP1b" localSheetId="13" hidden="0" function="0" vbProcedure="0">#ref!</definedName>
    <definedName name="CumP1c" localSheetId="13" hidden="0" function="0" vbProcedure="0">#ref!</definedName>
    <definedName name="CumP1d" localSheetId="13" hidden="0" function="0" vbProcedure="0">#ref!</definedName>
    <definedName name="CumP1e" localSheetId="13" hidden="0" function="0" vbProcedure="0">#ref!</definedName>
    <definedName name="CumS1a" localSheetId="13" hidden="0" function="0" vbProcedure="0">#ref!</definedName>
    <definedName name="CumS1b" localSheetId="13" hidden="0" function="0" vbProcedure="0">#ref!</definedName>
    <definedName name="CumS1c" localSheetId="13" hidden="0" function="0" vbProcedure="0">#ref!</definedName>
    <definedName name="CumS1d" localSheetId="13" hidden="0" function="0" vbProcedure="0">#ref!</definedName>
    <definedName name="CumS1e" localSheetId="13" hidden="0" function="0" vbProcedure="0">#ref!</definedName>
    <definedName name="CumWeightUnits" localSheetId="13" hidden="0" function="0" vbProcedure="0">#ref!</definedName>
    <definedName name="currency" localSheetId="13" hidden="0" function="0" vbProcedure="0">[57]data!#ref!</definedName>
    <definedName name="CusCV" localSheetId="13" hidden="0" function="0" vbProcedure="0">#ref!</definedName>
    <definedName name="CusFBot1" localSheetId="13" hidden="0" function="0" vbProcedure="0">#ref!</definedName>
    <definedName name="CusFBot2" localSheetId="13" hidden="0" function="0" vbProcedure="0">#ref!</definedName>
    <definedName name="CusFBot3" localSheetId="13" hidden="0" function="0" vbProcedure="0">#ref!</definedName>
    <definedName name="CusFBot4" localSheetId="13" hidden="0" function="0" vbProcedure="0">#ref!</definedName>
    <definedName name="CusFTop1" localSheetId="13" hidden="0" function="0" vbProcedure="0">#ref!</definedName>
    <definedName name="CusFTop2" localSheetId="13" hidden="0" function="0" vbProcedure="0">#ref!</definedName>
    <definedName name="CusFTop3" localSheetId="13" hidden="0" function="0" vbProcedure="0">#ref!</definedName>
    <definedName name="CusFTop4" localSheetId="13" hidden="0" function="0" vbProcedure="0">#ref!</definedName>
    <definedName name="CusFW1" localSheetId="13" hidden="0" function="0" vbProcedure="0">#ref!</definedName>
    <definedName name="CusFW2" localSheetId="13" hidden="0" function="0" vbProcedure="0">#ref!</definedName>
    <definedName name="CusFW3" localSheetId="13" hidden="0" function="0" vbProcedure="0">#ref!</definedName>
    <definedName name="CusFW4" localSheetId="13" hidden="0" function="0" vbProcedure="0">#ref!</definedName>
    <definedName name="CushionHW" localSheetId="13" hidden="0" function="0" vbProcedure="0">#ref!</definedName>
    <definedName name="CusJar" localSheetId="13" hidden="0" function="0" vbProcedure="0">#ref!</definedName>
    <definedName name="CusPsk" localSheetId="13" hidden="0" function="0" vbProcedure="0">#ref!</definedName>
    <definedName name="CusPTV" localSheetId="13" hidden="0" function="0" vbProcedure="0">#ref!</definedName>
    <definedName name="CusRT" localSheetId="13" hidden="0" function="0" vbProcedure="0">#ref!</definedName>
    <definedName name="CusRV" localSheetId="13" hidden="0" function="0" vbProcedure="0">#ref!</definedName>
    <definedName name="CusSLPJ" localSheetId="13" hidden="0" function="0" vbProcedure="0">#ref!</definedName>
    <definedName name="Customer" localSheetId="13" hidden="0" function="0" vbProcedure="0">'[94]Job Technical Info'!$C$12</definedName>
    <definedName name="customer1" localSheetId="13" hidden="0" function="0" vbProcedure="0">[183]Data!$A$1:$A$65536</definedName>
    <definedName name="Customer2" localSheetId="13" hidden="0" function="0" vbProcedure="0">[183]Data!$B$1:$B$65536</definedName>
    <definedName name="CustomerName" localSheetId="13" hidden="0" function="0" vbProcedure="0">'[144]job info sheet'!#ref!</definedName>
    <definedName name="customerrep" localSheetId="13" hidden="0" function="0" vbProcedure="0">'[113]#REF'!$E$6</definedName>
    <definedName name="CusTV" localSheetId="13" hidden="0" function="0" vbProcedure="0">#ref!</definedName>
    <definedName name="CV" localSheetId="13" hidden="0" function="0" vbProcedure="0">#ref!</definedName>
    <definedName name="CVDepth" localSheetId="13" hidden="0" function="0" vbProcedure="0">#ref!</definedName>
    <definedName name="Cyl_Yield" localSheetId="13" hidden="0" function="0" vbProcedure="0">'[49]liner job info'!#ref!</definedName>
    <definedName name="C_" localSheetId="13" hidden="0" function="0" vbProcedure="0">#ref!</definedName>
    <definedName name="d" localSheetId="13" hidden="0" function="0" vbProcedure="0">'[2]run sheet'!#ref!</definedName>
    <definedName name="DAADA" localSheetId="13" hidden="0" function="0" vbProcedure="0">[118]!Calculate_Pipe</definedName>
    <definedName name="DAD" localSheetId="13" hidden="0" function="0" vbProcedure="0">'[38]final tally '!dad</definedName>
    <definedName name="DADAA" localSheetId="13" hidden="0" function="0" vbProcedure="0">'[38]final tally '!dadaa</definedName>
    <definedName name="DAEFF" localSheetId="13" hidden="0" function="0" vbProcedure="0">'[38]final tally '!daeff</definedName>
    <definedName name="DAPage" localSheetId="13" hidden="0" function="0" vbProcedure="0">'[94]Data Acq. Results'!$S$5</definedName>
    <definedName name="DATA" localSheetId="13" hidden="0" function="0" vbProcedure="0">#ref!</definedName>
    <definedName name="data1" localSheetId="13" hidden="0" function="0" vbProcedure="0">#ref!</definedName>
    <definedName name="DataBaseName" localSheetId="13" hidden="0" function="0" vbProcedure="0">#ref!</definedName>
    <definedName name="DataPipe" localSheetId="13" hidden="0" function="0" vbProcedure="0">#ref!</definedName>
    <definedName name="DataRowCenterAlignDark" localSheetId="13" hidden="0" function="0" vbProcedure="0">#ref!</definedName>
    <definedName name="DataRowCenterAlignDarkItalics" localSheetId="13" hidden="0" function="0" vbProcedure="0">#ref!</definedName>
    <definedName name="DataRowCenterAlignLight" localSheetId="13" hidden="0" function="0" vbProcedure="0">#ref!</definedName>
    <definedName name="DataRowCenterAlignLightItalics" localSheetId="13" hidden="0" function="0" vbProcedure="0">#ref!</definedName>
    <definedName name="DataRowCrossCenterLight" localSheetId="13" hidden="0" function="0" vbProcedure="0">#ref!</definedName>
    <definedName name="DataRowLeftAlignDark" localSheetId="13" hidden="0" function="0" vbProcedure="0">#ref!</definedName>
    <definedName name="DataRowLeftAlignDarkItalics" localSheetId="13" hidden="0" function="0" vbProcedure="0">#ref!</definedName>
    <definedName name="DataRowLeftAlignLight" localSheetId="13" hidden="0" function="0" vbProcedure="0">#ref!</definedName>
    <definedName name="DataRowLeftAlignLightItalics" localSheetId="13" hidden="0" function="0" vbProcedure="0">#ref!</definedName>
    <definedName name="DataRowRightAlignDark" localSheetId="13" hidden="0" function="0" vbProcedure="0">#ref!</definedName>
    <definedName name="DataRowRightAlignDark0" localSheetId="13" hidden="0" function="0" vbProcedure="0">#ref!</definedName>
    <definedName name="DataRowRightAlignDark1" localSheetId="13" hidden="0" function="0" vbProcedure="0">#ref!</definedName>
    <definedName name="DataRowRightAlignDark10" localSheetId="13" hidden="0" function="0" vbProcedure="0">#ref!</definedName>
    <definedName name="DataRowRightAlignDark2" localSheetId="13" hidden="0" function="0" vbProcedure="0">#ref!</definedName>
    <definedName name="DataRowRightAlignDark3" localSheetId="13" hidden="0" function="0" vbProcedure="0">#ref!</definedName>
    <definedName name="DataRowRightAlignDark4" localSheetId="13" hidden="0" function="0" vbProcedure="0">#ref!</definedName>
    <definedName name="DataRowRightAlignDark5" localSheetId="13" hidden="0" function="0" vbProcedure="0">#ref!</definedName>
    <definedName name="DataRowRightAlignDark6" localSheetId="13" hidden="0" function="0" vbProcedure="0">#ref!</definedName>
    <definedName name="DataRowRightAlignDark7" localSheetId="13" hidden="0" function="0" vbProcedure="0">#ref!</definedName>
    <definedName name="DataRowRightAlignDark8" localSheetId="13" hidden="0" function="0" vbProcedure="0">#ref!</definedName>
    <definedName name="DataRowRightAlignDark9" localSheetId="13" hidden="0" function="0" vbProcedure="0">#ref!</definedName>
    <definedName name="DataRowRightAlignDarkItalics" localSheetId="13" hidden="0" function="0" vbProcedure="0">#ref!</definedName>
    <definedName name="DataRowRightAlignDarkItalics0" localSheetId="13" hidden="0" function="0" vbProcedure="0">#ref!</definedName>
    <definedName name="DataRowRightAlignDarkItalics1" localSheetId="13" hidden="0" function="0" vbProcedure="0">#ref!</definedName>
    <definedName name="DataRowRightAlignDarkItalics10" localSheetId="13" hidden="0" function="0" vbProcedure="0">#ref!</definedName>
    <definedName name="DataRowRightAlignDarkItalics2" localSheetId="13" hidden="0" function="0" vbProcedure="0">#ref!</definedName>
    <definedName name="DataRowRightAlignDarkItalics3" localSheetId="13" hidden="0" function="0" vbProcedure="0">#ref!</definedName>
    <definedName name="DataRowRightAlignDarkItalics4" localSheetId="13" hidden="0" function="0" vbProcedure="0">#ref!</definedName>
    <definedName name="DataRowRightAlignDarkItalics5" localSheetId="13" hidden="0" function="0" vbProcedure="0">#ref!</definedName>
    <definedName name="DataRowRightAlignDarkItalics6" localSheetId="13" hidden="0" function="0" vbProcedure="0">#ref!</definedName>
    <definedName name="DataRowRightAlignDarkItalics7" localSheetId="13" hidden="0" function="0" vbProcedure="0">#ref!</definedName>
    <definedName name="DataRowRightAlignDarkItalics8" localSheetId="13" hidden="0" function="0" vbProcedure="0">#ref!</definedName>
    <definedName name="DataRowRightAlignDarkItalics9" localSheetId="13" hidden="0" function="0" vbProcedure="0">#ref!</definedName>
    <definedName name="DataRowRightAlignLight" localSheetId="13" hidden="0" function="0" vbProcedure="0">#ref!</definedName>
    <definedName name="DataRowRightAlignLight0" localSheetId="13" hidden="0" function="0" vbProcedure="0">#ref!</definedName>
    <definedName name="DataRowRightAlignLight1" localSheetId="13" hidden="0" function="0" vbProcedure="0">#ref!</definedName>
    <definedName name="DataRowRightAlignLight10" localSheetId="13" hidden="0" function="0" vbProcedure="0">#ref!</definedName>
    <definedName name="DataRowRightAlignLight2" localSheetId="13" hidden="0" function="0" vbProcedure="0">#ref!</definedName>
    <definedName name="DataRowRightAlignLight3" localSheetId="13" hidden="0" function="0" vbProcedure="0">#ref!</definedName>
    <definedName name="DataRowRightAlignLight4" localSheetId="13" hidden="0" function="0" vbProcedure="0">#ref!</definedName>
    <definedName name="DataRowRightAlignLight5" localSheetId="13" hidden="0" function="0" vbProcedure="0">#ref!</definedName>
    <definedName name="DataRowRightAlignLight6" localSheetId="13" hidden="0" function="0" vbProcedure="0">#ref!</definedName>
    <definedName name="DataRowRightAlignLight7" localSheetId="13" hidden="0" function="0" vbProcedure="0">#ref!</definedName>
    <definedName name="DataRowRightAlignLight8" localSheetId="13" hidden="0" function="0" vbProcedure="0">#ref!</definedName>
    <definedName name="DataRowRightAlignLight9" localSheetId="13" hidden="0" function="0" vbProcedure="0">#ref!</definedName>
    <definedName name="DataRowRightAlignLightItalics" localSheetId="13" hidden="0" function="0" vbProcedure="0">#ref!</definedName>
    <definedName name="DataRowRightAlignLightItalics0" localSheetId="13" hidden="0" function="0" vbProcedure="0">#ref!</definedName>
    <definedName name="DataRowRightAlignLightItalics1" localSheetId="13" hidden="0" function="0" vbProcedure="0">#ref!</definedName>
    <definedName name="DataRowRightAlignLightItalics10" localSheetId="13" hidden="0" function="0" vbProcedure="0">#ref!</definedName>
    <definedName name="DataRowRightAlignLightItalics2" localSheetId="13" hidden="0" function="0" vbProcedure="0">#ref!</definedName>
    <definedName name="DataRowRightAlignLightItalics3" localSheetId="13" hidden="0" function="0" vbProcedure="0">#ref!</definedName>
    <definedName name="DataRowRightAlignLightItalics4" localSheetId="13" hidden="0" function="0" vbProcedure="0">#ref!</definedName>
    <definedName name="DataRowRightAlignLightItalics5" localSheetId="13" hidden="0" function="0" vbProcedure="0">#ref!</definedName>
    <definedName name="DataRowRightAlignLightItalics6" localSheetId="13" hidden="0" function="0" vbProcedure="0">#ref!</definedName>
    <definedName name="DataRowRightAlignLightItalics7" localSheetId="13" hidden="0" function="0" vbProcedure="0">#ref!</definedName>
    <definedName name="DataRowRightAlignLightItalics8" localSheetId="13" hidden="0" function="0" vbProcedure="0">#ref!</definedName>
    <definedName name="DataRowRightAlignLightItalics9" localSheetId="13" hidden="0" function="0" vbProcedure="0">#ref!</definedName>
    <definedName name="DataStart" localSheetId="13" hidden="0" function="0" vbProcedure="0">!#ref!</definedName>
    <definedName name="datatable" localSheetId="13" hidden="0" function="0" vbProcedure="0">#ref!</definedName>
    <definedName name="datatabledb" localSheetId="13" hidden="0" function="0" vbProcedure="0">#ref!</definedName>
    <definedName name="datatableslb" localSheetId="13" hidden="0" function="0" vbProcedure="0">#ref!</definedName>
    <definedName name="Data_Ranges" localSheetId="13" hidden="0" function="0" vbProcedure="0">[63]auf_screen!#ref!</definedName>
    <definedName name="Date" localSheetId="13" hidden="0" function="0" vbProcedure="0">#ref!</definedName>
    <definedName name="DateFd" localSheetId="13" hidden="0" function="0" vbProcedure="0">#ref!</definedName>
    <definedName name="DAVCO" localSheetId="13" hidden="0" function="0" vbProcedure="0">#ref!</definedName>
    <definedName name="daysoff" localSheetId="13" hidden="0" function="0" vbProcedure="0">#ref!</definedName>
    <definedName name="DC" localSheetId="13" hidden="0" function="0" vbProcedure="0">'[44]7-30-04'!$GO$7457</definedName>
    <definedName name="dcicbbls" localSheetId="13" hidden="0" function="0" vbProcedure="0">#ref!</definedName>
    <definedName name="dcohbbls" localSheetId="13" hidden="0" function="0" vbProcedure="0">#ref!</definedName>
    <definedName name="dcohft" localSheetId="13" hidden="0" function="0" vbProcedure="0">#ref!</definedName>
    <definedName name="dd" localSheetId="13" hidden="0" function="0" vbProcedure="0">null</definedName>
    <definedName name="Dd1_Name" localSheetId="13" hidden="0" function="0" vbProcedure="0">#ref!</definedName>
    <definedName name="Dd2_Name" localSheetId="13" hidden="0" function="0" vbProcedure="0">#ref!</definedName>
    <definedName name="dddd" localSheetId="13" hidden="0" function="0" vbProcedure="0">[148]试油成果记录!#ref!</definedName>
    <definedName name="decdhm" localSheetId="13" hidden="0" function="0" vbProcedure="0">'[133]Personal Expense Dec-95 (MH)'!$K$5</definedName>
    <definedName name="decdlr" localSheetId="13" hidden="0" function="0" vbProcedure="0">'[133]Personal Expense Dec-95 (MH)'!$H$5</definedName>
    <definedName name="decfrc" localSheetId="13" hidden="0" function="0" vbProcedure="0">'[133]Personal Expense Dec-95 (MH)'!$I$5</definedName>
    <definedName name="decpnd" localSheetId="13" hidden="0" function="0" vbProcedure="0">'[133]Personal Expense Dec-95 (MH)'!$G$5</definedName>
    <definedName name="decrl" localSheetId="13" hidden="0" function="0" vbProcedure="0">'[133]Personal Expense Dec-95 (MH)'!$J$5</definedName>
    <definedName name="decrup" localSheetId="13" hidden="0" function="0" vbProcedure="0">'[133]Personal Expense Dec-95 (MH)'!$L$5</definedName>
    <definedName name="decrupees" localSheetId="13" hidden="0" function="0" vbProcedure="0">'[133]Cash Expense December-95'!$H$6</definedName>
    <definedName name="Delay" localSheetId="13" hidden="0" function="0" vbProcedure="0">#ref!</definedName>
    <definedName name="DelayDual1" localSheetId="13" hidden="0" function="0" vbProcedure="0">#ref!</definedName>
    <definedName name="DelayDual2" localSheetId="13" hidden="0" function="0" vbProcedure="0">#ref!</definedName>
    <definedName name="deliveredto" localSheetId="13" hidden="0" function="0" vbProcedure="0">'[33]data '!#ref!</definedName>
    <definedName name="deliverto" localSheetId="13" hidden="0" function="0" vbProcedure="0">[57]data!#ref!</definedName>
    <definedName name="delma" localSheetId="13" hidden="0" function="0" vbProcedure="0">[151]!JointNumber</definedName>
    <definedName name="DEM" localSheetId="13" hidden="0" function="0" vbProcedure="0">[182]Reference!$F$2:$F$3</definedName>
    <definedName name="DENG" localSheetId="13" hidden="0" function="0" vbProcedure="0">[182]Reference!$B$2:$B$12</definedName>
    <definedName name="DepthIn" localSheetId="13" hidden="0" function="0" vbProcedure="0">#ref!</definedName>
    <definedName name="DepthInput" localSheetId="13" hidden="0" function="0" vbProcedure="0">#ref!</definedName>
    <definedName name="DepthInUnits" localSheetId="13" hidden="0" function="0" vbProcedure="0">#ref!</definedName>
    <definedName name="depthlblstring" localSheetId="13" hidden="0" function="0" vbProcedure="0">#ref!</definedName>
    <definedName name="DepthOut" localSheetId="13" hidden="0" function="0" vbProcedure="0">#ref!</definedName>
    <definedName name="DepthOutUnits" localSheetId="13" hidden="0" function="0" vbProcedure="0">#ref!</definedName>
    <definedName name="DepthRefString" localSheetId="13" hidden="0" function="0" vbProcedure="0">#ref!</definedName>
    <definedName name="DepthUnit" localSheetId="13" hidden="0" function="0" vbProcedure="0">#ref!</definedName>
    <definedName name="Depth_In" localSheetId="13" hidden="0" function="0" vbProcedure="0">#ref!</definedName>
    <definedName name="Depth_Out" localSheetId="13" hidden="0" function="0" vbProcedure="0">#ref!</definedName>
    <definedName name="DEPTH_TAGGED_PREPACK" localSheetId="13" hidden="0" function="0" vbProcedure="0">'[113]#REF'!$F$80</definedName>
    <definedName name="DEQ" localSheetId="13" hidden="0" function="0" vbProcedure="0">'[38]final tally '!deq</definedName>
    <definedName name="Description1db" localSheetId="13" hidden="0" function="0" vbProcedure="0">#ref!</definedName>
    <definedName name="Description1slb" localSheetId="13" hidden="0" function="0" vbProcedure="0">#ref!</definedName>
    <definedName name="Description2db" localSheetId="13" hidden="0" function="0" vbProcedure="0">#ref!</definedName>
    <definedName name="Description2slb" localSheetId="13" hidden="0" function="0" vbProcedure="0">#ref!</definedName>
    <definedName name="descriptionstring" localSheetId="13" hidden="0" function="0" vbProcedure="0">#ref!</definedName>
    <definedName name="designpressurelimitsstringlbl" localSheetId="13" hidden="0" function="0" vbProcedure="0">#ref!</definedName>
    <definedName name="designtempstringlbl" localSheetId="13" hidden="0" function="0" vbProcedure="0">#ref!</definedName>
    <definedName name="designtensilelimitsstringlbl" localSheetId="13" hidden="0" function="0" vbProcedure="0">#ref!</definedName>
    <definedName name="Desired_Set_Down" localSheetId="13" hidden="0" function="0" vbProcedure="0">'[108]Packer Calculation Sheet'!$G$47</definedName>
    <definedName name="Dev" localSheetId="13" hidden="0" function="0" vbProcedure="0">'[11]Liner Job Info'!$D$30</definedName>
    <definedName name="DevFd" localSheetId="13" hidden="0" function="0" vbProcedure="0">#ref!</definedName>
    <definedName name="DEVIATION" localSheetId="13" hidden="0" function="0" vbProcedure="0">'[113]#REF'!$F$24</definedName>
    <definedName name="DeviationFd" localSheetId="13" hidden="0" function="0" vbProcedure="0">#ref!</definedName>
    <definedName name="dftg" localSheetId="13" hidden="0" function="0" vbProcedure="0">'[134]井口装置示意图-4'!$E$1:$E$65536</definedName>
    <definedName name="DHT" localSheetId="13" hidden="0" function="0" vbProcedure="0">#ref!</definedName>
    <definedName name="DHWS_BB1373" localSheetId="13" hidden="1" function="0" vbProcedure="0">#ref!</definedName>
    <definedName name="DiameterConversion" localSheetId="13" hidden="0" function="0" vbProcedure="0">[94]Lists!$AD$3</definedName>
    <definedName name="DiamUnit" localSheetId="13" hidden="0" function="0" vbProcedure="0">#ref!</definedName>
    <definedName name="DIESEL" localSheetId="13" hidden="0" function="0" vbProcedure="0">#ref!</definedName>
    <definedName name="Diff_Across_Ball" localSheetId="13" hidden="0" function="0" vbProcedure="0">'[108]Tester Valve Calcs'!$F$30</definedName>
    <definedName name="DigitNumber" localSheetId="13" hidden="0" function="0" vbProcedure="0">#ref!</definedName>
    <definedName name="Digit_Time" localSheetId="13" hidden="0" function="0" vbProcedure="0">#ref!</definedName>
    <definedName name="DipAngle" localSheetId="13" hidden="0" function="0" vbProcedure="0">#ref!</definedName>
    <definedName name="Disp._Fluid_Type" localSheetId="13" hidden="0" function="0" vbProcedure="0">'[108]Pre-Job Info Sheet'!$D$37</definedName>
    <definedName name="Disp._Fluid_Weight" localSheetId="13" hidden="0" function="0" vbProcedure="0">'[108]Pre-Job Info Sheet'!$D$38</definedName>
    <definedName name="Displacement" localSheetId="13" hidden="0" function="0" vbProcedure="0">[11]DATA!$AJ$2:$AJ$12</definedName>
    <definedName name="DisplacementMethod" localSheetId="13" hidden="0" function="0" vbProcedure="0">[11]DATA!$AS$2:$AS$4</definedName>
    <definedName name="DisplayFormat" localSheetId="13" hidden="0" function="0" vbProcedure="0">#ref!</definedName>
    <definedName name="DispP1a" localSheetId="13" hidden="0" function="0" vbProcedure="0">#ref!</definedName>
    <definedName name="DispP1b" localSheetId="13" hidden="0" function="0" vbProcedure="0">#ref!</definedName>
    <definedName name="DispP1c" localSheetId="13" hidden="0" function="0" vbProcedure="0">#ref!</definedName>
    <definedName name="DispP1d" localSheetId="13" hidden="0" function="0" vbProcedure="0">#ref!</definedName>
    <definedName name="DispP1e" localSheetId="13" hidden="0" function="0" vbProcedure="0">#ref!</definedName>
    <definedName name="DispS1a" localSheetId="13" hidden="0" function="0" vbProcedure="0">#ref!</definedName>
    <definedName name="DispS1b" localSheetId="13" hidden="0" function="0" vbProcedure="0">#ref!</definedName>
    <definedName name="DispS1c" localSheetId="13" hidden="0" function="0" vbProcedure="0">#ref!</definedName>
    <definedName name="DispS1d" localSheetId="13" hidden="0" function="0" vbProcedure="0">#ref!</definedName>
    <definedName name="DispS1e" localSheetId="13" hidden="0" function="0" vbProcedure="0">#ref!</definedName>
    <definedName name="Disp_Fluid_Wt" localSheetId="13" hidden="0" function="0" vbProcedure="0">'[108]Job Calculation Sheet'!$D$30</definedName>
    <definedName name="District" localSheetId="13" hidden="0" function="0" vbProcedure="0">'[30]Liner Job Info'!$O$4</definedName>
    <definedName name="DistrictPh" localSheetId="13" hidden="0" function="0" vbProcedure="0">'[94]Job Technical Info'!$G$11</definedName>
    <definedName name="Districts" localSheetId="13" hidden="0" function="0" vbProcedure="0">[11]DATA!$A$6:$A$437</definedName>
    <definedName name="Dist_Orient_Mode_1" localSheetId="13" hidden="0" function="0" vbProcedure="0">#ref!</definedName>
    <definedName name="Dist_Orient_Mode_1_Name" localSheetId="13" hidden="0" function="0" vbProcedure="0">#ref!</definedName>
    <definedName name="Dist_Orient_Mode_2" localSheetId="13" hidden="0" function="0" vbProcedure="0">#ref!</definedName>
    <definedName name="Dist_Orient_Mode_2_Name" localSheetId="13" hidden="0" function="0" vbProcedure="0">#ref!</definedName>
    <definedName name="Dist_Rotating" localSheetId="13" hidden="0" function="0" vbProcedure="0">#ref!</definedName>
    <definedName name="Dist_Steering" localSheetId="13" hidden="0" function="0" vbProcedure="0">#ref!</definedName>
    <definedName name="diverterlbs" localSheetId="13" hidden="0" function="0" vbProcedure="0">[5]WTR!$G$59</definedName>
    <definedName name="DIV_MIX_RATIO" localSheetId="13" hidden="0" function="0" vbProcedure="0">'[113]#REF'!$K$55</definedName>
    <definedName name="dk" localSheetId="13" hidden="1" function="0" vbProcedure="0">#ref!</definedName>
    <definedName name="DL" localSheetId="13" hidden="0" function="0" vbProcedure="0">[107]Piston!$F$21</definedName>
    <definedName name="Dlead" localSheetId="13" hidden="0" function="0" vbProcedure="0">#ref!</definedName>
    <definedName name="DLR" localSheetId="13" hidden="0" function="0" vbProcedure="0">#ref!</definedName>
    <definedName name="DLS_Column" localSheetId="13" hidden="0" function="0" vbProcedure="0">!#ref!</definedName>
    <definedName name="DLS_CompMethod" localSheetId="13" hidden="0" function="0" vbProcedure="0">#ref!</definedName>
    <definedName name="DLS_Unit" localSheetId="13" hidden="0" function="0" vbProcedure="0">#ref!</definedName>
    <definedName name="Dmsl" localSheetId="13" hidden="0" function="0" vbProcedure="0">#ref!</definedName>
    <definedName name="do" localSheetId="13" hidden="0" function="0" vbProcedure="0">[151]!JointNumber</definedName>
    <definedName name="docNum" localSheetId="13" hidden="0" function="0" vbProcedure="0">[49]Revision_History!$G$6&amp;" "&amp;[49]Revision_History!$H$6</definedName>
    <definedName name="DocRev" localSheetId="13" hidden="0" function="0" vbProcedure="0">#ref!</definedName>
    <definedName name="DocTitle" localSheetId="13" hidden="0" function="0" vbProcedure="0">'[94]Job Technical Info'!$C$2</definedName>
    <definedName name="Doc_Rev" localSheetId="13" hidden="0" function="0" vbProcedure="0">'[30]Liner Job Info'!$A$2</definedName>
    <definedName name="DP1_Cap" localSheetId="13" hidden="0" function="0" vbProcedure="0">'[11]Liner Job Info'!$G$22</definedName>
    <definedName name="DP1_conn" localSheetId="13" hidden="0" function="0" vbProcedure="0">'[130]Liner Job Info'!$J$22</definedName>
    <definedName name="DP1_Grd" localSheetId="13" hidden="0" function="0" vbProcedure="0">'[130]Liner Job Info'!$F$22</definedName>
    <definedName name="DP1_ID" localSheetId="13" hidden="0" function="0" vbProcedure="0">'[11]Liner Job Info'!$E$22</definedName>
    <definedName name="DP1_Leng" localSheetId="13" hidden="0" function="0" vbProcedure="0">'[130]Metric Conversions'!$B$20</definedName>
    <definedName name="DP1_MYS" localSheetId="13" hidden="0" function="0" vbProcedure="0">'[11]Liner Job Info'!$AD$31</definedName>
    <definedName name="DP1_OD" localSheetId="13" hidden="0" function="0" vbProcedure="0">'[130]Liner Job Info'!$C$22</definedName>
    <definedName name="DP1_Tens" localSheetId="13" hidden="0" function="0" vbProcedure="0">'[11]Liner Job Info'!$M$22</definedName>
    <definedName name="DP1_Wt_inmud" localSheetId="13" hidden="0" function="0" vbProcedure="0">'[11]Weight Calculations'!$H$8</definedName>
    <definedName name="DP1_Wt_Per_Ft" localSheetId="13" hidden="0" function="0" vbProcedure="0">'[130]Liner Job Info'!$D$22</definedName>
    <definedName name="DP2_Cap" localSheetId="13" hidden="0" function="0" vbProcedure="0">'[11]Liner Job Info'!$G$23</definedName>
    <definedName name="DP2_conn" localSheetId="13" hidden="0" function="0" vbProcedure="0">'[130]Liner Job Info'!$J$23</definedName>
    <definedName name="DP2_Cross_Sect" localSheetId="13" hidden="0" function="0" vbProcedure="0">'[49]liner job info'!#ref!</definedName>
    <definedName name="DP2_Grd" localSheetId="13" hidden="0" function="0" vbProcedure="0">'[130]Liner Job Info'!$F$23</definedName>
    <definedName name="DP2_ID" localSheetId="13" hidden="0" function="0" vbProcedure="0">'[11]Liner Job Info'!$E$23</definedName>
    <definedName name="DP2_Leng" localSheetId="13" hidden="0" function="0" vbProcedure="0">'[130]Metric Conversions'!$B$21</definedName>
    <definedName name="DP2_MYS" localSheetId="13" hidden="0" function="0" vbProcedure="0">'[11]Liner Job Info'!$AD$32</definedName>
    <definedName name="DP2_OD" localSheetId="13" hidden="0" function="0" vbProcedure="0">'[130]Liner Job Info'!$C$23</definedName>
    <definedName name="DP2_Tens" localSheetId="13" hidden="0" function="0" vbProcedure="0">'[11]Liner Job Info'!$M$23</definedName>
    <definedName name="DP2_Wt_inmud" localSheetId="13" hidden="0" function="0" vbProcedure="0">'[11]Weight Calculations'!$H$9</definedName>
    <definedName name="DP2_Wt_Per_Ft" localSheetId="13" hidden="0" function="0" vbProcedure="0">'[130]Liner Job Info'!$D$23</definedName>
    <definedName name="DP3_bbl_per_ft" localSheetId="13" hidden="0" function="0" vbProcedure="0">'[49]liner job info'!#ref!</definedName>
    <definedName name="DP3_Cap" localSheetId="13" hidden="0" function="0" vbProcedure="0">'[11]Liner Job Info'!$G$24</definedName>
    <definedName name="DP3_COnn" localSheetId="13" hidden="0" function="0" vbProcedure="0">'[130]Liner Job Info'!$J$24</definedName>
    <definedName name="DP3_Grd" localSheetId="13" hidden="0" function="0" vbProcedure="0">'[130]Liner Job Info'!$F$24</definedName>
    <definedName name="DP3_ID" localSheetId="13" hidden="0" function="0" vbProcedure="0">'[11]Liner Job Info'!$E$24</definedName>
    <definedName name="DP3_Leng" localSheetId="13" hidden="0" function="0" vbProcedure="0">'[130]Metric Conversions'!$B$22</definedName>
    <definedName name="DP3_MYS" localSheetId="13" hidden="0" function="0" vbProcedure="0">'[11]Liner Job Info'!$AD$33</definedName>
    <definedName name="DP3_OD" localSheetId="13" hidden="0" function="0" vbProcedure="0">'[130]Liner Job Info'!$C$24</definedName>
    <definedName name="DP3_Tens" localSheetId="13" hidden="0" function="0" vbProcedure="0">'[11]Liner Job Info'!$M$24</definedName>
    <definedName name="DP3_Wt_inmud" localSheetId="13" hidden="0" function="0" vbProcedure="0">'[11]Weight Calculations'!$H$10</definedName>
    <definedName name="DP3_Wt_Per_Ft" localSheetId="13" hidden="0" function="0" vbProcedure="0">'[130]Liner Job Info'!$D$24</definedName>
    <definedName name="DP4_Cap" localSheetId="13" hidden="0" function="0" vbProcedure="0">'[11]Liner Job Info'!$G$25</definedName>
    <definedName name="DP4_COnn" localSheetId="13" hidden="0" function="0" vbProcedure="0">'[130]Liner Job Info'!$J$25</definedName>
    <definedName name="DP4_Grd" localSheetId="13" hidden="0" function="0" vbProcedure="0">'[130]Liner Job Info'!$F$25</definedName>
    <definedName name="DP4_ID" localSheetId="13" hidden="0" function="0" vbProcedure="0">'[11]Liner Job Info'!$E$25</definedName>
    <definedName name="DP4_Leng" localSheetId="13" hidden="0" function="0" vbProcedure="0">'[130]Metric Conversions'!$B$23</definedName>
    <definedName name="DP4_MYS" localSheetId="13" hidden="0" function="0" vbProcedure="0">'[11]Liner Job Info'!$AD$34</definedName>
    <definedName name="DP4_OD" localSheetId="13" hidden="0" function="0" vbProcedure="0">'[130]Liner Job Info'!$C$25</definedName>
    <definedName name="DP4_Tens" localSheetId="13" hidden="0" function="0" vbProcedure="0">'[11]Liner Job Info'!$M$25</definedName>
    <definedName name="DP4_Wt_inmud" localSheetId="13" hidden="0" function="0" vbProcedure="0">'[11]Weight Calculations'!$H$11</definedName>
    <definedName name="DP4_Wt_Per_Ft" localSheetId="13" hidden="0" function="0" vbProcedure="0">'[130]Liner Job Info'!$D$25</definedName>
    <definedName name="DP5_bbl_per_ft" localSheetId="13" hidden="0" function="0" vbProcedure="0">'[11]Liner Job Info'!$AT$73</definedName>
    <definedName name="DP5_COnn" localSheetId="13" hidden="0" function="0" vbProcedure="0">'[130]Liner Job Info'!$J$26</definedName>
    <definedName name="DP5_Grd" localSheetId="13" hidden="0" function="0" vbProcedure="0">'[130]Liner Job Info'!$F$26</definedName>
    <definedName name="DP5_ID" localSheetId="13" hidden="0" function="0" vbProcedure="0">'[11]Liner Job Info'!$E$26</definedName>
    <definedName name="DP5_Leng" localSheetId="13" hidden="0" function="0" vbProcedure="0">'[130]Metric Conversions'!$B$24</definedName>
    <definedName name="DP5_MYS" localSheetId="13" hidden="0" function="0" vbProcedure="0">'[11]Liner Job Info'!$AD$35</definedName>
    <definedName name="DP5_OD" localSheetId="13" hidden="0" function="0" vbProcedure="0">'[130]Liner Job Info'!$C$26</definedName>
    <definedName name="DP5_Tens" localSheetId="13" hidden="0" function="0" vbProcedure="0">'[11]Liner Job Info'!$M$26</definedName>
    <definedName name="DP5_Wt_inmud" localSheetId="13" hidden="0" function="0" vbProcedure="0">'[11]Weight Calculations'!$H$12</definedName>
    <definedName name="DP5_Wt_Per_Ft" localSheetId="13" hidden="0" function="0" vbProcedure="0">'[130]Liner Job Info'!$D$26</definedName>
    <definedName name="dpdt" localSheetId="13" hidden="0" function="0" vbProcedure="0">'[136]WCT-Ft'!$Q$4:$X$18</definedName>
    <definedName name="DPi" localSheetId="13" hidden="0" function="0" vbProcedure="0">[107]Piston!$F$10</definedName>
    <definedName name="DPia" localSheetId="13" hidden="0" function="0" vbProcedure="0">[107]Balooning!$F$9</definedName>
    <definedName name="dpicbbls" localSheetId="13" hidden="0" function="0" vbProcedure="0">#ref!</definedName>
    <definedName name="DPNumber_35" localSheetId="13" hidden="0" function="0" vbProcedure="0">'[137]DP Length'!$A$3:$A$1000</definedName>
    <definedName name="DPNumber_5" localSheetId="13" hidden="0" function="0" vbProcedure="0">'[137]DP Length'!$C$3:$C$1000</definedName>
    <definedName name="DPo" localSheetId="13" hidden="0" function="0" vbProcedure="0">[107]Piston!$F$11</definedName>
    <definedName name="DPoa" localSheetId="13" hidden="0" function="0" vbProcedure="0">[107]Balooning!$F$10</definedName>
    <definedName name="dpohbbls" localSheetId="13" hidden="0" function="0" vbProcedure="0">#ref!</definedName>
    <definedName name="dpohft" localSheetId="13" hidden="0" function="0" vbProcedure="0">#ref!</definedName>
    <definedName name="DPTTL_HYD_LENTH" localSheetId="13" hidden="0" function="0" vbProcedure="0">'[11]Weight Calculations'!$F$46</definedName>
    <definedName name="DP_Plus_Block" localSheetId="13" hidden="0" function="0" vbProcedure="0">'[11]Weight Calculations'!$H$15</definedName>
    <definedName name="DP_PSI" localSheetId="13" hidden="0" function="0" vbProcedure="0">'[11]Metric Conversions'!$B$49</definedName>
    <definedName name="DP_SF" localSheetId="13" hidden="0" function="0" vbProcedure="0">'[11]Liner Job Info'!$R$27</definedName>
    <definedName name="DRAFT" localSheetId="13" hidden="0" function="0" vbProcedure="0">'[2]run sheet'!#ref!</definedName>
    <definedName name="drawblanks" localSheetId="13" hidden="0" function="0" vbProcedure="0">'[38]final tally '!drawblanks</definedName>
    <definedName name="drawlinerfirst" localSheetId="13" hidden="0" function="0" vbProcedure="0">'[38]final tally '!drawlinerfirst</definedName>
    <definedName name="drawlinersecond" localSheetId="13" hidden="0" function="0" vbProcedure="0">'[38]final tally '!drawlinersecond</definedName>
    <definedName name="drawmiscellaneous" localSheetId="13" hidden="0" function="0" vbProcedure="0">'[38]final tally '!drawmiscellaneous</definedName>
    <definedName name="drawproductionfirst" localSheetId="13" hidden="0" function="0" vbProcedure="0">'[38]final tally '!drawproductionfirst</definedName>
    <definedName name="drawproductionsecond" localSheetId="13" hidden="0" function="0" vbProcedure="0">'[38]final tally '!drawproductionsecond</definedName>
    <definedName name="drawquantum" localSheetId="13" hidden="0" function="0" vbProcedure="0">'[38]final tally '!drawquantum</definedName>
    <definedName name="drawscreens" localSheetId="13" hidden="0" function="0" vbProcedure="0">'[38]final tally '!drawscreens</definedName>
    <definedName name="drawshearsubs" localSheetId="13" hidden="0" function="0" vbProcedure="0">'[38]final tally '!drawshearsubs</definedName>
    <definedName name="drawsump" localSheetId="13" hidden="0" function="0" vbProcedure="0">'[38]final tally '!drawsump</definedName>
    <definedName name="draw_blanks" localSheetId="13" hidden="0" function="0" vbProcedure="0">'[38]final tally '!draw_blanks</definedName>
    <definedName name="draw_linerfirst" localSheetId="13" hidden="0" function="0" vbProcedure="0">'[38]final tally '!draw_linerfirst</definedName>
    <definedName name="draw_linersecond" localSheetId="13" hidden="0" function="0" vbProcedure="0">'[38]final tally '!draw_linersecond</definedName>
    <definedName name="draw_miscellaneous" localSheetId="13" hidden="0" function="0" vbProcedure="0">'[38]final tally '!draw_miscellaneous</definedName>
    <definedName name="draw_productionfirst" localSheetId="13" hidden="0" function="0" vbProcedure="0">'[38]final tally '!draw_productionfirst</definedName>
    <definedName name="draw_productionsecond" localSheetId="13" hidden="0" function="0" vbProcedure="0">'[38]final tally '!draw_productionsecond</definedName>
    <definedName name="draw_quantum" localSheetId="13" hidden="0" function="0" vbProcedure="0">'[38]final tally '!draw_quantum</definedName>
    <definedName name="draw_screens" localSheetId="13" hidden="0" function="0" vbProcedure="0">'[38]final tally '!draw_screens</definedName>
    <definedName name="draw_shearsubs" localSheetId="13" hidden="0" function="0" vbProcedure="0">'[38]final tally '!draw_shearsubs</definedName>
    <definedName name="draw_sump" localSheetId="13" hidden="0" function="0" vbProcedure="0">'[38]final tally '!draw_sump</definedName>
    <definedName name="DRILLER" localSheetId="13" hidden="0" function="0" vbProcedure="0">#ref!</definedName>
    <definedName name="DRILLER2" localSheetId="13" hidden="0" function="0" vbProcedure="0">[162]!Calculate_Pipe</definedName>
    <definedName name="Drillpipesize" localSheetId="13" hidden="0" function="0" vbProcedure="0">[11]DATA!$X$2:$X$10</definedName>
    <definedName name="Drillpipetype" localSheetId="13" hidden="0" function="0" vbProcedure="0">[11]DATA!$AA$2:$AA$6</definedName>
    <definedName name="Drillpipeweight" localSheetId="13" hidden="0" function="0" vbProcedure="0">[11]DATA!$Z$2:$Z$36</definedName>
    <definedName name="DrillSiteOrWellPad" localSheetId="13" hidden="0" function="0" vbProcedure="0">#ref!</definedName>
    <definedName name="Druckbereich_MI" localSheetId="13" hidden="0" function="0" vbProcedure="0">'[138]Dev-Baker'!$A$1:$J$46</definedName>
    <definedName name="Druckbereich_S3" localSheetId="13" hidden="0" function="0" vbProcedure="0">'[165]run_s.xls'!#ref!</definedName>
    <definedName name="Dshoe" localSheetId="13" hidden="0" function="0" vbProcedure="0">#ref!</definedName>
    <definedName name="dstrcap1" localSheetId="13" hidden="0" function="0" vbProcedure="0">#ref!</definedName>
    <definedName name="dstrcap2" localSheetId="13" hidden="0" function="0" vbProcedure="0">#ref!</definedName>
    <definedName name="DSTWeight" localSheetId="13" hidden="0" function="0" vbProcedure="0">#ref!</definedName>
    <definedName name="Dtail" localSheetId="13" hidden="0" function="0" vbProcedure="0">#ref!</definedName>
    <definedName name="dtr" localSheetId="13" hidden="0" function="0" vbProcedure="0">'[115]Max-Torq'!$P$77</definedName>
    <definedName name="DU" localSheetId="13" hidden="0" function="0" vbProcedure="0">#ref!</definedName>
    <definedName name="DualTally" localSheetId="13" hidden="0" function="0" vbProcedure="0">#ref!</definedName>
    <definedName name="DUCF" localSheetId="13" hidden="0" function="0" vbProcedure="0">#ref!</definedName>
    <definedName name="DWS" localSheetId="13" hidden="0" function="0" vbProcedure="0">'[111]DWS2023'!$A$4:$AD$257</definedName>
    <definedName name="D_I" localSheetId="13" hidden="0" function="0" vbProcedure="0">#ref!</definedName>
    <definedName name="D_t" localSheetId="13" hidden="0" function="0" vbProcedure="0">#ref!</definedName>
    <definedName name="D_t_pt" localSheetId="13" hidden="0" function="0" vbProcedure="0">#ref!</definedName>
    <definedName name="D_t_te" localSheetId="13" hidden="0" function="0" vbProcedure="0">#ref!</definedName>
    <definedName name="D_t_yp" localSheetId="13" hidden="0" function="0" vbProcedure="0">#ref!</definedName>
    <definedName name="E" localSheetId="13" hidden="0" function="0" vbProcedure="0">#ref!</definedName>
    <definedName name="EastingColumn" localSheetId="13" hidden="0" function="0" vbProcedure="0">!#ref!</definedName>
    <definedName name="EastingUnit" localSheetId="13" hidden="0" function="0" vbProcedure="0">#ref!</definedName>
    <definedName name="ED" localSheetId="13" hidden="0" function="0" vbProcedure="0">[75]!Calculate_Pipe</definedName>
    <definedName name="edd" localSheetId="13" hidden="0" function="0" vbProcedure="0">[167]!Calculate_Pipe</definedName>
    <definedName name="Eff_Date" localSheetId="13" hidden="0" function="0" vbProcedure="0">'[94]Job Technical Info'!$L$3</definedName>
    <definedName name="efwrf" localSheetId="13" hidden="0" function="0" vbProcedure="0">#ref!</definedName>
    <definedName name="EJYETYJEJ" localSheetId="13" hidden="0" function="0" vbProcedure="0">'[38]final tally '!ejyetyjej</definedName>
    <definedName name="EKIKO2" localSheetId="13" hidden="0" function="0" vbProcedure="0">#ref!</definedName>
    <definedName name="Element_Rating" localSheetId="13" hidden="0" function="0" vbProcedure="0">'[11]Metric Conversions'!$B$57</definedName>
    <definedName name="Elevation" localSheetId="13" hidden="0" function="0" vbProcedure="0">#ref!</definedName>
    <definedName name="ElevationReference" localSheetId="13" hidden="0" function="0" vbProcedure="0">#ref!</definedName>
    <definedName name="emilia" localSheetId="13" hidden="0" function="0" vbProcedure="0">'[30]calculo de gas total'!#ref!</definedName>
    <definedName name="Empty" localSheetId="13" hidden="0" function="0" vbProcedure="0">[63]auf_screen!#ref!</definedName>
    <definedName name="EmptyRow" localSheetId="13" hidden="0" function="0" vbProcedure="0">#ref!</definedName>
    <definedName name="equipmenttype" localSheetId="13" hidden="0" function="0" vbProcedure="0">[57]data!#ref!</definedName>
    <definedName name="erg" localSheetId="13" hidden="0" function="0" vbProcedure="0">#ref!</definedName>
    <definedName name="error" localSheetId="13" hidden="0" function="0" vbProcedure="0">[106]Data!$F$10</definedName>
    <definedName name="ertert" localSheetId="13" hidden="0" function="0" vbProcedure="0">[171]试压!#ref!</definedName>
    <definedName name="ESTPSjobs" localSheetId="13" hidden="0" function="0" vbProcedure="0">[63]auf_screen!#ref!</definedName>
    <definedName name="ES_Jobs" localSheetId="13" hidden="0" function="0" vbProcedure="0">[63]auf_screen!#ref!,[63]auf_screen!#ref!,[63]auf_screen!#ref!,[63]auf_screen!#ref!,[63]auf_screen!#ref!,[63]auf_screen!#ref!,[63]auf_screen!#ref!,[63]auf_screen!#ref!,[63]auf_screen!#ref!</definedName>
    <definedName name="ES_pricelist" localSheetId="13" hidden="0" function="0" vbProcedure="0">[139]Pricelist!$A$8:$B$18</definedName>
    <definedName name="ew" localSheetId="13" hidden="0" function="0" vbProcedure="0">#ref!</definedName>
    <definedName name="EW_Column" localSheetId="13" hidden="0" function="0" vbProcedure="0">!#ref!</definedName>
    <definedName name="EW_Unit" localSheetId="13" hidden="0" function="0" vbProcedure="0">#ref!</definedName>
    <definedName name="ex" localSheetId="13" hidden="0" function="0" vbProcedure="0">[151]!JointNumber</definedName>
    <definedName name="exceedlimit" localSheetId="13" hidden="0" function="0" vbProcedure="0">#ref!</definedName>
    <definedName name="Expansion" localSheetId="13" hidden="0" function="0" vbProcedure="0">#ref!</definedName>
    <definedName name="Expected_Job_Date" localSheetId="13" hidden="0" function="0" vbProcedure="0">'[108]Pre-Job Info Sheet'!$D$5</definedName>
    <definedName name="ExpJobDesig" localSheetId="13" hidden="0" function="0" vbProcedure="0">#ref!</definedName>
    <definedName name="ExplosiveData" localSheetId="13" hidden="0" function="0" vbProcedure="0">#ref!</definedName>
    <definedName name="ExplosiveData1to2" localSheetId="13" hidden="0" function="0" vbProcedure="0">#ref!</definedName>
    <definedName name="ExplosiveType" localSheetId="13" hidden="0" function="0" vbProcedure="0">#ref!</definedName>
    <definedName name="Explosive_Type" localSheetId="13" hidden="0" function="0" vbProcedure="0">'[108]TCP-BHA'!$E$7</definedName>
    <definedName name="EXP_1" localSheetId="13" hidden="0" function="0" vbProcedure="0">INDEX([111]DRAW!$A$2:$B$13,MATCH([112]AUTO_DHWS!$AV$7,[111]DRAW!$A$2:$A$13,0),2)</definedName>
    <definedName name="Externalvolstring" localSheetId="13" hidden="0" function="0" vbProcedure="0">#ref!</definedName>
    <definedName name="Extra" localSheetId="13" hidden="0" function="0" vbProcedure="0">#ref!</definedName>
    <definedName name="ExtraPressure" localSheetId="13" hidden="0" function="0" vbProcedure="0">#ref!</definedName>
    <definedName name="EXT_LENGTH" localSheetId="13" hidden="0" function="0" vbProcedure="0">'[7]#ref'!#ref!</definedName>
    <definedName name="F" localSheetId="13" hidden="0" function="0" vbProcedure="0">[140]Parts!$A$1:$I$65536</definedName>
    <definedName name="fasc" localSheetId="13" hidden="0" function="0" vbProcedure="0">#ref!</definedName>
    <definedName name="FB" localSheetId="13" hidden="0" function="0" vbProcedure="0">[177]!Calculate_Pipe</definedName>
    <definedName name="fdg" localSheetId="13" hidden="0" function="0" vbProcedure="0">[119]钻井日报表!$G$7</definedName>
    <definedName name="februpees" localSheetId="13" hidden="0" function="0" vbProcedure="0">'[141]Cash Expense March-96'!$H$6</definedName>
    <definedName name="fe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3" hidden="0" function="0" vbProcedure="0">'[38]final tally '!fewfw</definedName>
    <definedName name="fff" localSheetId="13" hidden="0" function="0" vbProcedure="0">'[38]final tally '!fff</definedName>
    <definedName name="ffff" localSheetId="13" hidden="0" function="0" vbProcedure="0">[181]!Prev.Macro113</definedName>
    <definedName name="fgm" localSheetId="13" hidden="0" function="0" vbProcedure="0">#ref!</definedName>
    <definedName name="FHSelected" localSheetId="13" hidden="0" function="0" vbProcedure="0">#ref!</definedName>
    <definedName name="FHSen3" localSheetId="13" hidden="0" function="0" vbProcedure="0">#ref!</definedName>
    <definedName name="Field" localSheetId="13" hidden="0" function="0" vbProcedure="0">#ref!</definedName>
    <definedName name="FieldFd" localSheetId="13" hidden="0" function="0" vbProcedure="0">#ref!</definedName>
    <definedName name="FieldName" localSheetId="13" hidden="0" function="0" vbProcedure="0">#ref!</definedName>
    <definedName name="FieldStrength" localSheetId="13" hidden="0" function="0" vbProcedure="0">#ref!</definedName>
    <definedName name="Filename" localSheetId="13" hidden="0" function="0" vbProcedure="0">[63]auf_screen!#ref!</definedName>
    <definedName name="final" localSheetId="13" hidden="0" function="0" vbProcedure="0">[151]!JointNumber</definedName>
    <definedName name="FishNeckUnits" localSheetId="13" hidden="0" function="0" vbProcedure="0">#ref!</definedName>
    <definedName name="FJNDEF" localSheetId="13" hidden="0" function="0" vbProcedure="0">'[38]final tally '!fjndef</definedName>
    <definedName name="Floatequipment" localSheetId="13" hidden="0" function="0" vbProcedure="0">[11]DATA!$AM$2:$AM$9</definedName>
    <definedName name="FloatingStart" localSheetId="13" hidden="0" function="0" vbProcedure="0">#ref!</definedName>
    <definedName name="Flow" localSheetId="13" hidden="0" function="0" vbProcedure="0">#ref!</definedName>
    <definedName name="FlowRegime" localSheetId="13" hidden="0" function="0" vbProcedure="0">#ref!</definedName>
    <definedName name="FluidType" localSheetId="13" hidden="0" function="0" vbProcedure="0">'[94]Job Technical Info'!$F$42</definedName>
    <definedName name="FluidWeight" localSheetId="13" hidden="0" function="0" vbProcedure="0">#ref!</definedName>
    <definedName name="FluidWt" localSheetId="13" hidden="0" function="0" vbProcedure="0">'[94]Job Technical Info'!$H$42</definedName>
    <definedName name="Footer" localSheetId="13" hidden="0" function="0" vbProcedure="0">#ref!</definedName>
    <definedName name="Form._Pressure" localSheetId="13" hidden="0" function="0" vbProcedure="0">'[108]Pre-Job Info Sheet'!$B$33</definedName>
    <definedName name="formation" localSheetId="13" hidden="0" function="0" vbProcedure="0">[57]data!#ref!</definedName>
    <definedName name="fpm" localSheetId="13" hidden="0" function="0" vbProcedure="0">#ref!</definedName>
    <definedName name="fracgrad" localSheetId="13" hidden="0" function="0" vbProcedure="0">[5]WTR!$L$38</definedName>
    <definedName name="fracmw" localSheetId="13" hidden="0" function="0" vbProcedure="0">#ref!</definedName>
    <definedName name="fracpress" localSheetId="13" hidden="0" function="0" vbProcedure="0">'[113]#REF'!$L$25</definedName>
    <definedName name="Frequencies" localSheetId="13" hidden="0" function="0" vbProcedure="0">#ref!</definedName>
    <definedName name="frictionpressure" localSheetId="13" hidden="0" function="0" vbProcedure="0">[106]Data!$F$8</definedName>
    <definedName name="FRONT" localSheetId="13" hidden="0" function="0" vbProcedure="0">'[142]DAILY RPT'!$A$1:$Y$67</definedName>
    <definedName name="G" localSheetId="13" hidden="0" function="0" vbProcedure="0">#ref!</definedName>
    <definedName name="Gamma_Quadrant" localSheetId="13" hidden="0" function="0" vbProcedure="0">[129]RSS!$N$139:$N$144</definedName>
    <definedName name="gas" localSheetId="13" hidden="0" function="0" vbProcedure="0">#ref!</definedName>
    <definedName name="gasrate" localSheetId="13" hidden="0" function="0" vbProcedure="0">'[96]well test sheet'!#ref!</definedName>
    <definedName name="gas_cumm" localSheetId="13" hidden="0" function="0" vbProcedure="0">'[96]well test sheet'!#ref!</definedName>
    <definedName name="Gauge" localSheetId="13" hidden="0" function="0" vbProcedure="0">'[7]Drop-Down Items'!$D$74:$D$92</definedName>
    <definedName name="Gaugecancel" localSheetId="13" hidden="0" function="0" vbProcedure="0">DATA!Gaugecancel</definedName>
    <definedName name="gaugeconok" localSheetId="13" hidden="0" function="0" vbProcedure="0">DATA!gaugeconok</definedName>
    <definedName name="gaugeconok2" localSheetId="13" hidden="0" function="0" vbProcedure="0">DATA!gaugeconok2</definedName>
    <definedName name="gaugeok" localSheetId="13" hidden="0" function="0" vbProcedure="0">DATA!gaugeok</definedName>
    <definedName name="gaugeok2" localSheetId="13" hidden="0" function="0" vbProcedure="0">DATA!gaugeok2</definedName>
    <definedName name="gaugeselect" localSheetId="13" hidden="0" function="0" vbProcedure="0">DATA!gaugeselect</definedName>
    <definedName name="gaugeselect2" localSheetId="13" hidden="0" function="0" vbProcedure="0">DATA!gaugeselect2</definedName>
    <definedName name="gdsg" localSheetId="13" hidden="1" function="0" vbProcedure="0">[103]Run!$C$16:$C$512</definedName>
    <definedName name="GenderHeader" localSheetId="13" hidden="0" function="0" vbProcedure="0">#ref!</definedName>
    <definedName name="GeodeticLocation" localSheetId="13" hidden="0" function="0" vbProcedure="0">#ref!</definedName>
    <definedName name="GeomagInfoFirstRow" localSheetId="13" hidden="0" function="0" vbProcedure="0">#ref!</definedName>
    <definedName name="Geometry" localSheetId="13" hidden="0" function="0" vbProcedure="0">#ref!</definedName>
    <definedName name="GFTTC" localSheetId="13" hidden="0" function="0" vbProcedure="0">[151]!JointNumber</definedName>
    <definedName name="GGGR" localSheetId="13" hidden="0" function="0" vbProcedure="0">'[38]final tally '!gggr</definedName>
    <definedName name="gh" localSheetId="13" hidden="0" function="0" vbProcedure="0">#ref!</definedName>
    <definedName name="GL" localSheetId="13" hidden="0" function="0" vbProcedure="0">'[189]offset data'!#ref!</definedName>
    <definedName name="GLM" localSheetId="13" hidden="0" function="0" vbProcedure="0">[75]!Calculate_Pipe</definedName>
    <definedName name="GLM_1" localSheetId="13" hidden="0" function="0" vbProcedure="0">INDEX([111]DRAW!$A$2:$B$13,MATCH([112]AUTO_DHWS!$AV$3,[111]DRAW!$A$2:$A$13,0),2)</definedName>
    <definedName name="GLM_2" localSheetId="13" hidden="0" function="0" vbProcedure="0">INDEX([111]DRAW!$A$2:$B$13,MATCH([112]AUTO_DHWS!$AV$4,[111]DRAW!$A$2:$A$13,0),2)</definedName>
    <definedName name="GLM_3" localSheetId="13" hidden="0" function="0" vbProcedure="0">INDEX([111]DRAW!$A$2:$B$13,MATCH([112]AUTO_DHWS!$AV$5,[111]DRAW!$A$2:$A$13,0),2)</definedName>
    <definedName name="GLM_4" localSheetId="13" hidden="0" function="0" vbProcedure="0">INDEX([111]DRAW!$A$2:$B$13,MATCH([112]AUTO_DHWS!$AV$6,[111]DRAW!$A$2:$A$13,0),2)</definedName>
    <definedName name="Gmh" localSheetId="13" hidden="1" function="0" vbProcedure="0">{#N/A,#N/A,FALSE,"Sheet1"}</definedName>
    <definedName name="gor" localSheetId="13" hidden="0" function="0" vbProcedure="0">'[96]well test sheet'!#ref!</definedName>
    <definedName name="Goto_End_Ranges" localSheetId="13" hidden="0" function="0" vbProcedure="0">[63]auf_screen!#ref!</definedName>
    <definedName name="Goto_Home_Ranges" localSheetId="13" hidden="0" function="0" vbProcedure="0">[63]auf_screen!#ref!</definedName>
    <definedName name="Goto_Ranges" localSheetId="13" hidden="0" function="0" vbProcedure="0">[63]auf_screen!#ref!</definedName>
    <definedName name="gpbreakerconc" localSheetId="13" hidden="0" function="0" vbProcedure="0">'[113]#REF'!$K$68</definedName>
    <definedName name="gpbreakertype" localSheetId="13" hidden="0" function="0" vbProcedure="0">'[113]#REF'!$K$67</definedName>
    <definedName name="gpcarriertype" localSheetId="13" hidden="0" function="0" vbProcedure="0">[5]WTR!$G$83</definedName>
    <definedName name="gpcarriervis" localSheetId="13" hidden="0" function="0" vbProcedure="0">'[113]#REF'!$K$66</definedName>
    <definedName name="gpcarriervol" localSheetId="13" hidden="0" function="0" vbProcedure="0">'[113]#REF'!$F$69</definedName>
    <definedName name="gpcarrierwt" localSheetId="13" hidden="0" function="0" vbProcedure="0">'[113]#REF'!$F$67</definedName>
    <definedName name="gpextlength" localSheetId="13" hidden="0" function="0" vbProcedure="0">'[113]#REF'!$J$15</definedName>
    <definedName name="gpextod" localSheetId="13" hidden="0" function="0" vbProcedure="0">'[113]#REF'!$F$15</definedName>
    <definedName name="gpgel" localSheetId="13" hidden="0" function="0" vbProcedure="0">'[113]#REF'!$K$65</definedName>
    <definedName name="gplbs" localSheetId="13" hidden="0" function="0" vbProcedure="0">'[113]#REF'!$F$64</definedName>
    <definedName name="gpmixratio" localSheetId="13" hidden="0" function="0" vbProcedure="0">[5]WTR!$M$81</definedName>
    <definedName name="gppumprate" localSheetId="13" hidden="0" function="0" vbProcedure="0">[5]WTR!$F$88</definedName>
    <definedName name="gpslurrydens" localSheetId="13" hidden="0" function="0" vbProcedure="0">'[113]#REF'!$F$70</definedName>
    <definedName name="GP_EXT_OD" localSheetId="13" hidden="0" function="0" vbProcedure="0">'[113]#REF'!$F$15</definedName>
    <definedName name="GP_MIX_RATIO" localSheetId="13" hidden="0" function="0" vbProcedure="0">'[113]#REF'!$K$64</definedName>
    <definedName name="GP_SLURRY_VOL" localSheetId="13" hidden="0" function="0" vbProcedure="0">'[113]#REF'!$F$69</definedName>
    <definedName name="GQGQ" localSheetId="13" hidden="0" function="0" vbProcedure="0">'[38]final tally '!gqgq</definedName>
    <definedName name="GQQ" localSheetId="13" hidden="0" function="0" vbProcedure="0">'[38]final tally '!gqq</definedName>
    <definedName name="Grade" localSheetId="13" hidden="0" function="0" vbProcedure="0">#ref!</definedName>
    <definedName name="GrapHSVOverkill" localSheetId="13" hidden="0" function="0" vbProcedure="0">#ref!</definedName>
    <definedName name="GrapLSV" localSheetId="13" hidden="0" function="0" vbProcedure="0">#ref!</definedName>
    <definedName name="GrapOverkillExtra" localSheetId="13" hidden="0" function="0" vbProcedure="0">#ref!</definedName>
    <definedName name="GrapUBPres" localSheetId="13" hidden="0" function="0" vbProcedure="0">#ref!</definedName>
    <definedName name="GrapUBPress" localSheetId="13" hidden="0" function="0" vbProcedure="0">#ref!</definedName>
    <definedName name="gravelsize" localSheetId="13" hidden="0" function="0" vbProcedure="0">[5]WTR!$G$82</definedName>
    <definedName name="GRAVEL_IN_CSG." localSheetId="13" hidden="0" function="0" vbProcedure="0">'[113]#REF'!XEP1048377</definedName>
    <definedName name="GridConvergence" localSheetId="13" hidden="0" function="0" vbProcedure="0">#ref!</definedName>
    <definedName name="GridLocation" localSheetId="13" hidden="0" function="0" vbProcedure="0">#ref!</definedName>
    <definedName name="GroundLevelElevation" localSheetId="13" hidden="0" function="0" vbProcedure="0">#ref!</definedName>
    <definedName name="Groupdb" localSheetId="13" hidden="0" function="0" vbProcedure="0">#ref!</definedName>
    <definedName name="Groupslb" localSheetId="13" hidden="0" function="0" vbProcedure="0">#ref!</definedName>
    <definedName name="GRQ" localSheetId="13" hidden="0" function="0" vbProcedure="0">'[38]final tally '!grq</definedName>
    <definedName name="gsa" localSheetId="13" hidden="1" function="0" vbProcedure="0">#ref!</definedName>
    <definedName name="GUB24SECWELL" localSheetId="13" hidden="1" function="0" vbProcedure="0">[143]Sheet1!$A$181:$H$210</definedName>
    <definedName name="GUCF" localSheetId="13" hidden="0" function="0" vbProcedure="0">#ref!</definedName>
    <definedName name="GudCont" localSheetId="13" hidden="0" function="0" vbProcedure="0">#ref!</definedName>
    <definedName name="Gun" localSheetId="13" hidden="0" function="0" vbProcedure="0">#ref!</definedName>
    <definedName name="GunDatabase" localSheetId="13" hidden="0" function="0" vbProcedure="0">#ref!</definedName>
    <definedName name="GunLength" localSheetId="13" hidden="0" function="0" vbProcedure="0">#ref!</definedName>
    <definedName name="GunSize" localSheetId="13" hidden="0" function="0" vbProcedure="0">#ref!</definedName>
    <definedName name="GunSPF" localSheetId="13" hidden="0" function="0" vbProcedure="0">#ref!</definedName>
    <definedName name="GunsWeight" localSheetId="13" hidden="0" function="0" vbProcedure="0">#ref!</definedName>
    <definedName name="GunSystem" localSheetId="13" hidden="0" function="0" vbProcedure="0">#ref!</definedName>
    <definedName name="gunticket" localSheetId="13" hidden="0" function="0" vbProcedure="0">#ref!</definedName>
    <definedName name="Gun_Size" localSheetId="13" hidden="0" function="0" vbProcedure="0">'[108]TCP-BHA'!$F$5</definedName>
    <definedName name="GWS" localSheetId="13" hidden="0" function="0" vbProcedure="0">'[38]final tally '!gws</definedName>
    <definedName name="h" localSheetId="13" hidden="0" function="0" vbProcedure="0">[144]Tally!$A$5:$H$1064</definedName>
    <definedName name="H2S" localSheetId="13" hidden="0" function="0" vbProcedure="0">'[94]Job Technical Info'!$L$41</definedName>
    <definedName name="Hangerfunction" localSheetId="13" hidden="0" function="0" vbProcedure="0">[11]DATA!$AH$2:$AH$9</definedName>
    <definedName name="HangSelect" localSheetId="13" hidden="0" function="0" vbProcedure="0">#ref!</definedName>
    <definedName name="Hassan" localSheetId="13" hidden="0" function="0" vbProcedure="0">[192]!Macro1</definedName>
    <definedName name="HDFDepth" localSheetId="13" hidden="0" function="0" vbProcedure="0">#ref!</definedName>
    <definedName name="HEAD" localSheetId="13" hidden="0" function="0" vbProcedure="0">#ref!</definedName>
    <definedName name="hesfluid" localSheetId="13" hidden="0" function="0" vbProcedure="0">[57]data!#ref!</definedName>
    <definedName name="hgh" localSheetId="13" hidden="1" function="0" vbProcedure="0">[103]Run!$D$15:$D$512</definedName>
    <definedName name="HGR_OL_Packoff_In" localSheetId="13" hidden="0" function="0" vbProcedure="0">[11]Test!$M$36</definedName>
    <definedName name="hhd" localSheetId="13" hidden="0" function="0" vbProcedure="0">#ref!</definedName>
    <definedName name="hhp" localSheetId="13" hidden="0" function="0" vbProcedure="0">'[96]well test sheet'!#ref!</definedName>
    <definedName name="hj" localSheetId="13" hidden="0" function="0" vbProcedure="0">[194]bha!#ref!</definedName>
    <definedName name="HKWT" localSheetId="13" hidden="0" function="0" vbProcedure="0">[185]钻井日报表!$E$7</definedName>
    <definedName name="Hngr_Bst" localSheetId="13" hidden="0" function="0" vbProcedure="0">'[11]Metric Conversions'!$B$50</definedName>
    <definedName name="Hngr_OL_PO_out" localSheetId="13" hidden="0" function="0" vbProcedure="0">[11]Test!$M$30</definedName>
    <definedName name="Hngr_Overload_Cmt_Setup" localSheetId="13" hidden="0" function="0" vbProcedure="0">[11]Test!$M$42</definedName>
    <definedName name="Hngr_Tens" localSheetId="13" hidden="0" function="0" vbProcedure="0">'[11]Liner Job Info'!$D$40</definedName>
    <definedName name="Hng_Cap" localSheetId="13" hidden="0" function="0" vbProcedure="0">'[11]Liner Job Info'!$D$41</definedName>
    <definedName name="HoleSize" localSheetId="13" hidden="0" function="0" vbProcedure="0">#ref!</definedName>
    <definedName name="HoleSizeUnits" localSheetId="13" hidden="0" function="0" vbProcedure="0">#ref!</definedName>
    <definedName name="holevol" localSheetId="13" hidden="0" function="0" vbProcedure="0">'[64]tool backload dt'!holevol</definedName>
    <definedName name="Hole_depth" localSheetId="13" hidden="0" function="0" vbProcedure="0">#ref!</definedName>
    <definedName name="HoursMax" localSheetId="13" hidden="0" function="0" vbProcedure="0">#ref!</definedName>
    <definedName name="hpb" localSheetId="13" hidden="0" function="0" vbProcedure="0">'[96]well test sheet'!#ref!</definedName>
    <definedName name="HRS" localSheetId="13" hidden="0" function="0" vbProcedure="0">'[196]amberjack a32ream'!#ref!</definedName>
    <definedName name="hrt" localSheetId="13" hidden="0" function="0" vbProcedure="0">#ref!</definedName>
    <definedName name="HR_Turns" localSheetId="13" hidden="0" function="0" vbProcedure="0">'[11]Weight Calculations'!$Q$36</definedName>
    <definedName name="HSDT3" localSheetId="13" hidden="0" function="0" vbProcedure="0">#ref!</definedName>
    <definedName name="hslipjoint" localSheetId="13" hidden="0" function="0" vbProcedure="0">#ref!</definedName>
    <definedName name="HSVOverkill" localSheetId="13" hidden="0" function="0" vbProcedure="0">#ref!</definedName>
    <definedName name="HTML_Control" localSheetId="13" hidden="1" function="0" vbProcedure="0">{"'Operator &amp; Well Info.'!$A$1:$F$16"}</definedName>
    <definedName name="hwdpdt" localSheetId="13" hidden="0" function="0" vbProcedure="0">'[136]WCT-Ft'!$Q$19:$X$24</definedName>
    <definedName name="hy" localSheetId="13" hidden="0" function="0" vbProcedure="0">[52]!Prev.Macro106</definedName>
    <definedName name="Hyd._Pressure" localSheetId="13" hidden="0" function="0" vbProcedure="0">'[108]Job Calculation Sheet'!$H$28</definedName>
    <definedName name="Hyd_at_TV" localSheetId="13" hidden="0" function="0" vbProcedure="0">'[108]Tester Valve Calcs'!$F$21</definedName>
    <definedName name="Hyd_Effect_Force" localSheetId="13" hidden="0" function="0" vbProcedure="0">'[11]Weight Calculations'!$F$47</definedName>
    <definedName name="Hyd_force_element" localSheetId="13" hidden="0" function="0" vbProcedure="0">[11]Test!$M$17</definedName>
    <definedName name="HyfloSeatID" localSheetId="13" hidden="0" function="0" vbProcedure="0">[11]DATA!$AY$2:$AY$4</definedName>
    <definedName name="HyfloSeatNumber" localSheetId="13" hidden="0" function="0" vbProcedure="0">[11]DATA!$AZ$2:$AZ$5</definedName>
    <definedName name="HyfloSupplier" localSheetId="13" hidden="0" function="0" vbProcedure="0">[11]DATA!$BA$2:$BA$5</definedName>
    <definedName name="I" localSheetId="13" hidden="0" function="0" vbProcedure="0">#ref!</definedName>
    <definedName name="ID" localSheetId="13" hidden="0" function="0" vbProcedure="0">#ref!</definedName>
    <definedName name="IDdb" localSheetId="13" hidden="0" function="0" vbProcedure="0">#ref!</definedName>
    <definedName name="idlist" localSheetId="13" hidden="0" function="0" vbProcedure="0">[106]Data!$GD$2:$GE$237</definedName>
    <definedName name="idslb" localSheetId="13" hidden="0" function="0" vbProcedure="0">#ref!</definedName>
    <definedName name="idstring" localSheetId="13" hidden="0" function="0" vbProcedure="0">#ref!</definedName>
    <definedName name="IDUnit" localSheetId="13" hidden="0" function="0" vbProcedure="0">'[94]Job Technical Info'!$F$24</definedName>
    <definedName name="ik" localSheetId="13" hidden="0" function="0" vbProcedure="0">#ref!,#ref!</definedName>
    <definedName name="Imagedb" localSheetId="13" hidden="0" function="0" vbProcedure="0">#ref!</definedName>
    <definedName name="Imageslb" localSheetId="13" hidden="0" function="0" vbProcedure="0">#ref!</definedName>
    <definedName name="imagestring" localSheetId="13" hidden="0" function="0" vbProcedure="0">#ref!</definedName>
    <definedName name="impdwg_1" localSheetId="13" hidden="0" function="0" vbProcedure="0">data!impdwg</definedName>
    <definedName name="impdwg_10" localSheetId="13" hidden="0" function="0" vbProcedure="0">data!impdwg</definedName>
    <definedName name="impdwg_11" localSheetId="13" hidden="0" function="0" vbProcedure="0">data!impdwg</definedName>
    <definedName name="impdwg_2" localSheetId="13" hidden="0" function="0" vbProcedure="0">data!impdwg</definedName>
    <definedName name="impdwg_3" localSheetId="13" hidden="0" function="0" vbProcedure="0">data!impdwg</definedName>
    <definedName name="impdwg_4" localSheetId="13" hidden="0" function="0" vbProcedure="0">data!impdwg</definedName>
    <definedName name="impdwg_5" localSheetId="13" hidden="0" function="0" vbProcedure="0">data!impdwg</definedName>
    <definedName name="impdwg_6" localSheetId="13" hidden="0" function="0" vbProcedure="0">data!impdwg</definedName>
    <definedName name="impdwg_7" localSheetId="13" hidden="0" function="0" vbProcedure="0">data!impdwg</definedName>
    <definedName name="impdwg_8" localSheetId="13" hidden="0" function="0" vbProcedure="0">data!impdwg</definedName>
    <definedName name="impdwg_9" localSheetId="13" hidden="0" function="0" vbProcedure="0">data!impdwg</definedName>
    <definedName name="ImpExpStringLb" localSheetId="13" hidden="0" function="0" vbProcedure="0">#ref!</definedName>
    <definedName name="IMPflow" localSheetId="13" hidden="0" function="0" vbProcedure="0">#ref!</definedName>
    <definedName name="Inc" localSheetId="13" hidden="0" function="0" vbProcedure="0">[185]钻井日报表!$G$8</definedName>
    <definedName name="InclColumn" localSheetId="13" hidden="0" function="0" vbProcedure="0">!#ref!</definedName>
    <definedName name="Inclination" localSheetId="13" hidden="0" function="0" vbProcedure="0">#ref!</definedName>
    <definedName name="InclinationData" localSheetId="13" hidden="0" function="0" vbProcedure="0">OFFSET([133]!inclination,2,0,COUNT(#ref!),1)</definedName>
    <definedName name="Inclination_In" localSheetId="13" hidden="0" function="0" vbProcedure="0">#ref!</definedName>
    <definedName name="Inclination_Out" localSheetId="13" hidden="0" function="0" vbProcedure="0">#ref!</definedName>
    <definedName name="InclUnit" localSheetId="13" hidden="0" function="0" vbProcedure="0">#ref!</definedName>
    <definedName name="incrementa"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3" hidden="0" function="0" vbProcedure="0">'[145]Job File Index'!$B$7</definedName>
    <definedName name="Information" localSheetId="13" hidden="0" function="0" vbProcedure="0">[63]auf_screen!#ref!</definedName>
    <definedName name="Information_Range" localSheetId="13" hidden="0" function="0" vbProcedure="0">[63]auf_screen!#ref!</definedName>
    <definedName name="INFUSER_RATE" localSheetId="13" hidden="0" function="0" vbProcedure="0">'[113]#REF'!$F$71</definedName>
    <definedName name="INFUSER_RATE_PREPACK" localSheetId="13" hidden="0" function="0" vbProcedure="0">'[113]#REF'!$F$50</definedName>
    <definedName name="InLineConn" localSheetId="13" hidden="0" function="0" vbProcedure="0">#ref!</definedName>
    <definedName name="InsertPoint" localSheetId="13" hidden="0" function="0" vbProcedure="0">#ref!</definedName>
    <definedName name="Insert_New_Page" localSheetId="13" hidden="0" function="0" vbProcedure="0">[44]!Insert_New_Page</definedName>
    <definedName name="Insert_New_Page_1" localSheetId="13" hidden="0" function="0" vbProcedure="0">DATA!Insert_New_Page</definedName>
    <definedName name="Insert_New_Page_10" localSheetId="13" hidden="0" function="0" vbProcedure="0">DATA!Insert_New_Page</definedName>
    <definedName name="Insert_New_Page_11" localSheetId="13" hidden="0" function="0" vbProcedure="0">DATA!Insert_New_Page</definedName>
    <definedName name="Insert_New_Page_2" localSheetId="13" hidden="0" function="0" vbProcedure="0">DATA!Insert_New_Page</definedName>
    <definedName name="Insert_New_Page_3" localSheetId="13" hidden="0" function="0" vbProcedure="0">DATA!Insert_New_Page</definedName>
    <definedName name="Insert_New_Page_4" localSheetId="13" hidden="0" function="0" vbProcedure="0">DATA!Insert_New_Page</definedName>
    <definedName name="Insert_New_Page_5" localSheetId="13" hidden="0" function="0" vbProcedure="0">DATA!Insert_New_Page</definedName>
    <definedName name="Insert_New_Page_6" localSheetId="13" hidden="0" function="0" vbProcedure="0">DATA!Insert_New_Page</definedName>
    <definedName name="Insert_New_Page_7" localSheetId="13" hidden="0" function="0" vbProcedure="0">DATA!Insert_New_Page</definedName>
    <definedName name="Insert_New_Page_8" localSheetId="13" hidden="0" function="0" vbProcedure="0">DATA!Insert_New_Page</definedName>
    <definedName name="Insert_New_Page_9" localSheetId="13" hidden="0" function="0" vbProcedure="0">DATA!Insert_New_Page</definedName>
    <definedName name="INSTRUCTIONS" localSheetId="13" hidden="0" function="0" vbProcedure="0">#ref!</definedName>
    <definedName name="Internalvolstring" localSheetId="13" hidden="0" function="0" vbProcedure="0">#ref!</definedName>
    <definedName name="IntervalFd" localSheetId="13" hidden="0" function="0" vbProcedure="0">#ref!</definedName>
    <definedName name="IntFd" localSheetId="13" hidden="0" function="0" vbProcedure="0">#ref!</definedName>
    <definedName name="Inverse_Balloon_Area" localSheetId="13" hidden="0" function="0" vbProcedure="0">[11]Test!$M$19</definedName>
    <definedName name="iris" localSheetId="13" hidden="0" function="0" vbProcedure="0">#ref!</definedName>
    <definedName name="isip" localSheetId="13" hidden="0" function="0" vbProcedure="0">[5]WTR!$G$41</definedName>
    <definedName name="Issue" localSheetId="13" hidden="0" function="0" vbProcedure="0">'[146]Title Page'!$Q$2:$Q$20</definedName>
    <definedName name="Item1" localSheetId="13" hidden="0" function="0" vbProcedure="0">INDEX(#ref!,0,MATCH('[59]ENG Input'!$A$12,Categories,0))</definedName>
    <definedName name="Item10" localSheetId="13" hidden="0" function="0" vbProcedure="0">INDEX(#ref!,0,MATCH('[59]ENG Input'!$A$128,Categories,0))</definedName>
    <definedName name="Item11" localSheetId="13" hidden="0" function="0" vbProcedure="0">INDEX(#ref!,0,MATCH('[59]ENG Input'!$A$139,Categories,0))</definedName>
    <definedName name="Item12" localSheetId="13" hidden="0" function="0" vbProcedure="0">INDEX(#ref!,0,MATCH('[59]ENG Input'!$A$155,Categories,0))</definedName>
    <definedName name="Item13" localSheetId="13" hidden="0" function="0" vbProcedure="0">INDEX(#ref!,0,MATCH('[59]ENG Input'!$A$171,Categories,0))</definedName>
    <definedName name="Item14" localSheetId="13" hidden="0" function="0" vbProcedure="0">INDEX(#ref!,0,MATCH('[59]ENG Input'!$A$182,Categories,0))</definedName>
    <definedName name="Item15" localSheetId="13" hidden="0" function="0" vbProcedure="0">INDEX(#ref!,0,MATCH('[59]ENG Input'!$A$193,Categories,0))</definedName>
    <definedName name="Item16" localSheetId="13" hidden="0" function="0" vbProcedure="0">INDEX(#ref!,0,MATCH('[59]ENG Input'!$A$204,Categories,0))</definedName>
    <definedName name="Item17" localSheetId="13" hidden="0" function="0" vbProcedure="0">INDEX(#ref!,0,MATCH('[59]ENG Input'!$A$215,Categories,0))</definedName>
    <definedName name="Item18" localSheetId="13" hidden="0" function="0" vbProcedure="0">INDEX(#ref!,0,MATCH('[59]ENG Input'!$A$226,Categories,0))</definedName>
    <definedName name="Item19" localSheetId="13" hidden="0" function="0" vbProcedure="0">INDEX(#ref!,0,MATCH('[59]ENG Input'!$A$237,Categories,0))</definedName>
    <definedName name="Item2" localSheetId="13" hidden="0" function="0" vbProcedure="0">INDEX(#ref!,0,MATCH('[59]ENG Input'!$A$32,Categories,0))</definedName>
    <definedName name="Item20" localSheetId="13" hidden="0" function="0" vbProcedure="0">INDEX(#ref!,0,MATCH('[59]ENG Input'!$A$248,Categories,0))</definedName>
    <definedName name="Item3" localSheetId="13" hidden="0" function="0" vbProcedure="0">INDEX(#ref!,0,MATCH('[59]ENG Input'!$A$48,Categories,0))</definedName>
    <definedName name="Item4" localSheetId="13" hidden="0" function="0" vbProcedure="0">INDEX(#ref!,0,MATCH('[59]ENG Input'!$A$59,Categories,0))</definedName>
    <definedName name="Item5" localSheetId="13" hidden="0" function="0" vbProcedure="0">INDEX(#ref!,0,MATCH('[59]ENG Input'!$A$73,Categories,0))</definedName>
    <definedName name="Item6" localSheetId="13" hidden="0" function="0" vbProcedure="0">INDEX(#ref!,0,MATCH('[59]ENG Input'!$A$84,Categories,0))</definedName>
    <definedName name="Item7" localSheetId="13" hidden="0" function="0" vbProcedure="0">INDEX(#ref!,0,MATCH('[59]ENG Input'!$A$95,Categories,0))</definedName>
    <definedName name="Item8" localSheetId="13" hidden="0" function="0" vbProcedure="0">INDEX(#ref!,0,MATCH('[59]ENG Input'!$A$106,Categories,0))</definedName>
    <definedName name="Item9" localSheetId="13" hidden="0" function="0" vbProcedure="0">INDEX(#ref!,0,MATCH('[59]ENG Input'!$A$117,Categories,0))</definedName>
    <definedName name="itemnumberstring" localSheetId="13" hidden="0" function="0" vbProcedure="0">#ref!</definedName>
    <definedName name="itemnumberstring2" localSheetId="13" hidden="0" function="0" vbProcedure="0">#ref!</definedName>
    <definedName name="J" localSheetId="13" hidden="1" function="0" vbProcedure="0">#ref!</definedName>
    <definedName name="janrupees" localSheetId="13" hidden="0" function="0" vbProcedure="0">'[147]Cash Expense January-96'!$H$6</definedName>
    <definedName name="JAR" localSheetId="13" hidden="0" function="0" vbProcedure="0">#ref!</definedName>
    <definedName name="JARDepth" localSheetId="13" hidden="0" function="0" vbProcedure="0">#ref!</definedName>
    <definedName name="JE" localSheetId="13" hidden="0" function="0" vbProcedure="0">#ref!</definedName>
    <definedName name="jena_9" localSheetId="13" hidden="0" function="0" vbProcedure="0">#ref!</definedName>
    <definedName name="JEYJD" localSheetId="13" hidden="0" function="0" vbProcedure="0">'[38]final tally '!jeyjd</definedName>
    <definedName name="jj" localSheetId="13" hidden="1" function="0" vbProcedure="0">#ref!</definedName>
    <definedName name="JK" localSheetId="13" hidden="0" function="0" vbProcedure="0">'[148]CSG13'!$B$5</definedName>
    <definedName name="Job" localSheetId="13" hidden="0" function="0" vbProcedure="0">#ref!</definedName>
    <definedName name="JobCenterID" localSheetId="13" hidden="0" function="0" vbProcedure="0">'[94]Job Technical Info'!$C$10</definedName>
    <definedName name="JobEndDate" localSheetId="13" hidden="0" function="0" vbProcedure="0">'[144]job info sheet'!#ref!</definedName>
    <definedName name="JobFd" localSheetId="13" hidden="0" function="0" vbProcedure="0">#ref!</definedName>
    <definedName name="JobLogCustSig" localSheetId="13" hidden="0" function="0" vbProcedure="0">#ref!</definedName>
    <definedName name="JobNumber" localSheetId="13" hidden="0" function="0" vbProcedure="0">'[129]Front Page Info'!$C$4</definedName>
    <definedName name="jobpurpose1" localSheetId="13" hidden="0" function="0" vbProcedure="0">[183]Data!$L$1:$L$65536</definedName>
    <definedName name="JobQuest" localSheetId="13" hidden="0" function="0" vbProcedure="0">#ref!</definedName>
    <definedName name="JobRefFd" localSheetId="13" hidden="0" function="0" vbProcedure="0">#ref!</definedName>
    <definedName name="JobType" localSheetId="13" hidden="0" function="0" vbProcedure="0">[6]Sheet1!$A$11:$A$16</definedName>
    <definedName name="Jobtype1" localSheetId="13" hidden="0" function="0" vbProcedure="0">[183]Data!$N$1:$N$65536</definedName>
    <definedName name="Job_date" localSheetId="13" hidden="0" function="0" vbProcedure="0">'[108]TCP-BHA'!$D$5</definedName>
    <definedName name="Job_Name" localSheetId="13" hidden="0" function="0" vbProcedure="0">'[30]Liner Job Info'!$E$5</definedName>
    <definedName name="Job_Number" localSheetId="13" hidden="0" function="0" vbProcedure="0">#ref!</definedName>
    <definedName name="Job_Quality" localSheetId="13" hidden="0" function="0" vbProcedure="0">[63]auf_screen!#ref!</definedName>
    <definedName name="Job_Type" localSheetId="13" hidden="0" function="0" vbProcedure="0">'[12]JCSI 12'!$AB$29:$AB$42</definedName>
    <definedName name="JointNumber" localSheetId="13" hidden="0" function="0" vbProcedure="0">[99]!JointNumber</definedName>
    <definedName name="JOINTNUMBER23" localSheetId="13" hidden="0" function="0" vbProcedure="0">[75]!JointNumber</definedName>
    <definedName name="JOINTNYMBER4" localSheetId="13" hidden="0" function="0" vbProcedure="0">[75]!JointNumber</definedName>
    <definedName name="JOYCE" localSheetId="13" hidden="1" function="0" vbProcedure="0">#ref!</definedName>
    <definedName name="JRJTRJT" localSheetId="13" hidden="0" function="0" vbProcedure="0">'[38]final tally '!jrjtrjt</definedName>
    <definedName name="JSA" localSheetId="13" hidden="0" function="0" vbProcedure="0">#ref!</definedName>
    <definedName name="JT" localSheetId="13" hidden="0" function="0" vbProcedure="0">[204]!JointNumber</definedName>
    <definedName name="JtCount" localSheetId="13" hidden="0" function="0" vbProcedure="0">'[79]casing talley'!#ref!</definedName>
    <definedName name="JTNFN" localSheetId="13" hidden="0" function="0" vbProcedure="0">'[38]final tally '!jtnfn</definedName>
    <definedName name="jun" localSheetId="13" hidden="1" function="0" vbProcedure="0">{#N/A,#N/A,FALSE,"Sheet1"}</definedName>
    <definedName name="June" localSheetId="13" hidden="1" function="0" vbProcedure="0">{#N/A,#N/A,FALSE,"Sheet1"}</definedName>
    <definedName name="June1" localSheetId="13" hidden="1" function="0" vbProcedure="0">{#N/A,#N/A,FALSE,"Sheet1"}</definedName>
    <definedName name="junk" localSheetId="13" hidden="0" function="0" vbProcedure="0">{#N/A,#N/A,FALSE,"Volume"}</definedName>
    <definedName name="junk1" localSheetId="13" hidden="0" function="0" vbProcedure="0">{#N/A,#N/A,FALSE,"Volume"}</definedName>
    <definedName name="junk2" localSheetId="13" hidden="0" function="0" vbProcedure="0">{#N/A,#N/A,FALSE,"Volume"}</definedName>
    <definedName name="junk3" localSheetId="13" hidden="0" function="0" vbProcedure="0">{#N/A,#N/A,FALSE,"Volume"}</definedName>
    <definedName name="junk4" localSheetId="13" hidden="0" function="0" vbProcedure="0">{#N/A,#N/A,FALSE,"Volume"}</definedName>
    <definedName name="k" localSheetId="13" hidden="1" function="0" vbProcedure="0">#ref!</definedName>
    <definedName name="Kelly_Dwn" localSheetId="13" hidden="0" function="0" vbProcedure="0">#ref!</definedName>
    <definedName name="KFactor" localSheetId="13" hidden="0" function="0" vbProcedure="0">#ref!</definedName>
    <definedName name="Kill_Fluid_Type" localSheetId="13" hidden="0" function="0" vbProcedure="0">'[108]TCP-BHA'!$G$7</definedName>
    <definedName name="Kill_Fluid_Wt" localSheetId="13" hidden="0" function="0" vbProcedure="0">'[108]TCP-BHA'!$F$7</definedName>
    <definedName name="KK" localSheetId="13" hidden="0" function="0" vbProcedure="0">DATA!Macro1</definedName>
    <definedName name="KL" localSheetId="13" hidden="0" function="0" vbProcedure="0">[149]BHA!$C$4</definedName>
    <definedName name="KO" localSheetId="13" hidden="0" function="0" vbProcedure="0">'[148]CSG13'!$F$6</definedName>
    <definedName name="kriteria" localSheetId="13" hidden="0" function="0" vbProcedure="0">[205]events!#ref!</definedName>
    <definedName name="KRR" localSheetId="13" hidden="0" function="0" vbProcedure="0">'[38]final tally '!krr</definedName>
    <definedName name="KUYUKR" localSheetId="13" hidden="0" function="0" vbProcedure="0">'[38]final tally '!kuyukr</definedName>
    <definedName name="K_1" localSheetId="13" hidden="0" function="0" vbProcedure="0">#ref!</definedName>
    <definedName name="K_2" localSheetId="13" hidden="0" function="0" vbProcedure="0">#ref!</definedName>
    <definedName name="K_Dual" localSheetId="13" hidden="0" function="0" vbProcedure="0">#ref!</definedName>
    <definedName name="L" localSheetId="13" hidden="0" function="0" vbProcedure="0">#ref!</definedName>
    <definedName name="landoffshore" localSheetId="13" hidden="0" function="0" vbProcedure="0">[57]data!#ref!</definedName>
    <definedName name="LastCsgString" localSheetId="13" hidden="0" function="0" vbProcedure="0">[11]DATA!$AU$2:$AU$4</definedName>
    <definedName name="LatColumn" localSheetId="13" hidden="0" function="0" vbProcedure="0">!#ref!</definedName>
    <definedName name="LC" localSheetId="13" hidden="0" function="0" vbProcedure="0">INDEX([111]DRAW!$J$13:$K$22,MATCH([112]AUTO_DHWS!$BC$4,[111]DRAW!$J$13:$J$22,0),2)</definedName>
    <definedName name="LCJobType" localSheetId="13" hidden="0" function="0" vbProcedure="0">'[94]Installation Results #1'!$C$306</definedName>
    <definedName name="LC_TYPE" localSheetId="13" hidden="0" function="0" vbProcedure="0">INDEX([111]DRAW!$P$68:$Q$70,MATCH([111]DRAW!$Q$67,[111]DRAW!$P$68:$P$70,0),2)</definedName>
    <definedName name="Lead_Slurry_in_12.25__OH" localSheetId="13" hidden="0" function="0" vbProcedure="0">'[150]Cmt Csg'!$C$6</definedName>
    <definedName name="lease" localSheetId="13" hidden="0" function="0" vbProcedure="0">[5]WTR!$I$6</definedName>
    <definedName name="Lease1" localSheetId="13" hidden="0" function="0" vbProcedure="0">'[108]TCP-BHA'!$A$7</definedName>
    <definedName name="Legal" localSheetId="13" hidden="0" function="0" vbProcedure="0">#ref!</definedName>
    <definedName name="Length" localSheetId="13" hidden="0" function="0" vbProcedure="0">#ref!</definedName>
    <definedName name="Lengthdb" localSheetId="13" hidden="0" function="0" vbProcedure="0">#ref!</definedName>
    <definedName name="Lengths" localSheetId="13"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engthslb" localSheetId="13" hidden="0" function="0" vbProcedure="0">#ref!</definedName>
    <definedName name="lengthstring" localSheetId="13" hidden="0" function="0" vbProcedure="0">#ref!</definedName>
    <definedName name="LengthUnit" localSheetId="13" hidden="0" function="0" vbProcedure="0">#ref!</definedName>
    <definedName name="LengthUnits" localSheetId="13" hidden="0" function="0" vbProcedure="0">#ref!</definedName>
    <definedName name="LFTS" localSheetId="13" hidden="0" function="0" vbProcedure="0">#ref!</definedName>
    <definedName name="Likelihood" localSheetId="13" hidden="0" function="0" vbProcedure="0">[125]Sheet2!$C$1:$C$5</definedName>
    <definedName name="Liner1_Burst" localSheetId="13" hidden="0" function="0" vbProcedure="0">'[11]Metric Conversions'!$B$45</definedName>
    <definedName name="Liner1_Cap" localSheetId="13" hidden="0" function="0" vbProcedure="0">'[11]Liner Job Info'!$P$17</definedName>
    <definedName name="Liner1_ID" localSheetId="13" hidden="0" function="0" vbProcedure="0">'[11]Liner Job Info'!$D$17</definedName>
    <definedName name="Liner1_Length" localSheetId="13" hidden="0" function="0" vbProcedure="0">'[130]Metric Conversions'!$B$17</definedName>
    <definedName name="Liner1_OD" localSheetId="13" hidden="0" function="0" vbProcedure="0">'[130]Liner Job Info'!$C$17</definedName>
    <definedName name="Liner1_Thread" localSheetId="13" hidden="0" function="0" vbProcedure="0">'[130]Liner Job Info'!$H$17</definedName>
    <definedName name="Liner1_Wt_in_Mud" localSheetId="13" hidden="0" function="0" vbProcedure="0">'[11]Weight Calculations'!$H$16</definedName>
    <definedName name="Liner1_Wt_Per_Ft" localSheetId="13" hidden="0" function="0" vbProcedure="0">'[130]Liner Job Info'!$E$17</definedName>
    <definedName name="Liner2_Burst" localSheetId="13" hidden="0" function="0" vbProcedure="0">'[11]Metric Conversions'!$B$46</definedName>
    <definedName name="Liner2_Cap" localSheetId="13" hidden="0" function="0" vbProcedure="0">'[11]Liner Job Info'!$P$18</definedName>
    <definedName name="Liner2_ID" localSheetId="13" hidden="0" function="0" vbProcedure="0">'[11]Liner Job Info'!$D$18</definedName>
    <definedName name="Liner2_Length" localSheetId="13" hidden="0" function="0" vbProcedure="0">'[130]Metric Conversions'!$B$18</definedName>
    <definedName name="Liner2_OD" localSheetId="13" hidden="0" function="0" vbProcedure="0">'[130]Liner Job Info'!$C$18</definedName>
    <definedName name="Liner2_Thread" localSheetId="13" hidden="0" function="0" vbProcedure="0">'[130]Liner Job Info'!$H$18</definedName>
    <definedName name="Liner2_Wt_in_Mud" localSheetId="13" hidden="0" function="0" vbProcedure="0">'[11]Weight Calculations'!$H$17</definedName>
    <definedName name="Liner2_Wt_Per_FT" localSheetId="13" hidden="0" function="0" vbProcedure="0">'[130]Liner Job Info'!$E$18</definedName>
    <definedName name="Linertype" localSheetId="13" hidden="0" function="0" vbProcedure="0">[11]DATA!$W$2:$W$12</definedName>
    <definedName name="Liner_I.D." localSheetId="13" hidden="0" function="0" vbProcedure="0">'[108]Job Calculation Sheet'!$F$14</definedName>
    <definedName name="Liner_ID_Area" localSheetId="13" hidden="0" function="0" vbProcedure="0">[11]Test!$V$40</definedName>
    <definedName name="Liner_Size" localSheetId="13" hidden="0" function="0" vbProcedure="0">'[108]Pre-Job Info Sheet'!$D$17</definedName>
    <definedName name="Liner_Top__MD" localSheetId="13" hidden="0" function="0" vbProcedure="0">'[108]Pre-Job Info Sheet'!$D$19</definedName>
    <definedName name="Liner_Weight" localSheetId="13" hidden="0" function="0" vbProcedure="0">'[108]Pre-Job Info Sheet'!$D$18</definedName>
    <definedName name="listcode" localSheetId="13" hidden="0" function="0" vbProcedure="0">#ref!</definedName>
    <definedName name="Lithology" localSheetId="13" hidden="0" function="0" vbProcedure="0">#ref!</definedName>
    <definedName name="lkj" localSheetId="13" hidden="1" function="0" vbProcedure="0">[103]Run!$B$18:$B$512</definedName>
    <definedName name="ll" localSheetId="13" hidden="0" function="0" vbProcedure="0">#ref!</definedName>
    <definedName name="Lnr1_Grade" localSheetId="13" hidden="0" function="0" vbProcedure="0">'[130]Liner Job Info'!$F$17</definedName>
    <definedName name="Lnr1_Vol" localSheetId="13" hidden="0" function="0" vbProcedure="0">'[11]Metric Conversions'!$B$77</definedName>
    <definedName name="Lnr2_Grade" localSheetId="13" hidden="0" function="0" vbProcedure="0">'[130]Liner Job Info'!$F$18</definedName>
    <definedName name="Lnr2_Vol" localSheetId="13" hidden="0" function="0" vbProcedure="0">'[11]Metric Conversions'!$B$78</definedName>
    <definedName name="LnrDrift1" localSheetId="13" hidden="0" function="0" vbProcedure="0">'[94]Job Technical Info'!$G$29</definedName>
    <definedName name="LnrDrift2" localSheetId="13" hidden="0" function="0" vbProcedure="0">'[94]Job Technical Info'!$G$30</definedName>
    <definedName name="LnrGrd1" localSheetId="13" hidden="0" function="0" vbProcedure="0">'[94]Job Technical Info'!$H$29</definedName>
    <definedName name="LnrGrd2" localSheetId="13" hidden="0" function="0" vbProcedure="0">'[94]Job Technical Info'!$H$30</definedName>
    <definedName name="LnrID1" localSheetId="13" hidden="0" function="0" vbProcedure="0">'[94]Job Technical Info'!$F$29</definedName>
    <definedName name="LnrID2" localSheetId="13" hidden="0" function="0" vbProcedure="0">'[94]Job Technical Info'!$F$30</definedName>
    <definedName name="LnrSz1" localSheetId="13" hidden="0" function="0" vbProcedure="0">'[94]Job Technical Info'!$D$29</definedName>
    <definedName name="LnrSz2" localSheetId="13" hidden="0" function="0" vbProcedure="0">'[94]Job Technical Info'!$D$30</definedName>
    <definedName name="LnrThd1" localSheetId="13" hidden="0" function="0" vbProcedure="0">'[94]Job Technical Info'!$J$29</definedName>
    <definedName name="LnrThd2" localSheetId="13" hidden="0" function="0" vbProcedure="0">'[94]Job Technical Info'!$J$30</definedName>
    <definedName name="LnrWt1" localSheetId="13" hidden="0" function="0" vbProcedure="0">'[94]Job Technical Info'!$E$29</definedName>
    <definedName name="LnrWt2" localSheetId="13" hidden="0" function="0" vbProcedure="0">'[94]Job Technical Info'!$E$30</definedName>
    <definedName name="Lnr_Shoe_Depth" localSheetId="13" hidden="0" function="0" vbProcedure="0">'[130]Metric Conversions'!$B$29</definedName>
    <definedName name="Loaded" localSheetId="13" hidden="0" function="0" vbProcedure="0">'[108]Pre-Job Info Sheet'!$B$19</definedName>
    <definedName name="Location" localSheetId="13" hidden="0" function="0" vbProcedure="0">[63]auf_screen!#ref!</definedName>
    <definedName name="LodSheet" localSheetId="13" hidden="0" function="0" vbProcedure="0">#ref!</definedName>
    <definedName name="LOGGER" localSheetId="13" hidden="0" function="0" vbProcedure="0">[209]!Calculate_Pipe</definedName>
    <definedName name="Logo" localSheetId="13" hidden="0" function="0" vbProcedure="0">#ref!</definedName>
    <definedName name="Logoo" localSheetId="13" hidden="0" function="0" vbProcedure="0">#ref!</definedName>
    <definedName name="LongColumn" localSheetId="13" hidden="0" function="0" vbProcedure="0">!#ref!</definedName>
    <definedName name="lotd" localSheetId="13" hidden="0" function="0" vbProcedure="0">#ref!</definedName>
    <definedName name="lotmw" localSheetId="13" hidden="0" function="0" vbProcedure="0">#ref!</definedName>
    <definedName name="lotp" localSheetId="13" hidden="0" function="0" vbProcedure="0">#ref!</definedName>
    <definedName name="loudout" localSheetId="13" hidden="1" function="0" vbProcedure="0">[151]Run!$D$15:$D$512</definedName>
    <definedName name="LS" localSheetId="13" hidden="0" function="0" vbProcedure="0">'[196]amberjack a32ream'!#ref!</definedName>
    <definedName name="LSA" localSheetId="13" hidden="0" function="0" vbProcedure="0">[213]!Calculate_Pipe</definedName>
    <definedName name="LSD" localSheetId="13" hidden="0" function="0" vbProcedure="0">'[144]job info sheet'!#ref!</definedName>
    <definedName name="LStringW" localSheetId="13" hidden="0" function="0" vbProcedure="0">#ref!</definedName>
    <definedName name="LSV" localSheetId="13" hidden="0" function="0" vbProcedure="0">#ref!</definedName>
    <definedName name="LTP" localSheetId="13" hidden="0" function="0" vbProcedure="0">INDEX([111]DRAW!$D$14:$E$15,MATCH([112]AUTO_DHWS!$BB$7,[111]DRAW!$D$14:$D$15,0),2)</definedName>
    <definedName name="LTV" localSheetId="13" hidden="0" function="0" vbProcedure="0">#ref!</definedName>
    <definedName name="LTVCor" localSheetId="13" hidden="0" function="0" vbProcedure="0">#ref!</definedName>
    <definedName name="LU" localSheetId="13" hidden="0" function="0" vbProcedure="0">#ref!</definedName>
    <definedName name="LUCF" localSheetId="13" hidden="0" function="0" vbProcedure="0">#ref!</definedName>
    <definedName name="LWD_Conns" localSheetId="13" hidden="0" function="0" vbProcedure="0">#ref!</definedName>
    <definedName name="LWD_Sizes" localSheetId="13" hidden="0" function="0" vbProcedure="0">#ref!</definedName>
    <definedName name="M" localSheetId="13" hidden="1" function="0" vbProcedure="0">#ref!</definedName>
    <definedName name="Macro112" localSheetId="13" hidden="0" function="0" vbProcedure="0">[59]!Macro59</definedName>
    <definedName name="Macro22_1" localSheetId="13" hidden="0" function="0" vbProcedure="0">data!macro22</definedName>
    <definedName name="Macro22_10" localSheetId="13" hidden="0" function="0" vbProcedure="0">data!macro22</definedName>
    <definedName name="Macro22_11" localSheetId="13" hidden="0" function="0" vbProcedure="0">data!macro22</definedName>
    <definedName name="Macro22_2" localSheetId="13" hidden="0" function="0" vbProcedure="0">data!macro22</definedName>
    <definedName name="Macro22_3" localSheetId="13" hidden="0" function="0" vbProcedure="0">data!macro22</definedName>
    <definedName name="Macro22_4" localSheetId="13" hidden="0" function="0" vbProcedure="0">data!macro22</definedName>
    <definedName name="Macro22_5" localSheetId="13" hidden="0" function="0" vbProcedure="0">data!macro22</definedName>
    <definedName name="Macro22_6" localSheetId="13" hidden="0" function="0" vbProcedure="0">data!macro22</definedName>
    <definedName name="Macro22_7" localSheetId="13" hidden="0" function="0" vbProcedure="0">data!macro22</definedName>
    <definedName name="Macro22_8" localSheetId="13" hidden="0" function="0" vbProcedure="0">data!macro22</definedName>
    <definedName name="Macro22_9" localSheetId="13" hidden="0" function="0" vbProcedure="0">data!macro22</definedName>
    <definedName name="Macro233" localSheetId="13" hidden="0" function="0" vbProcedure="0">DATA!Macro1</definedName>
    <definedName name="Macro2_1" localSheetId="13" hidden="0" function="0" vbProcedure="0">data!macro2</definedName>
    <definedName name="Macro2_10" localSheetId="13" hidden="0" function="0" vbProcedure="0">data!macro2</definedName>
    <definedName name="Macro2_11" localSheetId="13" hidden="0" function="0" vbProcedure="0">data!macro2</definedName>
    <definedName name="Macro2_2" localSheetId="13" hidden="0" function="0" vbProcedure="0">data!macro2</definedName>
    <definedName name="Macro2_3" localSheetId="13" hidden="0" function="0" vbProcedure="0">data!macro2</definedName>
    <definedName name="Macro2_4" localSheetId="13" hidden="0" function="0" vbProcedure="0">data!macro2</definedName>
    <definedName name="Macro2_5" localSheetId="13" hidden="0" function="0" vbProcedure="0">data!macro2</definedName>
    <definedName name="Macro2_6" localSheetId="13" hidden="0" function="0" vbProcedure="0">data!macro2</definedName>
    <definedName name="Macro2_7" localSheetId="13" hidden="0" function="0" vbProcedure="0">data!macro2</definedName>
    <definedName name="Macro2_8" localSheetId="13" hidden="0" function="0" vbProcedure="0">data!macro2</definedName>
    <definedName name="Macro2_9" localSheetId="13" hidden="0" function="0" vbProcedure="0">data!macro2</definedName>
    <definedName name="Macro3_1" localSheetId="13" hidden="0" function="0" vbProcedure="0">data!macro3</definedName>
    <definedName name="Macro3_10" localSheetId="13" hidden="0" function="0" vbProcedure="0">data!macro3</definedName>
    <definedName name="Macro3_11" localSheetId="13" hidden="0" function="0" vbProcedure="0">data!macro3</definedName>
    <definedName name="Macro3_2" localSheetId="13" hidden="0" function="0" vbProcedure="0">data!macro3</definedName>
    <definedName name="Macro3_3" localSheetId="13" hidden="0" function="0" vbProcedure="0">data!macro3</definedName>
    <definedName name="Macro3_4" localSheetId="13" hidden="0" function="0" vbProcedure="0">data!macro3</definedName>
    <definedName name="Macro3_5" localSheetId="13" hidden="0" function="0" vbProcedure="0">data!macro3</definedName>
    <definedName name="Macro3_6" localSheetId="13" hidden="0" function="0" vbProcedure="0">data!macro3</definedName>
    <definedName name="Macro3_7" localSheetId="13" hidden="0" function="0" vbProcedure="0">data!macro3</definedName>
    <definedName name="Macro3_8" localSheetId="13" hidden="0" function="0" vbProcedure="0">data!macro3</definedName>
    <definedName name="Macro3_9" localSheetId="13" hidden="0" function="0" vbProcedure="0">data!macro3</definedName>
    <definedName name="Macro46" localSheetId="13" hidden="0" function="0" vbProcedure="0">[38]!Macro46</definedName>
    <definedName name="Macro59" localSheetId="13" hidden="0" function="0" vbProcedure="0">[38]!Macro59</definedName>
    <definedName name="Macro60" localSheetId="13" hidden="0" function="0" vbProcedure="0">[38]!Macro60</definedName>
    <definedName name="Macro61" localSheetId="13" hidden="0" function="0" vbProcedure="0">[38]!Macro61</definedName>
    <definedName name="MagDec" localSheetId="13" hidden="0" function="0" vbProcedure="0">#ref!</definedName>
    <definedName name="MagDip" localSheetId="13" hidden="0" function="0" vbProcedure="0">#ref!</definedName>
    <definedName name="MagneticDeclDate" localSheetId="13" hidden="0" function="0" vbProcedure="0">#ref!</definedName>
    <definedName name="MagneticDeclination" localSheetId="13" hidden="0" function="0" vbProcedure="0">#ref!</definedName>
    <definedName name="MagneticDeclModel" localSheetId="13" hidden="0" function="0" vbProcedure="0">#ref!</definedName>
    <definedName name="Make_Up_Torque_Of_Weak_Link" localSheetId="13" hidden="0" function="0" vbProcedure="0">'[11]Liner Job Info'!$P$50</definedName>
    <definedName name="MaPSDensity" localSheetId="13" hidden="0" function="0" vbProcedure="0">'[94]SetUp Tab'!$G$25</definedName>
    <definedName name="MaPSDiameter" localSheetId="13" hidden="0" function="0" vbProcedure="0">'[94]SetUp Tab'!$G$23</definedName>
    <definedName name="MaPSFlowRate" localSheetId="13" hidden="0" function="0" vbProcedure="0">'[94]SetUp Tab'!$G$26</definedName>
    <definedName name="MaPSLength" localSheetId="13" hidden="0" function="0" vbProcedure="0">'[94]SetUp Tab'!$E$23</definedName>
    <definedName name="MaPSMass" localSheetId="13" hidden="0" function="0" vbProcedure="0">[94]Lists!$BJ$3</definedName>
    <definedName name="MaPSPressure" localSheetId="13" hidden="0" function="0" vbProcedure="0">'[94]SetUp Tab'!$G$24</definedName>
    <definedName name="MaPSTemp" localSheetId="13" hidden="0" function="0" vbProcedure="0">'[94]SetUp Tab'!$E$26</definedName>
    <definedName name="MaPSWeight" localSheetId="13" hidden="0" function="0" vbProcedure="0">'[94]SetUp Tab'!$E$24</definedName>
    <definedName name="marrupees" localSheetId="13" hidden="0" function="0" vbProcedure="0">'[152]Cash Expsense March-96'!$H$6</definedName>
    <definedName name="masp" localSheetId="13" hidden="0" function="0" vbProcedure="0">#ref!</definedName>
    <definedName name="Material" localSheetId="13" hidden="0" function="0" vbProcedure="0">[11]DATA!$I$3:$I$22</definedName>
    <definedName name="Max" localSheetId="13" hidden="0" function="0" vbProcedure="0">#ref!</definedName>
    <definedName name="Max._Deviation" localSheetId="13" hidden="0" function="0" vbProcedure="0">'[108]Pre-Job Info Sheet'!$B$36</definedName>
    <definedName name="MaxDev" localSheetId="13" hidden="0" function="0" vbProcedure="0">'[94]Job Technical Info'!$F$41</definedName>
    <definedName name="MaxDeviationFd" localSheetId="13" hidden="0" function="0" vbProcedure="0">#ref!</definedName>
    <definedName name="MaxDHole" localSheetId="13" hidden="0" function="0" vbProcedure="0">#ref!</definedName>
    <definedName name="MaxOdUnits" localSheetId="13" hidden="0" function="0" vbProcedure="0">#ref!</definedName>
    <definedName name="MaxSurface" localSheetId="13" hidden="0" function="0" vbProcedure="0">#ref!</definedName>
    <definedName name="MaxTempdb" localSheetId="13" hidden="0" function="0" vbProcedure="0">#ref!</definedName>
    <definedName name="MaxTempslb" localSheetId="13" hidden="0" function="0" vbProcedure="0">#ref!</definedName>
    <definedName name="maxtempstring" localSheetId="13" hidden="0" function="0" vbProcedure="0">#ref!</definedName>
    <definedName name="Max_Bump_psi" localSheetId="13" hidden="0" function="0" vbProcedure="0">'[11]Metric Conversions'!$B$59</definedName>
    <definedName name="Max_Test_Cmt_Setup" localSheetId="13" hidden="0" function="0" vbProcedure="0">'[11]Metric Conversions'!$B$62</definedName>
    <definedName name="Max_Test_Seals_In" localSheetId="13" hidden="0" function="0" vbProcedure="0">'[11]Metric Conversions'!$B$61</definedName>
    <definedName name="Max_test_seals_out" localSheetId="13" hidden="0" function="0" vbProcedure="0">'[11]Metric Conversions'!$B$60</definedName>
    <definedName name="Max_Turns" localSheetId="13" hidden="0" function="0" vbProcedure="0">'[11]Weight Calculations'!$T$36</definedName>
    <definedName name="mccv" localSheetId="13" hidden="0" function="0" vbProcedure="0">#ref!</definedName>
    <definedName name="MDData" localSheetId="13" hidden="0" function="0" vbProcedure="0">OFFSET([133]!mdforinclination,2,0,COUNT(#ref!),1)</definedName>
    <definedName name="MD_Column" localSheetId="13" hidden="0" function="0" vbProcedure="0">!#ref!</definedName>
    <definedName name="MD_Unit" localSheetId="13" hidden="0" function="0" vbProcedure="0">#ref!</definedName>
    <definedName name="MENU" localSheetId="13" hidden="0" function="0" vbProcedure="0">#ref!</definedName>
    <definedName name="MeteringTime" localSheetId="13" hidden="0" function="0" vbProcedure="0">[11]DATA!$BG$2:$BG$42</definedName>
    <definedName name="MFS" localSheetId="13" hidden="0" function="0" vbProcedure="0">#ref!</definedName>
    <definedName name="Min" localSheetId="13" hidden="0" function="0" vbProcedure="0">#ref!</definedName>
    <definedName name="Min._Ten_Sett_Tool_Assy" localSheetId="13" hidden="0" function="0" vbProcedure="0">'[11]Weight Calculations'!$S$60</definedName>
    <definedName name="Mind" localSheetId="13" hidden="0" function="0" vbProcedure="0">#ref!</definedName>
    <definedName name="MinDHole" localSheetId="13" hidden="0" function="0" vbProcedure="0">#ref!</definedName>
    <definedName name="MinDownhole" localSheetId="13" hidden="0" function="0" vbProcedure="0">#ref!</definedName>
    <definedName name="MinE" localSheetId="13" hidden="0" function="0" vbProcedure="0">#ref!</definedName>
    <definedName name="MinSurface" localSheetId="13" hidden="0" function="0" vbProcedure="0">#ref!</definedName>
    <definedName name="Min_DP_Tens" localSheetId="13" hidden="0" function="0" vbProcedure="0">'[11]Weight Calculations'!$W$61</definedName>
    <definedName name="MiStringW" localSheetId="13" hidden="0" function="0" vbProcedure="0">#ref!</definedName>
    <definedName name="Module1.draw_productionfirst" localSheetId="13" hidden="0" function="0" vbProcedure="0">'[38]final tally '!module1.draw_productionfirst</definedName>
    <definedName name="Module1.draw_productionsecond" localSheetId="13" hidden="0" function="0" vbProcedure="0">'[38]final tally '!module1.draw_productionsecond</definedName>
    <definedName name="Module1.impdwg_1" localSheetId="13" hidden="0" function="0" vbProcedure="0">data!module1.impdwg</definedName>
    <definedName name="Module1.impdwg_10" localSheetId="13" hidden="0" function="0" vbProcedure="0">data!module1.impdwg</definedName>
    <definedName name="Module1.impdwg_11" localSheetId="13" hidden="0" function="0" vbProcedure="0">data!module1.impdwg</definedName>
    <definedName name="Module1.impdwg_2" localSheetId="13" hidden="0" function="0" vbProcedure="0">data!module1.impdwg</definedName>
    <definedName name="Module1.impdwg_3" localSheetId="13" hidden="0" function="0" vbProcedure="0">data!module1.impdwg</definedName>
    <definedName name="Module1.impdwg_4" localSheetId="13" hidden="0" function="0" vbProcedure="0">data!module1.impdwg</definedName>
    <definedName name="Module1.impdwg_5" localSheetId="13" hidden="0" function="0" vbProcedure="0">data!module1.impdwg</definedName>
    <definedName name="Module1.impdwg_6" localSheetId="13" hidden="0" function="0" vbProcedure="0">data!module1.impdwg</definedName>
    <definedName name="Module1.impdwg_7" localSheetId="13" hidden="0" function="0" vbProcedure="0">data!module1.impdwg</definedName>
    <definedName name="Module1.impdwg_8" localSheetId="13" hidden="0" function="0" vbProcedure="0">data!module1.impdwg</definedName>
    <definedName name="Module1.impdwg_9" localSheetId="13" hidden="0" function="0" vbProcedure="0">data!module1.impdwg</definedName>
    <definedName name="Module4.drawblanks" localSheetId="13" hidden="0" function="0" vbProcedure="0">'[38]final tally '!module4.drawblanks</definedName>
    <definedName name="Module4.drawlinerfirst" localSheetId="13" hidden="0" function="0" vbProcedure="0">'[38]final tally '!module4.drawlinerfirst</definedName>
    <definedName name="Module4.drawlinersecond" localSheetId="13" hidden="0" function="0" vbProcedure="0">'[38]final tally '!module4.drawlinersecond</definedName>
    <definedName name="Module4.drawmiscellaneous" localSheetId="13" hidden="0" function="0" vbProcedure="0">'[38]final tally '!module4.drawmiscellaneous</definedName>
    <definedName name="Module4.drawproductionfirst" localSheetId="13" hidden="0" function="0" vbProcedure="0">'[38]final tally '!module4.drawproductionfirst</definedName>
    <definedName name="Module4.drawproductionsecond" localSheetId="13" hidden="0" function="0" vbProcedure="0">'[38]final tally '!module4.drawproductionsecond</definedName>
    <definedName name="Module4.drawquantum" localSheetId="13" hidden="0" function="0" vbProcedure="0">'[38]final tally '!module4.drawquantum</definedName>
    <definedName name="Module4.drawscreens" localSheetId="13" hidden="0" function="0" vbProcedure="0">'[38]final tally '!module4.drawscreens</definedName>
    <definedName name="Module4.drawshearsubs" localSheetId="13" hidden="0" function="0" vbProcedure="0">'[38]final tally '!module4.drawshearsubs</definedName>
    <definedName name="Module4.drawsump" localSheetId="13" hidden="0" function="0" vbProcedure="0">'[38]final tally '!module4.drawsump</definedName>
    <definedName name="Module4.textfive" localSheetId="13" hidden="0" function="0" vbProcedure="0">'[38]final tally '!module4.textfive</definedName>
    <definedName name="Module4.textfivehalf" localSheetId="13" hidden="0" function="0" vbProcedure="0">'[38]final tally '!module4.textfivehalf</definedName>
    <definedName name="Module4.textninefiveeightfourfirst" localSheetId="13" hidden="0" function="0" vbProcedure="0">'[38]final tally '!module4.textninefiveeightfourfirst</definedName>
    <definedName name="Module4.textninefiveeightfoursecond" localSheetId="13" hidden="0" function="0" vbProcedure="0">'[38]final tally '!module4.textninefiveeightfoursecond</definedName>
    <definedName name="Module4.textninefiveeightsixfirst" localSheetId="13" hidden="0" function="0" vbProcedure="0">'[38]final tally '!module4.textninefiveeightsixfirst</definedName>
    <definedName name="Module4.textninefiveeightsixsecond" localSheetId="13" hidden="0" function="0" vbProcedure="0">'[38]final tally '!module4.textninefiveeightsixsecond</definedName>
    <definedName name="Module4.textsevenfiveeightfour" localSheetId="13" hidden="0" function="0" vbProcedure="0">'[38]final tally '!module4.textsevenfiveeightfour</definedName>
    <definedName name="Module4.textsevenfiveeightthree" localSheetId="13" hidden="0" function="0" vbProcedure="0">'[38]final tally '!module4.textsevenfiveeightthree</definedName>
    <definedName name="Module4.textsevenfour" localSheetId="13" hidden="0" function="0" vbProcedure="0">'[38]final tally '!module4.textsevenfour</definedName>
    <definedName name="Module4.textseventhree" localSheetId="13" hidden="0" function="0" vbProcedure="0">'[38]final tally '!module4.textseventhree</definedName>
    <definedName name="MOE" localSheetId="13" hidden="0" function="0" vbProcedure="0">#ref!</definedName>
    <definedName name="Month" localSheetId="13" hidden="0" function="0" vbProcedure="0">[63]auf_screen!#ref!</definedName>
    <definedName name="monthref" localSheetId="13" hidden="0" function="0" vbProcedure="0">[184]References!$H$1:$I$12</definedName>
    <definedName name="MorningReport" localSheetId="13" hidden="0" function="0" vbProcedure="0">'[218]morning report'!#ref!</definedName>
    <definedName name="MotorYN" localSheetId="13" hidden="0" function="0" vbProcedure="0">#ref!</definedName>
    <definedName name="MOTOR_LENGTH" localSheetId="13" hidden="0" function="0" vbProcedure="0">#ref!</definedName>
    <definedName name="MOTOR_WEIGHT" localSheetId="13" hidden="0" function="0" vbProcedure="0">#ref!</definedName>
    <definedName name="mr" localSheetId="13" hidden="1" function="0" vbProcedure="0">{#N/A,#N/A,FALSE,"Sheet1"}</definedName>
    <definedName name="mrjanstring" localSheetId="13" hidden="0" function="0" vbProcedure="0">#ref!</definedName>
    <definedName name="MStringW" localSheetId="13" hidden="0" function="0" vbProcedure="0">#ref!</definedName>
    <definedName name="MudFunnelViscosity" localSheetId="13" hidden="0" function="0" vbProcedure="0">#ref!</definedName>
    <definedName name="MudFunnelViscosityUnits" localSheetId="13" hidden="0" function="0" vbProcedure="0">#ref!</definedName>
    <definedName name="MudHW" localSheetId="13" hidden="0" function="0" vbProcedure="0">#ref!</definedName>
    <definedName name="MudPV" localSheetId="13" hidden="0" function="0" vbProcedure="0">#ref!</definedName>
    <definedName name="MudPVUnits" localSheetId="13" hidden="0" function="0" vbProcedure="0">#ref!</definedName>
    <definedName name="Mudtype" localSheetId="13" hidden="0" function="0" vbProcedure="0">[11]DATA!$N$2:$N$18</definedName>
    <definedName name="MudTypeFd" localSheetId="13" hidden="0" function="0" vbProcedure="0">#ref!</definedName>
    <definedName name="MudTypes" localSheetId="13" hidden="0" function="0" vbProcedure="0">#ref!</definedName>
    <definedName name="MudUnit" localSheetId="13" hidden="0" function="0" vbProcedure="0">#ref!</definedName>
    <definedName name="MudWeight" localSheetId="13" hidden="0" function="0" vbProcedure="0">#ref!</definedName>
    <definedName name="MudWeightUnits" localSheetId="13" hidden="0" function="0" vbProcedure="0">#ref!</definedName>
    <definedName name="Mudwt" localSheetId="13" hidden="0" function="0" vbProcedure="0">"Dialog2_Edit Box 5"</definedName>
    <definedName name="MudYP" localSheetId="13" hidden="0" function="0" vbProcedure="0">#ref!</definedName>
    <definedName name="MudYPUnits" localSheetId="13" hidden="0" function="0" vbProcedure="0">#ref!</definedName>
    <definedName name="Mud_Type" localSheetId="13" hidden="0" function="0" vbProcedure="0">'[7]Drop-Down Items'!$D$4:$D$14</definedName>
    <definedName name="Mud_Wt" localSheetId="13" hidden="0" function="0" vbProcedure="0">'[130]Metric Conversions'!$B$66</definedName>
    <definedName name="MULE_SHOE_DEPTH" localSheetId="13" hidden="0" function="0" vbProcedure="0">'[113]#REF'!$F$182</definedName>
    <definedName name="MW" localSheetId="13" hidden="0" function="0" vbProcedure="0">#ref!,#ref!,#ref!,#ref!,#ref!</definedName>
    <definedName name="MWD" localSheetId="13" hidden="0" function="0" vbProcedure="0">[6]Sheet1!$F$10:$F$12</definedName>
    <definedName name="MWD_Bottom_Conn" localSheetId="13" hidden="0" function="0" vbProcedure="0">#ref!</definedName>
    <definedName name="MWD_Flows" localSheetId="13" hidden="0" function="0" vbProcedure="0">#ref!</definedName>
    <definedName name="MWD_Sizes" localSheetId="13" hidden="0" function="0" vbProcedure="0">#ref!</definedName>
    <definedName name="MWD_Top_Conn" localSheetId="13" hidden="0" function="0" vbProcedure="0">#ref!</definedName>
    <definedName name="my" localSheetId="13" hidden="0" function="0" vbProcedure="0">[151]!JointNumber</definedName>
    <definedName name="m_choke" localSheetId="13" hidden="0" function="0" vbProcedure="0">'[96]well test sheet'!#ref!</definedName>
    <definedName name="M_Dual" localSheetId="13" hidden="0" function="0" vbProcedure="0">#ref!</definedName>
    <definedName name="M___Malabo" localSheetId="13" hidden="0" function="0" vbProcedure="0">#ref!</definedName>
    <definedName name="n" localSheetId="13" hidden="0" function="0" vbProcedure="0">'[38]final tally '!n</definedName>
    <definedName name="N2_Precharge" localSheetId="13" hidden="0" function="0" vbProcedure="0">'[108]Tester Valve Calcs'!$F$16</definedName>
    <definedName name="N2_Press_DH" localSheetId="13" hidden="0" function="0" vbProcedure="0">'[108]Tester Valve Calcs'!$F$29</definedName>
    <definedName name="N2_Stroke" localSheetId="13" hidden="0" function="0" vbProcedure="0">'[108]Tester Valve Calcs'!$M$18</definedName>
    <definedName name="N2_Temp_DH" localSheetId="13" hidden="0" function="0" vbProcedure="0">'[108]Tester Valve Calcs'!$F$22</definedName>
    <definedName name="N2_Temp_Surf" localSheetId="13" hidden="0" function="0" vbProcedure="0">'[108]Tester Valve Calcs'!$F$17</definedName>
    <definedName name="N2_Vol_DH" localSheetId="13" hidden="0" function="0" vbProcedure="0">'[108]Tester Valve Calcs'!$F$25</definedName>
    <definedName name="N2_Vol_Surf" localSheetId="13" hidden="0" function="0" vbProcedure="0">'[108]Tester Valve Calcs'!$F$14</definedName>
    <definedName name="name" localSheetId="13" hidden="0" function="0" vbProcedure="0">#ref!</definedName>
    <definedName name="nb" localSheetId="13" hidden="0" function="0" vbProcedure="0">'[186]井口装置示意图-4'!$E$1:$E$65536</definedName>
    <definedName name="NEBRIGS" localSheetId="13" hidden="0" function="0" vbProcedure="0">[184]References!$D$1:$D$15</definedName>
    <definedName name="Neck" localSheetId="13" hidden="0" function="0" vbProcedure="0">#ref!</definedName>
    <definedName name="netperf" localSheetId="13" hidden="0" function="0" vbProcedure="0">[5]WTR!$G$33</definedName>
    <definedName name="NET_PERFS" localSheetId="13" hidden="0" function="0" vbProcedure="0">'[113]#REF'!$F$20</definedName>
    <definedName name="NewData" localSheetId="13" hidden="0" function="0" vbProcedure="0">'[183]New Contract'!$A$1:$G$65536</definedName>
    <definedName name="NewDes" localSheetId="13" hidden="0" function="0" vbProcedure="0">'[183]New Contract'!$A$1:$A$65536</definedName>
    <definedName name="newrisk" localSheetId="13" hidden="0" function="0" vbProcedure="0">[125]Sheet2!$D$1:$D$3</definedName>
    <definedName name="NextTD" localSheetId="13" hidden="0" function="0" vbProcedure="0">'[153]Lookahd EA'!$E$1:$N$3</definedName>
    <definedName name="ng"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3" hidden="0" function="0" vbProcedure="0">'[7]#ref'!#ref!</definedName>
    <definedName name="Nipples" localSheetId="13" hidden="0" function="0" vbProcedure="0">#ref!</definedName>
    <definedName name="NM" localSheetId="13" hidden="0" function="0" vbProcedure="0">[18]!Macro1</definedName>
    <definedName name="NNomLength" localSheetId="13" hidden="0" function="0" vbProcedure="0">#ref!</definedName>
    <definedName name="No" localSheetId="13" hidden="0" function="0" vbProcedure="0">'[154]BPR LOG'!$A$1:$A$1048576</definedName>
    <definedName name="NorthingColumn" localSheetId="13" hidden="0" function="0" vbProcedure="0">!#ref!</definedName>
    <definedName name="NorthingUnit" localSheetId="13" hidden="0" function="0" vbProcedure="0">#ref!</definedName>
    <definedName name="NorthReference" localSheetId="13" hidden="0" function="0" vbProcedure="0">#ref!</definedName>
    <definedName name="NosOfTubing" localSheetId="13" hidden="0" function="0" vbProcedure="0">#ref!</definedName>
    <definedName name="NoSystem" localSheetId="13" hidden="0" function="0" vbProcedure="0">#ref!,#ref!</definedName>
    <definedName name="noz_5" localSheetId="13" hidden="0" function="0" vbProcedure="0">#ref!</definedName>
    <definedName name="noz_6" localSheetId="13" hidden="0" function="0" vbProcedure="0">#ref!</definedName>
    <definedName name="NS_Column" localSheetId="13" hidden="0" function="0" vbProcedure="0">!#ref!</definedName>
    <definedName name="NS_Unit" localSheetId="13" hidden="0" function="0" vbProcedure="0">#ref!</definedName>
    <definedName name="NuclearTools" localSheetId="13" hidden="0" function="0" vbProcedure="0">#ref!</definedName>
    <definedName name="O" localSheetId="13" hidden="0" function="0" vbProcedure="0">'[155]Report Long(Esso)'!$E$4</definedName>
    <definedName name="OD" localSheetId="13" hidden="0" function="0" vbProcedure="0">#ref!</definedName>
    <definedName name="OD1_Rotating_Name" localSheetId="13" hidden="0" function="0" vbProcedure="0">#ref!</definedName>
    <definedName name="OD2_Rotating_Name" localSheetId="13" hidden="0" function="0" vbProcedure="0">#ref!</definedName>
    <definedName name="odcasing" localSheetId="13" hidden="0" function="0" vbProcedure="0">[106]Data!$J$16</definedName>
    <definedName name="ODdb" localSheetId="13" hidden="0" function="0" vbProcedure="0">#ref!</definedName>
    <definedName name="OdIdUnits" localSheetId="13" hidden="0" function="0" vbProcedure="0">#ref!</definedName>
    <definedName name="ODSizes" localSheetId="13" hidden="0" function="0" vbProcedure="0">[94]Lists!$AF$3:$AF$42</definedName>
    <definedName name="odslb" localSheetId="13" hidden="0" function="0" vbProcedure="0">#ref!</definedName>
    <definedName name="odstring" localSheetId="13" hidden="0" function="0" vbProcedure="0">#ref!</definedName>
    <definedName name="ODUnit" localSheetId="13" hidden="0" function="0" vbProcedure="0">'[94]Job Technical Info'!$D$24</definedName>
    <definedName name="odworkstring" localSheetId="13" hidden="0" function="0" vbProcedure="0">[106]Data!$W$18</definedName>
    <definedName name="Offshore_Block" localSheetId="13" hidden="0" function="0" vbProcedure="0">'[108]TCP-BHA'!$A$9</definedName>
    <definedName name="ogr" localSheetId="13" hidden="0" function="0" vbProcedure="0">'[156]Test Data'!$T$8:$T$16,'[156]Test Data'!$T$18:$T$122,'[156]Test Data'!$T$132:$T$247</definedName>
    <definedName name="OHoleID" localSheetId="13" hidden="0" function="0" vbProcedure="0">'[94]Job Technical Info'!$B$40</definedName>
    <definedName name="OHoleLength" localSheetId="13" hidden="0" function="0" vbProcedure="0">'[94]Job Technical Info'!$D$40</definedName>
    <definedName name="OH_Dia" localSheetId="13" hidden="0" function="0" vbProcedure="0">'[11]Liner Job Info'!$Q$14</definedName>
    <definedName name="oilM" localSheetId="13" hidden="0" function="0" vbProcedure="0">#ref!</definedName>
    <definedName name="oilrate" localSheetId="13" hidden="0" function="0" vbProcedure="0">'[96]well test sheet'!#ref!</definedName>
    <definedName name="oilT" localSheetId="13" hidden="0" function="0" vbProcedure="0">[233]oilt!#ref!</definedName>
    <definedName name="oil_cumm" localSheetId="13" hidden="0" function="0" vbProcedure="0">'[96]well test sheet'!#ref!</definedName>
    <definedName name="Okill" localSheetId="13" hidden="0" function="0" vbProcedure="0">#ref!</definedName>
    <definedName name="ol" localSheetId="13" hidden="0" function="0" vbProcedure="0">#ref!</definedName>
    <definedName name="Oldready" localSheetId="13" hidden="0" function="0" vbProcedure="0">#ref!</definedName>
    <definedName name="omdo"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3" hidden="0" function="0" vbProcedure="0">'[157]Initial Tally'!$G$4</definedName>
    <definedName name="onefive" localSheetId="13" hidden="0" function="0" vbProcedure="0">[57]data!#ref!</definedName>
    <definedName name="OpenEndString" localSheetId="13" hidden="0" function="0" vbProcedure="0">#ref!</definedName>
    <definedName name="OptimumTorquedb" localSheetId="13" hidden="0" function="0" vbProcedure="0">#ref!</definedName>
    <definedName name="OptimumTorqueslb" localSheetId="13" hidden="0" function="0" vbProcedure="0">#ref!</definedName>
    <definedName name="OptimumTorqueString" localSheetId="13" hidden="0" function="0" vbProcedure="0">#ref!</definedName>
    <definedName name="OptimumTorqueUntdb" localSheetId="13" hidden="0" function="0" vbProcedure="0">#ref!</definedName>
    <definedName name="OptimumTorqueUntslb" localSheetId="13" hidden="0" function="0" vbProcedure="0">#ref!</definedName>
    <definedName name="OP_1" localSheetId="13" hidden="0" function="0" vbProcedure="0">[187]Inputs!$F$1:$F$3</definedName>
    <definedName name="OrderedLength" localSheetId="13" hidden="0" function="0" vbProcedure="0">#ref!</definedName>
    <definedName name="Orientation" localSheetId="13" hidden="0" function="0" vbProcedure="0">[63]auf_screen!#ref!</definedName>
    <definedName name="OrificieCal" localSheetId="13" hidden="0" function="0" vbProcedure="0">#ref!</definedName>
    <definedName name="oslipjoint" localSheetId="13" hidden="0" function="0" vbProcedure="0">#ref!</definedName>
    <definedName name="Overbalance" localSheetId="13" hidden="0" function="0" vbProcedure="0">'[108]Pre-Job Info Sheet'!$D$34</definedName>
    <definedName name="Overlap" localSheetId="13" hidden="0" function="0" vbProcedure="0">'[11]Metric Conversions'!$B$16</definedName>
    <definedName name="Override_Figures" localSheetId="13" hidden="0" function="0" vbProcedure="0">[63]auf_screen!#ref!</definedName>
    <definedName name="P" localSheetId="13" hidden="1" function="0" vbProcedure="0">{#N/A,#N/A,FALSE,"Drlg Param Run 1-1";#N/A,#N/A,FALSE,"DDR (3)";#N/A,#N/A,FALSE,"BHA AT (1)";#N/A,#N/A,FALSE,"Downlinkbha";#N/A,#N/A,FALSE,"Job Status Report"}</definedName>
    <definedName name="PACKER" localSheetId="13" hidden="0" function="0" vbProcedure="0">INDEX([111]DRAW!$A$2:$B$13,MATCH([112]AUTO_DHWS!$AV$8,[111]DRAW!$A$2:$A$13,0),2)</definedName>
    <definedName name="PackerDepth" localSheetId="13" hidden="0" function="0" vbProcedure="0">'[79]casing talley'!#ref!</definedName>
    <definedName name="PACKER_2" localSheetId="13" hidden="0" function="0" vbProcedure="0">INDEX([111]DRAW!$D$13:$E$14,MATCH([112]AUTO_DHWS!$AV$12,[111]DRAW!$D$13:$D$14,0),2)</definedName>
    <definedName name="Packer_Rotation" localSheetId="13" hidden="0" function="0" vbProcedure="0">'[11]Liner Job Info'!$P$40</definedName>
    <definedName name="Packer_Set_In" localSheetId="13" hidden="0" function="0" vbProcedure="0">'[108]Pre-Job Info Sheet'!$D$22</definedName>
    <definedName name="PackOff" localSheetId="13" hidden="0" function="0" vbProcedure="0">[11]DATA!$AP$2:$AP$6</definedName>
    <definedName name="PackoffXDP1_Pist_Area" localSheetId="13" hidden="0" function="0" vbProcedure="0">'[11]Liner Job Info'!$AF$2</definedName>
    <definedName name="PackoffXDP2_Pist_Area" localSheetId="13" hidden="0" function="0" vbProcedure="0">'[11]Liner Job Info'!$AF$3</definedName>
    <definedName name="PackoffXDP3_Pist_Area" localSheetId="13" hidden="0" function="0" vbProcedure="0">'[11]Liner Job Info'!$AG$28</definedName>
    <definedName name="PackoffXDP4_Pist_Area" localSheetId="13" hidden="0" function="0" vbProcedure="0">'[11]Liner Job Info'!$AG$29</definedName>
    <definedName name="PackoffXDP5_Pist_Area" localSheetId="13" hidden="0" function="0" vbProcedure="0">'[11]Liner Job Info'!$AG$30</definedName>
    <definedName name="Packoff_Pist_Area" localSheetId="13" hidden="0" function="0" vbProcedure="0">'[11]Liner Job Info'!$AG$31</definedName>
    <definedName name="Packoff_Stinger_OD" localSheetId="13" hidden="0" function="0" vbProcedure="0">'[11]Liner Job Info'!$P$42</definedName>
    <definedName name="PAdd" localSheetId="13" hidden="0" function="0" vbProcedure="0">#ref!</definedName>
    <definedName name="PAdd1" localSheetId="13" hidden="0" function="0" vbProcedure="0">#ref!</definedName>
    <definedName name="PageTop3" localSheetId="13" hidden="0" function="0" vbProcedure="0">#ref!</definedName>
    <definedName name="PageTop4" localSheetId="13" hidden="0" function="0" vbProcedure="0">#ref!</definedName>
    <definedName name="PAR" localSheetId="13" hidden="0" function="0" vbProcedure="0">#ref!</definedName>
    <definedName name="Para3" localSheetId="13" hidden="1" function="0" vbProcedure="0">{#N/A,#N/A,FALSE,"Drlg Param Run 1-1";#N/A,#N/A,FALSE,"DDR (3)";#N/A,#N/A,FALSE,"BHA AT (1)";#N/A,#N/A,FALSE,"Downlinkbha";#N/A,#N/A,FALSE,"Job Status Report"}</definedName>
    <definedName name="Parish" localSheetId="13" hidden="0" function="0" vbProcedure="0">'[108]TCP-BHA'!$C$9</definedName>
    <definedName name="Parish_County" localSheetId="13" hidden="0" function="0" vbProcedure="0">'[108]Pre-Job Info Sheet'!$D$9</definedName>
    <definedName name="Parts" localSheetId="13" hidden="0" function="0" vbProcedure="0">#ref!</definedName>
    <definedName name="Pavg3" localSheetId="13" hidden="0" function="0" vbProcedure="0">#ref!</definedName>
    <definedName name="PaycheckDate" localSheetId="13" hidden="0" function="0" vbProcedure="0">#ref!</definedName>
    <definedName name="PBTD" localSheetId="13" hidden="0" function="0" vbProcedure="0">'[79]casing talley'!#ref!</definedName>
    <definedName name="Pckr_Body_Bst" localSheetId="13" hidden="0" function="0" vbProcedure="0">'[11]Metric Conversions'!$B$52</definedName>
    <definedName name="Pckr_Body_Tens" localSheetId="13" hidden="0" function="0" vbProcedure="0">'[11]Liner Job Info'!$P$34</definedName>
    <definedName name="Pckr_Seal_Surf_OD" localSheetId="13" hidden="0" function="0" vbProcedure="0">'[11]Liner Job Info'!$P$31</definedName>
    <definedName name="Pckr_Sett_Force" localSheetId="13" hidden="0" function="0" vbProcedure="0">'[11]Liner Job Info'!$P$39</definedName>
    <definedName name="pct" localSheetId="13" hidden="0" function="0" vbProcedure="0">#ref!</definedName>
    <definedName name="PCTDepth" localSheetId="13" hidden="0" function="0" vbProcedure="0">#ref!</definedName>
    <definedName name="pcthoop" localSheetId="13" hidden="0" function="0" vbProcedure="0">#ref!</definedName>
    <definedName name="PDFlowRestrictor" localSheetId="13" hidden="0" function="0" vbProcedure="0">#ref!</definedName>
    <definedName name="PDFlowRestrictorUnit" localSheetId="13" hidden="0" function="0" vbProcedure="0">#ref!</definedName>
    <definedName name="PDHG_2" localSheetId="13" hidden="0" function="0" vbProcedure="0">INDEX([111]DRAW!$A$2:$B$13,MATCH([112]AUTO_DHWS!$AV$13,[111]DRAW!$A$2:$A$13,0),2)</definedName>
    <definedName name="Pdiff" localSheetId="13" hidden="0" function="0" vbProcedure="0">#ref!</definedName>
    <definedName name="PD_SOFTWARE" localSheetId="13" hidden="0" function="0" vbProcedure="0">[129]RSS!$J$148:$J$152</definedName>
    <definedName name="PD_STAB" localSheetId="13" hidden="0" function="0" vbProcedure="0">[129]RSS!$R$131:$R$160</definedName>
    <definedName name="Pe" localSheetId="13" hidden="0" function="0" vbProcedure="0">#ref!</definedName>
    <definedName name="PEIGHT_TOTAL" localSheetId="13" hidden="0" function="0" vbProcedure="0">[241]index!#ref!</definedName>
    <definedName name="Perf._Interval" localSheetId="13" hidden="0" function="0" vbProcedure="0">'[108]Pre-Job Info Sheet'!$B$17</definedName>
    <definedName name="Perf._Interval_2" localSheetId="13" hidden="0" function="0" vbProcedure="0">'[108]Pre-Job Info Sheet'!$B$18</definedName>
    <definedName name="perfbottom" localSheetId="13" hidden="0" function="0" vbProcedure="0">[5]WTR!$I$32</definedName>
    <definedName name="PerfDepth" localSheetId="13" hidden="0" function="0" vbProcedure="0">'[79]casing talley'!#ref!</definedName>
    <definedName name="perftop" localSheetId="13" hidden="0" function="0" vbProcedure="0">[5]WTR!$G$32</definedName>
    <definedName name="PERF_BOTTOM" localSheetId="13" hidden="0" function="0" vbProcedure="0">'[113]#REF'!$H$19</definedName>
    <definedName name="PERF_SLURRY" localSheetId="13" hidden="0" function="0" vbProcedure="0">'[113]#REF'!$H$198</definedName>
    <definedName name="PERF_TOP" localSheetId="13" hidden="0" function="0" vbProcedure="0">'[113]#REF'!$F$19</definedName>
    <definedName name="PERF_VOL" localSheetId="13" hidden="0" function="0" vbProcedure="0">'[113]#REF'!$J$12</definedName>
    <definedName name="perm" localSheetId="13" hidden="0" function="0" vbProcedure="0">[106]Data!$G$56</definedName>
    <definedName name="perm1" localSheetId="13" hidden="0" function="0" vbProcedure="0">[106]Data!$G$57</definedName>
    <definedName name="Personnel1" localSheetId="13" hidden="0" function="0" vbProcedure="0">[183]Data!$P$1:$P$65536</definedName>
    <definedName name="Perv.Macro140" localSheetId="13" hidden="0" function="0" vbProcedure="0">[52]!Prev.Macro102</definedName>
    <definedName name="Per_Dist_Orient_Mode_1" localSheetId="13" hidden="0" function="0" vbProcedure="0">#ref!</definedName>
    <definedName name="Per_Dist_Orient_Mode_1_Name" localSheetId="13" hidden="0" function="0" vbProcedure="0">#ref!</definedName>
    <definedName name="Per_Dist_Orient_Mode_2" localSheetId="13" hidden="0" function="0" vbProcedure="0">#ref!</definedName>
    <definedName name="Per_Dist_Orient_Mode_2_Name" localSheetId="13" hidden="0" function="0" vbProcedure="0">#ref!</definedName>
    <definedName name="Per_Dist_Rotating" localSheetId="13" hidden="0" function="0" vbProcedure="0">#ref!</definedName>
    <definedName name="Per_Dist_Steering" localSheetId="13" hidden="0" function="0" vbProcedure="0">#ref!</definedName>
    <definedName name="Per_Rot_OD1" localSheetId="13" hidden="0" function="0" vbProcedure="0">#ref!</definedName>
    <definedName name="Per_Rot_OD1_Name" localSheetId="13" hidden="0" function="0" vbProcedure="0">#ref!</definedName>
    <definedName name="Per_Rot_OD2" localSheetId="13" hidden="0" function="0" vbProcedure="0">#ref!</definedName>
    <definedName name="Per_Rot_OD2_Name" localSheetId="13" hidden="0" function="0" vbProcedure="0">#ref!</definedName>
    <definedName name="Per_Time_Rot" localSheetId="13" hidden="0" function="0" vbProcedure="0">#ref!</definedName>
    <definedName name="Per_Time_Rot_Name" localSheetId="13" hidden="0" function="0" vbProcedure="0">#ref!</definedName>
    <definedName name="Per_Time_Steering" localSheetId="13" hidden="0" function="0" vbProcedure="0">#ref!</definedName>
    <definedName name="Per_Time_Steering_Name" localSheetId="13" hidden="0" function="0" vbProcedure="0">#ref!</definedName>
    <definedName name="Pf" localSheetId="13" hidden="0" function="0" vbProcedure="0">#ref!</definedName>
    <definedName name="PFIVE_TOTAL" localSheetId="13" hidden="0" function="0" vbProcedure="0">[241]index!#ref!</definedName>
    <definedName name="PFOUR_TOTAL" localSheetId="13" hidden="0" function="0" vbProcedure="0">[241]index!#ref!</definedName>
    <definedName name="PgDn_Ranges" localSheetId="13" hidden="0" function="0" vbProcedure="0">[63]auf_screen!#ref!</definedName>
    <definedName name="Ph" localSheetId="13" hidden="0" function="0" vbProcedure="0">#ref!</definedName>
    <definedName name="Phasing" localSheetId="13" hidden="0" function="0" vbProcedure="0">'[108]Pre-Job Info Sheet'!$B$23</definedName>
    <definedName name="PhCV" localSheetId="13" hidden="0" function="0" vbProcedure="0">#ref!</definedName>
    <definedName name="PhFH" localSheetId="13" hidden="0" function="0" vbProcedure="0">#ref!</definedName>
    <definedName name="PhJAR" localSheetId="13" hidden="0" function="0" vbProcedure="0">#ref!</definedName>
    <definedName name="Phone" localSheetId="13" hidden="0" function="0" vbProcedure="0">'[117]Well Installation Drawing'!$K$11</definedName>
    <definedName name="PhOutput" localSheetId="13" hidden="0" function="0" vbProcedure="0">#ref!</definedName>
    <definedName name="PhPsk" localSheetId="13" hidden="0" function="0" vbProcedure="0">#ref!</definedName>
    <definedName name="PhPTV" localSheetId="13" hidden="0" function="0" vbProcedure="0">#ref!</definedName>
    <definedName name="PhRT" localSheetId="13" hidden="0" function="0" vbProcedure="0">#ref!</definedName>
    <definedName name="PhRV" localSheetId="13" hidden="0" function="0" vbProcedure="0">#ref!</definedName>
    <definedName name="PhSLPJ" localSheetId="13" hidden="0" function="0" vbProcedure="0">#ref!</definedName>
    <definedName name="PhTV" localSheetId="13" hidden="0" function="0" vbProcedure="0">#ref!</definedName>
    <definedName name="pick1_958x475_system" localSheetId="13" hidden="0" function="0" vbProcedure="0">'[38]final tally '!pick1_958x475_system</definedName>
    <definedName name="pick1_958x6_system" localSheetId="13" hidden="0" function="0" vbProcedure="0">'[38]final tally '!pick1_958x6_system</definedName>
    <definedName name="pick1_production" localSheetId="13" hidden="0" function="0" vbProcedure="0">'[38]final tally '!pick1_production</definedName>
    <definedName name="pick2_958x475_system" localSheetId="13" hidden="0" function="0" vbProcedure="0">'[38]final tally '!pick2_958x475_system</definedName>
    <definedName name="pick2_958x6_system" localSheetId="13" hidden="0" function="0" vbProcedure="0">'[38]final tally '!pick2_958x6_system</definedName>
    <definedName name="pick2_production" localSheetId="13" hidden="0" function="0" vbProcedure="0">'[38]final tally '!pick2_production</definedName>
    <definedName name="pick_512_system" localSheetId="13" hidden="0" function="0" vbProcedure="0">'[38]final tally '!pick_512_system</definedName>
    <definedName name="pick_5_system" localSheetId="13" hidden="0" function="0" vbProcedure="0">'[38]final tally '!pick_5_system</definedName>
    <definedName name="pick_758x314_system" localSheetId="13" hidden="0" function="0" vbProcedure="0">'[38]final tally '!pick_758x314_system</definedName>
    <definedName name="pick_758x4_system" localSheetId="13" hidden="0" function="0" vbProcedure="0">'[38]final tally '!pick_758x4_system</definedName>
    <definedName name="pick_7x314_system" localSheetId="13" hidden="0" function="0" vbProcedure="0">'[38]final tally '!pick_7x314_system</definedName>
    <definedName name="pick_7x4_system" localSheetId="13" hidden="0" function="0" vbProcedure="0">'[38]final tally '!pick_7x4_system</definedName>
    <definedName name="pick_blanks" localSheetId="13" hidden="0" function="0" vbProcedure="0">'[38]final tally '!pick_blanks</definedName>
    <definedName name="pick_liner" localSheetId="13" hidden="0" function="0" vbProcedure="0">'[38]final tally '!pick_liner</definedName>
    <definedName name="pick_liner2" localSheetId="13" hidden="0" function="0" vbProcedure="0">'[38]final tally '!pick_liner2</definedName>
    <definedName name="pick_miscellaneous" localSheetId="13" hidden="0" function="0" vbProcedure="0">'[38]final tally '!pick_miscellaneous</definedName>
    <definedName name="pick_quantum" localSheetId="13" hidden="0" function="0" vbProcedure="0">'[38]final tally '!pick_quantum</definedName>
    <definedName name="pick_screens" localSheetId="13" hidden="0" function="0" vbProcedure="0">'[38]final tally '!pick_screens</definedName>
    <definedName name="pick_shearsubs" localSheetId="13" hidden="0" function="0" vbProcedure="0">'[38]final tally '!pick_shearsubs</definedName>
    <definedName name="pick_sump" localSheetId="13" hidden="0" function="0" vbProcedure="0">'[38]final tally '!pick_sump</definedName>
    <definedName name="Pilot" localSheetId="13" hidden="0" function="0" vbProcedure="0">[242]!'[module4 formula].macro1'</definedName>
    <definedName name="PipeList" localSheetId="13" hidden="0" function="0" vbProcedure="0">#ref!</definedName>
    <definedName name="PistArea_Packoff_to_DP_OD" localSheetId="13" hidden="0" function="0" vbProcedure="0">[11]Test!$M$16</definedName>
    <definedName name="Piston_Disp" localSheetId="13" hidden="0" function="0" vbProcedure="0">'[108]Tester Valve Calcs'!$M$16</definedName>
    <definedName name="Pist_Area_Csg_ID_to_DP1_OD" localSheetId="13" hidden="0" function="0" vbProcedure="0">[11]Test!$U$26</definedName>
    <definedName name="Pist_Area_Csg_ID_to_DP2_OD" localSheetId="13" hidden="0" function="0" vbProcedure="0">[11]Test!$U$27</definedName>
    <definedName name="Pist_Area_Csg_ID_to_DP3_OD" localSheetId="13" hidden="0" function="0" vbProcedure="0">[11]Test!$U$28</definedName>
    <definedName name="Pist_Area_Csg_ID_to_DP4_OD" localSheetId="13" hidden="0" function="0" vbProcedure="0">[11]Test!$U$29</definedName>
    <definedName name="Pist_Area_Csg_ID_to_DP5_OD" localSheetId="13" hidden="0" function="0" vbProcedure="0">[11]Test!$U$30</definedName>
    <definedName name="Pist_Area_from_CsgID_to_Packoff_OD" localSheetId="13" hidden="0" function="0" vbProcedure="0">[11]Test!$M$14</definedName>
    <definedName name="Pist_Area_PackoffOD_DP2_OD" localSheetId="13" hidden="0" function="0" vbProcedure="0">[11]Test!$Y$27</definedName>
    <definedName name="Pist_Area_PackoffOD_DP4_OD" localSheetId="13" hidden="0" function="0" vbProcedure="0">[11]Test!$Y$29</definedName>
    <definedName name="Pist_Area_PackoffOD_DP5_OD" localSheetId="13" hidden="0" function="0" vbProcedure="0">[11]Test!$Y$30</definedName>
    <definedName name="Pist_Area_PackoffOD_to_DP1_OD" localSheetId="13" hidden="0" function="0" vbProcedure="0">[11]Test!$Y$26</definedName>
    <definedName name="Pist_Area_PackoffOD_to_DP3_OD" localSheetId="13" hidden="0" function="0" vbProcedure="0">[11]Test!$Y$28</definedName>
    <definedName name="PKFactor" localSheetId="13" hidden="0" function="0" vbProcedure="0">#ref!</definedName>
    <definedName name="Pkrs" localSheetId="13" hidden="0" function="0" vbProcedure="0">#ref!</definedName>
    <definedName name="plotm" localSheetId="13" hidden="0" function="0" vbProcedure="0">'[64]tool backload dt'!plotm</definedName>
    <definedName name="PlugMethod" localSheetId="13" hidden="0" function="0" vbProcedure="0">[11]DATA!$BI$2:$BI$6</definedName>
    <definedName name="Plugs" localSheetId="13" hidden="0" function="0" vbProcedure="0">[11]DATA!$AL$2:$AL$13</definedName>
    <definedName name="Plug_Bmp_Hngr_Ovr_Ld" localSheetId="13" hidden="0" function="0" vbProcedure="0">[11]Test!$M$25</definedName>
    <definedName name="Plug_Bmp_psi_wo_DP" localSheetId="13" hidden="0" function="0" vbProcedure="0">[11]Test!$M$23</definedName>
    <definedName name="Plug_Bmp_psi_w_DP" localSheetId="13" hidden="0" function="0" vbProcedure="0">[11]Test!$M$24</definedName>
    <definedName name="Plug_Press_Rating" localSheetId="13" hidden="0" function="0" vbProcedure="0">'[11]Metric Conversions'!$B$51</definedName>
    <definedName name="Plug_Temp_Rating" localSheetId="13" hidden="0" function="0" vbProcedure="0">'[11]Liner Job Info'!$D$44</definedName>
    <definedName name="pmp1blstk" localSheetId="13" hidden="0" function="0" vbProcedure="0">#ref!</definedName>
    <definedName name="pmp2blstk" localSheetId="13" hidden="0" function="0" vbProcedure="0">#ref!</definedName>
    <definedName name="PNINE_TOTAL" localSheetId="13" hidden="0" function="0" vbProcedure="0">[241]index!#ref!</definedName>
    <definedName name="PNumber" localSheetId="13" hidden="0" function="0" vbProcedure="0">#ref!</definedName>
    <definedName name="po" localSheetId="13" hidden="0" function="0" vbProcedure="0">[159]Drillers!$O$20</definedName>
    <definedName name="port" localSheetId="13" hidden="0" function="0" vbProcedure="0">#ref!</definedName>
    <definedName name="Ported_Sub" localSheetId="13" hidden="0" function="0" vbProcedure="0">'[108]TCP-BHA'!$H$30</definedName>
    <definedName name="PostJob" localSheetId="13" hidden="0" function="0" vbProcedure="0">#ref!</definedName>
    <definedName name="Pos_of_Ball" localSheetId="13" hidden="0" function="0" vbProcedure="0">'[108]Tester Valve Calcs'!$F$12</definedName>
    <definedName name="PoundConversion" localSheetId="13" hidden="0" function="0" vbProcedure="0">[94]Lists!$AD$4</definedName>
    <definedName name="POWERV_TO" localSheetId="13" hidden="0" function="0" vbProcedure="0">[129]RSS!$A$206</definedName>
    <definedName name="Pp" localSheetId="13" hidden="0" function="0" vbProcedure="0">#ref!</definedName>
    <definedName name="PPF" localSheetId="13" hidden="0" function="0" vbProcedure="0">#ref!</definedName>
    <definedName name="pph" localSheetId="13" hidden="0" function="0" vbProcedure="0">[43]!Calculate_Pipe</definedName>
    <definedName name="PrDelay" localSheetId="13" hidden="0" function="0" vbProcedure="0">#ref!</definedName>
    <definedName name="pre.Macro220" localSheetId="13" hidden="0" function="0" vbProcedure="0">[52]!Prev.Macro110</definedName>
    <definedName name="pregpstim" localSheetId="13" hidden="0" function="0" vbProcedure="0">[5]WTR!$G$48</definedName>
    <definedName name="PreJob" localSheetId="13" hidden="0" function="0" vbProcedure="0">#ref!</definedName>
    <definedName name="PREPACK_MIX_RATIO" localSheetId="13" hidden="0" function="0" vbProcedure="0">'[113]#REF'!$K$44</definedName>
    <definedName name="Pres1a" localSheetId="13" hidden="0" function="0" vbProcedure="0">#ref!</definedName>
    <definedName name="Pres1b" localSheetId="13" hidden="0" function="0" vbProcedure="0">#ref!</definedName>
    <definedName name="Pres1c" localSheetId="13" hidden="0" function="0" vbProcedure="0">#ref!</definedName>
    <definedName name="Pres1d" localSheetId="13" hidden="0" function="0" vbProcedure="0">#ref!</definedName>
    <definedName name="Pres1e" localSheetId="13" hidden="0" function="0" vbProcedure="0">#ref!</definedName>
    <definedName name="PRESENCE_November_Liste" localSheetId="13" hidden="0" function="0" vbProcedure="0">#ref!</definedName>
    <definedName name="presmw" localSheetId="13" hidden="0" function="0" vbProcedure="0">#ref!</definedName>
    <definedName name="Pressure" localSheetId="13" hidden="0" function="0" vbProcedure="0">#ref!</definedName>
    <definedName name="pressure1" localSheetId="13" hidden="0" function="0" vbProcedure="0">[106]Data!$C$2</definedName>
    <definedName name="pressure10" localSheetId="13" hidden="0" function="0" vbProcedure="0">[106]Data!$C$11</definedName>
    <definedName name="pressure2" localSheetId="13" hidden="0" function="0" vbProcedure="0">[106]Data!$C$3</definedName>
    <definedName name="pressure3" localSheetId="13" hidden="0" function="0" vbProcedure="0">[106]Data!$C$4</definedName>
    <definedName name="pressure4" localSheetId="13" hidden="0" function="0" vbProcedure="0">[106]Data!$C$5</definedName>
    <definedName name="pressure5" localSheetId="13" hidden="0" function="0" vbProcedure="0">[106]Data!$C$6</definedName>
    <definedName name="pressure6" localSheetId="13" hidden="0" function="0" vbProcedure="0">[106]Data!$C$7</definedName>
    <definedName name="pressure7" localSheetId="13" hidden="0" function="0" vbProcedure="0">[106]Data!$C$8</definedName>
    <definedName name="pressure8" localSheetId="13" hidden="0" function="0" vbProcedure="0">[106]Data!$C$9</definedName>
    <definedName name="pressure9" localSheetId="13" hidden="0" function="0" vbProcedure="0">[106]Data!$C$10</definedName>
    <definedName name="pressurea" localSheetId="13" hidden="0" function="0" vbProcedure="0">[106]Data!$D$2</definedName>
    <definedName name="pressureb" localSheetId="13" hidden="0" function="0" vbProcedure="0">[106]Data!$D$3</definedName>
    <definedName name="pressurec" localSheetId="13" hidden="0" function="0" vbProcedure="0">[106]Data!$D$4</definedName>
    <definedName name="pressured" localSheetId="13" hidden="0" function="0" vbProcedure="0">[106]Data!$D$5</definedName>
    <definedName name="pressuree" localSheetId="13" hidden="0" function="0" vbProcedure="0">[106]Data!$D$6</definedName>
    <definedName name="pressuref" localSheetId="13" hidden="0" function="0" vbProcedure="0">[106]Data!$D$7</definedName>
    <definedName name="pressureg" localSheetId="13" hidden="0" function="0" vbProcedure="0">[106]Data!$D$8</definedName>
    <definedName name="pressureh" localSheetId="13" hidden="0" function="0" vbProcedure="0">[106]Data!$D$9</definedName>
    <definedName name="pressurei" localSheetId="13" hidden="0" function="0" vbProcedure="0">[106]Data!$D$10</definedName>
    <definedName name="pressurej" localSheetId="13" hidden="0" function="0" vbProcedure="0">[106]Data!$D$11</definedName>
    <definedName name="Pressures" localSheetId="13" hidden="0" function="0" vbProcedure="0">'[116]Kill Sheet - Horizontal'!$W$27,'[116]Kill Sheet - Horizontal'!$W$31,'[116]Kill Sheet - Horizontal'!$W$32</definedName>
    <definedName name="PressureUnit" localSheetId="13" hidden="0" function="0" vbProcedure="0">#ref!</definedName>
    <definedName name="Pressure_1" localSheetId="13" hidden="0" function="0" vbProcedure="0">#ref!</definedName>
    <definedName name="Pressure_2" localSheetId="13" hidden="0" function="0" vbProcedure="0">#ref!</definedName>
    <definedName name="PresUnit" localSheetId="13" hidden="0" function="0" vbProcedure="0">#ref!</definedName>
    <definedName name="Prev.Macro101" localSheetId="13" hidden="0" function="0" vbProcedure="0">[38]!Prev.Macro101</definedName>
    <definedName name="Prev.Macro102" localSheetId="13" hidden="0" function="0" vbProcedure="0">[38]!Prev.Macro102</definedName>
    <definedName name="Prev.Macro103" localSheetId="13" hidden="0" function="0" vbProcedure="0">[38]!Prev.Macro103</definedName>
    <definedName name="Prev.Macro104" localSheetId="13" hidden="0" function="0" vbProcedure="0">[38]!Prev.Macro104</definedName>
    <definedName name="Prev.Macro105" localSheetId="13" hidden="0" function="0" vbProcedure="0">[38]!Prev.Macro105</definedName>
    <definedName name="Prev.Macro106" localSheetId="13" hidden="0" function="0" vbProcedure="0">[38]!Prev.Macro106</definedName>
    <definedName name="Prev.Macro107" localSheetId="13" hidden="0" function="0" vbProcedure="0">[38]!Prev.Macro107</definedName>
    <definedName name="Prev.Macro108" localSheetId="13" hidden="0" function="0" vbProcedure="0">[38]!Prev.Macro108</definedName>
    <definedName name="Prev.Macro109" localSheetId="13" hidden="0" function="0" vbProcedure="0">[38]!Prev.Macro109</definedName>
    <definedName name="Prev.Macro110" localSheetId="13" hidden="0" function="0" vbProcedure="0">[38]!Prev.Macro110</definedName>
    <definedName name="Prev.Macro111" localSheetId="13" hidden="0" function="0" vbProcedure="0">[38]!Prev.Macro111</definedName>
    <definedName name="Prev.Macro112" localSheetId="13" hidden="0" function="0" vbProcedure="0">[38]!Prev.Macro112</definedName>
    <definedName name="Prev.Macro113" localSheetId="13" hidden="0" function="0" vbProcedure="0">[38]!Prev.Macro113</definedName>
    <definedName name="Prev.Macro114" localSheetId="13" hidden="0" function="0" vbProcedure="0">[38]!Prev.Macro114</definedName>
    <definedName name="Prev.Macro115" localSheetId="13" hidden="0" function="0" vbProcedure="0">[38]!Prev.Macro115</definedName>
    <definedName name="Prev.Macro116" localSheetId="13" hidden="0" function="0" vbProcedure="0">[38]!Prev.Macro116</definedName>
    <definedName name="Prev.Macro117" localSheetId="13" hidden="0" function="0" vbProcedure="0">[38]!Prev.Macro117</definedName>
    <definedName name="Prev.Macro118" localSheetId="13" hidden="0" function="0" vbProcedure="0">[38]!Prev.Macro118</definedName>
    <definedName name="Prev.Macro120" localSheetId="13" hidden="0" function="0" vbProcedure="0">[38]!Prev.Macro120</definedName>
    <definedName name="Prev.Macro121" localSheetId="13" hidden="0" function="0" vbProcedure="0">[38]!Prev.Macro121</definedName>
    <definedName name="Prev.Macro122" localSheetId="13" hidden="0" function="0" vbProcedure="0">[38]!Prev.Macro122</definedName>
    <definedName name="Prev.Macro123" localSheetId="13" hidden="0" function="0" vbProcedure="0">[38]!Prev.Macro123</definedName>
    <definedName name="Prev.Macro124" localSheetId="13" hidden="0" function="0" vbProcedure="0">[38]!Prev.Macro124</definedName>
    <definedName name="Prev.Macro125" localSheetId="13" hidden="0" function="0" vbProcedure="0">[38]!Prev.Macro125</definedName>
    <definedName name="Prev.Macro126" localSheetId="13" hidden="0" function="0" vbProcedure="0">[38]!Prev.Macro126</definedName>
    <definedName name="Prev.Macro127" localSheetId="13" hidden="0" function="0" vbProcedure="0">[38]!Prev.Macro127</definedName>
    <definedName name="Prev.Macro128" localSheetId="13" hidden="0" function="0" vbProcedure="0">[38]!Prev.Macro128</definedName>
    <definedName name="Prev.Macro129" localSheetId="13" hidden="0" function="0" vbProcedure="0">[38]!Prev.Macro129</definedName>
    <definedName name="Prev.Macro130" localSheetId="13" hidden="0" function="0" vbProcedure="0">[38]!Prev.Macro130</definedName>
    <definedName name="Prev.Macro131" localSheetId="13" hidden="0" function="0" vbProcedure="0">[38]!Prev.Macro131</definedName>
    <definedName name="prev.macro131." localSheetId="13" hidden="0" function="0" vbProcedure="0">[38]!prev.macro131.</definedName>
    <definedName name="Prev.Macro132" localSheetId="13" hidden="0" function="0" vbProcedure="0">[38]!Prev.Macro132</definedName>
    <definedName name="Prev.Macro133" localSheetId="13" hidden="0" function="0" vbProcedure="0">[38]!Prev.Macro133</definedName>
    <definedName name="Prev.Macro134" localSheetId="13" hidden="0" function="0" vbProcedure="0">[38]!Prev.Macro134</definedName>
    <definedName name="Prev.Macro135" localSheetId="13" hidden="0" function="0" vbProcedure="0">[38]!Prev.Macro135</definedName>
    <definedName name="Prev.Macro136" localSheetId="13" hidden="0" function="0" vbProcedure="0">[38]!Prev.Macro136</definedName>
    <definedName name="Prev.Macro137" localSheetId="13" hidden="0" function="0" vbProcedure="0">[38]!Prev.Macro137</definedName>
    <definedName name="Prev.Macro138" localSheetId="13" hidden="0" function="0" vbProcedure="0">[38]!Prev.Macro138</definedName>
    <definedName name="Prev.Macro139" localSheetId="13" hidden="0" function="0" vbProcedure="0">[38]!Prev.Macro139</definedName>
    <definedName name="Prev.Macro140" localSheetId="13" hidden="0" function="0" vbProcedure="0">[38]!Prev.Macro140</definedName>
    <definedName name="Prev.Macro141" localSheetId="13" hidden="0" function="0" vbProcedure="0">[38]!Prev.Macro141</definedName>
    <definedName name="Prev.Macro142" localSheetId="13" hidden="0" function="0" vbProcedure="0">[38]!Prev.Macro142</definedName>
    <definedName name="Prev.Macro143" localSheetId="13" hidden="0" function="0" vbProcedure="0">[38]!Prev.Macro143</definedName>
    <definedName name="Prev.Macro144" localSheetId="13" hidden="0" function="0" vbProcedure="0">[38]!Prev.Macro144</definedName>
    <definedName name="Prev.Macro145" localSheetId="13" hidden="0" function="0" vbProcedure="0">[38]!Prev.Macro145</definedName>
    <definedName name="Prev.Macro146" localSheetId="13" hidden="0" function="0" vbProcedure="0">[38]!Prev.Macro146</definedName>
    <definedName name="Prev.Macro147" localSheetId="13" hidden="0" function="0" vbProcedure="0">[38]!Prev.Macro147</definedName>
    <definedName name="Prev.Macro149" localSheetId="13" hidden="0" function="0" vbProcedure="0">[38]!Prev.Macro149</definedName>
    <definedName name="prev.Macro150" localSheetId="13" hidden="0" function="0" vbProcedure="0">[52]!Prev.Macro122</definedName>
    <definedName name="prev.Macro200" localSheetId="13" hidden="0" function="0" vbProcedure="0">[52]!Prev.Macro128</definedName>
    <definedName name="Prev.Macro242" localSheetId="13" hidden="0" function="0" vbProcedure="0">[52]!Prev.Macro106</definedName>
    <definedName name="pricelist" localSheetId="13" hidden="0" function="0" vbProcedure="0">[139]Pricelist!$A$8:$B$11</definedName>
    <definedName name="print" localSheetId="13" hidden="0" function="0" vbProcedure="0">'[160]2003 SSWE LINE ITEMS'!$A$1:$V$302</definedName>
    <definedName name="Print_Area_MI" localSheetId="13" hidden="0" function="0" vbProcedure="0">#ref!</definedName>
    <definedName name="print_DJT" localSheetId="13" hidden="0" function="0" vbProcedure="0">#ref!</definedName>
    <definedName name="print_DTM" localSheetId="13" hidden="0" function="0" vbProcedure="0">#ref!</definedName>
    <definedName name="Print_Titles_MI" localSheetId="13" hidden="0" function="0" vbProcedure="0">#ref!</definedName>
    <definedName name="PRODPKR" localSheetId="13" hidden="0" function="0" vbProcedure="0">INDEX([161]PKR!$A$2:$B$15,MATCH([161]INPUT!$H$37,[161]PKR!$A$2:$A$15,0),2)</definedName>
    <definedName name="production" localSheetId="13" hidden="0" function="0" vbProcedure="0">[162]WTR!$L$6</definedName>
    <definedName name="Production_History_by_Well" localSheetId="13" hidden="0" function="0" vbProcedure="0">'[250]neb-wells'!#ref!</definedName>
    <definedName name="profitcntr1" localSheetId="13" hidden="0" function="0" vbProcedure="0">[183]Data!$I$1:$I$65536</definedName>
    <definedName name="Prog" localSheetId="13" hidden="0" function="0" vbProcedure="0">[184]References!$E$1:$E$4</definedName>
    <definedName name="PROJAZI" localSheetId="13" hidden="0" function="0" vbProcedure="0">#ref!</definedName>
    <definedName name="Project" localSheetId="13" hidden="0" function="0" vbProcedure="0">'[94]Job Technical Info'!$G$12</definedName>
    <definedName name="ProppantName" localSheetId="13" hidden="0" function="0" vbProcedure="0">'[94]Installation Results #1'!$B$326</definedName>
    <definedName name="PSEVEN_TOTAL" localSheetId="13" hidden="0" function="0" vbProcedure="0">[241]index!#ref!</definedName>
    <definedName name="PSI" localSheetId="13" hidden="0" function="0" vbProcedure="0">'[78]tester valve calcs'!#ref!</definedName>
    <definedName name="psia_array" localSheetId="13" hidden="0" function="0" vbProcedure="0">{"HMR","HMR-GT","ZI Probe","Spartek","Omega SP"}</definedName>
    <definedName name="psig_array" localSheetId="13" hidden="0" function="0" vbProcedure="0">{"RPG-3","RPG-4"}</definedName>
    <definedName name="PSIX_TOTAL" localSheetId="13" hidden="0" function="0" vbProcedure="0">[241]index!#ref!</definedName>
    <definedName name="PSK" localSheetId="13" hidden="0" function="0" vbProcedure="0">#ref!</definedName>
    <definedName name="PskDepth" localSheetId="13" hidden="0" function="0" vbProcedure="0">#ref!</definedName>
    <definedName name="psl" localSheetId="13" hidden="0" function="0" vbProcedure="0">[57]data!#ref!</definedName>
    <definedName name="Pstn_Force_Actual" localSheetId="13" hidden="0" function="0" vbProcedure="0">'[11]Weight Calculations'!$H$26</definedName>
    <definedName name="PS_pricelist" localSheetId="13" hidden="0" function="0" vbProcedure="0">[139]Pricelist!$A$22:$B$35</definedName>
    <definedName name="Pt" localSheetId="13" hidden="0" function="0" vbProcedure="0">#ref!</definedName>
    <definedName name="ptdtr" localSheetId="13" hidden="0" function="0" vbProcedure="0">'[115]Max-Torq'!$P$71</definedName>
    <definedName name="PTHREE_TOTAL" localSheetId="13" hidden="0" function="0" vbProcedure="0">[241]index!#ref!</definedName>
    <definedName name="ptsv" localSheetId="13" hidden="0" function="0" vbProcedure="0">#ref!</definedName>
    <definedName name="PTV" localSheetId="13" hidden="0" function="0" vbProcedure="0">#ref!</definedName>
    <definedName name="PTVDepth" localSheetId="13" hidden="0" function="0" vbProcedure="0">#ref!</definedName>
    <definedName name="PTWO_TOTAL" localSheetId="13" hidden="0" function="0" vbProcedure="0">[241]index!#ref!</definedName>
    <definedName name="PU" localSheetId="13" hidden="0" function="0" vbProcedure="0">#ref!</definedName>
    <definedName name="PUCF" localSheetId="13" hidden="0" function="0" vbProcedure="0">#ref!</definedName>
    <definedName name="PumpInput" localSheetId="13" hidden="0" function="0" vbProcedure="0">#ref!</definedName>
    <definedName name="Pups" localSheetId="13" hidden="0" function="0" vbProcedure="0">#ref!</definedName>
    <definedName name="PU_Dogs" localSheetId="13" hidden="0" function="0" vbProcedure="0">'[11]Metric Conversions'!$B$25</definedName>
    <definedName name="pv" localSheetId="13" hidden="0" function="0" vbProcedure="0">'[7]Drop-Down Items'!$R$7:$R$9</definedName>
    <definedName name="PWD_Ranges" localSheetId="13" hidden="0" function="0" vbProcedure="0">#ref!</definedName>
    <definedName name="PWD_Ratings" localSheetId="13" hidden="0" function="0" vbProcedure="0">#ref!</definedName>
    <definedName name="Pyp" localSheetId="13" hidden="0" function="0" vbProcedure="0">#ref!</definedName>
    <definedName name="q" localSheetId="13" hidden="0" function="0" vbProcedure="0">'[88]Report Long(Esso)'!$E$2</definedName>
    <definedName name="qewadc" localSheetId="13" hidden="0" function="0" vbProcedure="0">[254]!Calculate_Pipe</definedName>
    <definedName name="QPNum" localSheetId="13" hidden="0" function="0" vbProcedure="0">'[94]Job Technical Info'!$K$11</definedName>
    <definedName name="qqq" localSheetId="13" hidden="1" function="0" vbProcedure="0">{#N/A,#N/A,FALSE,"Drlg Param Run 1-1";#N/A,#N/A,FALSE,"DDR (3)";#N/A,#N/A,FALSE,"BHA AT (1)";#N/A,#N/A,FALSE,"Downlinkbha";#N/A,#N/A,FALSE,"Job Status Report"}</definedName>
    <definedName name="quantum" localSheetId="13" hidden="0" function="0" vbProcedure="0">'[38]final tally '!quantum</definedName>
    <definedName name="R.DLR" localSheetId="13" hidden="0" function="0" vbProcedure="0">#ref!</definedName>
    <definedName name="ra" localSheetId="13" hidden="0" function="0" vbProcedure="0">#ref!</definedName>
    <definedName name="rami" localSheetId="13" hidden="0" function="0" vbProcedure="0">#ref!</definedName>
    <definedName name="Range1" localSheetId="13" hidden="0" function="0" vbProcedure="0">OFFSET([257]sheet1!$e$5, 1, 0,[257]sheet1!$e$2,1)</definedName>
    <definedName name="rate" localSheetId="13" hidden="0" function="0" vbProcedure="0">[106]Data!$F$7</definedName>
    <definedName name="rate1" localSheetId="13" hidden="0" function="0" vbProcedure="0">[106]Data!$A$2</definedName>
    <definedName name="rate10" localSheetId="13" hidden="0" function="0" vbProcedure="0">[106]Data!$A$11</definedName>
    <definedName name="rate2" localSheetId="13" hidden="0" function="0" vbProcedure="0">[106]Data!$A$3</definedName>
    <definedName name="rate3" localSheetId="13" hidden="0" function="0" vbProcedure="0">[106]Data!$A$4</definedName>
    <definedName name="rate4" localSheetId="13" hidden="0" function="0" vbProcedure="0">[106]Data!$A$5</definedName>
    <definedName name="rate5" localSheetId="13" hidden="0" function="0" vbProcedure="0">[106]Data!$A$6</definedName>
    <definedName name="rate6" localSheetId="13" hidden="0" function="0" vbProcedure="0">[106]Data!$A$7</definedName>
    <definedName name="rate7" localSheetId="13" hidden="0" function="0" vbProcedure="0">[106]Data!$A$8</definedName>
    <definedName name="rate8" localSheetId="13" hidden="0" function="0" vbProcedure="0">[106]Data!$A$9</definedName>
    <definedName name="rate9" localSheetId="13" hidden="0" function="0" vbProcedure="0">[106]Data!$A$10</definedName>
    <definedName name="raw_tally_lower" localSheetId="13" hidden="0" function="0" vbProcedure="0">'[188]2B Raw Rig Tally'!$B$13:$D$501</definedName>
    <definedName name="raw_tally_upper" localSheetId="13" hidden="0" function="0" vbProcedure="0">'[188]2B Raw Rig Tally'!$F$13:$H$501</definedName>
    <definedName name="rb" localSheetId="13" hidden="0" function="0" vbProcedure="0">#ref!</definedName>
    <definedName name="RE" localSheetId="13" hidden="0" function="0" vbProcedure="0">'[260]calculo de gas total'!#ref!</definedName>
    <definedName name="reading" localSheetId="13" hidden="0" function="0" vbProcedure="0">#ref!</definedName>
    <definedName name="Ready" localSheetId="13" hidden="0" function="0" vbProcedure="0">[261]master!#ref!</definedName>
    <definedName name="Ready1" localSheetId="13" hidden="0" function="0" vbProcedure="0">#ref!</definedName>
    <definedName name="ReamerNozzles" localSheetId="13" hidden="0" function="0" vbProcedure="0">#ref!</definedName>
    <definedName name="ReamerNozzleTFA" localSheetId="13" hidden="0" function="0" vbProcedure="0">#ref!</definedName>
    <definedName name="ReamerNozzleUnit" localSheetId="13" hidden="0" function="0" vbProcedure="0">#ref!</definedName>
    <definedName name="ReamerTFAUnits" localSheetId="13" hidden="0" function="0" vbProcedure="0">#ref!</definedName>
    <definedName name="Reasons" localSheetId="13" hidden="0" function="0" vbProcedure="0">'[146]Title Page'!$O$2:$O$23</definedName>
    <definedName name="Recalc" localSheetId="13" hidden="0" function="0" vbProcedure="0">[120]!Recalc</definedName>
    <definedName name="Recorddb" localSheetId="13" hidden="0" function="0" vbProcedure="0">#ref!</definedName>
    <definedName name="Recordslb" localSheetId="13" hidden="0" function="0" vbProcedure="0">#ref!</definedName>
    <definedName name="Region" localSheetId="13" hidden="0" function="0" vbProcedure="0">'[94]SetUp Tab'!$D$15</definedName>
    <definedName name="Regions" localSheetId="13" hidden="0" function="0" vbProcedure="0">[18]Criteria!$B$2:$B$11</definedName>
    <definedName name="ReloadChk" localSheetId="13" hidden="0" function="0" vbProcedure="0">#ref!</definedName>
    <definedName name="Rem_DP1_Tens" localSheetId="13" hidden="0" function="0" vbProcedure="0">'[11]Weight Calculations'!$W$53</definedName>
    <definedName name="Rem_DP2_Tens" localSheetId="13" hidden="0" function="0" vbProcedure="0">'[11]Weight Calculations'!$W$54</definedName>
    <definedName name="Rem_DP3_Tens" localSheetId="13" hidden="0" function="0" vbProcedure="0">'[11]Weight Calculations'!$W$55</definedName>
    <definedName name="Rem_DP4_Tens" localSheetId="13" hidden="0" function="0" vbProcedure="0">'[11]Weight Calculations'!$W$59</definedName>
    <definedName name="Rem_DP5_Tens" localSheetId="13" hidden="0" function="0" vbProcedure="0">'[11]Weight Calculations'!$W$60</definedName>
    <definedName name="Rentalequipment" localSheetId="13" hidden="0" function="0" vbProcedure="0">[11]DATA!$R$2:$R$79</definedName>
    <definedName name="REPORT3" localSheetId="13" hidden="0" function="0" vbProcedure="0">'[2]run sheet'!#ref!</definedName>
    <definedName name="ReportApprovedBy" localSheetId="13" hidden="0" function="0" vbProcedure="0">#ref!</definedName>
    <definedName name="ReportDate" localSheetId="13" hidden="0" function="0" vbProcedure="0">#ref!</definedName>
    <definedName name="ReportDesignedBy" localSheetId="13" hidden="0" function="0" vbProcedure="0">#ref!</definedName>
    <definedName name="ReportTitle" localSheetId="13" hidden="0" function="0" vbProcedure="0">#ref!</definedName>
    <definedName name="Report_Title" localSheetId="13" hidden="0" function="0" vbProcedure="0">#ref!</definedName>
    <definedName name="RESE" localSheetId="13" hidden="0" function="0" vbProcedure="0">'[38]final tally '!rese</definedName>
    <definedName name="reservoir15" localSheetId="13" hidden="0" function="0" vbProcedure="0">'[73]geological prognosis'!#ref!</definedName>
    <definedName name="reservoir16" localSheetId="13" hidden="0" function="0" vbProcedure="0">'[73]geological prognosis'!#ref!</definedName>
    <definedName name="reservoir17" localSheetId="13" hidden="0" function="0" vbProcedure="0">'[73]geological prognosis'!#ref!</definedName>
    <definedName name="reservoir18" localSheetId="13" hidden="0" function="0" vbProcedure="0">'[73]geological prognosis'!#ref!</definedName>
    <definedName name="reservoir19" localSheetId="13" hidden="0" function="0" vbProcedure="0">'[73]geological prognosis'!#ref!</definedName>
    <definedName name="reservoir20" localSheetId="13" hidden="0" function="0" vbProcedure="0">'[73]geological prognosis'!#ref!</definedName>
    <definedName name="reservoir21" localSheetId="13" hidden="0" function="0" vbProcedure="0">'[73]geological prognosis'!#ref!</definedName>
    <definedName name="reservoir22" localSheetId="13" hidden="0" function="0" vbProcedure="0">'[73]geological prognosis'!#ref!</definedName>
    <definedName name="reservoir23" localSheetId="13" hidden="0" function="0" vbProcedure="0">'[73]geological prognosis'!#ref!</definedName>
    <definedName name="reservoir24" localSheetId="13" hidden="0" function="0" vbProcedure="0">'[73]geological prognosis'!#ref!</definedName>
    <definedName name="reservoir25" localSheetId="13" hidden="0" function="0" vbProcedure="0">'[73]geological prognosis'!#ref!</definedName>
    <definedName name="reservoir26" localSheetId="13" hidden="0" function="0" vbProcedure="0">'[73]geological prognosis'!#ref!</definedName>
    <definedName name="reservoir27" localSheetId="13" hidden="0" function="0" vbProcedure="0">'[73]geological prognosis'!#ref!</definedName>
    <definedName name="reservoir28" localSheetId="13" hidden="0" function="0" vbProcedure="0">'[73]geological prognosis'!#ref!</definedName>
    <definedName name="reservoir29" localSheetId="13" hidden="0" function="0" vbProcedure="0">'[73]geological prognosis'!#ref!</definedName>
    <definedName name="resrevoir09" localSheetId="13" hidden="0" function="0" vbProcedure="0">'[73]geological prognosis'!#ref!</definedName>
    <definedName name="resrevoir10" localSheetId="13" hidden="0" function="0" vbProcedure="0">'[73]geological prognosis'!#ref!</definedName>
    <definedName name="resrevoir12" localSheetId="13" hidden="0" function="0" vbProcedure="0">'[73]geological prognosis'!#ref!</definedName>
    <definedName name="resrevoir13" localSheetId="13" hidden="0" function="0" vbProcedure="0">'[73]geological prognosis'!#ref!</definedName>
    <definedName name="resrevoir14" localSheetId="13" hidden="0" function="0" vbProcedure="0">'[73]geological prognosis'!#ref!</definedName>
    <definedName name="ret" localSheetId="13" hidden="0" function="0" vbProcedure="0">[119]钻井日报表!$G$3</definedName>
    <definedName name="Return_to_seabed" localSheetId="13" hidden="0" function="0" vbProcedure="0">#ref!</definedName>
    <definedName name="RevDate" localSheetId="13" hidden="0" function="0" vbProcedure="0">#ref!</definedName>
    <definedName name="RevNb" localSheetId="13" hidden="0" function="0" vbProcedure="0">#ref!</definedName>
    <definedName name="Rev_XX" localSheetId="13" hidden="0" function="0" vbProcedure="0">'[94]Job Technical Info'!$L$4</definedName>
    <definedName name="rho_ahead_cement" localSheetId="13" hidden="0" function="0" vbProcedure="0">#ref!</definedName>
    <definedName name="rho_chase" localSheetId="13" hidden="0" function="0" vbProcedure="0">#ref!</definedName>
    <definedName name="rho_lead" localSheetId="13" hidden="0" function="0" vbProcedure="0">#ref!</definedName>
    <definedName name="rho_tail" localSheetId="13" hidden="0" function="0" vbProcedure="0">#ref!</definedName>
    <definedName name="RH_SHEAR" localSheetId="13" hidden="0" function="0" vbProcedure="0">'[11]Weight Calculations'!$H$21</definedName>
    <definedName name="RH_SHEAR_LNGTH" localSheetId="13" hidden="0" function="0" vbProcedure="0">'[11]Metric Conversions'!$B$37</definedName>
    <definedName name="Rig" localSheetId="13" hidden="0" function="0" vbProcedure="0">'[130]Liner Job Info'!$E$8</definedName>
    <definedName name="rigcontractor1" localSheetId="13" hidden="0" function="0" vbProcedure="0">[183]Data!$G$1:$G$65536</definedName>
    <definedName name="RigFd" localSheetId="13" hidden="0" function="0" vbProcedure="0">#ref!</definedName>
    <definedName name="Rigname1" localSheetId="13" hidden="0" function="0" vbProcedure="0">[183]Data!$E$1:$E$65536</definedName>
    <definedName name="RigPh" localSheetId="13" hidden="0" function="0" vbProcedure="0">'[94]Job Technical Info'!$G$17</definedName>
    <definedName name="Rig_Name" localSheetId="13" hidden="0" function="0" vbProcedure="0">'[108]Pre-Job Info Sheet'!$D$11</definedName>
    <definedName name="Rig_Output" localSheetId="13" hidden="0" function="0" vbProcedure="0">'[11]Displacement Cal.'!$G$7</definedName>
    <definedName name="RiseID" localSheetId="13" hidden="0" function="0" vbProcedure="0">#ref!</definedName>
    <definedName name="RI_LC_Z2_ANSWERS_SCPacker1" localSheetId="13" hidden="0" function="0" vbProcedure="0">'[165]LowerCompletions - Risk Index'!$G$56</definedName>
    <definedName name="RI_LC_Z3_ANSWERS_SCPacker1" localSheetId="13" hidden="0" function="0" vbProcedure="0">'[165]LowerCompletions - Risk Index'!$G$69</definedName>
    <definedName name="RI_LC_Z4_ANSWERS_SCPacker1" localSheetId="13" hidden="0" function="0" vbProcedure="0">'[165]LowerCompletions - Risk Index'!$G$82</definedName>
    <definedName name="RI_LC_Z5_ANSWERS_SCPacker1" localSheetId="13" hidden="0" function="0" vbProcedure="0">'[165]LowerCompletions - Risk Index'!$G$95</definedName>
    <definedName name="Rollover" localSheetId="13" hidden="0" function="0" vbProcedure="0">[63]auf_screen!#ref!</definedName>
    <definedName name="ROMR" localSheetId="13" hidden="0" function="0" vbProcedure="0">[184]References!$A$1:$A$3</definedName>
    <definedName name="Rop_Orient_Mode_1" localSheetId="13" hidden="0" function="0" vbProcedure="0">#ref!</definedName>
    <definedName name="Rop_Orient_Mode_1_Name" localSheetId="13" hidden="0" function="0" vbProcedure="0">#ref!</definedName>
    <definedName name="Rop_Orient_Mode_2" localSheetId="13" hidden="0" function="0" vbProcedure="0">#ref!</definedName>
    <definedName name="Rop_Orient_Mode_2_Name" localSheetId="13" hidden="0" function="0" vbProcedure="0">#ref!</definedName>
    <definedName name="ROP_Survey" localSheetId="13" hidden="0" function="0" vbProcedure="0">#ref!</definedName>
    <definedName name="Rotary" localSheetId="13" hidden="0" function="0" vbProcedure="0">#ref!</definedName>
    <definedName name="Rotation" localSheetId="13" hidden="0" function="0" vbProcedure="0">[11]DATA!$AK$2:$AK$10</definedName>
    <definedName name="RotorByPassNozzleTFA" localSheetId="13" hidden="0" function="0" vbProcedure="0">#ref!</definedName>
    <definedName name="RotorByPassNozzleTFAUnits" localSheetId="13" hidden="0" function="0" vbProcedure="0">#ref!</definedName>
    <definedName name="RowCount" localSheetId="13" hidden="0" function="0" vbProcedure="0">#ref!</definedName>
    <definedName name="RowPage" localSheetId="13" hidden="0" function="0" vbProcedure="0">#ref!</definedName>
    <definedName name="rowq" localSheetId="13" hidden="0" function="0" vbProcedure="0">#ref!</definedName>
    <definedName name="Rpt_Activity_Data" localSheetId="13" hidden="0" function="0" vbProcedure="0">#ref!</definedName>
    <definedName name="Rpt_Annu_AnnulusData" localSheetId="13" hidden="0" function="0" vbProcedure="0">#ref!</definedName>
    <definedName name="Rpt_Annu_AnnulusOD_Unit" localSheetId="13" hidden="0" function="0" vbProcedure="0">#ref!</definedName>
    <definedName name="Rpt_Annu_BHA_Data" localSheetId="13" hidden="0" function="0" vbProcedure="0">#ref!</definedName>
    <definedName name="Rpt_Annu_CTR_Unit" localSheetId="13" hidden="0" function="0" vbProcedure="0">#ref!</definedName>
    <definedName name="Rpt_Annu_Date" localSheetId="13" hidden="0" function="0" vbProcedure="0">#ref!</definedName>
    <definedName name="Rpt_Annu_Flowrate" localSheetId="13" hidden="0" function="0" vbProcedure="0">#ref!</definedName>
    <definedName name="Rpt_Annu_Flowrate_Unit" localSheetId="13" hidden="0" function="0" vbProcedure="0">#ref!</definedName>
    <definedName name="Rpt_Annu_Flow_Unit" localSheetId="13" hidden="0" function="0" vbProcedure="0">#ref!</definedName>
    <definedName name="Rpt_Annu_HCI_Unit" localSheetId="13" hidden="0" function="0" vbProcedure="0">#ref!</definedName>
    <definedName name="Rpt_Annu_Incl_Unit" localSheetId="13" hidden="0" function="0" vbProcedure="0">#ref!</definedName>
    <definedName name="Rpt_Annu_Length_Unit" localSheetId="13" hidden="0" function="0" vbProcedure="0">#ref!</definedName>
    <definedName name="Rpt_Annu_MD_Unit" localSheetId="13" hidden="0" function="0" vbProcedure="0">#ref!</definedName>
    <definedName name="Rpt_Annu_StringOD_Unit" localSheetId="13" hidden="0" function="0" vbProcedure="0">#ref!</definedName>
    <definedName name="Rpt_Annu_Survey_Data" localSheetId="13" hidden="0" function="0" vbProcedure="0">#ref!</definedName>
    <definedName name="Rpt_Annu_TVD_Unit" localSheetId="13" hidden="0" function="0" vbProcedure="0">#ref!</definedName>
    <definedName name="Rpt_Annu_Velocity_Unit" localSheetId="13" hidden="0" function="0" vbProcedure="0">#ref!</definedName>
    <definedName name="Rpt_Annu_Wellbore_Data" localSheetId="13" hidden="0" function="0" vbProcedure="0">#ref!</definedName>
    <definedName name="Rpt_Ann_Back_Pres" localSheetId="13" hidden="0" function="0" vbProcedure="0">#ref!</definedName>
    <definedName name="Rpt_Ann_Back_Pres_Unit" localSheetId="13" hidden="0" function="0" vbProcedure="0">#ref!</definedName>
    <definedName name="Rpt_API_Number" localSheetId="13" hidden="0" function="0" vbProcedure="0">#ref!</definedName>
    <definedName name="Rpt_Average_Header1" localSheetId="13" hidden="0" function="0" vbProcedure="0">#ref!</definedName>
    <definedName name="Rpt_Average_Header2" localSheetId="13" hidden="0" function="0" vbProcedure="0">#ref!</definedName>
    <definedName name="Rpt_AzimIn" localSheetId="13" hidden="0" function="0" vbProcedure="0">#ref!</definedName>
    <definedName name="Rpt_AzimIn_Header" localSheetId="13" hidden="0" function="0" vbProcedure="0">#ref!</definedName>
    <definedName name="Rpt_AzimOut" localSheetId="13" hidden="0" function="0" vbProcedure="0">#ref!</definedName>
    <definedName name="Rpt_AzimOut_Header" localSheetId="13" hidden="0" function="0" vbProcedure="0">#ref!</definedName>
    <definedName name="Rpt_BHARun" localSheetId="13" hidden="0" function="0" vbProcedure="0">#ref!</definedName>
    <definedName name="Rpt_BHA_CumLen_Unit" localSheetId="13" hidden="0" function="0" vbProcedure="0">#ref!</definedName>
    <definedName name="Rpt_BHA_Data" localSheetId="13" hidden="0" function="0" vbProcedure="0">#ref!</definedName>
    <definedName name="Rpt_BHA_Desc_Data" localSheetId="13" hidden="0" function="0" vbProcedure="0">#ref!</definedName>
    <definedName name="Rpt_BHA_ID_Unit" localSheetId="13" hidden="0" function="0" vbProcedure="0">#ref!</definedName>
    <definedName name="Rpt_BHA_Length_Unit" localSheetId="13" hidden="0" function="0" vbProcedure="0">#ref!</definedName>
    <definedName name="Rpt_BHA_OD_Unit" localSheetId="13" hidden="0" function="0" vbProcedure="0">#ref!</definedName>
    <definedName name="Rpt_BHA_Picture_Start" localSheetId="13" hidden="0" function="0" vbProcedure="0">#ref!</definedName>
    <definedName name="Rpt_BHA_PressDrop_Unit" localSheetId="13" hidden="0" function="0" vbProcedure="0">#ref!</definedName>
    <definedName name="Rpt_BitBearingsIN" localSheetId="13" hidden="0" function="0" vbProcedure="0">#ref!</definedName>
    <definedName name="Rpt_BitBearingsOut" localSheetId="13" hidden="0" function="0" vbProcedure="0">#ref!</definedName>
    <definedName name="Rpt_BitDullCharIN" localSheetId="13" hidden="0" function="0" vbProcedure="0">#ref!</definedName>
    <definedName name="Rpt_BitDullCharOut" localSheetId="13" hidden="0" function="0" vbProcedure="0">#ref!</definedName>
    <definedName name="Rpt_BitGaugeIN" localSheetId="13" hidden="0" function="0" vbProcedure="0">#ref!</definedName>
    <definedName name="Rpt_BitGaugeOut" localSheetId="13" hidden="0" function="0" vbProcedure="0">#ref!</definedName>
    <definedName name="Rpt_BitIADC" localSheetId="13" hidden="0" function="0" vbProcedure="0">#ref!</definedName>
    <definedName name="Rpt_BitInRowIN" localSheetId="13" hidden="0" function="0" vbProcedure="0">#ref!</definedName>
    <definedName name="Rpt_BitLocationIN" localSheetId="13" hidden="0" function="0" vbProcedure="0">#ref!</definedName>
    <definedName name="Rpt_BitLocationOut" localSheetId="13" hidden="0" function="0" vbProcedure="0">#ref!</definedName>
    <definedName name="Rpt_BitOtherIN" localSheetId="13" hidden="0" function="0" vbProcedure="0">#ref!</definedName>
    <definedName name="Rpt_BitOtherOut" localSheetId="13" hidden="0" function="0" vbProcedure="0">#ref!</definedName>
    <definedName name="Rpt_BitOutRowIN" localSheetId="13" hidden="0" function="0" vbProcedure="0">#ref!</definedName>
    <definedName name="Rpt_BitOutRowOut" localSheetId="13" hidden="0" function="0" vbProcedure="0">#ref!</definedName>
    <definedName name="Rpt_BitReasonIN" localSheetId="13" hidden="0" function="0" vbProcedure="0">#ref!</definedName>
    <definedName name="Rpt_BitReasonOUT" localSheetId="13" hidden="0" function="0" vbProcedure="0">#ref!</definedName>
    <definedName name="Rpt_BitRun" localSheetId="13" hidden="0" function="0" vbProcedure="0">#ref!</definedName>
    <definedName name="Rpt_BitSN" localSheetId="13" hidden="0" function="0" vbProcedure="0">#ref!</definedName>
    <definedName name="Rpt_BitTFA" localSheetId="13" hidden="0" function="0" vbProcedure="0">#ref!</definedName>
    <definedName name="Rpt_BitTFA_Header" localSheetId="13" hidden="0" function="0" vbProcedure="0">#ref!</definedName>
    <definedName name="Rpt_BitTYPE" localSheetId="13" hidden="0" function="0" vbProcedure="0">#ref!</definedName>
    <definedName name="Rpt_Bit_Dia" localSheetId="13" hidden="0" function="0" vbProcedure="0">#ref!</definedName>
    <definedName name="Rpt_Bit_Dia_Unit" localSheetId="13" hidden="0" function="0" vbProcedure="0">#ref!</definedName>
    <definedName name="Rpt_Bit_FlowRate" localSheetId="13" hidden="0" function="0" vbProcedure="0">#ref!</definedName>
    <definedName name="Rpt_Bit_FlowRate_Unit" localSheetId="13" hidden="0" function="0" vbProcedure="0">#ref!</definedName>
    <definedName name="Rpt_Bit_HSI" localSheetId="13" hidden="0" function="0" vbProcedure="0">#ref!</definedName>
    <definedName name="Rpt_Bit_HSI_Unit" localSheetId="13" hidden="0" function="0" vbProcedure="0">#ref!</definedName>
    <definedName name="Rpt_Bit_Hyd_Pow" localSheetId="13" hidden="0" function="0" vbProcedure="0">#ref!</definedName>
    <definedName name="Rpt_Bit_Hyd_Pow_Unit" localSheetId="13" hidden="0" function="0" vbProcedure="0">#ref!</definedName>
    <definedName name="Rpt_Bit_JetVelocity" localSheetId="13" hidden="0" function="0" vbProcedure="0">#ref!</definedName>
    <definedName name="Rpt_Bit_JetVelocity_Unit" localSheetId="13" hidden="0" function="0" vbProcedure="0">#ref!</definedName>
    <definedName name="Rpt_Bit_Jet_Imp_Force" localSheetId="13" hidden="0" function="0" vbProcedure="0">#ref!</definedName>
    <definedName name="Rpt_Bit_Jet_Imp_Force_Unit" localSheetId="13" hidden="0" function="0" vbProcedure="0">#ref!</definedName>
    <definedName name="Rpt_Bit_Name" localSheetId="13" hidden="0" function="0" vbProcedure="0">#ref!</definedName>
    <definedName name="Rpt_Bit_Name_Duplicated" localSheetId="13" hidden="0" function="0" vbProcedure="0">#ref!</definedName>
    <definedName name="Rpt_Bit_PressureDrop" localSheetId="13" hidden="0" function="0" vbProcedure="0">#ref!</definedName>
    <definedName name="Rpt_Bit_Pressure_Drop_Unit" localSheetId="13" hidden="0" function="0" vbProcedure="0">#ref!</definedName>
    <definedName name="Rpt_Bit_TFA" localSheetId="13" hidden="0" function="0" vbProcedure="0">#ref!</definedName>
    <definedName name="Rpt_Bit_TFA_Unit" localSheetId="13" hidden="0" function="0" vbProcedure="0">#ref!</definedName>
    <definedName name="Rpt_Bit_Type" localSheetId="13" hidden="0" function="0" vbProcedure="0">#ref!</definedName>
    <definedName name="Rpt_Borehole" localSheetId="13" hidden="0" function="0" vbProcedure="0">#ref!</definedName>
    <definedName name="Rpt_BoreholeName" localSheetId="13" hidden="0" function="0" vbProcedure="0">#ref!</definedName>
    <definedName name="Rpt_Borehole_CumLen_Unit" localSheetId="13" hidden="0" function="0" vbProcedure="0">#ref!</definedName>
    <definedName name="Rpt_BoreHole_Desc_Data" localSheetId="13" hidden="0" function="0" vbProcedure="0">#ref!</definedName>
    <definedName name="Rpt_Borehole_ID_Unit" localSheetId="13" hidden="0" function="0" vbProcedure="0">#ref!</definedName>
    <definedName name="Rpt_Borehole_Length_Unit" localSheetId="13" hidden="0" function="0" vbProcedure="0">#ref!</definedName>
    <definedName name="Rpt_BRTHours" localSheetId="13" hidden="0" function="0" vbProcedure="0">#ref!</definedName>
    <definedName name="Rpt_CasingShoe" localSheetId="13" hidden="0" function="0" vbProcedure="0">#ref!</definedName>
    <definedName name="Rpt_CasingShoe_Header" localSheetId="13" hidden="0" function="0" vbProcedure="0">#ref!</definedName>
    <definedName name="Rpt_CasingSize" localSheetId="13" hidden="0" function="0" vbProcedure="0">#ref!</definedName>
    <definedName name="Rpt_CasingSize_Header" localSheetId="13" hidden="0" function="0" vbProcedure="0">#ref!</definedName>
    <definedName name="Rpt_CasingWT" localSheetId="13" hidden="0" function="0" vbProcedure="0">#ref!</definedName>
    <definedName name="Rpt_CasingWT_Header" localSheetId="13" hidden="0" function="0" vbProcedure="0">#ref!</definedName>
    <definedName name="Rpt_Client" localSheetId="13" hidden="0" function="0" vbProcedure="0">#ref!</definedName>
    <definedName name="Rpt_ClientName" localSheetId="13" hidden="0" function="0" vbProcedure="0">#ref!</definedName>
    <definedName name="Rpt_ClientRep1" localSheetId="13" hidden="0" function="0" vbProcedure="0">#ref!</definedName>
    <definedName name="Rpt_ClientRep2" localSheetId="13" hidden="0" function="0" vbProcedure="0">#ref!</definedName>
    <definedName name="Rpt_Comments" localSheetId="13" hidden="0" function="0" vbProcedure="0">#ref!</definedName>
    <definedName name="Rpt_Company_Name" localSheetId="13" hidden="0" function="0" vbProcedure="0">#ref!</definedName>
    <definedName name="Rpt_CoordinateReference" localSheetId="13" hidden="0" function="0" vbProcedure="0">#ref!</definedName>
    <definedName name="Rpt_CoordinateSystem" localSheetId="13" hidden="0" function="0" vbProcedure="0">#ref!</definedName>
    <definedName name="Rpt_Cuttings_Bit_ECD_Increase" localSheetId="13" hidden="0" function="0" vbProcedure="0">#ref!</definedName>
    <definedName name="Rpt_Cuttings_Bit_ECD_Increase_Unit" localSheetId="13" hidden="0" function="0" vbProcedure="0">#ref!</definedName>
    <definedName name="Rpt_Cuttings_Concentration" localSheetId="13" hidden="0" function="0" vbProcedure="0">#ref!</definedName>
    <definedName name="Rpt_Cuttings_Density" localSheetId="13" hidden="0" function="0" vbProcedure="0">#ref!</definedName>
    <definedName name="Rpt_Cuttings_Dia" localSheetId="13" hidden="0" function="0" vbProcedure="0">#ref!</definedName>
    <definedName name="Rpt_Cuttings_Dia_Unit" localSheetId="13" hidden="0" function="0" vbProcedure="0">#ref!</definedName>
    <definedName name="Rpt_Cuttings_ROP" localSheetId="13" hidden="0" function="0" vbProcedure="0">#ref!</definedName>
    <definedName name="Rpt_Cuttings_ROP_Unit" localSheetId="13" hidden="0" function="0" vbProcedure="0">#ref!</definedName>
    <definedName name="Rpt_Cuttings_Weight" localSheetId="13" hidden="0" function="0" vbProcedure="0">#ref!</definedName>
    <definedName name="Rpt_Cuttings_Weight_Unit" localSheetId="13" hidden="0" function="0" vbProcedure="0">#ref!</definedName>
    <definedName name="Rpt_Date" localSheetId="13" hidden="0" function="0" vbProcedure="0">#ref!</definedName>
    <definedName name="Rpt_DateTD" localSheetId="13" hidden="0" function="0" vbProcedure="0">#ref!</definedName>
    <definedName name="Rpt_DepthIn" localSheetId="13" hidden="0" function="0" vbProcedure="0">#ref!</definedName>
    <definedName name="Rpt_DepthIn_Header" localSheetId="13" hidden="0" function="0" vbProcedure="0">#ref!</definedName>
    <definedName name="Rpt_DepthOut" localSheetId="13" hidden="0" function="0" vbProcedure="0">#ref!</definedName>
    <definedName name="Rpt_DepthOut_Header" localSheetId="13" hidden="0" function="0" vbProcedure="0">#ref!</definedName>
    <definedName name="Rpt_Detail_Annulus_Desc_Data" localSheetId="13" hidden="0" function="0" vbProcedure="0">#ref!</definedName>
    <definedName name="Rpt_Detail_Annulus_Strokes" localSheetId="13" hidden="0" function="0" vbProcedure="0">#ref!</definedName>
    <definedName name="Rpt_Detail_Annulus_Time" localSheetId="13" hidden="0" function="0" vbProcedure="0">#ref!</definedName>
    <definedName name="Rpt_Detail_Annulus_Volume" localSheetId="13" hidden="0" function="0" vbProcedure="0">#ref!</definedName>
    <definedName name="Rpt_Detail_Ann_Annulus_OD_Unit" localSheetId="13" hidden="0" function="0" vbProcedure="0">#ref!</definedName>
    <definedName name="Rpt_Detail_Ann_CumLen_Unit" localSheetId="13" hidden="0" function="0" vbProcedure="0">#ref!</definedName>
    <definedName name="Rpt_Detail_Ann_Length_Unit" localSheetId="13" hidden="0" function="0" vbProcedure="0">#ref!</definedName>
    <definedName name="Rpt_Detail_Ann_PressDrop_Unit" localSheetId="13" hidden="0" function="0" vbProcedure="0">#ref!</definedName>
    <definedName name="Rpt_Detail_Ann_String_OD_Unit" localSheetId="13" hidden="0" function="0" vbProcedure="0">#ref!</definedName>
    <definedName name="Rpt_Detail_Ann_Velocity_Unit" localSheetId="13" hidden="0" function="0" vbProcedure="0">#ref!</definedName>
    <definedName name="Rpt_Detail_BHA_CumLen_Unit" localSheetId="13" hidden="0" function="0" vbProcedure="0">#ref!</definedName>
    <definedName name="Rpt_Detail_BHA_Data" localSheetId="13" hidden="0" function="0" vbProcedure="0">#ref!</definedName>
    <definedName name="Rpt_Detail_BHA_Desc_Data" localSheetId="13" hidden="0" function="0" vbProcedure="0">#ref!</definedName>
    <definedName name="Rpt_Detail_BHA_ID_Unit" localSheetId="13" hidden="0" function="0" vbProcedure="0">#ref!</definedName>
    <definedName name="Rpt_Detail_BHA_Length_Unit" localSheetId="13" hidden="0" function="0" vbProcedure="0">#ref!</definedName>
    <definedName name="Rpt_Detail_BHA_PD_Unit" localSheetId="13" hidden="0" function="0" vbProcedure="0">#ref!</definedName>
    <definedName name="Rpt_Detail_BHA_Velocity_Unit" localSheetId="13" hidden="0" function="0" vbProcedure="0">#ref!</definedName>
    <definedName name="Rpt_Detail_BitNozzle_PDrop" localSheetId="13" hidden="0" function="0" vbProcedure="0">#ref!</definedName>
    <definedName name="Rpt_Detail_BitNozzle_PDrop_Unit" localSheetId="13" hidden="0" function="0" vbProcedure="0">#ref!</definedName>
    <definedName name="Rpt_Detail_BitShoe_Strokes" localSheetId="13" hidden="0" function="0" vbProcedure="0">#ref!</definedName>
    <definedName name="Rpt_Detail_BitShoe_Time" localSheetId="13" hidden="0" function="0" vbProcedure="0">#ref!</definedName>
    <definedName name="Rpt_Detail_BitShoe_Volume" localSheetId="13" hidden="0" function="0" vbProcedure="0">#ref!</definedName>
    <definedName name="Rpt_Detail_Borehole_Desc_Data" localSheetId="13" hidden="0" function="0" vbProcedure="0">#ref!</definedName>
    <definedName name="Rpt_Detail_Borehole_ID_Unit" localSheetId="13" hidden="0" function="0" vbProcedure="0">#ref!</definedName>
    <definedName name="Rpt_Detail_Borehole_Length_Unit" localSheetId="13" hidden="0" function="0" vbProcedure="0">#ref!</definedName>
    <definedName name="Rpt_Detail_Borehole_MD_Unit" localSheetId="13" hidden="0" function="0" vbProcedure="0">#ref!</definedName>
    <definedName name="Rpt_Detail_Borehole_PD_Unit" localSheetId="13" hidden="0" function="0" vbProcedure="0">#ref!</definedName>
    <definedName name="Rpt_Detail_Circulation_Strokes" localSheetId="13" hidden="0" function="0" vbProcedure="0">#ref!</definedName>
    <definedName name="Rpt_Detail_Circulation_Time" localSheetId="13" hidden="0" function="0" vbProcedure="0">#ref!</definedName>
    <definedName name="Rpt_Detail_Circulation_Volume" localSheetId="13" hidden="0" function="0" vbProcedure="0">#ref!</definedName>
    <definedName name="Rpt_Detail_Cuttings_Concentration" localSheetId="13" hidden="0" function="0" vbProcedure="0">#ref!</definedName>
    <definedName name="Rpt_Detail_Cuttings_Density" localSheetId="13" hidden="0" function="0" vbProcedure="0">#ref!</definedName>
    <definedName name="Rpt_Detail_Cuttings_Weight" localSheetId="13" hidden="0" function="0" vbProcedure="0">#ref!</definedName>
    <definedName name="Rpt_Detail_Cuttings_Weight_Unit" localSheetId="13" hidden="0" function="0" vbProcedure="0">#ref!</definedName>
    <definedName name="Rpt_Detail_Date" localSheetId="13" hidden="0" function="0" vbProcedure="0">#ref!</definedName>
    <definedName name="Rpt_Detail_DrillString_Strokes" localSheetId="13" hidden="0" function="0" vbProcedure="0">#ref!</definedName>
    <definedName name="Rpt_Detail_DrillString_Time" localSheetId="13" hidden="0" function="0" vbProcedure="0">#ref!</definedName>
    <definedName name="Rpt_Detail_DrillString_Volume" localSheetId="13" hidden="0" function="0" vbProcedure="0">#ref!</definedName>
    <definedName name="Rpt_Detail_Flowrate" localSheetId="13" hidden="0" function="0" vbProcedure="0">#ref!</definedName>
    <definedName name="Rpt_Detail_Flowrate_Unit" localSheetId="13" hidden="0" function="0" vbProcedure="0">#ref!</definedName>
    <definedName name="Rpt_Detail_FlowRestrictor_PDrop" localSheetId="13" hidden="0" function="0" vbProcedure="0">#ref!</definedName>
    <definedName name="Rpt_Detail_FlowRestrictor_PDrop_Unit" localSheetId="13" hidden="0" function="0" vbProcedure="0">#ref!</definedName>
    <definedName name="Rpt_Detail_Motor_PDrop" localSheetId="13" hidden="0" function="0" vbProcedure="0">#ref!</definedName>
    <definedName name="Rpt_Detail_Motor_PDrop_Unit" localSheetId="13" hidden="0" function="0" vbProcedure="0">#ref!</definedName>
    <definedName name="Rpt_Detail_PPower" localSheetId="13" hidden="0" function="0" vbProcedure="0">#ref!</definedName>
    <definedName name="Rpt_Detail_PPower_Unit" localSheetId="13" hidden="0" function="0" vbProcedure="0">#ref!</definedName>
    <definedName name="Rpt_Detail_Press_Drop_Header" localSheetId="13" hidden="0" function="0" vbProcedure="0">#ref!</definedName>
    <definedName name="Rpt_Detail_PSVolume" localSheetId="13" hidden="0" function="0" vbProcedure="0">#ref!</definedName>
    <definedName name="Rpt_Detail_PSVolume_Unit" localSheetId="13" hidden="0" function="0" vbProcedure="0">#ref!</definedName>
    <definedName name="Rpt_Detail_ShoeSurface_Strokes" localSheetId="13" hidden="0" function="0" vbProcedure="0">#ref!</definedName>
    <definedName name="Rpt_Detail_ShoeSurface_Time" localSheetId="13" hidden="0" function="0" vbProcedure="0">#ref!</definedName>
    <definedName name="Rpt_Detail_ShoeSurface_Volume" localSheetId="13" hidden="0" function="0" vbProcedure="0">#ref!</definedName>
    <definedName name="Rpt_Detail_SubTotal_PDrop" localSheetId="13" hidden="0" function="0" vbProcedure="0">#ref!</definedName>
    <definedName name="Rpt_Detail_SubTotal_PDrop_Unit" localSheetId="13" hidden="0" function="0" vbProcedure="0">#ref!</definedName>
    <definedName name="Rpt_Detail_Survey_Data" localSheetId="13" hidden="0" function="0" vbProcedure="0">#ref!</definedName>
    <definedName name="Rpt_Detail_Time_Unit" localSheetId="13" hidden="0" function="0" vbProcedure="0">#ref!</definedName>
    <definedName name="Rpt_Detail_TJ_Ann_PD" localSheetId="13" hidden="0" function="0" vbProcedure="0">#ref!</definedName>
    <definedName name="Rpt_Detail_TJ_Percentage" localSheetId="13" hidden="0" function="0" vbProcedure="0">#ref!</definedName>
    <definedName name="Rpt_Detail_ToolJoint_PDrop" localSheetId="13" hidden="0" function="0" vbProcedure="0">#ref!</definedName>
    <definedName name="Rpt_Detail_ToolJoint_PDrop_Unit" localSheetId="13" hidden="0" function="0" vbProcedure="0">#ref!</definedName>
    <definedName name="Rpt_Detail_Tools_PDrop" localSheetId="13" hidden="0" function="0" vbProcedure="0">#ref!</definedName>
    <definedName name="Rpt_Detail_Tools_PDrop_Unit" localSheetId="13" hidden="0" function="0" vbProcedure="0">#ref!</definedName>
    <definedName name="Rpt_Detail_Total_Ann_PD" localSheetId="13" hidden="0" function="0" vbProcedure="0">#ref!</definedName>
    <definedName name="Rpt_Detail_Total_PDrop" localSheetId="13" hidden="0" function="0" vbProcedure="0">#ref!</definedName>
    <definedName name="Rpt_Detail_Total_PDrop_Unit" localSheetId="13" hidden="0" function="0" vbProcedure="0">#ref!</definedName>
    <definedName name="Rpt_Detail_Tubular_PDrop" localSheetId="13" hidden="0" function="0" vbProcedure="0">#ref!</definedName>
    <definedName name="Rpt_Detail_Tubular_PDrop_Unit" localSheetId="13" hidden="0" function="0" vbProcedure="0">#ref!</definedName>
    <definedName name="Rpt_Detail_Volume_Unit" localSheetId="13" hidden="0" function="0" vbProcedure="0">#ref!</definedName>
    <definedName name="Rpt_Detail_Wellbore_Data" localSheetId="13" hidden="0" function="0" vbProcedure="0">#ref!</definedName>
    <definedName name="Rpt_DipAngle" localSheetId="13" hidden="0" function="0" vbProcedure="0">#ref!</definedName>
    <definedName name="Rpt_District" localSheetId="13" hidden="0" function="0" vbProcedure="0">#ref!</definedName>
    <definedName name="Rpt_DrillingHours" localSheetId="13" hidden="0" function="0" vbProcedure="0">#ref!</definedName>
    <definedName name="Rpt_Drillsheet_Data_Date" localSheetId="13" hidden="0" function="0" vbProcedure="0">#ref!</definedName>
    <definedName name="Rpt_Drillsheet_Header1_Date" localSheetId="13" hidden="0" function="0" vbProcedure="0">#ref!</definedName>
    <definedName name="Rpt_Drillsheet_Header2_Date" localSheetId="13" hidden="0" function="0" vbProcedure="0">#ref!</definedName>
    <definedName name="Rpt_DrillSiteOrWellPad" localSheetId="13" hidden="0" function="0" vbProcedure="0">#ref!</definedName>
    <definedName name="Rpt_ECD_Depth_Title" localSheetId="13" hidden="0" function="0" vbProcedure="0">#ref!</definedName>
    <definedName name="Rpt_Elevation" localSheetId="13" hidden="0" function="0" vbProcedure="0">#ref!</definedName>
    <definedName name="Rpt_ElevationReference" localSheetId="13" hidden="0" function="0" vbProcedure="0">#ref!</definedName>
    <definedName name="Rpt_EndMW" localSheetId="13" hidden="0" function="0" vbProcedure="0">#ref!</definedName>
    <definedName name="Rpt_EndMW_Header" localSheetId="13" hidden="0" function="0" vbProcedure="0">#ref!</definedName>
    <definedName name="Rpt_Fann100" localSheetId="13" hidden="0" function="0" vbProcedure="0">#ref!</definedName>
    <definedName name="Rpt_Fann100_Unit" localSheetId="13" hidden="0" function="0" vbProcedure="0">#ref!</definedName>
    <definedName name="Rpt_Fann200" localSheetId="13" hidden="0" function="0" vbProcedure="0">#ref!</definedName>
    <definedName name="Rpt_Fann200_Unit" localSheetId="13" hidden="0" function="0" vbProcedure="0">#ref!</definedName>
    <definedName name="Rpt_Fann3" localSheetId="13" hidden="0" function="0" vbProcedure="0">#ref!</definedName>
    <definedName name="Rpt_Fann300" localSheetId="13" hidden="0" function="0" vbProcedure="0">#ref!</definedName>
    <definedName name="Rpt_Fann300_Unit" localSheetId="13" hidden="0" function="0" vbProcedure="0">#ref!</definedName>
    <definedName name="Rpt_Fann3_Unit" localSheetId="13" hidden="0" function="0" vbProcedure="0">#ref!</definedName>
    <definedName name="Rpt_Fann6" localSheetId="13" hidden="0" function="0" vbProcedure="0">#ref!</definedName>
    <definedName name="Rpt_Fann600" localSheetId="13" hidden="0" function="0" vbProcedure="0">#ref!</definedName>
    <definedName name="Rpt_Fann600_Unit" localSheetId="13" hidden="0" function="0" vbProcedure="0">#ref!</definedName>
    <definedName name="Rpt_Fann6_Unit" localSheetId="13" hidden="0" function="0" vbProcedure="0">#ref!</definedName>
    <definedName name="Rpt_Field" localSheetId="13" hidden="0" function="0" vbProcedure="0">#ref!</definedName>
    <definedName name="Rpt_FieldName" localSheetId="13" hidden="0" function="0" vbProcedure="0">#ref!</definedName>
    <definedName name="Rpt_FieldStrength" localSheetId="13" hidden="0" function="0" vbProcedure="0">#ref!</definedName>
    <definedName name="Rpt_FirstDD" localSheetId="13" hidden="0" function="0" vbProcedure="0">#ref!</definedName>
    <definedName name="Rpt_Flowrate" localSheetId="13" hidden="0" function="0" vbProcedure="0">#ref!</definedName>
    <definedName name="Rpt_Flowrate_Unit" localSheetId="13" hidden="0" function="0" vbProcedure="0">#ref!</definedName>
    <definedName name="Rpt_FR_Bit_ECD" localSheetId="13" hidden="0" function="0" vbProcedure="0">#ref!</definedName>
    <definedName name="Rpt_FR_Bit_ECD_Unit" localSheetId="13" hidden="0" function="0" vbProcedure="0">#ref!</definedName>
    <definedName name="Rpt_FR_Bit_MD" localSheetId="13" hidden="0" function="0" vbProcedure="0">#ref!</definedName>
    <definedName name="Rpt_FR_Bit_MD_Unit" localSheetId="13" hidden="0" function="0" vbProcedure="0">#ref!</definedName>
    <definedName name="Rpt_FR_Bit_TVD" localSheetId="13" hidden="0" function="0" vbProcedure="0">#ref!</definedName>
    <definedName name="Rpt_FR_Bit_TVD_Unit" localSheetId="13" hidden="0" function="0" vbProcedure="0">#ref!</definedName>
    <definedName name="Rpt_FR_CasingShoe_MD" localSheetId="13" hidden="0" function="0" vbProcedure="0">#ref!</definedName>
    <definedName name="Rpt_FR_CasingShoe_MD_Unit" localSheetId="13" hidden="0" function="0" vbProcedure="0">#ref!</definedName>
    <definedName name="Rpt_FR_Depth_ECD" localSheetId="13" hidden="0" function="0" vbProcedure="0">#ref!</definedName>
    <definedName name="Rpt_FR_Depth_ECD_Unit" localSheetId="13" hidden="0" function="0" vbProcedure="0">#ref!</definedName>
    <definedName name="Rpt_FR_Depth_In" localSheetId="13" hidden="0" function="0" vbProcedure="0">#ref!</definedName>
    <definedName name="Rpt_FR_Depth_In_Unit" localSheetId="13" hidden="0" function="0" vbProcedure="0">#ref!</definedName>
    <definedName name="Rpt_FR_Depth_Out" localSheetId="13" hidden="0" function="0" vbProcedure="0">#ref!</definedName>
    <definedName name="Rpt_FR_Depth_Out_Unit" localSheetId="13" hidden="0" function="0" vbProcedure="0">#ref!</definedName>
    <definedName name="Rpt_FR_ShoeECD" localSheetId="13" hidden="0" function="0" vbProcedure="0">#ref!</definedName>
    <definedName name="Rpt_FR_ShoeECD_Unit" localSheetId="13" hidden="0" function="0" vbProcedure="0">#ref!</definedName>
    <definedName name="Rpt_GeodeticLocation" localSheetId="13" hidden="0" function="0" vbProcedure="0">#ref!</definedName>
    <definedName name="Rpt_Gravity" localSheetId="13" hidden="0" function="0" vbProcedure="0">#ref!</definedName>
    <definedName name="Rpt_GravityModel" localSheetId="13" hidden="0" function="0" vbProcedure="0">#ref!</definedName>
    <definedName name="Rpt_GridConvergence" localSheetId="13" hidden="0" function="0" vbProcedure="0">#ref!</definedName>
    <definedName name="Rpt_GridCorrection" localSheetId="13" hidden="0" function="0" vbProcedure="0">#ref!</definedName>
    <definedName name="Rpt_GridLocation" localSheetId="13" hidden="0" function="0" vbProcedure="0">#ref!</definedName>
    <definedName name="Rpt_GroundLevelElevation" localSheetId="13" hidden="0" function="0" vbProcedure="0">#ref!</definedName>
    <definedName name="Rpt_HBYS" localSheetId="13" hidden="0" function="0" vbProcedure="0">#ref!</definedName>
    <definedName name="Rpt_HBYS_Unit" localSheetId="13" hidden="0" function="0" vbProcedure="0">#ref!</definedName>
    <definedName name="Rpt_HC_Annular_Flow" localSheetId="13" hidden="0" function="0" vbProcedure="0">#ref!</definedName>
    <definedName name="Rpt_HC_Annular_Flow_Unit" localSheetId="13" hidden="0" function="0" vbProcedure="0">#ref!</definedName>
    <definedName name="Rpt_HC_Critical_MD" localSheetId="13" hidden="0" function="0" vbProcedure="0">#ref!</definedName>
    <definedName name="Rpt_HC_Critical_MD_Unit" localSheetId="13" hidden="0" function="0" vbProcedure="0">#ref!</definedName>
    <definedName name="Rpt_HC_Critical_Rate" localSheetId="13" hidden="0" function="0" vbProcedure="0">#ref!</definedName>
    <definedName name="Rpt_HC_Critical_Rate_Flag" localSheetId="13" hidden="0" function="0" vbProcedure="0">#ref!</definedName>
    <definedName name="Rpt_HC_Critical_Rate_Unit" localSheetId="13" hidden="0" function="0" vbProcedure="0">#ref!</definedName>
    <definedName name="Rpt_HC_Hole_Inclination" localSheetId="13" hidden="0" function="0" vbProcedure="0">#ref!</definedName>
    <definedName name="Rpt_HC_Hole_Inclination_Unit" localSheetId="13" hidden="0" function="0" vbProcedure="0">#ref!</definedName>
    <definedName name="Rpt_HC_Riser_Boost_Flow" localSheetId="13" hidden="0" function="0" vbProcedure="0">#ref!</definedName>
    <definedName name="Rpt_HC_Riser_Boost_Flow_Unit" localSheetId="13" hidden="0" function="0" vbProcedure="0">#ref!</definedName>
    <definedName name="Rpt_HC_RPM" localSheetId="13" hidden="0" function="0" vbProcedure="0">#ref!</definedName>
    <definedName name="Rpt_HoleSize" localSheetId="13" hidden="0" function="0" vbProcedure="0">#ref!</definedName>
    <definedName name="Rpt_HoleSize_Header" localSheetId="13" hidden="0" function="0" vbProcedure="0">#ref!</definedName>
    <definedName name="Rpt_InclIn" localSheetId="13" hidden="0" function="0" vbProcedure="0">#ref!</definedName>
    <definedName name="Rpt_InclIn_Header" localSheetId="13" hidden="0" function="0" vbProcedure="0">#ref!</definedName>
    <definedName name="Rpt_InclOut" localSheetId="13" hidden="0" function="0" vbProcedure="0">#ref!</definedName>
    <definedName name="Rpt_InclOut_Header" localSheetId="13" hidden="0" function="0" vbProcedure="0">#ref!</definedName>
    <definedName name="Rpt_InRowOut" localSheetId="13" hidden="0" function="0" vbProcedure="0">#ref!</definedName>
    <definedName name="Rpt_Jets" localSheetId="13" hidden="0" function="0" vbProcedure="0">#ref!</definedName>
    <definedName name="Rpt_Jets_Header" localSheetId="13" hidden="0" function="0" vbProcedure="0">#ref!</definedName>
    <definedName name="Rpt_K" localSheetId="13" hidden="0" function="0" vbProcedure="0">#ref!</definedName>
    <definedName name="Rpt_K_Unit" localSheetId="13" hidden="0" function="0" vbProcedure="0">#ref!</definedName>
    <definedName name="Rpt_LeftLogo" localSheetId="13" hidden="0" function="0" vbProcedure="0">#ref!</definedName>
    <definedName name="Rpt_Location" localSheetId="13" hidden="0" function="0" vbProcedure="0">#ref!</definedName>
    <definedName name="Rpt_LocationName" localSheetId="13" hidden="0" function="0" vbProcedure="0">#ref!</definedName>
    <definedName name="Rpt_Logo_Left" localSheetId="13" hidden="0" function="0" vbProcedure="0">#ref!</definedName>
    <definedName name="Rpt_Logo_Right" localSheetId="13" hidden="0" function="0" vbProcedure="0">#ref!</definedName>
    <definedName name="Rpt_MagneticDeclDate" localSheetId="13" hidden="0" function="0" vbProcedure="0">#ref!</definedName>
    <definedName name="Rpt_MagneticDeclination" localSheetId="13" hidden="0" function="0" vbProcedure="0">#ref!</definedName>
    <definedName name="Rpt_MagneticDeclModel" localSheetId="13" hidden="0" function="0" vbProcedure="0">#ref!</definedName>
    <definedName name="Rpt_Manuf" localSheetId="13" hidden="0" function="0" vbProcedure="0">#ref!</definedName>
    <definedName name="Rpt_Max_WOB" localSheetId="13" hidden="0" function="0" vbProcedure="0">#ref!</definedName>
    <definedName name="Rpt_Max_WOB_Unit" localSheetId="13" hidden="0" function="0" vbProcedure="0">#ref!</definedName>
    <definedName name="Rpt_Model" localSheetId="13" hidden="0" function="0" vbProcedure="0">#ref!</definedName>
    <definedName name="Rpt_Motor_Bearing_Comment" localSheetId="13" hidden="0" function="0" vbProcedure="0">#ref!</definedName>
    <definedName name="Rpt_Motor_Bearing_Flow" localSheetId="13" hidden="0" function="0" vbProcedure="0">#ref!</definedName>
    <definedName name="Rpt_Motor_Bearing_FlowPercent" localSheetId="13" hidden="0" function="0" vbProcedure="0">#ref!</definedName>
    <definedName name="Rpt_Motor_Bearing_Flow_Unit" localSheetId="13" hidden="0" function="0" vbProcedure="0">#ref!</definedName>
    <definedName name="Rpt_Motor_Bearing_PDrop" localSheetId="13" hidden="0" function="0" vbProcedure="0">#ref!</definedName>
    <definedName name="Rpt_Motor_Bearing_PDrop_Unit" localSheetId="13" hidden="0" function="0" vbProcedure="0">#ref!</definedName>
    <definedName name="Rpt_Motor_BHA_Data" localSheetId="13" hidden="0" function="0" vbProcedure="0">#ref!</definedName>
    <definedName name="Rpt_Motor_Date" localSheetId="13" hidden="0" function="0" vbProcedure="0">#ref!</definedName>
    <definedName name="Rpt_Motor_Flow_Max" localSheetId="13" hidden="0" function="0" vbProcedure="0">#ref!</definedName>
    <definedName name="Rpt_Motor_Flow_Max_Unit" localSheetId="13" hidden="0" function="0" vbProcedure="0">#ref!</definedName>
    <definedName name="Rpt_Motor_Flow_Min" localSheetId="13" hidden="0" function="0" vbProcedure="0">#ref!</definedName>
    <definedName name="Rpt_Motor_Flow_Min_Unit" localSheetId="13" hidden="0" function="0" vbProcedure="0">#ref!</definedName>
    <definedName name="Rpt_Motor_Flow_Nozzle" localSheetId="13" hidden="0" function="0" vbProcedure="0">#ref!</definedName>
    <definedName name="Rpt_Motor_Flow_Nozzle_Unit" localSheetId="13" hidden="0" function="0" vbProcedure="0">#ref!</definedName>
    <definedName name="Rpt_Motor_Flow_Power" localSheetId="13" hidden="0" function="0" vbProcedure="0">#ref!</definedName>
    <definedName name="Rpt_Motor_Flow_Power_Unit" localSheetId="13" hidden="0" function="0" vbProcedure="0">#ref!</definedName>
    <definedName name="Rpt_Motor_MaxEff" localSheetId="13" hidden="0" function="0" vbProcedure="0">#ref!</definedName>
    <definedName name="Rpt_Motor_MaxEff_DiffP" localSheetId="13" hidden="0" function="0" vbProcedure="0">#ref!</definedName>
    <definedName name="Rpt_Motor_MaxEff_DiffP_Unit" localSheetId="13" hidden="0" function="0" vbProcedure="0">#ref!</definedName>
    <definedName name="Rpt_Motor_MaxHP" localSheetId="13" hidden="0" function="0" vbProcedure="0">#ref!</definedName>
    <definedName name="Rpt_Motor_MaxHP_DiffP" localSheetId="13" hidden="0" function="0" vbProcedure="0">#ref!</definedName>
    <definedName name="Rpt_Motor_MaxHP_DiffP_Unit" localSheetId="13" hidden="0" function="0" vbProcedure="0">#ref!</definedName>
    <definedName name="Rpt_Motor_MaxHP_Unit" localSheetId="13" hidden="0" function="0" vbProcedure="0">#ref!</definedName>
    <definedName name="Rpt_Motor_Max_Title" localSheetId="13" hidden="0" function="0" vbProcedure="0">#ref!</definedName>
    <definedName name="Rpt_Motor_ModelName" localSheetId="13" hidden="0" function="0" vbProcedure="0">#ref!</definedName>
    <definedName name="Rpt_Motor_MotorWear" localSheetId="13" hidden="0" function="0" vbProcedure="0">#ref!</definedName>
    <definedName name="Rpt_Motor_NozzleDiameter" localSheetId="13" hidden="0" function="0" vbProcedure="0">#ref!</definedName>
    <definedName name="Rpt_Motor_NozzleDiameter_Unit" localSheetId="13" hidden="0" function="0" vbProcedure="0">#ref!</definedName>
    <definedName name="Rpt_Motor_OffBottom_NozzleFlow" localSheetId="13" hidden="0" function="0" vbProcedure="0">#ref!</definedName>
    <definedName name="Rpt_Motor_OffBottom_NozzleFlow_Unit" localSheetId="13" hidden="0" function="0" vbProcedure="0">#ref!</definedName>
    <definedName name="Rpt_Motor_OffBottom_PDrop" localSheetId="13" hidden="0" function="0" vbProcedure="0">#ref!</definedName>
    <definedName name="Rpt_Motor_OffBottom_PDrop_Unit" localSheetId="13" hidden="0" function="0" vbProcedure="0">#ref!</definedName>
    <definedName name="Rpt_Motor_OffBottom_PowerFlow" localSheetId="13" hidden="0" function="0" vbProcedure="0">#ref!</definedName>
    <definedName name="Rpt_Motor_OffBottom_PowerFlow_Unit" localSheetId="13" hidden="0" function="0" vbProcedure="0">#ref!</definedName>
    <definedName name="Rpt_Motor_OffBottom_RPM" localSheetId="13" hidden="0" function="0" vbProcedure="0">#ref!</definedName>
    <definedName name="Rpt_Motor_OnBottom_Capacity" localSheetId="13" hidden="0" function="0" vbProcedure="0">#ref!</definedName>
    <definedName name="Rpt_Motor_OnBottom_Capacity_Unit" localSheetId="13" hidden="0" function="0" vbProcedure="0">#ref!</definedName>
    <definedName name="Rpt_Motor_OnBottom_DiffP" localSheetId="13" hidden="0" function="0" vbProcedure="0">#ref!</definedName>
    <definedName name="Rpt_Motor_OnBottom_DiffP_Unit" localSheetId="13" hidden="0" function="0" vbProcedure="0">#ref!</definedName>
    <definedName name="Rpt_Motor_OnBottom_DTOR" localSheetId="13" hidden="0" function="0" vbProcedure="0">#ref!</definedName>
    <definedName name="Rpt_Motor_OnBottom_DTOR_Unit" localSheetId="13" hidden="0" function="0" vbProcedure="0">#ref!</definedName>
    <definedName name="Rpt_Motor_OnBottom_Efficiency" localSheetId="13" hidden="0" function="0" vbProcedure="0">#ref!</definedName>
    <definedName name="Rpt_Motor_OnBottom_HydHP" localSheetId="13" hidden="0" function="0" vbProcedure="0">#ref!</definedName>
    <definedName name="Rpt_Motor_OnBottom_HydHP_Unit" localSheetId="13" hidden="0" function="0" vbProcedure="0">#ref!</definedName>
    <definedName name="Rpt_Motor_OnBottom_MaxOverpull" localSheetId="13" hidden="0" function="0" vbProcedure="0">#ref!</definedName>
    <definedName name="Rpt_Motor_OnBottom_MaxOverpull_Unit" localSheetId="13" hidden="0" function="0" vbProcedure="0">#ref!</definedName>
    <definedName name="Rpt_Motor_OnBottom_MaxWOB" localSheetId="13" hidden="0" function="0" vbProcedure="0">#ref!</definedName>
    <definedName name="Rpt_Motor_OnBottom_MaxWOB_Unit" localSheetId="13" hidden="0" function="0" vbProcedure="0">#ref!</definedName>
    <definedName name="Rpt_Motor_OnBottom_MechHP" localSheetId="13" hidden="0" function="0" vbProcedure="0">#ref!</definedName>
    <definedName name="Rpt_Motor_OnBottom_MechHP_Unit" localSheetId="13" hidden="0" function="0" vbProcedure="0">#ref!</definedName>
    <definedName name="Rpt_Motor_OnBottom_PDrop" localSheetId="13" hidden="0" function="0" vbProcedure="0">#ref!</definedName>
    <definedName name="Rpt_Motor_OnBottom_PDrop_Unit" localSheetId="13" hidden="0" function="0" vbProcedure="0">#ref!</definedName>
    <definedName name="Rpt_Motor_OnBottom_RPM" localSheetId="13" hidden="0" function="0" vbProcedure="0">#ref!</definedName>
    <definedName name="Rpt_Motor_OnBottom_Thrust" localSheetId="13" hidden="0" function="0" vbProcedure="0">#ref!</definedName>
    <definedName name="Rpt_Motor_OnBottom_Thrust_Unit" localSheetId="13" hidden="0" function="0" vbProcedure="0">#ref!</definedName>
    <definedName name="Rpt_Motor_OnBottom_WOB" localSheetId="13" hidden="0" function="0" vbProcedure="0">#ref!</definedName>
    <definedName name="Rpt_Motor_OnBottom_WOB_Unit" localSheetId="13" hidden="0" function="0" vbProcedure="0">#ref!</definedName>
    <definedName name="Rpt_Motor_PumpFlowrate" localSheetId="13" hidden="0" function="0" vbProcedure="0">#ref!</definedName>
    <definedName name="Rpt_Motor_PumpFlowrate_Unit" localSheetId="13" hidden="0" function="0" vbProcedure="0">#ref!</definedName>
    <definedName name="Rpt_Motor_Stall_DiffP" localSheetId="13" hidden="0" function="0" vbProcedure="0">#ref!</definedName>
    <definedName name="Rpt_Motor_Stall_DiffP_Unit" localSheetId="13" hidden="0" function="0" vbProcedure="0">#ref!</definedName>
    <definedName name="Rpt_Motor_Stall_DTOR" localSheetId="13" hidden="0" function="0" vbProcedure="0">#ref!</definedName>
    <definedName name="Rpt_Motor_Stall_DTOR_Unit" localSheetId="13" hidden="0" function="0" vbProcedure="0">#ref!</definedName>
    <definedName name="Rpt_Motor_Stall_MaxDiffP" localSheetId="13" hidden="0" function="0" vbProcedure="0">#ref!</definedName>
    <definedName name="Rpt_Motor_Stall_MaxDiffP_Unit" localSheetId="13" hidden="0" function="0" vbProcedure="0">#ref!</definedName>
    <definedName name="Rpt_Motor_Stall_MaxTitle" localSheetId="13" hidden="0" function="0" vbProcedure="0">#ref!</definedName>
    <definedName name="Rpt_Motor_Stall_MinDiffP" localSheetId="13" hidden="0" function="0" vbProcedure="0">#ref!</definedName>
    <definedName name="Rpt_Motor_Stall_MinDiffP_Unit" localSheetId="13" hidden="0" function="0" vbProcedure="0">#ref!</definedName>
    <definedName name="Rpt_Motor_Stall_MinTitle" localSheetId="13" hidden="0" function="0" vbProcedure="0">#ref!</definedName>
    <definedName name="Rpt_Motor_Stall_NozzleFlow" localSheetId="13" hidden="0" function="0" vbProcedure="0">#ref!</definedName>
    <definedName name="Rpt_Motor_Stall_NozzleFlow_Unit" localSheetId="13" hidden="0" function="0" vbProcedure="0">#ref!</definedName>
    <definedName name="Rpt_Motor_Stall_PowerFlow" localSheetId="13" hidden="0" function="0" vbProcedure="0">#ref!</definedName>
    <definedName name="Rpt_Motor_Stall_PowerFlow_Unit" localSheetId="13" hidden="0" function="0" vbProcedure="0">#ref!</definedName>
    <definedName name="Rpt_Motor_Stall_WOB" localSheetId="13" hidden="0" function="0" vbProcedure="0">#ref!</definedName>
    <definedName name="Rpt_Motor_Stall_WOB_Unit" localSheetId="13" hidden="0" function="0" vbProcedure="0">#ref!</definedName>
    <definedName name="Rpt_Motor_Survey_Data" localSheetId="13" hidden="0" function="0" vbProcedure="0">#ref!</definedName>
    <definedName name="Rpt_Motor_Wellbore_Data" localSheetId="13" hidden="0" function="0" vbProcedure="0">#ref!</definedName>
    <definedName name="Rpt_Mot_Bearing_FR" localSheetId="13" hidden="0" function="0" vbProcedure="0">#ref!</definedName>
    <definedName name="Rpt_Mot_Bearing_FR_Unit" localSheetId="13" hidden="0" function="0" vbProcedure="0">#ref!</definedName>
    <definedName name="Rpt_Mot_DeltaP" localSheetId="13" hidden="0" function="0" vbProcedure="0">#ref!</definedName>
    <definedName name="Rpt_Mot_DeltaP_Unit" localSheetId="13" hidden="0" function="0" vbProcedure="0">#ref!</definedName>
    <definedName name="Rpt_Mot_DTOR" localSheetId="13" hidden="0" function="0" vbProcedure="0">#ref!</definedName>
    <definedName name="Rpt_Mot_DTOR_Unit" localSheetId="13" hidden="0" function="0" vbProcedure="0">#ref!</definedName>
    <definedName name="Rpt_Mot_FR" localSheetId="13" hidden="0" function="0" vbProcedure="0">#ref!</definedName>
    <definedName name="Rpt_Mot_FR_Unit" localSheetId="13" hidden="0" function="0" vbProcedure="0">#ref!</definedName>
    <definedName name="Rpt_Mot_Max_Overpull" localSheetId="13" hidden="0" function="0" vbProcedure="0">#ref!</definedName>
    <definedName name="Rpt_Mot_Max_Overpull_Unit" localSheetId="13" hidden="0" function="0" vbProcedure="0">#ref!</definedName>
    <definedName name="Rpt_Mot_Name" localSheetId="13" hidden="0" function="0" vbProcedure="0">#ref!</definedName>
    <definedName name="Rpt_Mot_Nozzle_FR" localSheetId="13" hidden="0" function="0" vbProcedure="0">#ref!</definedName>
    <definedName name="Rpt_Mot_Nozzle_FR_Unit" localSheetId="13" hidden="0" function="0" vbProcedure="0">#ref!</definedName>
    <definedName name="Rpt_Mot_OnBottom_RPM" localSheetId="13" hidden="0" function="0" vbProcedure="0">#ref!</definedName>
    <definedName name="Rpt_Mot_RSS_Act_Flow" localSheetId="13" hidden="0" function="0" vbProcedure="0">#ref!</definedName>
    <definedName name="Rpt_Mot_RSS_FR" localSheetId="13" hidden="0" function="0" vbProcedure="0">#ref!</definedName>
    <definedName name="Rpt_Mot_RSS_FR_Size" localSheetId="13" hidden="0" function="0" vbProcedure="0">#ref!</definedName>
    <definedName name="Rpt_Mot_RSS_FR_Size_Unit" localSheetId="13" hidden="0" function="0" vbProcedure="0">#ref!</definedName>
    <definedName name="Rpt_Mot_RSS_FR_Unit" localSheetId="13" hidden="0" function="0" vbProcedure="0">#ref!</definedName>
    <definedName name="Rpt_Mot_RSS_Pad_PD" localSheetId="13" hidden="0" function="0" vbProcedure="0">#ref!</definedName>
    <definedName name="Rpt_Mot_RSS_Pad_PD_Unit" localSheetId="13" hidden="0" function="0" vbProcedure="0">#ref!</definedName>
    <definedName name="Rpt_Mot_WOM" localSheetId="13" hidden="0" function="0" vbProcedure="0">#ref!</definedName>
    <definedName name="Rpt_Mot_WOM_Unit" localSheetId="13" hidden="0" function="0" vbProcedure="0">#ref!</definedName>
    <definedName name="Rpt_MudType" localSheetId="13" hidden="0" function="0" vbProcedure="0">#ref!</definedName>
    <definedName name="Rpt_Mud_Type" localSheetId="13" hidden="0" function="0" vbProcedure="0">#ref!</definedName>
    <definedName name="Rpt_Mud_wt" localSheetId="13" hidden="0" function="0" vbProcedure="0">#ref!</definedName>
    <definedName name="Rpt_Mud_Wt_Unit" localSheetId="13" hidden="0" function="0" vbProcedure="0">#ref!</definedName>
    <definedName name="Rpt_Multi_BHA_Data" localSheetId="13" hidden="0" function="0" vbProcedure="0">#ref!</definedName>
    <definedName name="Rpt_Multi_Date" localSheetId="13" hidden="0" function="0" vbProcedure="0">#ref!</definedName>
    <definedName name="Rpt_Multi_Survey_Data" localSheetId="13" hidden="0" function="0" vbProcedure="0">#ref!</definedName>
    <definedName name="Rpt_Multi_Table1A_Depth_Unit" localSheetId="13" hidden="0" function="0" vbProcedure="0">#ref!</definedName>
    <definedName name="Rpt_Multi_Table1A_FR1" localSheetId="13" hidden="0" function="0" vbProcedure="0">#ref!</definedName>
    <definedName name="Rpt_Multi_Table1A_FR1_Unit" localSheetId="13" hidden="0" function="0" vbProcedure="0">#ref!</definedName>
    <definedName name="Rpt_Multi_Table1A_FR2" localSheetId="13" hidden="0" function="0" vbProcedure="0">#ref!</definedName>
    <definedName name="Rpt_Multi_Table1A_FR2_Unit" localSheetId="13" hidden="0" function="0" vbProcedure="0">#ref!</definedName>
    <definedName name="Rpt_Multi_Table1A_FR3" localSheetId="13" hidden="0" function="0" vbProcedure="0">#ref!</definedName>
    <definedName name="Rpt_Multi_Table1A_FR3_Unit" localSheetId="13" hidden="0" function="0" vbProcedure="0">#ref!</definedName>
    <definedName name="Rpt_Multi_Table1A_FR4" localSheetId="13" hidden="0" function="0" vbProcedure="0">#ref!</definedName>
    <definedName name="Rpt_Multi_Table1A_FR4_Unit" localSheetId="13" hidden="0" function="0" vbProcedure="0">#ref!</definedName>
    <definedName name="Rpt_Multi_Table1A_FR5" localSheetId="13" hidden="0" function="0" vbProcedure="0">#ref!</definedName>
    <definedName name="Rpt_Multi_Table1A_FR5_Unit" localSheetId="13" hidden="0" function="0" vbProcedure="0">#ref!</definedName>
    <definedName name="Rpt_Multi_Table1A_FR6" localSheetId="13" hidden="0" function="0" vbProcedure="0">#ref!</definedName>
    <definedName name="Rpt_Multi_Table1A_FR6_Unit" localSheetId="13" hidden="0" function="0" vbProcedure="0">#ref!</definedName>
    <definedName name="Rpt_Multi_Table1A_Title" localSheetId="13" hidden="0" function="0" vbProcedure="0">#ref!</definedName>
    <definedName name="Rpt_Multi_Table1B_Depth_Unit" localSheetId="13" hidden="0" function="0" vbProcedure="0">#ref!</definedName>
    <definedName name="Rpt_Multi_Table1B_FR1" localSheetId="13" hidden="0" function="0" vbProcedure="0">#ref!</definedName>
    <definedName name="Rpt_Multi_Table1B_FR1_Unit" localSheetId="13" hidden="0" function="0" vbProcedure="0">#ref!</definedName>
    <definedName name="Rpt_Multi_Table1B_FR2" localSheetId="13" hidden="0" function="0" vbProcedure="0">#ref!</definedName>
    <definedName name="Rpt_Multi_Table1B_FR2_Unit" localSheetId="13" hidden="0" function="0" vbProcedure="0">#ref!</definedName>
    <definedName name="Rpt_Multi_Table1B_FR3" localSheetId="13" hidden="0" function="0" vbProcedure="0">#ref!</definedName>
    <definedName name="Rpt_Multi_Table1B_FR3_Unit" localSheetId="13" hidden="0" function="0" vbProcedure="0">#ref!</definedName>
    <definedName name="Rpt_Multi_Table1B_FR4" localSheetId="13" hidden="0" function="0" vbProcedure="0">#ref!</definedName>
    <definedName name="Rpt_Multi_Table1B_FR4_Unit" localSheetId="13" hidden="0" function="0" vbProcedure="0">#ref!</definedName>
    <definedName name="Rpt_Multi_Table1B_FR5" localSheetId="13" hidden="0" function="0" vbProcedure="0">#ref!</definedName>
    <definedName name="Rpt_Multi_Table1B_FR5_Unit" localSheetId="13" hidden="0" function="0" vbProcedure="0">#ref!</definedName>
    <definedName name="Rpt_Multi_Table1B_FR6" localSheetId="13" hidden="0" function="0" vbProcedure="0">#ref!</definedName>
    <definedName name="Rpt_Multi_Table1B_FR6_Unit" localSheetId="13" hidden="0" function="0" vbProcedure="0">#ref!</definedName>
    <definedName name="Rpt_Multi_Table1B_Title" localSheetId="13" hidden="0" function="0" vbProcedure="0">#ref!</definedName>
    <definedName name="Rpt_Multi_Table1Data" localSheetId="13" hidden="0" function="0" vbProcedure="0">#ref!</definedName>
    <definedName name="Rpt_Multi_Table2A_Depth_Unit" localSheetId="13" hidden="0" function="0" vbProcedure="0">#ref!</definedName>
    <definedName name="Rpt_Multi_Table2A_FR1" localSheetId="13" hidden="0" function="0" vbProcedure="0">#ref!</definedName>
    <definedName name="Rpt_Multi_Table2A_FR1_Unit" localSheetId="13" hidden="0" function="0" vbProcedure="0">#ref!</definedName>
    <definedName name="Rpt_Multi_Table2A_FR2" localSheetId="13" hidden="0" function="0" vbProcedure="0">#ref!</definedName>
    <definedName name="Rpt_Multi_Table2A_FR2_Unit" localSheetId="13" hidden="0" function="0" vbProcedure="0">#ref!</definedName>
    <definedName name="Rpt_Multi_Table2A_FR3" localSheetId="13" hidden="0" function="0" vbProcedure="0">#ref!</definedName>
    <definedName name="Rpt_Multi_Table2A_FR3_Unit" localSheetId="13" hidden="0" function="0" vbProcedure="0">#ref!</definedName>
    <definedName name="Rpt_Multi_Table2A_FR4" localSheetId="13" hidden="0" function="0" vbProcedure="0">#ref!</definedName>
    <definedName name="Rpt_Multi_Table2A_FR4_Unit" localSheetId="13" hidden="0" function="0" vbProcedure="0">#ref!</definedName>
    <definedName name="Rpt_Multi_Table2A_FR5" localSheetId="13" hidden="0" function="0" vbProcedure="0">#ref!</definedName>
    <definedName name="Rpt_Multi_Table2A_FR5_Unit" localSheetId="13" hidden="0" function="0" vbProcedure="0">#ref!</definedName>
    <definedName name="Rpt_Multi_Table2A_FR6" localSheetId="13" hidden="0" function="0" vbProcedure="0">#ref!</definedName>
    <definedName name="Rpt_Multi_Table2A_FR6_Unit" localSheetId="13" hidden="0" function="0" vbProcedure="0">#ref!</definedName>
    <definedName name="Rpt_Multi_Table2A_Title" localSheetId="13" hidden="0" function="0" vbProcedure="0">#ref!</definedName>
    <definedName name="Rpt_Multi_Table2B_Depth_Unit" localSheetId="13" hidden="0" function="0" vbProcedure="0">#ref!</definedName>
    <definedName name="Rpt_Multi_Table2B_FR1" localSheetId="13" hidden="0" function="0" vbProcedure="0">#ref!</definedName>
    <definedName name="Rpt_Multi_Table2B_FR1_Unit" localSheetId="13" hidden="0" function="0" vbProcedure="0">#ref!</definedName>
    <definedName name="Rpt_Multi_Table2B_FR2" localSheetId="13" hidden="0" function="0" vbProcedure="0">#ref!</definedName>
    <definedName name="Rpt_Multi_Table2B_FR2_Unit" localSheetId="13" hidden="0" function="0" vbProcedure="0">#ref!</definedName>
    <definedName name="Rpt_Multi_Table2B_FR3" localSheetId="13" hidden="0" function="0" vbProcedure="0">#ref!</definedName>
    <definedName name="Rpt_Multi_Table2B_FR3_Unit" localSheetId="13" hidden="0" function="0" vbProcedure="0">#ref!</definedName>
    <definedName name="Rpt_Multi_Table2B_FR4" localSheetId="13" hidden="0" function="0" vbProcedure="0">#ref!</definedName>
    <definedName name="Rpt_Multi_Table2B_FR4_Unit" localSheetId="13" hidden="0" function="0" vbProcedure="0">#ref!</definedName>
    <definedName name="Rpt_Multi_Table2B_FR5" localSheetId="13" hidden="0" function="0" vbProcedure="0">#ref!</definedName>
    <definedName name="Rpt_Multi_Table2B_FR5_Unit" localSheetId="13" hidden="0" function="0" vbProcedure="0">#ref!</definedName>
    <definedName name="Rpt_Multi_Table2B_FR6" localSheetId="13" hidden="0" function="0" vbProcedure="0">#ref!</definedName>
    <definedName name="Rpt_Multi_Table2B_FR6_Unit" localSheetId="13" hidden="0" function="0" vbProcedure="0">#ref!</definedName>
    <definedName name="Rpt_Multi_Table2B_Title" localSheetId="13" hidden="0" function="0" vbProcedure="0">#ref!</definedName>
    <definedName name="Rpt_Multi_Table2Data" localSheetId="13" hidden="0" function="0" vbProcedure="0">#ref!</definedName>
    <definedName name="Rpt_Multi_Wellbore_Data" localSheetId="13" hidden="0" function="0" vbProcedure="0">#ref!</definedName>
    <definedName name="Rpt_n" localSheetId="13" hidden="0" function="0" vbProcedure="0">#ref!</definedName>
    <definedName name="Rpt_NorthReference" localSheetId="13" hidden="0" function="0" vbProcedure="0">#ref!</definedName>
    <definedName name="Rpt_NoteCTR" localSheetId="13" hidden="0" function="0" vbProcedure="0">#ref!</definedName>
    <definedName name="Rpt_NoteECD" localSheetId="13" hidden="0" function="0" vbProcedure="0">#ref!</definedName>
    <definedName name="Rpt_NoteESDECD" localSheetId="13" hidden="0" function="0" vbProcedure="0">#ref!</definedName>
    <definedName name="Rpt_NoteHCI" localSheetId="13" hidden="0" function="0" vbProcedure="0">#ref!</definedName>
    <definedName name="Rpt_NoteNozzleOptimization" localSheetId="13" hidden="0" function="0" vbProcedure="0">#ref!</definedName>
    <definedName name="Rpt_NotePressureDrop" localSheetId="13" hidden="0" function="0" vbProcedure="0">#ref!</definedName>
    <definedName name="Rpt_NotePTMD" localSheetId="13" hidden="0" function="0" vbProcedure="0">#ref!</definedName>
    <definedName name="Rpt_NoteRheology" localSheetId="13" hidden="0" function="0" vbProcedure="0">#ref!</definedName>
    <definedName name="Rpt_Nozzle_Data" localSheetId="13" hidden="0" function="0" vbProcedure="0">#ref!</definedName>
    <definedName name="Rpt_Operator" localSheetId="13" hidden="0" function="0" vbProcedure="0">#ref!</definedName>
    <definedName name="RPT_Pres_Annulus" localSheetId="13" hidden="0" function="0" vbProcedure="0">#ref!</definedName>
    <definedName name="RPT_Pres_Annulus_Unit" localSheetId="13" hidden="0" function="0" vbProcedure="0">#ref!</definedName>
    <definedName name="Rpt_Pres_Bit_Nozzle" localSheetId="13" hidden="0" function="0" vbProcedure="0">#ref!</definedName>
    <definedName name="Rpt_Pres_Bit_Nozzle_Unit" localSheetId="13" hidden="0" function="0" vbProcedure="0">#ref!</definedName>
    <definedName name="Rpt_Pres_Chokeline" localSheetId="13" hidden="0" function="0" vbProcedure="0">#ref!</definedName>
    <definedName name="Rpt_Pres_Chokeline_Unit" localSheetId="13" hidden="0" function="0" vbProcedure="0">#ref!</definedName>
    <definedName name="Rpt_Pres_Flow_Restrictor" localSheetId="13" hidden="0" function="0" vbProcedure="0">#ref!</definedName>
    <definedName name="Rpt_Pres_Flow_Restrictor_Unit" localSheetId="13" hidden="0" function="0" vbProcedure="0">#ref!</definedName>
    <definedName name="Rpt_Pres_High_Imbalance" localSheetId="13" hidden="0" function="0" vbProcedure="0">#ref!</definedName>
    <definedName name="Rpt_Pres_High_Imbalance_Unit" localSheetId="13" hidden="0" function="0" vbProcedure="0">#ref!</definedName>
    <definedName name="Rpt_Pres_Inside_DrillStr" localSheetId="13" hidden="0" function="0" vbProcedure="0">#ref!</definedName>
    <definedName name="Rpt_Pres_Inside_DrillStr_Unit" localSheetId="13" hidden="0" function="0" vbProcedure="0">#ref!</definedName>
    <definedName name="Rpt_Pres_Motor" localSheetId="13" hidden="0" function="0" vbProcedure="0">#ref!</definedName>
    <definedName name="Rpt_Pres_Motor_Unit" localSheetId="13" hidden="0" function="0" vbProcedure="0">#ref!</definedName>
    <definedName name="Rpt_Pres_RSS" localSheetId="13" hidden="0" function="0" vbProcedure="0">#ref!</definedName>
    <definedName name="Rpt_Pres_RSS_Unit" localSheetId="13" hidden="0" function="0" vbProcedure="0">#ref!</definedName>
    <definedName name="Rpt_Pres_Surf_Eqpt" localSheetId="13" hidden="0" function="0" vbProcedure="0">#ref!</definedName>
    <definedName name="Rpt_Pres_Surf_Eqpt_Unit" localSheetId="13" hidden="0" function="0" vbProcedure="0">#ref!</definedName>
    <definedName name="Rpt_Pres_Tools" localSheetId="13" hidden="0" function="0" vbProcedure="0">#ref!</definedName>
    <definedName name="Rpt_Pres_Tools_Unit" localSheetId="13" hidden="0" function="0" vbProcedure="0">#ref!</definedName>
    <definedName name="Rpt_Pres_Total" localSheetId="13" hidden="0" function="0" vbProcedure="0">#ref!</definedName>
    <definedName name="RPT_Pres_Total_Flag" localSheetId="13" hidden="0" function="0" vbProcedure="0">#ref!</definedName>
    <definedName name="Rpt_Pres_Total_Unit" localSheetId="13" hidden="0" function="0" vbProcedure="0">#ref!</definedName>
    <definedName name="Rpt_PT" localSheetId="13" hidden="0" function="0" vbProcedure="0">#ref!</definedName>
    <definedName name="Rpt_PT_Actual_API_PV_Unit" localSheetId="13" hidden="0" function="0" vbProcedure="0">#ref!</definedName>
    <definedName name="Rpt_PT_Actual_API_YP_Unit" localSheetId="13" hidden="0" function="0" vbProcedure="0">#ref!</definedName>
    <definedName name="Rpt_PT_Actual_Fann100_Unit" localSheetId="13" hidden="0" function="0" vbProcedure="0">#ref!</definedName>
    <definedName name="Rpt_PT_Actual_Fann200_Unit" localSheetId="13" hidden="0" function="0" vbProcedure="0">#ref!</definedName>
    <definedName name="Rpt_PT_Actual_Fann300_Unit" localSheetId="13" hidden="0" function="0" vbProcedure="0">#ref!</definedName>
    <definedName name="Rpt_PT_Actual_Fann3_Unit" localSheetId="13" hidden="0" function="0" vbProcedure="0">#ref!</definedName>
    <definedName name="Rpt_PT_Actual_Fann600_Unit" localSheetId="13" hidden="0" function="0" vbProcedure="0">#ref!</definedName>
    <definedName name="Rpt_PT_Actual_Fann6_Unit" localSheetId="13" hidden="0" function="0" vbProcedure="0">#ref!</definedName>
    <definedName name="Rpt_PT_Actual_HBYS_Label" localSheetId="13" hidden="0" function="0" vbProcedure="0">#ref!</definedName>
    <definedName name="Rpt_PT_Actual_HBYS_Unit" localSheetId="13" hidden="0" function="0" vbProcedure="0">#ref!</definedName>
    <definedName name="Rpt_PT_Actual_K_Label" localSheetId="13" hidden="0" function="0" vbProcedure="0">#ref!</definedName>
    <definedName name="Rpt_PT_Actual_n_Label" localSheetId="13" hidden="0" function="0" vbProcedure="0">#ref!</definedName>
    <definedName name="Rpt_PT_Actual_Ref_Pres_Unit" localSheetId="13" hidden="0" function="0" vbProcedure="0">#ref!</definedName>
    <definedName name="Rpt_PT_Actual_Ref_Temp_Unit" localSheetId="13" hidden="0" function="0" vbProcedure="0">#ref!</definedName>
    <definedName name="Rpt_PT_API_PV" localSheetId="13" hidden="0" function="0" vbProcedure="0">#ref!</definedName>
    <definedName name="Rpt_PT_API_PV_Unit" localSheetId="13" hidden="0" function="0" vbProcedure="0">#ref!</definedName>
    <definedName name="Rpt_PT_API_YP" localSheetId="13" hidden="0" function="0" vbProcedure="0">#ref!</definedName>
    <definedName name="Rpt_PT_API_YP_Unit" localSheetId="13" hidden="0" function="0" vbProcedure="0">#ref!</definedName>
    <definedName name="Rpt_PT_Fann100" localSheetId="13" hidden="0" function="0" vbProcedure="0">#ref!</definedName>
    <definedName name="Rpt_PT_Fann100_Unit" localSheetId="13" hidden="0" function="0" vbProcedure="0">#ref!</definedName>
    <definedName name="Rpt_PT_Fann200" localSheetId="13" hidden="0" function="0" vbProcedure="0">#ref!</definedName>
    <definedName name="Rpt_PT_Fann200_Unit" localSheetId="13" hidden="0" function="0" vbProcedure="0">#ref!</definedName>
    <definedName name="Rpt_PT_Fann3" localSheetId="13" hidden="0" function="0" vbProcedure="0">#ref!</definedName>
    <definedName name="Rpt_PT_Fann300" localSheetId="13" hidden="0" function="0" vbProcedure="0">#ref!</definedName>
    <definedName name="Rpt_PT_Fann300_Unit" localSheetId="13" hidden="0" function="0" vbProcedure="0">#ref!</definedName>
    <definedName name="Rpt_PT_Fann3_Unit" localSheetId="13" hidden="0" function="0" vbProcedure="0">#ref!</definedName>
    <definedName name="Rpt_PT_Fann6" localSheetId="13" hidden="0" function="0" vbProcedure="0">#ref!</definedName>
    <definedName name="Rpt_PT_Fann600" localSheetId="13" hidden="0" function="0" vbProcedure="0">#ref!</definedName>
    <definedName name="Rpt_PT_Fann600_Unit" localSheetId="13" hidden="0" function="0" vbProcedure="0">#ref!</definedName>
    <definedName name="Rpt_PT_Fann6_Unit" localSheetId="13" hidden="0" function="0" vbProcedure="0">#ref!</definedName>
    <definedName name="Rpt_PT_Formation_Temp_Data" localSheetId="13" hidden="0" function="0" vbProcedure="0">#ref!</definedName>
    <definedName name="Rpt_PT_Formation_Temp_Unit" localSheetId="13" hidden="0" function="0" vbProcedure="0">#ref!</definedName>
    <definedName name="Rpt_PT_Geothermal_Gradient" localSheetId="13" hidden="0" function="0" vbProcedure="0">#ref!</definedName>
    <definedName name="Rpt_PT_Geothermal_Gradient_Unit" localSheetId="13" hidden="0" function="0" vbProcedure="0">#ref!</definedName>
    <definedName name="Rpt_PT_HBYS_Label" localSheetId="13" hidden="0" function="0" vbProcedure="0">#ref!</definedName>
    <definedName name="Rpt_PT_HB_YS" localSheetId="13" hidden="0" function="0" vbProcedure="0">#ref!</definedName>
    <definedName name="Rpt_PT_HB_YS_Unit" localSheetId="13" hidden="0" function="0" vbProcedure="0">#ref!</definedName>
    <definedName name="Rpt_PT_K" localSheetId="13" hidden="0" function="0" vbProcedure="0">#ref!</definedName>
    <definedName name="Rpt_PT_K_Label" localSheetId="13" hidden="0" function="0" vbProcedure="0">#ref!</definedName>
    <definedName name="Rpt_PT_Model_Type" localSheetId="13" hidden="0" function="0" vbProcedure="0">#ref!</definedName>
    <definedName name="Rpt_PT_Mud_Temp" localSheetId="13" hidden="0" function="0" vbProcedure="0">#ref!</definedName>
    <definedName name="Rpt_PT_Mud_Temp_Unit" localSheetId="13" hidden="0" function="0" vbProcedure="0">#ref!</definedName>
    <definedName name="Rpt_PT_Mud_Type" localSheetId="13" hidden="0" function="0" vbProcedure="0">#ref!</definedName>
    <definedName name="Rpt_PT_Mud_Weight" localSheetId="13" hidden="0" function="0" vbProcedure="0">#ref!</definedName>
    <definedName name="Rpt_PT_Mud_Weight_Unit" localSheetId="13" hidden="0" function="0" vbProcedure="0">#ref!</definedName>
    <definedName name="Rpt_PT_n" localSheetId="13" hidden="0" function="0" vbProcedure="0">#ref!</definedName>
    <definedName name="Rpt_PT_n_Label" localSheetId="13" hidden="0" function="0" vbProcedure="0">#ref!</definedName>
    <definedName name="Rpt_PT_Oil_Water_Ratio" localSheetId="13" hidden="0" function="0" vbProcedure="0">#ref!</definedName>
    <definedName name="Rpt_PT_PT_Type" localSheetId="13" hidden="0" function="0" vbProcedure="0">#ref!</definedName>
    <definedName name="Rpt_PT_Raw_Data_Label" localSheetId="13" hidden="0" function="0" vbProcedure="0">#ref!</definedName>
    <definedName name="Rpt_PT_Raw_PV" localSheetId="13" hidden="0" function="0" vbProcedure="0">#ref!</definedName>
    <definedName name="Rpt_PT_Raw_YP" localSheetId="13" hidden="0" function="0" vbProcedure="0">#ref!</definedName>
    <definedName name="Rpt_PT_Ref_Pres" localSheetId="13" hidden="0" function="0" vbProcedure="0">#ref!</definedName>
    <definedName name="Rpt_PT_Ref_Pres_Unit" localSheetId="13" hidden="0" function="0" vbProcedure="0">#ref!</definedName>
    <definedName name="Rpt_PT_Ref_Temp" localSheetId="13" hidden="0" function="0" vbProcedure="0">#ref!</definedName>
    <definedName name="Rpt_PT_Ref_Temp_Unit" localSheetId="13" hidden="0" function="0" vbProcedure="0">#ref!</definedName>
    <definedName name="Rpt_PT_Rheo_Data" localSheetId="13" hidden="0" function="0" vbProcedure="0">#ref!</definedName>
    <definedName name="Rpt_PT_Rheo_Model" localSheetId="13" hidden="0" function="0" vbProcedure="0">#ref!</definedName>
    <definedName name="Rpt_PT_Rheo_Model_Index" localSheetId="13" hidden="0" function="0" vbProcedure="0">#ref!</definedName>
    <definedName name="Rpt_PT_Rheo_Table_Title" localSheetId="13" hidden="0" function="0" vbProcedure="0">#ref!</definedName>
    <definedName name="Rpt_PT_Seafloor_Temp" localSheetId="13" hidden="0" function="0" vbProcedure="0">#ref!</definedName>
    <definedName name="Rpt_PT_Seafloor_Temp_Unit" localSheetId="13" hidden="0" function="0" vbProcedure="0">#ref!</definedName>
    <definedName name="Rpt_PT_Surface_Ambient" localSheetId="13" hidden="0" function="0" vbProcedure="0">#ref!</definedName>
    <definedName name="Rpt_PT_Surface_Ambient_Unit" localSheetId="13" hidden="0" function="0" vbProcedure="0">#ref!</definedName>
    <definedName name="Rpt_PT_Temp_Type" localSheetId="13" hidden="0" function="0" vbProcedure="0">#ref!</definedName>
    <definedName name="Rpt_PT_Thermocline_Depth" localSheetId="13" hidden="0" function="0" vbProcedure="0">#ref!</definedName>
    <definedName name="Rpt_PT_Thermocline_Depth_Unit" localSheetId="13" hidden="0" function="0" vbProcedure="0">#ref!</definedName>
    <definedName name="Rpt_PT_Thermocline_Temp" localSheetId="13" hidden="0" function="0" vbProcedure="0">#ref!</definedName>
    <definedName name="Rpt_PT_Thermocline_Temp_Unit" localSheetId="13" hidden="0" function="0" vbProcedure="0">#ref!</definedName>
    <definedName name="Rpt_PT_TVD_Unit" localSheetId="13" hidden="0" function="0" vbProcedure="0">#ref!</definedName>
    <definedName name="Rpt_PumpingHours" localSheetId="13" hidden="0" function="0" vbProcedure="0">#ref!</definedName>
    <definedName name="Rpt_PV" localSheetId="13" hidden="0" function="0" vbProcedure="0">#ref!</definedName>
    <definedName name="Rpt_PV_Unit" localSheetId="13" hidden="0" function="0" vbProcedure="0">#ref!</definedName>
    <definedName name="Rpt_Reamer0_Dia" localSheetId="13" hidden="0" function="0" vbProcedure="0">#ref!</definedName>
    <definedName name="Rpt_Reamer0_Flowrate" localSheetId="13" hidden="0" function="0" vbProcedure="0">#ref!</definedName>
    <definedName name="Rpt_Reamer0_HSI" localSheetId="13" hidden="0" function="0" vbProcedure="0">#ref!</definedName>
    <definedName name="Rpt_Reamer0_Hyd_Pow" localSheetId="13" hidden="0" function="0" vbProcedure="0">#ref!</definedName>
    <definedName name="Rpt_Reamer0_JetVelocity" localSheetId="13" hidden="0" function="0" vbProcedure="0">#ref!</definedName>
    <definedName name="Rpt_Reamer0_Jet_Imp_Force" localSheetId="13" hidden="0" function="0" vbProcedure="0">#ref!</definedName>
    <definedName name="Rpt_Reamer0_Name" localSheetId="13" hidden="0" function="0" vbProcedure="0">#ref!</definedName>
    <definedName name="Rpt_Reamer0_Name_Duplicated" localSheetId="13" hidden="0" function="0" vbProcedure="0">#ref!</definedName>
    <definedName name="Rpt_Reamer0_PressureDrop" localSheetId="13" hidden="0" function="0" vbProcedure="0">#ref!</definedName>
    <definedName name="Rpt_Reamer0_TFA" localSheetId="13" hidden="0" function="0" vbProcedure="0">#ref!</definedName>
    <definedName name="Rpt_Reamer0_Type" localSheetId="13" hidden="0" function="0" vbProcedure="0">#ref!</definedName>
    <definedName name="Rpt_Reamer1_Dia" localSheetId="13" hidden="0" function="0" vbProcedure="0">#ref!</definedName>
    <definedName name="Rpt_Reamer1_Flowrate" localSheetId="13" hidden="0" function="0" vbProcedure="0">#ref!</definedName>
    <definedName name="Rpt_Reamer1_HSI" localSheetId="13" hidden="0" function="0" vbProcedure="0">#ref!</definedName>
    <definedName name="Rpt_Reamer1_Hyd_Pow" localSheetId="13" hidden="0" function="0" vbProcedure="0">#ref!</definedName>
    <definedName name="Rpt_Reamer1_JetVelocity" localSheetId="13" hidden="0" function="0" vbProcedure="0">#ref!</definedName>
    <definedName name="Rpt_Reamer1_Jet_Imp_Force" localSheetId="13" hidden="0" function="0" vbProcedure="0">#ref!</definedName>
    <definedName name="Rpt_Reamer1_Name" localSheetId="13" hidden="0" function="0" vbProcedure="0">#ref!</definedName>
    <definedName name="Rpt_Reamer1_Name_Duplicated" localSheetId="13" hidden="0" function="0" vbProcedure="0">#ref!</definedName>
    <definedName name="Rpt_Reamer1_PressureDrop" localSheetId="13" hidden="0" function="0" vbProcedure="0">#ref!</definedName>
    <definedName name="Rpt_Reamer1_TFA" localSheetId="13" hidden="0" function="0" vbProcedure="0">#ref!</definedName>
    <definedName name="Rpt_Reamer1_Type" localSheetId="13" hidden="0" function="0" vbProcedure="0">#ref!</definedName>
    <definedName name="Rpt_Reamer2_Dia" localSheetId="13" hidden="0" function="0" vbProcedure="0">#ref!</definedName>
    <definedName name="Rpt_Reamer2_Flowrate" localSheetId="13" hidden="0" function="0" vbProcedure="0">#ref!</definedName>
    <definedName name="Rpt_Reamer2_HSI" localSheetId="13" hidden="0" function="0" vbProcedure="0">#ref!</definedName>
    <definedName name="Rpt_Reamer2_Hyd_Pow" localSheetId="13" hidden="0" function="0" vbProcedure="0">#ref!</definedName>
    <definedName name="Rpt_Reamer2_JetVelocity" localSheetId="13" hidden="0" function="0" vbProcedure="0">#ref!</definedName>
    <definedName name="Rpt_Reamer2_Jet_Imp_Force" localSheetId="13" hidden="0" function="0" vbProcedure="0">#ref!</definedName>
    <definedName name="Rpt_Reamer2_Name" localSheetId="13" hidden="0" function="0" vbProcedure="0">#ref!</definedName>
    <definedName name="Rpt_Reamer2_Name_Duplicated" localSheetId="13" hidden="0" function="0" vbProcedure="0">#ref!</definedName>
    <definedName name="Rpt_Reamer2_PressureDrop" localSheetId="13" hidden="0" function="0" vbProcedure="0">#ref!</definedName>
    <definedName name="Rpt_Reamer2_TFA" localSheetId="13" hidden="0" function="0" vbProcedure="0">#ref!</definedName>
    <definedName name="Rpt_Reamer2_Type" localSheetId="13" hidden="0" function="0" vbProcedure="0">#ref!</definedName>
    <definedName name="Rpt_Rheo_API_PV_Unit" localSheetId="13" hidden="0" function="0" vbProcedure="0">#ref!</definedName>
    <definedName name="Rpt_Rheo_API_YP_Unit" localSheetId="13" hidden="0" function="0" vbProcedure="0">#ref!</definedName>
    <definedName name="Rpt_Rheo_BHA_Data" localSheetId="13" hidden="0" function="0" vbProcedure="0">#ref!</definedName>
    <definedName name="Rpt_Rheo_Date" localSheetId="13" hidden="0" function="0" vbProcedure="0">#ref!</definedName>
    <definedName name="Rpt_Rheo_ECD_Unit" localSheetId="13" hidden="0" function="0" vbProcedure="0">#ref!</definedName>
    <definedName name="Rpt_Rheo_ESD_Unit" localSheetId="13" hidden="0" function="0" vbProcedure="0">#ref!</definedName>
    <definedName name="Rpt_Rheo_Flowrate" localSheetId="13" hidden="0" function="0" vbProcedure="0">#ref!</definedName>
    <definedName name="Rpt_Rheo_Flowrate_Unit" localSheetId="13" hidden="0" function="0" vbProcedure="0">#ref!</definedName>
    <definedName name="Rpt_Rheo_HBYS_Unit" localSheetId="13" hidden="0" function="0" vbProcedure="0">#ref!</definedName>
    <definedName name="Rpt_Rheo_Index_Unit" localSheetId="13" hidden="0" function="0" vbProcedure="0">#ref!</definedName>
    <definedName name="Rpt_Rheo_K_Unit" localSheetId="13" hidden="0" function="0" vbProcedure="0">#ref!</definedName>
    <definedName name="Rpt_Rheo_MD_Unit" localSheetId="13" hidden="0" function="0" vbProcedure="0">#ref!</definedName>
    <definedName name="Rpt_Rheo_MudWeight_Unit" localSheetId="13" hidden="0" function="0" vbProcedure="0">#ref!</definedName>
    <definedName name="Rpt_Rheo_N_Unit" localSheetId="13" hidden="0" function="0" vbProcedure="0">#ref!</definedName>
    <definedName name="Rpt_Rheo_Pressure_Unit" localSheetId="13" hidden="0" function="0" vbProcedure="0">#ref!</definedName>
    <definedName name="Rpt_Rheo_RheologyData_Ann" localSheetId="13" hidden="0" function="0" vbProcedure="0">#ref!</definedName>
    <definedName name="Rpt_Rheo_RheologyData_BHA" localSheetId="13" hidden="0" function="0" vbProcedure="0">#ref!</definedName>
    <definedName name="Rpt_Rheo_Survey_Data" localSheetId="13" hidden="0" function="0" vbProcedure="0">#ref!</definedName>
    <definedName name="Rpt_Rheo_Temperature_Unit" localSheetId="13" hidden="0" function="0" vbProcedure="0">#ref!</definedName>
    <definedName name="Rpt_Rheo_Wellbore_Data" localSheetId="13" hidden="0" function="0" vbProcedure="0">#ref!</definedName>
    <definedName name="Rpt_RightLogo" localSheetId="13" hidden="0" function="0" vbProcedure="0">#ref!</definedName>
    <definedName name="Rpt_RigName" localSheetId="13" hidden="0" function="0" vbProcedure="0">#ref!</definedName>
    <definedName name="Rpt_RSS_Name" localSheetId="13" hidden="0" function="0" vbProcedure="0">#ref!</definedName>
    <definedName name="Rpt_ScaleFactor" localSheetId="13" hidden="0" function="0" vbProcedure="0">#ref!</definedName>
    <definedName name="Rpt_SecondDD" localSheetId="13" hidden="0" function="0" vbProcedure="0">#ref!</definedName>
    <definedName name="Rpt_Sens_ActualHSI_BO0" localSheetId="13" hidden="0" function="0" vbProcedure="0">#ref!</definedName>
    <definedName name="Rpt_Sens_ActualHSI_BO1" localSheetId="13" hidden="0" function="0" vbProcedure="0">#ref!</definedName>
    <definedName name="Rpt_Sens_ActualHSI_BO10" localSheetId="13" hidden="0" function="0" vbProcedure="0">#ref!</definedName>
    <definedName name="Rpt_Sens_ActualHSI_BO2" localSheetId="13" hidden="0" function="0" vbProcedure="0">#ref!</definedName>
    <definedName name="Rpt_Sens_ActualHSI_BO3" localSheetId="13" hidden="0" function="0" vbProcedure="0">#ref!</definedName>
    <definedName name="Rpt_Sens_ActualHSI_BO4" localSheetId="13" hidden="0" function="0" vbProcedure="0">#ref!</definedName>
    <definedName name="Rpt_Sens_ActualHSI_BO5" localSheetId="13" hidden="0" function="0" vbProcedure="0">#ref!</definedName>
    <definedName name="Rpt_Sens_ActualHSI_BO6" localSheetId="13" hidden="0" function="0" vbProcedure="0">#ref!</definedName>
    <definedName name="Rpt_Sens_ActualHSI_BO7" localSheetId="13" hidden="0" function="0" vbProcedure="0">#ref!</definedName>
    <definedName name="Rpt_Sens_ActualHSI_BO8" localSheetId="13" hidden="0" function="0" vbProcedure="0">#ref!</definedName>
    <definedName name="Rpt_Sens_ActualHSI_BO9" localSheetId="13" hidden="0" function="0" vbProcedure="0">#ref!</definedName>
    <definedName name="Rpt_Sens_ActualHSI_BO_Current" localSheetId="13" hidden="0" function="0" vbProcedure="0">#ref!</definedName>
    <definedName name="Rpt_Sens_ActualHSI_BO_Unit" localSheetId="13" hidden="0" function="0" vbProcedure="0">#ref!</definedName>
    <definedName name="Rpt_Sens_ActualJIF_BO0" localSheetId="13" hidden="0" function="0" vbProcedure="0">#ref!</definedName>
    <definedName name="Rpt_Sens_ActualJIF_BO1" localSheetId="13" hidden="0" function="0" vbProcedure="0">#ref!</definedName>
    <definedName name="Rpt_Sens_ActualJIF_BO10" localSheetId="13" hidden="0" function="0" vbProcedure="0">#ref!</definedName>
    <definedName name="Rpt_Sens_ActualJIF_BO2" localSheetId="13" hidden="0" function="0" vbProcedure="0">#ref!</definedName>
    <definedName name="Rpt_Sens_ActualJIF_BO3" localSheetId="13" hidden="0" function="0" vbProcedure="0">#ref!</definedName>
    <definedName name="Rpt_Sens_ActualJIF_BO4" localSheetId="13" hidden="0" function="0" vbProcedure="0">#ref!</definedName>
    <definedName name="Rpt_Sens_ActualJIF_BO5" localSheetId="13" hidden="0" function="0" vbProcedure="0">#ref!</definedName>
    <definedName name="Rpt_Sens_ActualJIF_BO6" localSheetId="13" hidden="0" function="0" vbProcedure="0">#ref!</definedName>
    <definedName name="Rpt_Sens_ActualJIF_BO7" localSheetId="13" hidden="0" function="0" vbProcedure="0">#ref!</definedName>
    <definedName name="Rpt_Sens_ActualJIF_BO8" localSheetId="13" hidden="0" function="0" vbProcedure="0">#ref!</definedName>
    <definedName name="Rpt_Sens_ActualJIF_BO9" localSheetId="13" hidden="0" function="0" vbProcedure="0">#ref!</definedName>
    <definedName name="Rpt_Sens_ActualJIF_BO_Current" localSheetId="13" hidden="0" function="0" vbProcedure="0">#ref!</definedName>
    <definedName name="Rpt_Sens_ActualJIF_BO_Unit" localSheetId="13" hidden="0" function="0" vbProcedure="0">#ref!</definedName>
    <definedName name="Rpt_Sens_Annulus_PDrop0" localSheetId="13" hidden="0" function="0" vbProcedure="0">#ref!</definedName>
    <definedName name="Rpt_Sens_Annulus_PDrop1" localSheetId="13" hidden="0" function="0" vbProcedure="0">#ref!</definedName>
    <definedName name="Rpt_Sens_Annulus_PDrop10" localSheetId="13" hidden="0" function="0" vbProcedure="0">#ref!</definedName>
    <definedName name="Rpt_Sens_Annulus_PDrop2" localSheetId="13" hidden="0" function="0" vbProcedure="0">#ref!</definedName>
    <definedName name="Rpt_Sens_Annulus_PDrop3" localSheetId="13" hidden="0" function="0" vbProcedure="0">#ref!</definedName>
    <definedName name="Rpt_Sens_Annulus_PDrop4" localSheetId="13" hidden="0" function="0" vbProcedure="0">#ref!</definedName>
    <definedName name="Rpt_Sens_Annulus_PDrop5" localSheetId="13" hidden="0" function="0" vbProcedure="0">#ref!</definedName>
    <definedName name="Rpt_Sens_Annulus_PDrop6" localSheetId="13" hidden="0" function="0" vbProcedure="0">#ref!</definedName>
    <definedName name="Rpt_Sens_Annulus_PDrop7" localSheetId="13" hidden="0" function="0" vbProcedure="0">#ref!</definedName>
    <definedName name="Rpt_Sens_Annulus_PDrop8" localSheetId="13" hidden="0" function="0" vbProcedure="0">#ref!</definedName>
    <definedName name="Rpt_Sens_Annulus_PDrop9" localSheetId="13" hidden="0" function="0" vbProcedure="0">#ref!</definedName>
    <definedName name="Rpt_Sens_Annulus_PDrop_Current" localSheetId="13" hidden="0" function="0" vbProcedure="0">#ref!</definedName>
    <definedName name="Rpt_Sens_Annulus_PDrop_Unit" localSheetId="13" hidden="0" function="0" vbProcedure="0">#ref!</definedName>
    <definedName name="Rpt_Sens_BHA_Data" localSheetId="13" hidden="0" function="0" vbProcedure="0">#ref!</definedName>
    <definedName name="Rpt_Sens_BitFlowRes_PDrop0" localSheetId="13" hidden="0" function="0" vbProcedure="0">#ref!</definedName>
    <definedName name="Rpt_Sens_BitFlowRes_PDrop1" localSheetId="13" hidden="0" function="0" vbProcedure="0">#ref!</definedName>
    <definedName name="Rpt_Sens_BitFlowRes_PDrop10" localSheetId="13" hidden="0" function="0" vbProcedure="0">#ref!</definedName>
    <definedName name="Rpt_Sens_BitFlowRes_PDrop2" localSheetId="13" hidden="0" function="0" vbProcedure="0">#ref!</definedName>
    <definedName name="Rpt_Sens_BitFlowRes_PDrop3" localSheetId="13" hidden="0" function="0" vbProcedure="0">#ref!</definedName>
    <definedName name="Rpt_Sens_BitFlowRes_PDrop4" localSheetId="13" hidden="0" function="0" vbProcedure="0">#ref!</definedName>
    <definedName name="Rpt_Sens_BitFlowRes_PDrop5" localSheetId="13" hidden="0" function="0" vbProcedure="0">#ref!</definedName>
    <definedName name="Rpt_Sens_BitFlowRes_PDrop6" localSheetId="13" hidden="0" function="0" vbProcedure="0">#ref!</definedName>
    <definedName name="Rpt_Sens_BitFlowRes_PDrop7" localSheetId="13" hidden="0" function="0" vbProcedure="0">#ref!</definedName>
    <definedName name="Rpt_Sens_BitFlowRes_PDrop8" localSheetId="13" hidden="0" function="0" vbProcedure="0">#ref!</definedName>
    <definedName name="Rpt_Sens_BitFlowRes_PDrop9" localSheetId="13" hidden="0" function="0" vbProcedure="0">#ref!</definedName>
    <definedName name="Rpt_Sens_BitFlowRes_PDrop_Current" localSheetId="13" hidden="0" function="0" vbProcedure="0">#ref!</definedName>
    <definedName name="Rpt_Sens_BitFlowRes_PDrop_Unit" localSheetId="13" hidden="0" function="0" vbProcedure="0">#ref!</definedName>
    <definedName name="Rpt_Sens_BitNozzle_PDrop0" localSheetId="13" hidden="0" function="0" vbProcedure="0">#ref!</definedName>
    <definedName name="Rpt_Sens_BitNozzle_PDrop1" localSheetId="13" hidden="0" function="0" vbProcedure="0">#ref!</definedName>
    <definedName name="Rpt_Sens_BitNozzle_PDrop10" localSheetId="13" hidden="0" function="0" vbProcedure="0">#ref!</definedName>
    <definedName name="Rpt_Sens_BitNozzle_PDrop2" localSheetId="13" hidden="0" function="0" vbProcedure="0">#ref!</definedName>
    <definedName name="Rpt_Sens_BitNozzle_PDrop3" localSheetId="13" hidden="0" function="0" vbProcedure="0">#ref!</definedName>
    <definedName name="Rpt_Sens_BitNozzle_PDrop4" localSheetId="13" hidden="0" function="0" vbProcedure="0">#ref!</definedName>
    <definedName name="Rpt_Sens_BitNozzle_PDrop5" localSheetId="13" hidden="0" function="0" vbProcedure="0">#ref!</definedName>
    <definedName name="Rpt_Sens_BitNozzle_PDrop6" localSheetId="13" hidden="0" function="0" vbProcedure="0">#ref!</definedName>
    <definedName name="Rpt_Sens_BitNozzle_PDrop7" localSheetId="13" hidden="0" function="0" vbProcedure="0">#ref!</definedName>
    <definedName name="Rpt_Sens_BitNozzle_PDrop8" localSheetId="13" hidden="0" function="0" vbProcedure="0">#ref!</definedName>
    <definedName name="Rpt_Sens_BitNozzle_PDrop9" localSheetId="13" hidden="0" function="0" vbProcedure="0">#ref!</definedName>
    <definedName name="Rpt_Sens_BitNozzle_PDrop_Current" localSheetId="13" hidden="0" function="0" vbProcedure="0">#ref!</definedName>
    <definedName name="Rpt_Sens_BitNozzle_PDrop_Unit" localSheetId="13" hidden="0" function="0" vbProcedure="0">#ref!</definedName>
    <definedName name="Rpt_Sens_Bit_ECD0" localSheetId="13" hidden="0" function="0" vbProcedure="0">#ref!</definedName>
    <definedName name="Rpt_Sens_Bit_ECD1" localSheetId="13" hidden="0" function="0" vbProcedure="0">#ref!</definedName>
    <definedName name="Rpt_Sens_Bit_ECD10" localSheetId="13" hidden="0" function="0" vbProcedure="0">#ref!</definedName>
    <definedName name="Rpt_Sens_Bit_ECD2" localSheetId="13" hidden="0" function="0" vbProcedure="0">#ref!</definedName>
    <definedName name="Rpt_Sens_Bit_ECD3" localSheetId="13" hidden="0" function="0" vbProcedure="0">#ref!</definedName>
    <definedName name="Rpt_Sens_Bit_ECD4" localSheetId="13" hidden="0" function="0" vbProcedure="0">#ref!</definedName>
    <definedName name="Rpt_Sens_Bit_ECD5" localSheetId="13" hidden="0" function="0" vbProcedure="0">#ref!</definedName>
    <definedName name="Rpt_Sens_Bit_ECD6" localSheetId="13" hidden="0" function="0" vbProcedure="0">#ref!</definedName>
    <definedName name="Rpt_Sens_Bit_ECD7" localSheetId="13" hidden="0" function="0" vbProcedure="0">#ref!</definedName>
    <definedName name="Rpt_Sens_Bit_ECD8" localSheetId="13" hidden="0" function="0" vbProcedure="0">#ref!</definedName>
    <definedName name="Rpt_Sens_Bit_ECD9" localSheetId="13" hidden="0" function="0" vbProcedure="0">#ref!</definedName>
    <definedName name="Rpt_Sens_Bit_ECD_Current" localSheetId="13" hidden="0" function="0" vbProcedure="0">#ref!</definedName>
    <definedName name="Rpt_Sens_Bit_ECD_Unit" localSheetId="13" hidden="0" function="0" vbProcedure="0">#ref!</definedName>
    <definedName name="Rpt_Sens_Bit_Flowrate0" localSheetId="13" hidden="0" function="0" vbProcedure="0">#ref!</definedName>
    <definedName name="Rpt_Sens_Bit_Flowrate1" localSheetId="13" hidden="0" function="0" vbProcedure="0">#ref!</definedName>
    <definedName name="Rpt_Sens_Bit_Flowrate10" localSheetId="13" hidden="0" function="0" vbProcedure="0">#ref!</definedName>
    <definedName name="Rpt_Sens_Bit_Flowrate2" localSheetId="13" hidden="0" function="0" vbProcedure="0">#ref!</definedName>
    <definedName name="Rpt_Sens_Bit_Flowrate3" localSheetId="13" hidden="0" function="0" vbProcedure="0">#ref!</definedName>
    <definedName name="Rpt_Sens_Bit_Flowrate4" localSheetId="13" hidden="0" function="0" vbProcedure="0">#ref!</definedName>
    <definedName name="Rpt_Sens_Bit_Flowrate5" localSheetId="13" hidden="0" function="0" vbProcedure="0">#ref!</definedName>
    <definedName name="Rpt_Sens_Bit_Flowrate6" localSheetId="13" hidden="0" function="0" vbProcedure="0">#ref!</definedName>
    <definedName name="Rpt_Sens_Bit_Flowrate7" localSheetId="13" hidden="0" function="0" vbProcedure="0">#ref!</definedName>
    <definedName name="Rpt_Sens_Bit_Flowrate8" localSheetId="13" hidden="0" function="0" vbProcedure="0">#ref!</definedName>
    <definedName name="Rpt_Sens_Bit_Flowrate9" localSheetId="13" hidden="0" function="0" vbProcedure="0">#ref!</definedName>
    <definedName name="Rpt_Sens_Bit_Flowrate_Current" localSheetId="13" hidden="0" function="0" vbProcedure="0">#ref!</definedName>
    <definedName name="Rpt_Sens_Bit_Flowrate_Unit" localSheetId="13" hidden="0" function="0" vbProcedure="0">#ref!</definedName>
    <definedName name="Rpt_Sens_Chokeline_PDrop0" localSheetId="13" hidden="0" function="0" vbProcedure="0">#ref!</definedName>
    <definedName name="Rpt_Sens_Chokeline_PDrop1" localSheetId="13" hidden="0" function="0" vbProcedure="0">#ref!</definedName>
    <definedName name="Rpt_Sens_Chokeline_PDrop10" localSheetId="13" hidden="0" function="0" vbProcedure="0">#ref!</definedName>
    <definedName name="Rpt_Sens_Chokeline_PDrop2" localSheetId="13" hidden="0" function="0" vbProcedure="0">#ref!</definedName>
    <definedName name="Rpt_Sens_Chokeline_PDrop3" localSheetId="13" hidden="0" function="0" vbProcedure="0">#ref!</definedName>
    <definedName name="Rpt_Sens_Chokeline_PDrop4" localSheetId="13" hidden="0" function="0" vbProcedure="0">#ref!</definedName>
    <definedName name="Rpt_Sens_Chokeline_PDrop5" localSheetId="13" hidden="0" function="0" vbProcedure="0">#ref!</definedName>
    <definedName name="Rpt_Sens_Chokeline_PDrop6" localSheetId="13" hidden="0" function="0" vbProcedure="0">#ref!</definedName>
    <definedName name="Rpt_Sens_Chokeline_PDrop7" localSheetId="13" hidden="0" function="0" vbProcedure="0">#ref!</definedName>
    <definedName name="Rpt_Sens_Chokeline_PDrop8" localSheetId="13" hidden="0" function="0" vbProcedure="0">#ref!</definedName>
    <definedName name="Rpt_Sens_Chokeline_PDrop9" localSheetId="13" hidden="0" function="0" vbProcedure="0">#ref!</definedName>
    <definedName name="Rpt_Sens_Chokeline_PDrop_Current" localSheetId="13" hidden="0" function="0" vbProcedure="0">#ref!</definedName>
    <definedName name="Rpt_Sens_Chokeline_PDrop_Unit" localSheetId="13" hidden="0" function="0" vbProcedure="0">#ref!</definedName>
    <definedName name="Rpt_Sens_Date" localSheetId="13" hidden="0" function="0" vbProcedure="0">#ref!</definedName>
    <definedName name="Rpt_Sens_Depth_ECD0" localSheetId="13" hidden="0" function="0" vbProcedure="0">#ref!</definedName>
    <definedName name="Rpt_Sens_Depth_ECD1" localSheetId="13" hidden="0" function="0" vbProcedure="0">#ref!</definedName>
    <definedName name="Rpt_Sens_Depth_ECD10" localSheetId="13" hidden="0" function="0" vbProcedure="0">#ref!</definedName>
    <definedName name="Rpt_Sens_Depth_ECD2" localSheetId="13" hidden="0" function="0" vbProcedure="0">#ref!</definedName>
    <definedName name="Rpt_Sens_Depth_ECD3" localSheetId="13" hidden="0" function="0" vbProcedure="0">#ref!</definedName>
    <definedName name="Rpt_Sens_Depth_ECD4" localSheetId="13" hidden="0" function="0" vbProcedure="0">#ref!</definedName>
    <definedName name="Rpt_Sens_Depth_ECD5" localSheetId="13" hidden="0" function="0" vbProcedure="0">#ref!</definedName>
    <definedName name="Rpt_Sens_Depth_ECD6" localSheetId="13" hidden="0" function="0" vbProcedure="0">#ref!</definedName>
    <definedName name="Rpt_Sens_Depth_ECD7" localSheetId="13" hidden="0" function="0" vbProcedure="0">#ref!</definedName>
    <definedName name="Rpt_Sens_Depth_ECD8" localSheetId="13" hidden="0" function="0" vbProcedure="0">#ref!</definedName>
    <definedName name="Rpt_Sens_Depth_ECD9" localSheetId="13" hidden="0" function="0" vbProcedure="0">#ref!</definedName>
    <definedName name="Rpt_Sens_Depth_ECD_Current" localSheetId="13" hidden="0" function="0" vbProcedure="0">#ref!</definedName>
    <definedName name="Rpt_Sens_Depth_ECD_Label" localSheetId="13" hidden="0" function="0" vbProcedure="0">#ref!</definedName>
    <definedName name="Rpt_Sens_Depth_ECD_Unit" localSheetId="13" hidden="0" function="0" vbProcedure="0">#ref!</definedName>
    <definedName name="Rpt_Sens_DrillString_PDrop0" localSheetId="13" hidden="0" function="0" vbProcedure="0">#ref!</definedName>
    <definedName name="Rpt_Sens_DrillString_PDrop1" localSheetId="13" hidden="0" function="0" vbProcedure="0">#ref!</definedName>
    <definedName name="Rpt_Sens_DrillString_PDrop10" localSheetId="13" hidden="0" function="0" vbProcedure="0">#ref!</definedName>
    <definedName name="Rpt_Sens_DrillString_PDrop2" localSheetId="13" hidden="0" function="0" vbProcedure="0">#ref!</definedName>
    <definedName name="Rpt_Sens_DrillString_PDrop3" localSheetId="13" hidden="0" function="0" vbProcedure="0">#ref!</definedName>
    <definedName name="Rpt_Sens_DrillString_PDrop4" localSheetId="13" hidden="0" function="0" vbProcedure="0">#ref!</definedName>
    <definedName name="Rpt_Sens_DrillString_PDrop5" localSheetId="13" hidden="0" function="0" vbProcedure="0">#ref!</definedName>
    <definedName name="Rpt_Sens_DrillString_PDrop6" localSheetId="13" hidden="0" function="0" vbProcedure="0">#ref!</definedName>
    <definedName name="Rpt_Sens_DrillString_PDrop7" localSheetId="13" hidden="0" function="0" vbProcedure="0">#ref!</definedName>
    <definedName name="Rpt_Sens_DrillString_PDrop8" localSheetId="13" hidden="0" function="0" vbProcedure="0">#ref!</definedName>
    <definedName name="Rpt_Sens_DrillString_PDrop9" localSheetId="13" hidden="0" function="0" vbProcedure="0">#ref!</definedName>
    <definedName name="Rpt_Sens_DrillString_PDrop_Current" localSheetId="13" hidden="0" function="0" vbProcedure="0">#ref!</definedName>
    <definedName name="Rpt_Sens_DrillString_PDrop_Unit" localSheetId="13" hidden="0" function="0" vbProcedure="0">#ref!</definedName>
    <definedName name="Rpt_Sens_FlowPerc_Reamer0" localSheetId="13" hidden="0" function="0" vbProcedure="0">#ref!</definedName>
    <definedName name="Rpt_Sens_FlowPerc_Reamer1" localSheetId="13" hidden="0" function="0" vbProcedure="0">#ref!</definedName>
    <definedName name="Rpt_Sens_FlowPerc_Reamer10" localSheetId="13" hidden="0" function="0" vbProcedure="0">#ref!</definedName>
    <definedName name="Rpt_Sens_FlowPerc_Reamer2" localSheetId="13" hidden="0" function="0" vbProcedure="0">#ref!</definedName>
    <definedName name="Rpt_Sens_FlowPerc_Reamer3" localSheetId="13" hidden="0" function="0" vbProcedure="0">#ref!</definedName>
    <definedName name="Rpt_Sens_FlowPerc_Reamer4" localSheetId="13" hidden="0" function="0" vbProcedure="0">#ref!</definedName>
    <definedName name="Rpt_Sens_FlowPerc_Reamer5" localSheetId="13" hidden="0" function="0" vbProcedure="0">#ref!</definedName>
    <definedName name="Rpt_Sens_FlowPerc_Reamer6" localSheetId="13" hidden="0" function="0" vbProcedure="0">#ref!</definedName>
    <definedName name="Rpt_Sens_FlowPerc_Reamer7" localSheetId="13" hidden="0" function="0" vbProcedure="0">#ref!</definedName>
    <definedName name="Rpt_Sens_FlowPerc_Reamer8" localSheetId="13" hidden="0" function="0" vbProcedure="0">#ref!</definedName>
    <definedName name="Rpt_Sens_FlowPerc_Reamer9" localSheetId="13" hidden="0" function="0" vbProcedure="0">#ref!</definedName>
    <definedName name="Rpt_Sens_FlowPerc_Reamer_Current" localSheetId="13" hidden="0" function="0" vbProcedure="0">#ref!</definedName>
    <definedName name="Rpt_Sens_Flowrate_BO0" localSheetId="13" hidden="0" function="0" vbProcedure="0">#ref!</definedName>
    <definedName name="Rpt_Sens_Flowrate_BO1" localSheetId="13" hidden="0" function="0" vbProcedure="0">#ref!</definedName>
    <definedName name="Rpt_Sens_Flowrate_BO10" localSheetId="13" hidden="0" function="0" vbProcedure="0">#ref!</definedName>
    <definedName name="Rpt_Sens_Flowrate_BO2" localSheetId="13" hidden="0" function="0" vbProcedure="0">#ref!</definedName>
    <definedName name="Rpt_Sens_Flowrate_BO3" localSheetId="13" hidden="0" function="0" vbProcedure="0">#ref!</definedName>
    <definedName name="Rpt_Sens_Flowrate_BO4" localSheetId="13" hidden="0" function="0" vbProcedure="0">#ref!</definedName>
    <definedName name="Rpt_Sens_Flowrate_BO5" localSheetId="13" hidden="0" function="0" vbProcedure="0">#ref!</definedName>
    <definedName name="Rpt_Sens_Flowrate_BO6" localSheetId="13" hidden="0" function="0" vbProcedure="0">#ref!</definedName>
    <definedName name="Rpt_Sens_Flowrate_BO7" localSheetId="13" hidden="0" function="0" vbProcedure="0">#ref!</definedName>
    <definedName name="Rpt_Sens_Flowrate_BO8" localSheetId="13" hidden="0" function="0" vbProcedure="0">#ref!</definedName>
    <definedName name="Rpt_Sens_Flowrate_BO9" localSheetId="13" hidden="0" function="0" vbProcedure="0">#ref!</definedName>
    <definedName name="Rpt_Sens_Flowrate_BO_Current" localSheetId="13" hidden="0" function="0" vbProcedure="0">#ref!</definedName>
    <definedName name="Rpt_Sens_Flowrate_BO_Unit" localSheetId="13" hidden="0" function="0" vbProcedure="0">#ref!</definedName>
    <definedName name="Rpt_Sens_Flowrate_Reamer0" localSheetId="13" hidden="0" function="0" vbProcedure="0">#ref!</definedName>
    <definedName name="Rpt_Sens_Flowrate_Reamer1" localSheetId="13" hidden="0" function="0" vbProcedure="0">#ref!</definedName>
    <definedName name="Rpt_Sens_Flowrate_Reamer10" localSheetId="13" hidden="0" function="0" vbProcedure="0">#ref!</definedName>
    <definedName name="Rpt_Sens_Flowrate_Reamer2" localSheetId="13" hidden="0" function="0" vbProcedure="0">#ref!</definedName>
    <definedName name="Rpt_Sens_Flowrate_Reamer3" localSheetId="13" hidden="0" function="0" vbProcedure="0">#ref!</definedName>
    <definedName name="Rpt_Sens_Flowrate_Reamer4" localSheetId="13" hidden="0" function="0" vbProcedure="0">#ref!</definedName>
    <definedName name="Rpt_Sens_Flowrate_Reamer5" localSheetId="13" hidden="0" function="0" vbProcedure="0">#ref!</definedName>
    <definedName name="Rpt_Sens_Flowrate_Reamer6" localSheetId="13" hidden="0" function="0" vbProcedure="0">#ref!</definedName>
    <definedName name="Rpt_Sens_Flowrate_Reamer7" localSheetId="13" hidden="0" function="0" vbProcedure="0">#ref!</definedName>
    <definedName name="Rpt_Sens_Flowrate_Reamer8" localSheetId="13" hidden="0" function="0" vbProcedure="0">#ref!</definedName>
    <definedName name="Rpt_Sens_Flowrate_Reamer9" localSheetId="13" hidden="0" function="0" vbProcedure="0">#ref!</definedName>
    <definedName name="Rpt_Sens_Flowrate_Reamer_Current" localSheetId="13" hidden="0" function="0" vbProcedure="0">#ref!</definedName>
    <definedName name="Rpt_Sens_Flowrate_Reamer_Unit" localSheetId="13" hidden="0" function="0" vbProcedure="0">#ref!</definedName>
    <definedName name="Rpt_Sens_FlowRes_PDrop0" localSheetId="13" hidden="0" function="0" vbProcedure="0">#ref!</definedName>
    <definedName name="Rpt_Sens_FlowRes_PDrop1" localSheetId="13" hidden="0" function="0" vbProcedure="0">#ref!</definedName>
    <definedName name="Rpt_Sens_FlowRes_PDrop10" localSheetId="13" hidden="0" function="0" vbProcedure="0">#ref!</definedName>
    <definedName name="Rpt_Sens_FlowRes_PDrop2" localSheetId="13" hidden="0" function="0" vbProcedure="0">#ref!</definedName>
    <definedName name="Rpt_Sens_FlowRes_PDrop3" localSheetId="13" hidden="0" function="0" vbProcedure="0">#ref!</definedName>
    <definedName name="Rpt_Sens_FlowRes_PDrop4" localSheetId="13" hidden="0" function="0" vbProcedure="0">#ref!</definedName>
    <definedName name="Rpt_Sens_FlowRes_PDrop5" localSheetId="13" hidden="0" function="0" vbProcedure="0">#ref!</definedName>
    <definedName name="Rpt_Sens_FlowRes_PDrop6" localSheetId="13" hidden="0" function="0" vbProcedure="0">#ref!</definedName>
    <definedName name="Rpt_Sens_FlowRes_PDrop7" localSheetId="13" hidden="0" function="0" vbProcedure="0">#ref!</definedName>
    <definedName name="Rpt_Sens_FlowRes_PDrop8" localSheetId="13" hidden="0" function="0" vbProcedure="0">#ref!</definedName>
    <definedName name="Rpt_Sens_FlowRes_PDrop9" localSheetId="13" hidden="0" function="0" vbProcedure="0">#ref!</definedName>
    <definedName name="Rpt_Sens_FlowRes_PDrop_Current" localSheetId="13" hidden="0" function="0" vbProcedure="0">#ref!</definedName>
    <definedName name="Rpt_Sens_FlowRes_PDrop_Unit" localSheetId="13" hidden="0" function="0" vbProcedure="0">#ref!</definedName>
    <definedName name="Rpt_Sens_HPSI_BO0" localSheetId="13" hidden="0" function="0" vbProcedure="0">#ref!</definedName>
    <definedName name="Rpt_Sens_HPSI_BO1" localSheetId="13" hidden="0" function="0" vbProcedure="0">#ref!</definedName>
    <definedName name="Rpt_Sens_HPSI_BO10" localSheetId="13" hidden="0" function="0" vbProcedure="0">#ref!</definedName>
    <definedName name="Rpt_Sens_HPSI_BO2" localSheetId="13" hidden="0" function="0" vbProcedure="0">#ref!</definedName>
    <definedName name="Rpt_Sens_HPSI_BO3" localSheetId="13" hidden="0" function="0" vbProcedure="0">#ref!</definedName>
    <definedName name="Rpt_Sens_HPSI_BO4" localSheetId="13" hidden="0" function="0" vbProcedure="0">#ref!</definedName>
    <definedName name="Rpt_Sens_HPSI_BO5" localSheetId="13" hidden="0" function="0" vbProcedure="0">#ref!</definedName>
    <definedName name="Rpt_Sens_HPSI_BO6" localSheetId="13" hidden="0" function="0" vbProcedure="0">#ref!</definedName>
    <definedName name="Rpt_Sens_HPSI_BO7" localSheetId="13" hidden="0" function="0" vbProcedure="0">#ref!</definedName>
    <definedName name="Rpt_Sens_HPSI_BO8" localSheetId="13" hidden="0" function="0" vbProcedure="0">#ref!</definedName>
    <definedName name="Rpt_Sens_HPSI_BO9" localSheetId="13" hidden="0" function="0" vbProcedure="0">#ref!</definedName>
    <definedName name="Rpt_Sens_HPSI_BO_Current" localSheetId="13" hidden="0" function="0" vbProcedure="0">#ref!</definedName>
    <definedName name="Rpt_Sens_HPSI_BO_Unit" localSheetId="13" hidden="0" function="0" vbProcedure="0">#ref!</definedName>
    <definedName name="Rpt_Sens_HydPow_BO0" localSheetId="13" hidden="0" function="0" vbProcedure="0">#ref!</definedName>
    <definedName name="Rpt_Sens_HydPow_BO1" localSheetId="13" hidden="0" function="0" vbProcedure="0">#ref!</definedName>
    <definedName name="Rpt_Sens_HydPow_BO10" localSheetId="13" hidden="0" function="0" vbProcedure="0">#ref!</definedName>
    <definedName name="Rpt_Sens_HydPow_BO2" localSheetId="13" hidden="0" function="0" vbProcedure="0">#ref!</definedName>
    <definedName name="Rpt_Sens_HydPow_BO3" localSheetId="13" hidden="0" function="0" vbProcedure="0">#ref!</definedName>
    <definedName name="Rpt_Sens_HydPow_BO4" localSheetId="13" hidden="0" function="0" vbProcedure="0">#ref!</definedName>
    <definedName name="Rpt_Sens_HydPow_BO5" localSheetId="13" hidden="0" function="0" vbProcedure="0">#ref!</definedName>
    <definedName name="Rpt_Sens_HydPow_BO6" localSheetId="13" hidden="0" function="0" vbProcedure="0">#ref!</definedName>
    <definedName name="Rpt_Sens_HydPow_BO7" localSheetId="13" hidden="0" function="0" vbProcedure="0">#ref!</definedName>
    <definedName name="Rpt_Sens_HydPow_BO8" localSheetId="13" hidden="0" function="0" vbProcedure="0">#ref!</definedName>
    <definedName name="Rpt_Sens_HydPow_BO9" localSheetId="13" hidden="0" function="0" vbProcedure="0">#ref!</definedName>
    <definedName name="Rpt_Sens_HydPow_BO_Current" localSheetId="13" hidden="0" function="0" vbProcedure="0">#ref!</definedName>
    <definedName name="Rpt_Sens_HydPow_BO_Unit" localSheetId="13" hidden="0" function="0" vbProcedure="0">#ref!</definedName>
    <definedName name="Rpt_Sens_HydPow_Reamer0" localSheetId="13" hidden="0" function="0" vbProcedure="0">#ref!</definedName>
    <definedName name="Rpt_Sens_HydPow_Reamer1" localSheetId="13" hidden="0" function="0" vbProcedure="0">#ref!</definedName>
    <definedName name="Rpt_Sens_HydPow_Reamer10" localSheetId="13" hidden="0" function="0" vbProcedure="0">#ref!</definedName>
    <definedName name="Rpt_Sens_HydPow_Reamer2" localSheetId="13" hidden="0" function="0" vbProcedure="0">#ref!</definedName>
    <definedName name="Rpt_Sens_HydPow_Reamer3" localSheetId="13" hidden="0" function="0" vbProcedure="0">#ref!</definedName>
    <definedName name="Rpt_Sens_HydPow_Reamer4" localSheetId="13" hidden="0" function="0" vbProcedure="0">#ref!</definedName>
    <definedName name="Rpt_Sens_HydPow_Reamer5" localSheetId="13" hidden="0" function="0" vbProcedure="0">#ref!</definedName>
    <definedName name="Rpt_Sens_HydPow_Reamer6" localSheetId="13" hidden="0" function="0" vbProcedure="0">#ref!</definedName>
    <definedName name="Rpt_Sens_HydPow_Reamer7" localSheetId="13" hidden="0" function="0" vbProcedure="0">#ref!</definedName>
    <definedName name="Rpt_Sens_HydPow_Reamer8" localSheetId="13" hidden="0" function="0" vbProcedure="0">#ref!</definedName>
    <definedName name="Rpt_Sens_HydPow_Reamer9" localSheetId="13" hidden="0" function="0" vbProcedure="0">#ref!</definedName>
    <definedName name="Rpt_Sens_HydPow_Reamer_Current" localSheetId="13" hidden="0" function="0" vbProcedure="0">#ref!</definedName>
    <definedName name="Rpt_Sens_HydPow_Reamer_Unit" localSheetId="13" hidden="0" function="0" vbProcedure="0">#ref!</definedName>
    <definedName name="Rpt_Sens_Imbalance_PDrop0" localSheetId="13" hidden="0" function="0" vbProcedure="0">#ref!</definedName>
    <definedName name="Rpt_Sens_Imbalance_PDrop1" localSheetId="13" hidden="0" function="0" vbProcedure="0">#ref!</definedName>
    <definedName name="Rpt_Sens_Imbalance_PDrop10" localSheetId="13" hidden="0" function="0" vbProcedure="0">#ref!</definedName>
    <definedName name="Rpt_Sens_Imbalance_PDrop2" localSheetId="13" hidden="0" function="0" vbProcedure="0">#ref!</definedName>
    <definedName name="Rpt_Sens_Imbalance_PDrop3" localSheetId="13" hidden="0" function="0" vbProcedure="0">#ref!</definedName>
    <definedName name="Rpt_Sens_Imbalance_PDrop4" localSheetId="13" hidden="0" function="0" vbProcedure="0">#ref!</definedName>
    <definedName name="Rpt_Sens_Imbalance_PDrop5" localSheetId="13" hidden="0" function="0" vbProcedure="0">#ref!</definedName>
    <definedName name="Rpt_Sens_Imbalance_PDrop6" localSheetId="13" hidden="0" function="0" vbProcedure="0">#ref!</definedName>
    <definedName name="Rpt_Sens_Imbalance_PDrop7" localSheetId="13" hidden="0" function="0" vbProcedure="0">#ref!</definedName>
    <definedName name="Rpt_Sens_Imbalance_PDrop8" localSheetId="13" hidden="0" function="0" vbProcedure="0">#ref!</definedName>
    <definedName name="Rpt_Sens_Imbalance_PDrop9" localSheetId="13" hidden="0" function="0" vbProcedure="0">#ref!</definedName>
    <definedName name="Rpt_Sens_Imbalance_PDrop_Current" localSheetId="13" hidden="0" function="0" vbProcedure="0">#ref!</definedName>
    <definedName name="Rpt_Sens_Imbalance_PDrop_Unit" localSheetId="13" hidden="0" function="0" vbProcedure="0">#ref!</definedName>
    <definedName name="Rpt_Sens_JetVelocity_BO0" localSheetId="13" hidden="0" function="0" vbProcedure="0">#ref!</definedName>
    <definedName name="Rpt_Sens_JetVelocity_BO1" localSheetId="13" hidden="0" function="0" vbProcedure="0">#ref!</definedName>
    <definedName name="Rpt_Sens_JetVelocity_BO10" localSheetId="13" hidden="0" function="0" vbProcedure="0">#ref!</definedName>
    <definedName name="Rpt_Sens_JetVelocity_BO2" localSheetId="13" hidden="0" function="0" vbProcedure="0">#ref!</definedName>
    <definedName name="Rpt_Sens_JetVelocity_BO3" localSheetId="13" hidden="0" function="0" vbProcedure="0">#ref!</definedName>
    <definedName name="Rpt_Sens_JetVelocity_BO4" localSheetId="13" hidden="0" function="0" vbProcedure="0">#ref!</definedName>
    <definedName name="Rpt_Sens_JetVelocity_BO5" localSheetId="13" hidden="0" function="0" vbProcedure="0">#ref!</definedName>
    <definedName name="Rpt_Sens_JetVelocity_BO6" localSheetId="13" hidden="0" function="0" vbProcedure="0">#ref!</definedName>
    <definedName name="Rpt_Sens_JetVelocity_BO7" localSheetId="13" hidden="0" function="0" vbProcedure="0">#ref!</definedName>
    <definedName name="Rpt_Sens_JetVelocity_BO8" localSheetId="13" hidden="0" function="0" vbProcedure="0">#ref!</definedName>
    <definedName name="Rpt_Sens_JetVelocity_BO9" localSheetId="13" hidden="0" function="0" vbProcedure="0">#ref!</definedName>
    <definedName name="Rpt_Sens_JetVelocity_BO_Current" localSheetId="13" hidden="0" function="0" vbProcedure="0">#ref!</definedName>
    <definedName name="Rpt_Sens_JetVelocity_BO_Unit" localSheetId="13" hidden="0" function="0" vbProcedure="0">#ref!</definedName>
    <definedName name="Rpt_Sens_JetVelocity_Reamer0" localSheetId="13" hidden="0" function="0" vbProcedure="0">#ref!</definedName>
    <definedName name="Rpt_Sens_JetVelocity_Reamer1" localSheetId="13" hidden="0" function="0" vbProcedure="0">#ref!</definedName>
    <definedName name="Rpt_Sens_JetVelocity_Reamer10" localSheetId="13" hidden="0" function="0" vbProcedure="0">#ref!</definedName>
    <definedName name="Rpt_Sens_JetVelocity_Reamer2" localSheetId="13" hidden="0" function="0" vbProcedure="0">#ref!</definedName>
    <definedName name="Rpt_Sens_JetVelocity_Reamer3" localSheetId="13" hidden="0" function="0" vbProcedure="0">#ref!</definedName>
    <definedName name="Rpt_Sens_JetVelocity_Reamer4" localSheetId="13" hidden="0" function="0" vbProcedure="0">#ref!</definedName>
    <definedName name="Rpt_Sens_JetVelocity_Reamer5" localSheetId="13" hidden="0" function="0" vbProcedure="0">#ref!</definedName>
    <definedName name="Rpt_Sens_JetVelocity_Reamer6" localSheetId="13" hidden="0" function="0" vbProcedure="0">#ref!</definedName>
    <definedName name="Rpt_Sens_JetVelocity_Reamer7" localSheetId="13" hidden="0" function="0" vbProcedure="0">#ref!</definedName>
    <definedName name="Rpt_Sens_JetVelocity_Reamer8" localSheetId="13" hidden="0" function="0" vbProcedure="0">#ref!</definedName>
    <definedName name="Rpt_Sens_JetVelocity_Reamer9" localSheetId="13" hidden="0" function="0" vbProcedure="0">#ref!</definedName>
    <definedName name="Rpt_Sens_JetVelocity_Reamer_Current" localSheetId="13" hidden="0" function="0" vbProcedure="0">#ref!</definedName>
    <definedName name="Rpt_Sens_JetVelocity_Reamer_Unit" localSheetId="13" hidden="0" function="0" vbProcedure="0">#ref!</definedName>
    <definedName name="Rpt_Sens_JIF_BO0" localSheetId="13" hidden="0" function="0" vbProcedure="0">#ref!</definedName>
    <definedName name="Rpt_Sens_JIF_BO1" localSheetId="13" hidden="0" function="0" vbProcedure="0">#ref!</definedName>
    <definedName name="Rpt_Sens_JIF_BO10" localSheetId="13" hidden="0" function="0" vbProcedure="0">#ref!</definedName>
    <definedName name="Rpt_Sens_JIF_BO2" localSheetId="13" hidden="0" function="0" vbProcedure="0">#ref!</definedName>
    <definedName name="Rpt_Sens_JIF_BO3" localSheetId="13" hidden="0" function="0" vbProcedure="0">#ref!</definedName>
    <definedName name="Rpt_Sens_JIF_BO4" localSheetId="13" hidden="0" function="0" vbProcedure="0">#ref!</definedName>
    <definedName name="Rpt_Sens_JIF_BO5" localSheetId="13" hidden="0" function="0" vbProcedure="0">#ref!</definedName>
    <definedName name="Rpt_Sens_JIF_BO6" localSheetId="13" hidden="0" function="0" vbProcedure="0">#ref!</definedName>
    <definedName name="Rpt_Sens_JIF_BO7" localSheetId="13" hidden="0" function="0" vbProcedure="0">#ref!</definedName>
    <definedName name="Rpt_Sens_JIF_BO8" localSheetId="13" hidden="0" function="0" vbProcedure="0">#ref!</definedName>
    <definedName name="Rpt_Sens_JIF_BO9" localSheetId="13" hidden="0" function="0" vbProcedure="0">#ref!</definedName>
    <definedName name="Rpt_Sens_JIF_BO_Current" localSheetId="13" hidden="0" function="0" vbProcedure="0">#ref!</definedName>
    <definedName name="Rpt_Sens_JIF_BO_Unit" localSheetId="13" hidden="0" function="0" vbProcedure="0">#ref!</definedName>
    <definedName name="Rpt_Sens_MotorBearing_Flowrate0" localSheetId="13" hidden="0" function="0" vbProcedure="0">#ref!</definedName>
    <definedName name="Rpt_Sens_MotorBearing_Flowrate1" localSheetId="13" hidden="0" function="0" vbProcedure="0">#ref!</definedName>
    <definedName name="Rpt_Sens_MotorBearing_Flowrate10" localSheetId="13" hidden="0" function="0" vbProcedure="0">#ref!</definedName>
    <definedName name="Rpt_Sens_MotorBearing_Flowrate2" localSheetId="13" hidden="0" function="0" vbProcedure="0">#ref!</definedName>
    <definedName name="Rpt_Sens_MotorBearing_Flowrate3" localSheetId="13" hidden="0" function="0" vbProcedure="0">#ref!</definedName>
    <definedName name="Rpt_Sens_MotorBearing_Flowrate4" localSheetId="13" hidden="0" function="0" vbProcedure="0">#ref!</definedName>
    <definedName name="Rpt_Sens_MotorBearing_Flowrate5" localSheetId="13" hidden="0" function="0" vbProcedure="0">#ref!</definedName>
    <definedName name="Rpt_Sens_MotorBearing_Flowrate6" localSheetId="13" hidden="0" function="0" vbProcedure="0">#ref!</definedName>
    <definedName name="Rpt_Sens_MotorBearing_Flowrate7" localSheetId="13" hidden="0" function="0" vbProcedure="0">#ref!</definedName>
    <definedName name="Rpt_Sens_MotorBearing_Flowrate8" localSheetId="13" hidden="0" function="0" vbProcedure="0">#ref!</definedName>
    <definedName name="Rpt_Sens_MotorBearing_Flowrate9" localSheetId="13" hidden="0" function="0" vbProcedure="0">#ref!</definedName>
    <definedName name="Rpt_Sens_MotorBearing_Flowrate_Current" localSheetId="13" hidden="0" function="0" vbProcedure="0">#ref!</definedName>
    <definedName name="Rpt_Sens_MotorBearing_Flowrate_Unit" localSheetId="13" hidden="0" function="0" vbProcedure="0">#ref!</definedName>
    <definedName name="Rpt_Sens_MotorPower_Flowrate0" localSheetId="13" hidden="0" function="0" vbProcedure="0">#ref!</definedName>
    <definedName name="Rpt_Sens_MotorPower_Flowrate1" localSheetId="13" hidden="0" function="0" vbProcedure="0">#ref!</definedName>
    <definedName name="Rpt_Sens_MotorPower_Flowrate10" localSheetId="13" hidden="0" function="0" vbProcedure="0">#ref!</definedName>
    <definedName name="Rpt_Sens_MotorPower_Flowrate2" localSheetId="13" hidden="0" function="0" vbProcedure="0">#ref!</definedName>
    <definedName name="Rpt_Sens_MotorPower_Flowrate3" localSheetId="13" hidden="0" function="0" vbProcedure="0">#ref!</definedName>
    <definedName name="Rpt_Sens_MotorPower_Flowrate4" localSheetId="13" hidden="0" function="0" vbProcedure="0">#ref!</definedName>
    <definedName name="Rpt_Sens_MotorPower_Flowrate5" localSheetId="13" hidden="0" function="0" vbProcedure="0">#ref!</definedName>
    <definedName name="Rpt_Sens_MotorPower_Flowrate6" localSheetId="13" hidden="0" function="0" vbProcedure="0">#ref!</definedName>
    <definedName name="Rpt_Sens_MotorPower_Flowrate7" localSheetId="13" hidden="0" function="0" vbProcedure="0">#ref!</definedName>
    <definedName name="Rpt_Sens_MotorPower_Flowrate8" localSheetId="13" hidden="0" function="0" vbProcedure="0">#ref!</definedName>
    <definedName name="Rpt_Sens_MotorPower_Flowrate9" localSheetId="13" hidden="0" function="0" vbProcedure="0">#ref!</definedName>
    <definedName name="Rpt_Sens_MotorPower_Flowrate_Current" localSheetId="13" hidden="0" function="0" vbProcedure="0">#ref!</definedName>
    <definedName name="Rpt_Sens_MotorPower_Flowrate_Unit" localSheetId="13" hidden="0" function="0" vbProcedure="0">#ref!</definedName>
    <definedName name="Rpt_Sens_MotorRSS_PDrop0" localSheetId="13" hidden="0" function="0" vbProcedure="0">#ref!</definedName>
    <definedName name="Rpt_Sens_MotorRSS_PDrop1" localSheetId="13" hidden="0" function="0" vbProcedure="0">#ref!</definedName>
    <definedName name="Rpt_Sens_MotorRSS_PDrop10" localSheetId="13" hidden="0" function="0" vbProcedure="0">#ref!</definedName>
    <definedName name="Rpt_Sens_MotorRSS_PDrop2" localSheetId="13" hidden="0" function="0" vbProcedure="0">#ref!</definedName>
    <definedName name="Rpt_Sens_MotorRSS_PDrop3" localSheetId="13" hidden="0" function="0" vbProcedure="0">#ref!</definedName>
    <definedName name="Rpt_Sens_MotorRSS_PDrop4" localSheetId="13" hidden="0" function="0" vbProcedure="0">#ref!</definedName>
    <definedName name="Rpt_Sens_MotorRSS_PDrop5" localSheetId="13" hidden="0" function="0" vbProcedure="0">#ref!</definedName>
    <definedName name="Rpt_Sens_MotorRSS_PDrop6" localSheetId="13" hidden="0" function="0" vbProcedure="0">#ref!</definedName>
    <definedName name="Rpt_Sens_MotorRSS_PDrop7" localSheetId="13" hidden="0" function="0" vbProcedure="0">#ref!</definedName>
    <definedName name="Rpt_Sens_MotorRSS_PDrop8" localSheetId="13" hidden="0" function="0" vbProcedure="0">#ref!</definedName>
    <definedName name="Rpt_Sens_MotorRSS_PDrop9" localSheetId="13" hidden="0" function="0" vbProcedure="0">#ref!</definedName>
    <definedName name="Rpt_Sens_MotorRSS_PDrop_Current" localSheetId="13" hidden="0" function="0" vbProcedure="0">#ref!</definedName>
    <definedName name="Rpt_Sens_MotorRSS_PDrop_Unit" localSheetId="13" hidden="0" function="0" vbProcedure="0">#ref!</definedName>
    <definedName name="Rpt_Sens_PLoss_Reamer0" localSheetId="13" hidden="0" function="0" vbProcedure="0">#ref!</definedName>
    <definedName name="Rpt_Sens_PLoss_Reamer1" localSheetId="13" hidden="0" function="0" vbProcedure="0">#ref!</definedName>
    <definedName name="Rpt_Sens_PLoss_Reamer10" localSheetId="13" hidden="0" function="0" vbProcedure="0">#ref!</definedName>
    <definedName name="Rpt_Sens_PLoss_Reamer2" localSheetId="13" hidden="0" function="0" vbProcedure="0">#ref!</definedName>
    <definedName name="Rpt_Sens_PLoss_Reamer3" localSheetId="13" hidden="0" function="0" vbProcedure="0">#ref!</definedName>
    <definedName name="Rpt_Sens_PLoss_Reamer4" localSheetId="13" hidden="0" function="0" vbProcedure="0">#ref!</definedName>
    <definedName name="Rpt_Sens_PLoss_Reamer5" localSheetId="13" hidden="0" function="0" vbProcedure="0">#ref!</definedName>
    <definedName name="Rpt_Sens_PLoss_Reamer6" localSheetId="13" hidden="0" function="0" vbProcedure="0">#ref!</definedName>
    <definedName name="Rpt_Sens_PLoss_Reamer7" localSheetId="13" hidden="0" function="0" vbProcedure="0">#ref!</definedName>
    <definedName name="Rpt_Sens_PLoss_Reamer8" localSheetId="13" hidden="0" function="0" vbProcedure="0">#ref!</definedName>
    <definedName name="Rpt_Sens_PLoss_Reamer9" localSheetId="13" hidden="0" function="0" vbProcedure="0">#ref!</definedName>
    <definedName name="Rpt_Sens_PLoss_Reamer_Current" localSheetId="13" hidden="0" function="0" vbProcedure="0">#ref!</definedName>
    <definedName name="Rpt_Sens_PLoss_Reamer_Unit" localSheetId="13" hidden="0" function="0" vbProcedure="0">#ref!</definedName>
    <definedName name="Rpt_Sens_Pump_Flowrate0" localSheetId="13" hidden="0" function="0" vbProcedure="0">#ref!</definedName>
    <definedName name="Rpt_Sens_Pump_Flowrate1" localSheetId="13" hidden="0" function="0" vbProcedure="0">#ref!</definedName>
    <definedName name="Rpt_Sens_Pump_Flowrate10" localSheetId="13" hidden="0" function="0" vbProcedure="0">#ref!</definedName>
    <definedName name="Rpt_Sens_Pump_Flowrate2" localSheetId="13" hidden="0" function="0" vbProcedure="0">#ref!</definedName>
    <definedName name="Rpt_Sens_Pump_Flowrate3" localSheetId="13" hidden="0" function="0" vbProcedure="0">#ref!</definedName>
    <definedName name="Rpt_Sens_Pump_Flowrate4" localSheetId="13" hidden="0" function="0" vbProcedure="0">#ref!</definedName>
    <definedName name="Rpt_Sens_Pump_Flowrate5" localSheetId="13" hidden="0" function="0" vbProcedure="0">#ref!</definedName>
    <definedName name="Rpt_Sens_Pump_Flowrate6" localSheetId="13" hidden="0" function="0" vbProcedure="0">#ref!</definedName>
    <definedName name="Rpt_Sens_Pump_Flowrate7" localSheetId="13" hidden="0" function="0" vbProcedure="0">#ref!</definedName>
    <definedName name="Rpt_Sens_Pump_Flowrate8" localSheetId="13" hidden="0" function="0" vbProcedure="0">#ref!</definedName>
    <definedName name="Rpt_Sens_Pump_Flowrate9" localSheetId="13" hidden="0" function="0" vbProcedure="0">#ref!</definedName>
    <definedName name="Rpt_Sens_Pump_Flowrate_Current" localSheetId="13" hidden="0" function="0" vbProcedure="0">#ref!</definedName>
    <definedName name="Rpt_Sens_Pump_Flowrate_Unit" localSheetId="13" hidden="0" function="0" vbProcedure="0">#ref!</definedName>
    <definedName name="Rpt_Sens_Reamer_Flowrate0" localSheetId="13" hidden="0" function="0" vbProcedure="0">#ref!</definedName>
    <definedName name="Rpt_Sens_Reamer_Flowrate1" localSheetId="13" hidden="0" function="0" vbProcedure="0">#ref!</definedName>
    <definedName name="Rpt_Sens_Reamer_Flowrate10" localSheetId="13" hidden="0" function="0" vbProcedure="0">#ref!</definedName>
    <definedName name="Rpt_Sens_Reamer_Flowrate2" localSheetId="13" hidden="0" function="0" vbProcedure="0">#ref!</definedName>
    <definedName name="Rpt_Sens_Reamer_Flowrate3" localSheetId="13" hidden="0" function="0" vbProcedure="0">#ref!</definedName>
    <definedName name="Rpt_Sens_Reamer_Flowrate4" localSheetId="13" hidden="0" function="0" vbProcedure="0">#ref!</definedName>
    <definedName name="Rpt_Sens_Reamer_Flowrate5" localSheetId="13" hidden="0" function="0" vbProcedure="0">#ref!</definedName>
    <definedName name="Rpt_Sens_Reamer_Flowrate6" localSheetId="13" hidden="0" function="0" vbProcedure="0">#ref!</definedName>
    <definedName name="Rpt_Sens_Reamer_Flowrate7" localSheetId="13" hidden="0" function="0" vbProcedure="0">#ref!</definedName>
    <definedName name="Rpt_Sens_Reamer_Flowrate8" localSheetId="13" hidden="0" function="0" vbProcedure="0">#ref!</definedName>
    <definedName name="Rpt_Sens_Reamer_Flowrate9" localSheetId="13" hidden="0" function="0" vbProcedure="0">#ref!</definedName>
    <definedName name="Rpt_Sens_Reamer_Flowrate_Current" localSheetId="13" hidden="0" function="0" vbProcedure="0">#ref!</definedName>
    <definedName name="Rpt_Sens_Reamer_Flowrate_Unit" localSheetId="13" hidden="0" function="0" vbProcedure="0">#ref!</definedName>
    <definedName name="Rpt_Sens_Shoe_ECD0" localSheetId="13" hidden="0" function="0" vbProcedure="0">#ref!</definedName>
    <definedName name="Rpt_Sens_Shoe_ECD1" localSheetId="13" hidden="0" function="0" vbProcedure="0">#ref!</definedName>
    <definedName name="Rpt_Sens_Shoe_ECD10" localSheetId="13" hidden="0" function="0" vbProcedure="0">#ref!</definedName>
    <definedName name="Rpt_Sens_Shoe_ECD2" localSheetId="13" hidden="0" function="0" vbProcedure="0">#ref!</definedName>
    <definedName name="Rpt_Sens_Shoe_ECD3" localSheetId="13" hidden="0" function="0" vbProcedure="0">#ref!</definedName>
    <definedName name="Rpt_Sens_Shoe_ECD4" localSheetId="13" hidden="0" function="0" vbProcedure="0">#ref!</definedName>
    <definedName name="Rpt_Sens_Shoe_ECD5" localSheetId="13" hidden="0" function="0" vbProcedure="0">#ref!</definedName>
    <definedName name="Rpt_Sens_Shoe_ECD6" localSheetId="13" hidden="0" function="0" vbProcedure="0">#ref!</definedName>
    <definedName name="Rpt_Sens_Shoe_ECD7" localSheetId="13" hidden="0" function="0" vbProcedure="0">#ref!</definedName>
    <definedName name="Rpt_Sens_Shoe_ECD8" localSheetId="13" hidden="0" function="0" vbProcedure="0">#ref!</definedName>
    <definedName name="Rpt_Sens_Shoe_ECD9" localSheetId="13" hidden="0" function="0" vbProcedure="0">#ref!</definedName>
    <definedName name="Rpt_Sens_Shoe_ECD_Current" localSheetId="13" hidden="0" function="0" vbProcedure="0">#ref!</definedName>
    <definedName name="Rpt_Sens_Shoe_ECD_Unit" localSheetId="13" hidden="0" function="0" vbProcedure="0">#ref!</definedName>
    <definedName name="Rpt_Sens_SurEquip_PDrop0" localSheetId="13" hidden="0" function="0" vbProcedure="0">#ref!</definedName>
    <definedName name="Rpt_Sens_SurEquip_PDrop1" localSheetId="13" hidden="0" function="0" vbProcedure="0">#ref!</definedName>
    <definedName name="Rpt_Sens_SurEquip_PDrop10" localSheetId="13" hidden="0" function="0" vbProcedure="0">#ref!</definedName>
    <definedName name="Rpt_Sens_SurEquip_PDrop2" localSheetId="13" hidden="0" function="0" vbProcedure="0">#ref!</definedName>
    <definedName name="Rpt_Sens_SurEquip_PDrop3" localSheetId="13" hidden="0" function="0" vbProcedure="0">#ref!</definedName>
    <definedName name="Rpt_Sens_SurEquip_PDrop4" localSheetId="13" hidden="0" function="0" vbProcedure="0">#ref!</definedName>
    <definedName name="Rpt_Sens_SurEquip_PDrop5" localSheetId="13" hidden="0" function="0" vbProcedure="0">#ref!</definedName>
    <definedName name="Rpt_Sens_SurEquip_PDrop6" localSheetId="13" hidden="0" function="0" vbProcedure="0">#ref!</definedName>
    <definedName name="Rpt_Sens_SurEquip_PDrop7" localSheetId="13" hidden="0" function="0" vbProcedure="0">#ref!</definedName>
    <definedName name="Rpt_Sens_SurEquip_PDrop8" localSheetId="13" hidden="0" function="0" vbProcedure="0">#ref!</definedName>
    <definedName name="Rpt_Sens_SurEquip_PDrop9" localSheetId="13" hidden="0" function="0" vbProcedure="0">#ref!</definedName>
    <definedName name="Rpt_Sens_SurEquip_PDrop_Current" localSheetId="13" hidden="0" function="0" vbProcedure="0">#ref!</definedName>
    <definedName name="Rpt_Sens_SurEquip_PDrop_Unit" localSheetId="13" hidden="0" function="0" vbProcedure="0">#ref!</definedName>
    <definedName name="Rpt_Sens_Survey_Data" localSheetId="13" hidden="0" function="0" vbProcedure="0">#ref!</definedName>
    <definedName name="Rpt_Sens_Tool_PDrop0" localSheetId="13" hidden="0" function="0" vbProcedure="0">#ref!</definedName>
    <definedName name="Rpt_Sens_Tool_PDrop1" localSheetId="13" hidden="0" function="0" vbProcedure="0">#ref!</definedName>
    <definedName name="Rpt_Sens_Tool_PDrop10" localSheetId="13" hidden="0" function="0" vbProcedure="0">#ref!</definedName>
    <definedName name="Rpt_Sens_Tool_PDrop2" localSheetId="13" hidden="0" function="0" vbProcedure="0">#ref!</definedName>
    <definedName name="Rpt_Sens_Tool_PDrop3" localSheetId="13" hidden="0" function="0" vbProcedure="0">#ref!</definedName>
    <definedName name="Rpt_Sens_Tool_PDrop4" localSheetId="13" hidden="0" function="0" vbProcedure="0">#ref!</definedName>
    <definedName name="Rpt_Sens_Tool_PDrop5" localSheetId="13" hidden="0" function="0" vbProcedure="0">#ref!</definedName>
    <definedName name="Rpt_Sens_Tool_PDrop6" localSheetId="13" hidden="0" function="0" vbProcedure="0">#ref!</definedName>
    <definedName name="Rpt_Sens_Tool_PDrop7" localSheetId="13" hidden="0" function="0" vbProcedure="0">#ref!</definedName>
    <definedName name="Rpt_Sens_Tool_PDrop8" localSheetId="13" hidden="0" function="0" vbProcedure="0">#ref!</definedName>
    <definedName name="Rpt_Sens_Tool_PDrop9" localSheetId="13" hidden="0" function="0" vbProcedure="0">#ref!</definedName>
    <definedName name="Rpt_Sens_Tool_PDrop_Current" localSheetId="13" hidden="0" function="0" vbProcedure="0">#ref!</definedName>
    <definedName name="Rpt_Sens_Tool_PDrop_Unit" localSheetId="13" hidden="0" function="0" vbProcedure="0">#ref!</definedName>
    <definedName name="Rpt_Sens_Total_PDrop0" localSheetId="13" hidden="0" function="0" vbProcedure="0">#ref!</definedName>
    <definedName name="Rpt_Sens_Total_PDrop1" localSheetId="13" hidden="0" function="0" vbProcedure="0">#ref!</definedName>
    <definedName name="Rpt_Sens_Total_PDrop10" localSheetId="13" hidden="0" function="0" vbProcedure="0">#ref!</definedName>
    <definedName name="Rpt_Sens_Total_PDrop2" localSheetId="13" hidden="0" function="0" vbProcedure="0">#ref!</definedName>
    <definedName name="Rpt_Sens_Total_PDrop3" localSheetId="13" hidden="0" function="0" vbProcedure="0">#ref!</definedName>
    <definedName name="Rpt_Sens_Total_PDrop4" localSheetId="13" hidden="0" function="0" vbProcedure="0">#ref!</definedName>
    <definedName name="Rpt_Sens_Total_PDrop5" localSheetId="13" hidden="0" function="0" vbProcedure="0">#ref!</definedName>
    <definedName name="Rpt_Sens_Total_PDrop6" localSheetId="13" hidden="0" function="0" vbProcedure="0">#ref!</definedName>
    <definedName name="Rpt_Sens_Total_PDrop7" localSheetId="13" hidden="0" function="0" vbProcedure="0">#ref!</definedName>
    <definedName name="Rpt_Sens_Total_PDrop8" localSheetId="13" hidden="0" function="0" vbProcedure="0">#ref!</definedName>
    <definedName name="Rpt_Sens_Total_PDrop9" localSheetId="13" hidden="0" function="0" vbProcedure="0">#ref!</definedName>
    <definedName name="Rpt_Sens_Total_PDrop_Current" localSheetId="13" hidden="0" function="0" vbProcedure="0">#ref!</definedName>
    <definedName name="Rpt_Sens_Total_PDrop_Unit" localSheetId="13" hidden="0" function="0" vbProcedure="0">#ref!</definedName>
    <definedName name="Rpt_Sens_Wellbore_Data" localSheetId="13" hidden="0" function="0" vbProcedure="0">#ref!</definedName>
    <definedName name="Rpt_Structure" localSheetId="13" hidden="0" function="0" vbProcedure="0">#ref!</definedName>
    <definedName name="Rpt_SurveyCompMethod" localSheetId="13" hidden="0" function="0" vbProcedure="0">#ref!</definedName>
    <definedName name="Rpt_SurveyDate" localSheetId="13" hidden="0" function="0" vbProcedure="0">#ref!</definedName>
    <definedName name="Rpt_SurveyName" localSheetId="13" hidden="0" function="0" vbProcedure="0">#ref!</definedName>
    <definedName name="Rpt_SurveyStats" localSheetId="13" hidden="0" function="0" vbProcedure="0">#ref!</definedName>
    <definedName name="Rpt_Survey_Data" localSheetId="13" hidden="0" function="0" vbProcedure="0">#ref!</definedName>
    <definedName name="rpt_TestSheet2" localSheetId="13" hidden="0" function="0" vbProcedure="0">#ref!</definedName>
    <definedName name="Rpt_TimeIn" localSheetId="13" hidden="0" function="0" vbProcedure="0">#ref!</definedName>
    <definedName name="Rpt_TimeOut" localSheetId="13" hidden="0" function="0" vbProcedure="0">#ref!</definedName>
    <definedName name="Rpt_Title" localSheetId="13" hidden="0" function="0" vbProcedure="0">#ref!</definedName>
    <definedName name="Rpt_Title2" localSheetId="13" hidden="0" function="0" vbProcedure="0">#ref!</definedName>
    <definedName name="Rpt_Tool_Joint_Percentage" localSheetId="13" hidden="0" function="0" vbProcedure="0">#ref!</definedName>
    <definedName name="Rpt_Tool_Joint_Percentage_Header" localSheetId="13" hidden="0" function="0" vbProcedure="0">#ref!</definedName>
    <definedName name="Rpt_Tool_Joint_Percentage_Unit" localSheetId="13" hidden="0" function="0" vbProcedure="0">#ref!</definedName>
    <definedName name="Rpt_TotalCorrection" localSheetId="13" hidden="0" function="0" vbProcedure="0">#ref!</definedName>
    <definedName name="Rpt_TotalCorrectionLabel" localSheetId="13" hidden="0" function="0" vbProcedure="0">#ref!</definedName>
    <definedName name="Rpt_Version" localSheetId="13" hidden="0" function="0" vbProcedure="0">#ref!</definedName>
    <definedName name="Rpt_VSEC_Azim" localSheetId="13" hidden="0" function="0" vbProcedure="0">#ref!</definedName>
    <definedName name="Rpt_VSEC_Origin" localSheetId="13" hidden="0" function="0" vbProcedure="0">#ref!</definedName>
    <definedName name="Rpt_Well" localSheetId="13" hidden="0" function="0" vbProcedure="0">#ref!</definedName>
    <definedName name="Rpt_Wellbore_Data" localSheetId="13" hidden="0" function="0" vbProcedure="0">#ref!</definedName>
    <definedName name="Rpt_WellName" localSheetId="13" hidden="0" function="0" vbProcedure="0">#ref!</definedName>
    <definedName name="Rpt_YP" localSheetId="13" hidden="0" function="0" vbProcedure="0">#ref!</definedName>
    <definedName name="Rpt_YP_Unit" localSheetId="13" hidden="0" function="0" vbProcedure="0">#ref!</definedName>
    <definedName name="RQC" localSheetId="13" hidden="0" function="0" vbProcedure="0">#ref!</definedName>
    <definedName name="rrr" localSheetId="13" hidden="1" function="0" vbProcedure="0">{#N/A,#N/A,FALSE,"Sheet1"}</definedName>
    <definedName name="rshdsrhj" localSheetId="13" hidden="0" function="0" vbProcedure="0">#ref!</definedName>
    <definedName name="RSS_TO_COMPLETE" localSheetId="13" hidden="0" function="0" vbProcedure="0">[129]RSS!$K$197</definedName>
    <definedName name="RT" localSheetId="13" hidden="0" function="0" vbProcedure="0">#ref!</definedName>
    <definedName name="rtb" localSheetId="13" hidden="0" function="0" vbProcedure="0">'[115]Max-Torq'!$P$61</definedName>
    <definedName name="RTDepth" localSheetId="13" hidden="0" function="0" vbProcedure="0">#ref!</definedName>
    <definedName name="RthLth" localSheetId="13" hidden="0" function="0" vbProcedure="0">#ref!</definedName>
    <definedName name="RunFd" localSheetId="13" hidden="0" function="0" vbProcedure="0">#ref!</definedName>
    <definedName name="Runningtool" localSheetId="13" hidden="0" function="0" vbProcedure="0">[11]DATA!$AO$2:$AO$8</definedName>
    <definedName name="Run_Statistics_Name" localSheetId="13" hidden="0" function="0" vbProcedure="0">#ref!</definedName>
    <definedName name="Rupees" localSheetId="13" hidden="0" function="0" vbProcedure="0">'[141]Cash Expense March-96'!$H$6</definedName>
    <definedName name="RV" localSheetId="13" hidden="0" function="0" vbProcedure="0">#ref!</definedName>
    <definedName name="RVDepth" localSheetId="13" hidden="0" function="0" vbProcedure="0">#ref!</definedName>
    <definedName name="R____rig" localSheetId="13" hidden="0" function="0" vbProcedure="0">#ref!</definedName>
    <definedName name="S" localSheetId="13" hidden="0" function="0" vbProcedure="0">'[2]run sheet'!#ref!</definedName>
    <definedName name="SA" localSheetId="13" hidden="0" function="0" vbProcedure="0">#ref!</definedName>
    <definedName name="SafetySpace" localSheetId="13" hidden="0" function="0" vbProcedure="0">#ref!</definedName>
    <definedName name="SafetySpacer" localSheetId="13" hidden="0" function="0" vbProcedure="0">#ref!</definedName>
    <definedName name="Salesequipment" localSheetId="13" hidden="0" function="0" vbProcedure="0">[11]DATA!$O$2:$O$268</definedName>
    <definedName name="Salesman" localSheetId="13" hidden="0" function="0" vbProcedure="0">'[108]Pre-Job Info Sheet'!$B$7</definedName>
    <definedName name="Sales_Explosive_Type" localSheetId="13" hidden="0" function="0" vbProcedure="0">'[108]Pre-Job Info Sheet'!$B$24</definedName>
    <definedName name="Sales_Gun_Size" localSheetId="13" hidden="0" function="0" vbProcedure="0">'[108]Pre-Job Info Sheet'!$B$21</definedName>
    <definedName name="Sales_Lease" localSheetId="13" hidden="0" function="0" vbProcedure="0">'[108]Pre-Job Info Sheet'!$D$8</definedName>
    <definedName name="Sales_SPF" localSheetId="13" hidden="0" function="0" vbProcedure="0">'[108]Pre-Job Info Sheet'!$B$22</definedName>
    <definedName name="Sales_Ticket_Number" localSheetId="13" hidden="0" function="0" vbProcedure="0">'[30]Liner Job Info'!$E$11</definedName>
    <definedName name="Sales_Underbalance" localSheetId="13" hidden="0" function="0" vbProcedure="0">'[108]Pre-Job Info Sheet'!$D$35</definedName>
    <definedName name="Sales_Well_Name" localSheetId="13" hidden="0" function="0" vbProcedure="0">'[108]Pre-Job Info Sheet'!$D$6</definedName>
    <definedName name="salinity" localSheetId="13" hidden="0" function="0" vbProcedure="0">'[96]well test sheet'!#ref!</definedName>
    <definedName name="SANDOUT_PRESSURE" localSheetId="13" hidden="0" function="0" vbProcedure="0">'[113]#REF'!$I$107</definedName>
    <definedName name="SAND_ABOVE_PERFS_PREPACK" localSheetId="13" hidden="0" function="0" vbProcedure="0">'[113]#REF'!$F$175</definedName>
    <definedName name="SAND_DIVERTER" localSheetId="13" hidden="0" function="0" vbProcedure="0">'[113]#REF'!$F$56</definedName>
    <definedName name="SAND_GP" localSheetId="13" hidden="0" function="0" vbProcedure="0">'[113]#REF'!$F$64</definedName>
    <definedName name="SAND_IN_CAS_BLNK" localSheetId="13" hidden="0" function="0" vbProcedure="0">'[7]#ref'!#ref!</definedName>
    <definedName name="SAND_IN_CAS_EXT" localSheetId="13" hidden="0" function="0" vbProcedure="0">'[7]#ref'!#ref!</definedName>
    <definedName name="SAND_IN_CAS_PREPACK" localSheetId="13" hidden="0" function="0" vbProcedure="0">'[113]#REF'!$F$81</definedName>
    <definedName name="SAND_IN_CAS_SCR" localSheetId="13" hidden="0" function="0" vbProcedure="0">'[7]#ref'!#ref!</definedName>
    <definedName name="SAND_IN_PERFS" localSheetId="13" hidden="0" function="0" vbProcedure="0">'[113]#REF'!$I$185</definedName>
    <definedName name="SAND_IN_PERFS_PP" localSheetId="13" hidden="0" function="0" vbProcedure="0">'[113]#REF'!$F$82</definedName>
    <definedName name="SAND_PASS_XO_PORT" localSheetId="13" hidden="0" function="0" vbProcedure="0">'[113]#REF'!$E$195</definedName>
    <definedName name="SAND_PERMEABILITY" localSheetId="13" hidden="0" function="0" vbProcedure="0">'[113]#REF'!$I$105</definedName>
    <definedName name="SAND_PLACED_GP" localSheetId="13" hidden="0" function="0" vbProcedure="0">'[113]#REF'!$F$95</definedName>
    <definedName name="SAND_PREPACK" localSheetId="13" hidden="0" function="0" vbProcedure="0">'[113]#REF'!$F$44</definedName>
    <definedName name="SAND_PUMPED_GP" localSheetId="13" hidden="0" function="0" vbProcedure="0">'[113]#REF'!$F$92</definedName>
    <definedName name="SAND_PUMPED_PREPACK" localSheetId="13" hidden="0" function="0" vbProcedure="0">'[113]#REF'!$F$78</definedName>
    <definedName name="SAND_REVOUT_GP" localSheetId="13" hidden="0" function="0" vbProcedure="0">'[113]#REF'!$F$93</definedName>
    <definedName name="SAND_REVOUT_PREPACK" localSheetId="13" hidden="0" function="0" vbProcedure="0">'[113]#REF'!$F$79</definedName>
    <definedName name="Save_Document_1" localSheetId="13" hidden="0" function="0" vbProcedure="0">data!save_document</definedName>
    <definedName name="Save_Document_10" localSheetId="13" hidden="0" function="0" vbProcedure="0">data!save_document</definedName>
    <definedName name="Save_Document_11" localSheetId="13" hidden="0" function="0" vbProcedure="0">data!save_document</definedName>
    <definedName name="Save_Document_2" localSheetId="13" hidden="0" function="0" vbProcedure="0">data!save_document</definedName>
    <definedName name="Save_Document_3" localSheetId="13" hidden="0" function="0" vbProcedure="0">data!save_document</definedName>
    <definedName name="Save_Document_4" localSheetId="13" hidden="0" function="0" vbProcedure="0">data!save_document</definedName>
    <definedName name="Save_Document_5" localSheetId="13" hidden="0" function="0" vbProcedure="0">data!save_document</definedName>
    <definedName name="Save_Document_6" localSheetId="13" hidden="0" function="0" vbProcedure="0">data!save_document</definedName>
    <definedName name="Save_Document_7" localSheetId="13" hidden="0" function="0" vbProcedure="0">data!save_document</definedName>
    <definedName name="Save_Document_8" localSheetId="13" hidden="0" function="0" vbProcedure="0">data!save_document</definedName>
    <definedName name="Save_Document_9" localSheetId="13" hidden="0" function="0" vbProcedure="0">data!save_document</definedName>
    <definedName name="SBE" localSheetId="13" hidden="0" function="0" vbProcedure="0">#ref!</definedName>
    <definedName name="sbsv" localSheetId="13" hidden="0" function="0" vbProcedure="0">#ref!</definedName>
    <definedName name="ScaleFactor" localSheetId="13" hidden="0" function="0" vbProcedure="0">#ref!</definedName>
    <definedName name="SCB" localSheetId="13" hidden="0" function="0" vbProcedure="0">[129]RSS!$B$136:$B$144</definedName>
    <definedName name="SCHE" localSheetId="13" hidden="0" function="0" vbProcedure="0">[18]!Macro1</definedName>
    <definedName name="Schemati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13" hidden="1" function="0" vbProcedure="0">#ref!</definedName>
    <definedName name="screenguage" localSheetId="13" hidden="0" function="0" vbProcedure="0">'[113]#REF'!$H$14</definedName>
    <definedName name="screenidlist" localSheetId="13" hidden="0" function="0" vbProcedure="0">[106]Data!$E$79:$F$127</definedName>
    <definedName name="screenlength" localSheetId="13" hidden="0" function="0" vbProcedure="0">'[113]#REF'!$J$14</definedName>
    <definedName name="screenod" localSheetId="13" hidden="0" function="0" vbProcedure="0">'[113]#REF'!$F$14</definedName>
    <definedName name="screentype" localSheetId="13" hidden="0" function="0" vbProcedure="0">'[113]#REF'!$M$14</definedName>
    <definedName name="SCREEN_LENGTH" localSheetId="13" hidden="0" function="0" vbProcedure="0">'[113]#REF'!$J$13</definedName>
    <definedName name="SCREEN_OD" localSheetId="13" hidden="0" function="0" vbProcedure="0">'[113]#REF'!$F$14</definedName>
    <definedName name="sd" localSheetId="13" hidden="0" function="0" vbProcedure="0">null</definedName>
    <definedName name="SDE_23" localSheetId="13" hidden="0" function="0" vbProcedure="0">[75]!Calculate_Pipe</definedName>
    <definedName name="SDrag" localSheetId="13" hidden="0" function="0" vbProcedure="0">#ref!</definedName>
    <definedName name="se" localSheetId="13" hidden="0" function="0" vbProcedure="0">'[270]calculo de gas total'!#ref!</definedName>
    <definedName name="Seals" localSheetId="13" hidden="0" function="0" vbProcedure="0">#ref!</definedName>
    <definedName name="SeatID" localSheetId="13" hidden="0" function="0" vbProcedure="0">[11]DATA!$BC$2:$BC$6</definedName>
    <definedName name="SeatNumber" localSheetId="13" hidden="0" function="0" vbProcedure="0">[11]DATA!$BD$2:$BD$7</definedName>
    <definedName name="SeatShear" localSheetId="13" hidden="0" function="0" vbProcedure="0">[11]DATA!$BE$2:$BE$4</definedName>
    <definedName name="SeatType" localSheetId="13" hidden="0" function="0" vbProcedure="0">[11]DATA!$BB$2:$BB$4</definedName>
    <definedName name="Section" localSheetId="13" hidden="0" function="0" vbProcedure="0">#ref!</definedName>
    <definedName name="SeDelay" localSheetId="13" hidden="0" function="0" vbProcedure="0">#ref!</definedName>
    <definedName name="SensorDistanceToBit" localSheetId="13" hidden="0" function="0" vbProcedure="0">#ref!</definedName>
    <definedName name="SensorDistanceToBitUnit" localSheetId="13" hidden="0" function="0" vbProcedure="0">#ref!</definedName>
    <definedName name="Sensors" localSheetId="13" hidden="0" function="0" vbProcedure="0">#ref!</definedName>
    <definedName name="SensorType" localSheetId="13" hidden="0" function="0" vbProcedure="0">#ref!</definedName>
    <definedName name="sep_press" localSheetId="13" hidden="0" function="0" vbProcedure="0">'[96]well test sheet'!#ref!</definedName>
    <definedName name="sep_temp" localSheetId="13" hidden="0" function="0" vbProcedure="0">'[96]well test sheet'!#ref!</definedName>
    <definedName name="SeqEvents" localSheetId="13" hidden="0" function="0" vbProcedure="0">#ref!</definedName>
    <definedName name="SerialNumber" localSheetId="13" hidden="0" function="0" vbProcedure="0">#ref!</definedName>
    <definedName name="SerialNumberdb" localSheetId="13" hidden="0" function="0" vbProcedure="0">#ref!</definedName>
    <definedName name="SerialNumberslb" localSheetId="13" hidden="0" function="0" vbProcedure="0">#ref!</definedName>
    <definedName name="SerialNumberTb" localSheetId="13" hidden="0" function="0" vbProcedure="0">#ref!</definedName>
    <definedName name="serialselect1" localSheetId="13" hidden="0" function="0" vbProcedure="0">DATA!serialselect1</definedName>
    <definedName name="serialselect2" localSheetId="13" hidden="0" function="0" vbProcedure="0">DATA!serialselect2</definedName>
    <definedName name="serialselect3" localSheetId="13" hidden="0" function="0" vbProcedure="0">DATA!serialselect3</definedName>
    <definedName name="serialselect4" localSheetId="13" hidden="0" function="0" vbProcedure="0">DATA!serialselect4</definedName>
    <definedName name="ServiceCenter" localSheetId="13" hidden="0" function="0" vbProcedure="0">'[117]Well Installation Drawing'!$L$13</definedName>
    <definedName name="ServiceTypes" localSheetId="13" hidden="0" function="0" vbProcedure="0">#ref!</definedName>
    <definedName name="ServRep" localSheetId="13" hidden="0" function="0" vbProcedure="0">#ref!</definedName>
    <definedName name="SETTLEMENT_RATE" localSheetId="13" hidden="0" function="0" vbProcedure="0">'[113]#REF'!$I$120</definedName>
    <definedName name="Sett_Tool_Tens" localSheetId="13" hidden="0" function="0" vbProcedure="0">'[11]Liner Job Info'!$P$44</definedName>
    <definedName name="Setup" localSheetId="13" hidden="0" function="0" vbProcedure="0">[63]auf_screen!#ref!</definedName>
    <definedName name="ShearPinbyHand" localSheetId="13" hidden="0" function="0" vbProcedure="0">#ref!</definedName>
    <definedName name="ShearPinElect" localSheetId="13" hidden="0" function="0" vbProcedure="0">#ref!</definedName>
    <definedName name="Shear_HR_Mech_Release" localSheetId="13" hidden="0" function="0" vbProcedure="0">'[11]Liner Job Info'!$P$49</definedName>
    <definedName name="SHER" localSheetId="13" hidden="0" function="0" vbProcedure="0">'[38]final tally '!sher</definedName>
    <definedName name="ShiftHOver" localSheetId="13" hidden="0" function="0" vbProcedure="0">#ref!</definedName>
    <definedName name="shippedvia" localSheetId="13" hidden="0" function="0" vbProcedure="0">'[33]data '!#ref!</definedName>
    <definedName name="shit" localSheetId="13" hidden="1" function="0" vbProcedure="0">{#N/A,#N/A,FALSE,"Sheet1"}</definedName>
    <definedName name="SHO" localSheetId="13" hidden="0" function="0" vbProcedure="0">[185]钻井日报表!$G$3</definedName>
    <definedName name="ShoeTrack_Vol" localSheetId="13" hidden="0" function="0" vbProcedure="0">'[11]Metric Conversions'!$B$76</definedName>
    <definedName name="shoe_height" localSheetId="13" hidden="0" function="0" vbProcedure="0">#ref!</definedName>
    <definedName name="Shoe_Track_Length" localSheetId="13" hidden="0" function="0" vbProcedure="0">'[11]Metric Conversions'!$B$19</definedName>
    <definedName name="short" localSheetId="13" hidden="0" function="0" vbProcedure="0">#ref!</definedName>
    <definedName name="Shot1" localSheetId="13" hidden="0" function="0" vbProcedure="0">#ref!</definedName>
    <definedName name="Shot2" localSheetId="13" hidden="0" function="0" vbProcedure="0">#ref!</definedName>
    <definedName name="Shot3" localSheetId="13" hidden="0" function="0" vbProcedure="0">#ref!</definedName>
    <definedName name="Shot4" localSheetId="13" hidden="0" function="0" vbProcedure="0">#ref!</definedName>
    <definedName name="Shot5" localSheetId="13" hidden="0" function="0" vbProcedure="0">#ref!</definedName>
    <definedName name="Shot6" localSheetId="13" hidden="0" function="0" vbProcedure="0">#ref!</definedName>
    <definedName name="Shot7" localSheetId="13" hidden="0" function="0" vbProcedure="0">#ref!</definedName>
    <definedName name="Shot8" localSheetId="13" hidden="0" function="0" vbProcedure="0">#ref!</definedName>
    <definedName name="Show_1" localSheetId="13" hidden="0" function="0" vbProcedure="0">[44]!Show_1</definedName>
    <definedName name="Show_1_1" localSheetId="13" hidden="0" function="0" vbProcedure="0">DATA!Show_1</definedName>
    <definedName name="Show_1_10" localSheetId="13" hidden="0" function="0" vbProcedure="0">DATA!Show_1</definedName>
    <definedName name="Show_1_11" localSheetId="13" hidden="0" function="0" vbProcedure="0">DATA!Show_1</definedName>
    <definedName name="Show_1_2" localSheetId="13" hidden="0" function="0" vbProcedure="0">DATA!Show_1</definedName>
    <definedName name="Show_1_3" localSheetId="13" hidden="0" function="0" vbProcedure="0">DATA!Show_1</definedName>
    <definedName name="Show_1_4" localSheetId="13" hidden="0" function="0" vbProcedure="0">DATA!Show_1</definedName>
    <definedName name="Show_1_5" localSheetId="13" hidden="0" function="0" vbProcedure="0">DATA!Show_1</definedName>
    <definedName name="Show_1_6" localSheetId="13" hidden="0" function="0" vbProcedure="0">DATA!Show_1</definedName>
    <definedName name="Show_1_7" localSheetId="13" hidden="0" function="0" vbProcedure="0">DATA!Show_1</definedName>
    <definedName name="Show_1_8" localSheetId="13" hidden="0" function="0" vbProcedure="0">DATA!Show_1</definedName>
    <definedName name="Show_1_9" localSheetId="13" hidden="0" function="0" vbProcedure="0">DATA!Show_1</definedName>
    <definedName name="Show_2" localSheetId="13" hidden="0" function="0" vbProcedure="0">[44]!Show_2</definedName>
    <definedName name="Show_2_1" localSheetId="13" hidden="0" function="0" vbProcedure="0">DATA!Show_2</definedName>
    <definedName name="Show_2_10" localSheetId="13" hidden="0" function="0" vbProcedure="0">DATA!Show_2</definedName>
    <definedName name="Show_2_11" localSheetId="13" hidden="0" function="0" vbProcedure="0">DATA!Show_2</definedName>
    <definedName name="Show_2_2" localSheetId="13" hidden="0" function="0" vbProcedure="0">DATA!Show_2</definedName>
    <definedName name="Show_2_3" localSheetId="13" hidden="0" function="0" vbProcedure="0">DATA!Show_2</definedName>
    <definedName name="Show_2_4" localSheetId="13" hidden="0" function="0" vbProcedure="0">DATA!Show_2</definedName>
    <definedName name="Show_2_5" localSheetId="13" hidden="0" function="0" vbProcedure="0">DATA!Show_2</definedName>
    <definedName name="Show_2_6" localSheetId="13" hidden="0" function="0" vbProcedure="0">DATA!Show_2</definedName>
    <definedName name="Show_2_7" localSheetId="13" hidden="0" function="0" vbProcedure="0">DATA!Show_2</definedName>
    <definedName name="Show_2_8" localSheetId="13" hidden="0" function="0" vbProcedure="0">DATA!Show_2</definedName>
    <definedName name="Show_2_9" localSheetId="13" hidden="0" function="0" vbProcedure="0">DATA!Show_2</definedName>
    <definedName name="Size" localSheetId="13" hidden="0" function="0" vbProcedure="0">#ref!</definedName>
    <definedName name="sjoint" localSheetId="13" hidden="0" function="0" vbProcedure="0">#ref!</definedName>
    <definedName name="SJT_DEPTH" localSheetId="13" hidden="0" function="0" vbProcedure="0">'[113]#REF'!$F$22</definedName>
    <definedName name="SJ_DEPTH" localSheetId="13" hidden="0" function="0" vbProcedure="0">'[113]#REF'!$F$22</definedName>
    <definedName name="SKFactor" localSheetId="13" hidden="0" function="0" vbProcedure="0">#ref!</definedName>
    <definedName name="SL" localSheetId="13" hidden="0" function="0" vbProcedure="0">[149]BHA!$C$3</definedName>
    <definedName name="SLC" localSheetId="13" hidden="0" function="0" vbProcedure="0">#ref!</definedName>
    <definedName name="SleeveLength" localSheetId="13" hidden="0" function="0" vbProcedure="0">[11]DATA!$AV$2:$AV$4</definedName>
    <definedName name="SlipClosed" localSheetId="13" hidden="0" function="0" vbProcedure="0">#ref!</definedName>
    <definedName name="SlipOpen" localSheetId="13" hidden="0" function="0" vbProcedure="0">#ref!</definedName>
    <definedName name="SLPJ" localSheetId="13" hidden="0" function="0" vbProcedure="0">#ref!</definedName>
    <definedName name="SLPJDepth" localSheetId="13" hidden="0" function="0" vbProcedure="0">#ref!</definedName>
    <definedName name="SLURRY_DENSITY" localSheetId="13" hidden="0" function="0" vbProcedure="0">'[113]#REF'!$F$70</definedName>
    <definedName name="SLURRY_VOL_PREPACK" localSheetId="13" hidden="0" function="0" vbProcedure="0">'[113]#REF'!$F$48</definedName>
    <definedName name="SM" localSheetId="13" hidden="0" function="0" vbProcedure="0">#ref!</definedName>
    <definedName name="SO" localSheetId="13" hidden="0" function="0" vbProcedure="0">#ref!</definedName>
    <definedName name="solver_adj" localSheetId="13" hidden="1" function="0" vbProcedure="0">#ref!</definedName>
    <definedName name="solver_opt" localSheetId="13" hidden="1" function="0" vbProcedure="0">#ref!</definedName>
    <definedName name="sort" localSheetId="13" hidden="1" function="0" vbProcedure="0">[166]Sheet1!$A$181:$H$210</definedName>
    <definedName name="SORT_AREA" localSheetId="13" hidden="0" function="0" vbProcedure="0">'[167]DI-ESTI'!$A$8:$R$489</definedName>
    <definedName name="Spacedout" localSheetId="13" hidden="1" function="0" vbProcedure="0">{#N/A,#N/A,FALSE,"Drlg Param Run 1-1";#N/A,#N/A,FALSE,"DDR (3)";#N/A,#N/A,FALSE,"BHA AT (1)";#N/A,#N/A,FALSE,"Downlinkbha";#N/A,#N/A,FALSE,"Job Status Report"}</definedName>
    <definedName name="SpacerType" localSheetId="13" hidden="0" function="0" vbProcedure="0">[11]DATA!$BK$2:$BK$7</definedName>
    <definedName name="Specialist" localSheetId="13" hidden="0" function="0" vbProcedure="0">#ref!</definedName>
    <definedName name="Spiral_Type" localSheetId="13" hidden="0" function="0" vbProcedure="0">[11]DATA!$BM$2:$BM$5</definedName>
    <definedName name="SPM" localSheetId="13" hidden="0" function="0" vbProcedure="0">#ref!</definedName>
    <definedName name="SSA" localSheetId="13" hidden="0" function="0" vbProcedure="0">[275]!Macro46</definedName>
    <definedName name="SSDHGR" localSheetId="13" hidden="0" function="0" vbProcedure="0">#ref!</definedName>
    <definedName name="ssdsd" localSheetId="13" hidden="0" function="0" vbProcedure="0">'[38]final tally '!ssdsd</definedName>
    <definedName name="sss" localSheetId="13" hidden="1" function="0" vbProcedure="0">{#N/A,#N/A,FALSE,"Drlg Param Run 1-1";#N/A,#N/A,FALSE,"DDR (3)";#N/A,#N/A,FALSE,"BHA AT (1)";#N/A,#N/A,FALSE,"Downlinkbha";#N/A,#N/A,FALSE,"Job Status Report"}</definedName>
    <definedName name="SSSV" localSheetId="13" hidden="0" function="0" vbProcedure="0">#ref!</definedName>
    <definedName name="StabilizerBladeLengthUnits" localSheetId="13" hidden="0" function="0" vbProcedure="0">#ref!</definedName>
    <definedName name="StabilizerMidPtToBitUnits" localSheetId="13" hidden="0" function="0" vbProcedure="0">#ref!</definedName>
    <definedName name="StabilizerSummary" localSheetId="13" hidden="0" function="0" vbProcedure="0">#ref!</definedName>
    <definedName name="stages" localSheetId="13" hidden="0" function="0" vbProcedure="0">[5]WTR!$G$52</definedName>
    <definedName name="Stage_Number" localSheetId="13" hidden="0" function="0" vbProcedure="0">'[108]Pre-Job Info Sheet'!$B$15</definedName>
    <definedName name="StartingSunday" localSheetId="13" hidden="0" function="0" vbProcedure="0">#ref!</definedName>
    <definedName name="Start_Here" localSheetId="13" hidden="0" function="0" vbProcedure="0">'[168]9.625 TCP String'!$B$10</definedName>
    <definedName name="state" localSheetId="13" hidden="0" function="0" vbProcedure="0">'[40]CPS Call Sheet'!$AC$7</definedName>
    <definedName name="status" localSheetId="13" hidden="0" function="0" vbProcedure="0">'[154]BPR LOG'!$H$1:$H$1048576</definedName>
    <definedName name="Stickup" localSheetId="13" hidden="0" function="0" vbProcedure="0">#ref!</definedName>
    <definedName name="StrengthUnit" localSheetId="13" hidden="0" function="0" vbProcedure="0">#ref!</definedName>
    <definedName name="Stretch" localSheetId="13" hidden="0" function="0" vbProcedure="0">#ref!</definedName>
    <definedName name="Stretch_TTL_Lnr_Wt" localSheetId="13" hidden="0" function="0" vbProcedure="0">'[11]Metric Conversions'!$B$36</definedName>
    <definedName name="String1" localSheetId="13" hidden="0" function="0" vbProcedure="0">#ref!</definedName>
    <definedName name="String2" localSheetId="13" hidden="0" function="0" vbProcedure="0">#ref!</definedName>
    <definedName name="String3" localSheetId="13" hidden="0" function="0" vbProcedure="0">#ref!</definedName>
    <definedName name="StringBot1" localSheetId="13" hidden="0" function="0" vbProcedure="0">#ref!</definedName>
    <definedName name="StringBot2" localSheetId="13" hidden="0" function="0" vbProcedure="0">#ref!</definedName>
    <definedName name="StringBot3" localSheetId="13" hidden="0" function="0" vbProcedure="0">#ref!</definedName>
    <definedName name="StringDiag" localSheetId="13" hidden="0" function="0" vbProcedure="0">#ref!</definedName>
    <definedName name="StringTable" localSheetId="13" hidden="0" function="0" vbProcedure="0">#ref!</definedName>
    <definedName name="StringTop1" localSheetId="13" hidden="0" function="0" vbProcedure="0">#ref!</definedName>
    <definedName name="StringTop2" localSheetId="13" hidden="0" function="0" vbProcedure="0">#ref!</definedName>
    <definedName name="StringTop3" localSheetId="13" hidden="0" function="0" vbProcedure="0">#ref!</definedName>
    <definedName name="strlen" localSheetId="13" hidden="0" function="0" vbProcedure="0">#ref!</definedName>
    <definedName name="strlen1" localSheetId="13" hidden="0" function="0" vbProcedure="0">#ref!</definedName>
    <definedName name="Structure" localSheetId="13" hidden="0" function="0" vbProcedure="0">#ref!</definedName>
    <definedName name="StructureName" localSheetId="13" hidden="0" function="0" vbProcedure="0">#ref!</definedName>
    <definedName name="STV" localSheetId="13" hidden="0" function="0" vbProcedure="0">#ref!</definedName>
    <definedName name="STVCor" localSheetId="13" hidden="0" function="0" vbProcedure="0">#ref!</definedName>
    <definedName name="SubGroupdb" localSheetId="13" hidden="0" function="0" vbProcedure="0">#ref!</definedName>
    <definedName name="SubGroupslb" localSheetId="13" hidden="0" function="0" vbProcedure="0">#ref!</definedName>
    <definedName name="SUBJECT" localSheetId="13" hidden="0" function="0" vbProcedure="0">[184]References!$B$1:$B$15</definedName>
    <definedName name="SubSeaTVD_Column" localSheetId="13" hidden="0" function="0" vbProcedure="0">null</definedName>
    <definedName name="SubSeaTVD_Unit" localSheetId="13" hidden="0" function="0" vbProcedure="0">null</definedName>
    <definedName name="SUMP_DEPTH" localSheetId="13" hidden="0" function="0" vbProcedure="0">'[113]#REF'!$F$23</definedName>
    <definedName name="Surfaceequipment" localSheetId="13" hidden="0" function="0" vbProcedure="0">[11]DATA!$AQ$2:$AQ$11</definedName>
    <definedName name="surfacefracpressure" localSheetId="13" hidden="0" function="0" vbProcedure="0">[106]Data!$F$4</definedName>
    <definedName name="Surf_Equip_Tens" localSheetId="13" hidden="0" function="0" vbProcedure="0">'[11]Liner Job Info'!$P$46</definedName>
    <definedName name="Survey" localSheetId="13" hidden="0" function="0" vbProcedure="0">#ref!</definedName>
    <definedName name="SurveyCompMethod" localSheetId="13" hidden="0" function="0" vbProcedure="0">#ref!</definedName>
    <definedName name="SurveyDate" localSheetId="13" hidden="0" function="0" vbProcedure="0">#ref!</definedName>
    <definedName name="SurveyProgram" localSheetId="13" hidden="0" function="0" vbProcedure="0">!#ref!</definedName>
    <definedName name="SurveyProgramFormatA" localSheetId="13" hidden="0" function="0" vbProcedure="0">#ref!</definedName>
    <definedName name="SurveyProgramFormatB" localSheetId="13" hidden="0" function="0" vbProcedure="0">#ref!</definedName>
    <definedName name="SurveyProgramHeader" localSheetId="13" hidden="0" function="0" vbProcedure="0">#ref!</definedName>
    <definedName name="SurveyStats" localSheetId="13" hidden="0" function="0" vbProcedure="0">#ref!</definedName>
    <definedName name="SvyDLSCompMethod" localSheetId="13" hidden="0" function="0" vbProcedure="0">#ref!</definedName>
    <definedName name="SVY_OFF" localSheetId="13" hidden="0" function="0" vbProcedure="0">#ref!</definedName>
    <definedName name="Svy_Print_Area" localSheetId="13" hidden="0" function="0" vbProcedure="0">'[168]9.625 TCP String'!$B$12:$I$3772</definedName>
    <definedName name="SWELL_PKR" localSheetId="13" hidden="0" function="0" vbProcedure="0">INDEX([111]PKR!$F$2:$G$10,MATCH([111]PKR!$H$1,[111]PKR!$F$2:$F$10,0),2)</definedName>
    <definedName name="Sy" localSheetId="13" hidden="0" function="0" vbProcedure="0">#ref!</definedName>
    <definedName name="S___sick" localSheetId="13" hidden="0" function="0" vbProcedure="0">#ref!</definedName>
    <definedName name="T" localSheetId="13" hidden="0" function="0" vbProcedure="0">#ref!</definedName>
    <definedName name="t." localSheetId="13" hidden="0" function="0" vbProcedure="0">[52]!Prev.Macro102</definedName>
    <definedName name="T10Crtl" localSheetId="13" hidden="0" function="0" vbProcedure="0">#ref!</definedName>
    <definedName name="T1a" localSheetId="13" hidden="0" function="0" vbProcedure="0">#ref!</definedName>
    <definedName name="T1b" localSheetId="13" hidden="0" function="0" vbProcedure="0">#ref!</definedName>
    <definedName name="T1c" localSheetId="13" hidden="0" function="0" vbProcedure="0">#ref!</definedName>
    <definedName name="T1cCell" localSheetId="13" hidden="0" function="0" vbProcedure="0">#ref!</definedName>
    <definedName name="T1d" localSheetId="13" hidden="0" function="0" vbProcedure="0">#ref!</definedName>
    <definedName name="T1DCell" localSheetId="13" hidden="0" function="0" vbProcedure="0">#ref!</definedName>
    <definedName name="T1e" localSheetId="13" hidden="0" function="0" vbProcedure="0">#ref!</definedName>
    <definedName name="T1ECell" localSheetId="13" hidden="0" function="0" vbProcedure="0">#ref!</definedName>
    <definedName name="TABLE2_LIV_TFE_31102003" localSheetId="13" hidden="0" function="0" vbProcedure="0">#ref!</definedName>
    <definedName name="TableHeaderCenter" localSheetId="13" hidden="0" function="0" vbProcedure="0">#ref!</definedName>
    <definedName name="TableHeaderCrossCenter" localSheetId="13" hidden="0" function="0" vbProcedure="0">#ref!</definedName>
    <definedName name="TableHeaderCrossRight" localSheetId="13" hidden="0" function="0" vbProcedure="0">#ref!</definedName>
    <definedName name="TableHeaderLeft" localSheetId="13" hidden="0" function="0" vbProcedure="0">#ref!</definedName>
    <definedName name="TableHeaderRight" localSheetId="13" hidden="0" function="0" vbProcedure="0">#ref!</definedName>
    <definedName name="TAD" localSheetId="13" hidden="0" function="0" vbProcedure="0">#ref!</definedName>
    <definedName name="TAD_SUMURY" localSheetId="13" hidden="0" function="0" vbProcedure="0">#ref!</definedName>
    <definedName name="TailPipeWeight" localSheetId="13" hidden="0" function="0" vbProcedure="0">#ref!</definedName>
    <definedName name="Tally" localSheetId="13" hidden="0" function="0" vbProcedure="0">[169]Tally!$A$5:$C$1004</definedName>
    <definedName name="tallyc" localSheetId="13" hidden="0" function="0" vbProcedure="0">'[3]run sheet'!#ref!</definedName>
    <definedName name="TallyLengthUnit" localSheetId="13" hidden="0" function="0" vbProcedure="0">#ref!</definedName>
    <definedName name="Tally_2" localSheetId="13" hidden="0" function="0" vbProcedure="0">[189]Tally!$E$5:$G$1004</definedName>
    <definedName name="Tally_3" localSheetId="13" hidden="0" function="0" vbProcedure="0">[189]Tally!$I$5:$K$1004</definedName>
    <definedName name="TANQUES" localSheetId="13" hidden="0" function="0" vbProcedure="0">#ref!</definedName>
    <definedName name="Taper_String_Grade" localSheetId="13" hidden="0" function="0" vbProcedure="0">'[108]Pre-Job Info Sheet'!$D$31</definedName>
    <definedName name="Taper_String_Size" localSheetId="13" hidden="0" function="0" vbProcedure="0">'[108]Pre-Job Info Sheet'!$D$29</definedName>
    <definedName name="Taper_String_Type" localSheetId="13" hidden="0" function="0" vbProcedure="0">'[108]Pre-Job Info Sheet'!$D$28</definedName>
    <definedName name="Taper_String_Wt._Ft." localSheetId="13" hidden="0" function="0" vbProcedure="0">'[108]Pre-Job Info Sheet'!$D$30</definedName>
    <definedName name="TAR" localSheetId="13" hidden="0" function="0" vbProcedure="0">#ref!</definedName>
    <definedName name="targe"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3" hidden="0" function="0" vbProcedure="0">#ref!,#ref!</definedName>
    <definedName name="TARIQ" localSheetId="13" hidden="0" function="0" vbProcedure="0">[151]!Calculate_Pipe</definedName>
    <definedName name="Tbg" localSheetId="13" hidden="0" function="0" vbProcedure="0">#ref!</definedName>
    <definedName name="TbgDrift1" localSheetId="13" hidden="0" function="0" vbProcedure="0">'[94]Job Technical Info'!$G$35</definedName>
    <definedName name="TbgDrift2" localSheetId="13" hidden="0" function="0" vbProcedure="0">'[94]Job Technical Info'!$G$36</definedName>
    <definedName name="TbgDrift3" localSheetId="13" hidden="0" function="0" vbProcedure="0">'[94]Job Technical Info'!$G$37</definedName>
    <definedName name="TbgDrift4" localSheetId="13" hidden="0" function="0" vbProcedure="0">'[94]Job Technical Info'!$G$38</definedName>
    <definedName name="TbgGrade" localSheetId="13" hidden="0" function="0" vbProcedure="0">#ref!</definedName>
    <definedName name="TbgGrd1" localSheetId="13" hidden="0" function="0" vbProcedure="0">'[94]Job Technical Info'!$H$35</definedName>
    <definedName name="TbgGrd2" localSheetId="13" hidden="0" function="0" vbProcedure="0">'[94]Job Technical Info'!$H$36</definedName>
    <definedName name="TbgGrd3" localSheetId="13" hidden="0" function="0" vbProcedure="0">'[94]Job Technical Info'!$H$37</definedName>
    <definedName name="TbgGrd4" localSheetId="13" hidden="0" function="0" vbProcedure="0">'[94]Job Technical Info'!$H$38</definedName>
    <definedName name="TbgID1" localSheetId="13" hidden="0" function="0" vbProcedure="0">'[94]Job Technical Info'!$F$35</definedName>
    <definedName name="TbgID2" localSheetId="13" hidden="0" function="0" vbProcedure="0">'[94]Job Technical Info'!$F$36</definedName>
    <definedName name="TbgID3" localSheetId="13" hidden="0" function="0" vbProcedure="0">'[94]Job Technical Info'!$F$37</definedName>
    <definedName name="TbgID4" localSheetId="13" hidden="0" function="0" vbProcedure="0">'[94]Job Technical Info'!$F$38</definedName>
    <definedName name="TbgPt" localSheetId="13" hidden="0" function="0" vbProcedure="0">#ref!</definedName>
    <definedName name="TbgSize" localSheetId="13" hidden="0" function="0" vbProcedure="0">#ref!</definedName>
    <definedName name="TbgSz1" localSheetId="13" hidden="0" function="0" vbProcedure="0">'[94]Job Technical Info'!$D$35</definedName>
    <definedName name="TbgSz2" localSheetId="13" hidden="0" function="0" vbProcedure="0">'[94]Job Technical Info'!$D$36</definedName>
    <definedName name="TbgSz3" localSheetId="13" hidden="0" function="0" vbProcedure="0">'[94]Job Technical Info'!$D$37</definedName>
    <definedName name="TbgSz4" localSheetId="13" hidden="0" function="0" vbProcedure="0">'[94]Job Technical Info'!$D$38</definedName>
    <definedName name="TbgThd1" localSheetId="13" hidden="0" function="0" vbProcedure="0">'[94]Job Technical Info'!$J$35</definedName>
    <definedName name="TbgThd2" localSheetId="13" hidden="0" function="0" vbProcedure="0">'[94]Job Technical Info'!$J$36</definedName>
    <definedName name="TbgThd3" localSheetId="13" hidden="0" function="0" vbProcedure="0">'[94]Job Technical Info'!$J$37</definedName>
    <definedName name="TbgThd4" localSheetId="13" hidden="0" function="0" vbProcedure="0">'[94]Job Technical Info'!$J$38</definedName>
    <definedName name="TbgWt1" localSheetId="13" hidden="0" function="0" vbProcedure="0">'[94]Job Technical Info'!$E$35</definedName>
    <definedName name="TbgWt2" localSheetId="13" hidden="0" function="0" vbProcedure="0">'[94]Job Technical Info'!$E$36</definedName>
    <definedName name="TbgWt3" localSheetId="13" hidden="0" function="0" vbProcedure="0">'[94]Job Technical Info'!$E$37</definedName>
    <definedName name="TbgWt4" localSheetId="13" hidden="0" function="0" vbProcedure="0">'[94]Job Technical Info'!$E$38</definedName>
    <definedName name="TB_Ext_API_Coll" localSheetId="13" hidden="0" function="0" vbProcedure="0">'[11]Metric Conversions'!$B$55</definedName>
    <definedName name="TB_Ext_Bst" localSheetId="13" hidden="0" function="0" vbProcedure="0">'[11]Metric Conversions'!$B$54</definedName>
    <definedName name="TB_EXT_ID" localSheetId="13" hidden="0" function="0" vbProcedure="0">'[11]Liner Job Info'!$P$35</definedName>
    <definedName name="TCPSTRING" localSheetId="13" hidden="0" function="0" vbProcedure="0">[287]!ADDSTAB</definedName>
    <definedName name="TDH" localSheetId="13" hidden="0" function="0" vbProcedure="0">#ref!</definedName>
    <definedName name="TD_Depth_md" localSheetId="13" hidden="0" function="0" vbProcedure="0">'[73]well specification'!#ref!</definedName>
    <definedName name="TD_md" localSheetId="13" hidden="0" function="0" vbProcedure="0">'[73]well specification'!#ref!</definedName>
    <definedName name="tedtr" localSheetId="13" hidden="0" function="0" vbProcedure="0">'[115]Max-Torq'!$P$72</definedName>
    <definedName name="teks"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3" hidden="0" function="0" vbProcedure="0">#ref!</definedName>
    <definedName name="TEM" localSheetId="13" hidden="0" function="0" vbProcedure="0">#ref!</definedName>
    <definedName name="Temp" localSheetId="13" hidden="0" function="0" vbProcedure="0">#ref!</definedName>
    <definedName name="Temperature" localSheetId="13" hidden="0" function="0" vbProcedure="0">#ref!</definedName>
    <definedName name="TempF" localSheetId="13" hidden="0" function="0" vbProcedure="0">#ref!</definedName>
    <definedName name="TempFac" localSheetId="13" hidden="0" function="0" vbProcedure="0">#ref!</definedName>
    <definedName name="TempFd" localSheetId="13" hidden="0" function="0" vbProcedure="0">#ref!</definedName>
    <definedName name="TempInput" localSheetId="13" hidden="0" function="0" vbProcedure="0">#ref!</definedName>
    <definedName name="TempMax" localSheetId="13" hidden="0" function="0" vbProcedure="0">#ref!</definedName>
    <definedName name="TempTable" localSheetId="13" hidden="0" function="0" vbProcedure="0">#ref!</definedName>
    <definedName name="TempU" localSheetId="13" hidden="0" function="0" vbProcedure="0">#ref!</definedName>
    <definedName name="TempUnit" localSheetId="13" hidden="0" function="0" vbProcedure="0">#ref!</definedName>
    <definedName name="TempUnitFd" localSheetId="13" hidden="0" function="0" vbProcedure="0">#ref!</definedName>
    <definedName name="tens" localSheetId="13" hidden="0" function="0" vbProcedure="0">'[115]Max-Torq'!$N$58</definedName>
    <definedName name="Tensiledb" localSheetId="13" hidden="0" function="0" vbProcedure="0">#ref!</definedName>
    <definedName name="Tensileslb" localSheetId="13" hidden="0" function="0" vbProcedure="0">#ref!</definedName>
    <definedName name="tensilestring" localSheetId="13" hidden="0" function="0" vbProcedure="0">#ref!</definedName>
    <definedName name="terry1" localSheetId="13" hidden="0" function="0" vbProcedure="0">{#N/A,#N/A,FALSE,"Volume"}</definedName>
    <definedName name="terry2" localSheetId="13" hidden="0" function="0" vbProcedure="0">{#N/A,#N/A,FALSE,"Volume"}</definedName>
    <definedName name="terry3" localSheetId="13" hidden="0" function="0" vbProcedure="0">{#N/A,#N/A,FALSE,"Volume"}</definedName>
    <definedName name="terry4" localSheetId="13" hidden="0" function="0" vbProcedure="0">{#N/A,#N/A,FALSE,"Volume"}</definedName>
    <definedName name="terry5" localSheetId="13" hidden="0" function="0" vbProcedure="0">{#N/A,#N/A,FALSE,"Volume"}</definedName>
    <definedName name="TEST" localSheetId="13" hidden="0" function="0" vbProcedure="0">#ref!</definedName>
    <definedName name="test1" localSheetId="13" hidden="1" function="0" vbProcedure="0">#ref!</definedName>
    <definedName name="TEST_IMG" localSheetId="13" hidden="0" function="0" vbProcedure="0">INDEX(#ref!,MATCH(#ref!,#ref!,0),2)</definedName>
    <definedName name="Test_po_out_1" localSheetId="13" hidden="0" function="0" vbProcedure="0">[11]Test!$M$28</definedName>
    <definedName name="Test_po_out_2" localSheetId="13" hidden="0" function="0" vbProcedure="0">[11]Test!$M$29</definedName>
    <definedName name="textfive" localSheetId="13" hidden="0" function="0" vbProcedure="0">'[38]final tally '!textfive</definedName>
    <definedName name="textfivehalf" localSheetId="13" hidden="0" function="0" vbProcedure="0">'[38]final tally '!textfivehalf</definedName>
    <definedName name="textninefiveeightfourfirst" localSheetId="13" hidden="0" function="0" vbProcedure="0">'[38]final tally '!textninefiveeightfourfirst</definedName>
    <definedName name="textninefiveeightfoursecond" localSheetId="13" hidden="0" function="0" vbProcedure="0">'[38]final tally '!textninefiveeightfoursecond</definedName>
    <definedName name="textninefiveeightsixfirst" localSheetId="13" hidden="0" function="0" vbProcedure="0">'[38]final tally '!textninefiveeightsixfirst</definedName>
    <definedName name="textninefiveeightsixsecond" localSheetId="13" hidden="0" function="0" vbProcedure="0">'[38]final tally '!textninefiveeightsixsecond</definedName>
    <definedName name="textsevenfiveeightfour" localSheetId="13" hidden="0" function="0" vbProcedure="0">'[38]final tally '!textsevenfiveeightfour</definedName>
    <definedName name="textsevenfiveeightthree" localSheetId="13" hidden="0" function="0" vbProcedure="0">'[38]final tally '!textsevenfiveeightthree</definedName>
    <definedName name="textsevenfour" localSheetId="13" hidden="0" function="0" vbProcedure="0">'[38]final tally '!textsevenfour</definedName>
    <definedName name="textseventhree" localSheetId="13" hidden="0" function="0" vbProcedure="0">'[38]final tally '!textseventhree</definedName>
    <definedName name="text_five" localSheetId="13" hidden="0" function="0" vbProcedure="0">'[38]final tally '!text_five</definedName>
    <definedName name="text_fivehalf" localSheetId="13" hidden="0" function="0" vbProcedure="0">'[38]final tally '!text_fivehalf</definedName>
    <definedName name="text_ninefiveeightfourfirst" localSheetId="13" hidden="0" function="0" vbProcedure="0">'[38]final tally '!text_ninefiveeightfourfirst</definedName>
    <definedName name="text_ninefiveeightfoursecond" localSheetId="13" hidden="0" function="0" vbProcedure="0">'[38]final tally '!text_ninefiveeightfoursecond</definedName>
    <definedName name="text_ninefiveeightsixfirst" localSheetId="13" hidden="0" function="0" vbProcedure="0">'[38]final tally '!text_ninefiveeightsixfirst</definedName>
    <definedName name="text_ninefiveeightsixsecond" localSheetId="13" hidden="0" function="0" vbProcedure="0">'[38]final tally '!text_ninefiveeightsixsecond</definedName>
    <definedName name="text_sevenfiveeightfour" localSheetId="13" hidden="0" function="0" vbProcedure="0">'[38]final tally '!text_sevenfiveeightfour</definedName>
    <definedName name="text_sevenfiveeightthree" localSheetId="13" hidden="0" function="0" vbProcedure="0">'[38]final tally '!text_sevenfiveeightthree</definedName>
    <definedName name="text_sevenfour" localSheetId="13" hidden="0" function="0" vbProcedure="0">'[38]final tally '!text_sevenfour</definedName>
    <definedName name="text_seventhree" localSheetId="13" hidden="0" function="0" vbProcedure="0">'[38]final tally '!text_seventhree</definedName>
    <definedName name="TFactor" localSheetId="13" hidden="0" function="0" vbProcedure="0">#ref!</definedName>
    <definedName name="TFactorOutput" localSheetId="13" hidden="0" function="0" vbProcedure="0">#ref!</definedName>
    <definedName name="tftv" localSheetId="13" hidden="0" function="0" vbProcedure="0">#ref!</definedName>
    <definedName name="TF_Column" localSheetId="13" hidden="0" function="0" vbProcedure="0">#ref!</definedName>
    <definedName name="TF_Unit" localSheetId="13" hidden="0" function="0" vbProcedure="0">#ref!</definedName>
    <definedName name="tgrade" localSheetId="13" hidden="0" function="0" vbProcedure="0">[157]Control!$D$9</definedName>
    <definedName name="TGW" localSheetId="13" hidden="0" function="0" vbProcedure="0">'[38]final tally '!tgw</definedName>
    <definedName name="ThreadCon" localSheetId="13" hidden="0" function="0" vbProcedure="0">#ref!</definedName>
    <definedName name="ticket" localSheetId="13" hidden="0" function="0" vbProcedure="0">#ref!</definedName>
    <definedName name="tickettype" localSheetId="13" hidden="0" function="0" vbProcedure="0">[57]data!#ref!</definedName>
    <definedName name="TICKIT" localSheetId="13" hidden="0" function="0" vbProcedure="0">#ref!</definedName>
    <definedName name="time" localSheetId="13" hidden="0" function="0" vbProcedure="0">'[96]well test sheet'!#ref!</definedName>
    <definedName name="TimeT1a" localSheetId="13" hidden="0" function="0" vbProcedure="0">#ref!</definedName>
    <definedName name="TimeT1b" localSheetId="13" hidden="0" function="0" vbProcedure="0">#ref!</definedName>
    <definedName name="TimeT1c" localSheetId="13" hidden="0" function="0" vbProcedure="0">#ref!</definedName>
    <definedName name="TimeT1d" localSheetId="13" hidden="0" function="0" vbProcedure="0">#ref!</definedName>
    <definedName name="TimeT1e" localSheetId="13" hidden="0" function="0" vbProcedure="0">#ref!</definedName>
    <definedName name="Time_1" localSheetId="13" hidden="0" function="0" vbProcedure="0">#ref!</definedName>
    <definedName name="Time_1__Time_2" localSheetId="13" hidden="0" function="0" vbProcedure="0">'[290]k factor'!#ref!</definedName>
    <definedName name="Time_2" localSheetId="13" hidden="0" function="0" vbProcedure="0">#ref!</definedName>
    <definedName name="Time_Orient_Mode_1" localSheetId="13" hidden="0" function="0" vbProcedure="0">#ref!</definedName>
    <definedName name="Time_Orient_Mode_1_Name" localSheetId="13" hidden="0" function="0" vbProcedure="0">#ref!</definedName>
    <definedName name="Time_Orient_Mode_2" localSheetId="13" hidden="0" function="0" vbProcedure="0">#ref!</definedName>
    <definedName name="Time_Orient_Mode_2_Name" localSheetId="13" hidden="0" function="0" vbProcedure="0">#ref!</definedName>
    <definedName name="Time_Rot" localSheetId="13" hidden="0" function="0" vbProcedure="0">#ref!</definedName>
    <definedName name="Time_Rot_Name" localSheetId="13" hidden="0" function="0" vbProcedure="0">#ref!</definedName>
    <definedName name="Time_Steering" localSheetId="13" hidden="0" function="0" vbProcedure="0">#ref!</definedName>
    <definedName name="Time_Steering_Name" localSheetId="13" hidden="0" function="0" vbProcedure="0">#ref!</definedName>
    <definedName name="TIPE" localSheetId="13" hidden="0" function="0" vbProcedure="0">#ref!</definedName>
    <definedName name="TIPN" localSheetId="13" hidden="0" function="0" vbProcedure="0">#ref!</definedName>
    <definedName name="Title" localSheetId="13" hidden="0" function="0" vbProcedure="0">#ref!</definedName>
    <definedName name="TLCENG" localSheetId="13" hidden="0" function="0" vbProcedure="0">[182]Reference!$D$2</definedName>
    <definedName name="TLDENG" localSheetId="13" hidden="0" function="0" vbProcedure="0">[182]Reference!$C$2</definedName>
    <definedName name="TLDOPS" localSheetId="13" hidden="0" function="0" vbProcedure="0">[182]Reference!$E$2:$E$3</definedName>
    <definedName name="TOL" localSheetId="13" hidden="0" function="0" vbProcedure="0">'[130]Metric Conversions'!$B$28</definedName>
    <definedName name="Tool" localSheetId="13" hidden="0" function="0" vbProcedure="0">#ref!</definedName>
    <definedName name="ToolAboveSurvey" localSheetId="13" hidden="0" function="0" vbProcedure="0">#ref!</definedName>
    <definedName name="ToolBelowSurvey" localSheetId="13" hidden="0" function="0" vbProcedure="0">#ref!</definedName>
    <definedName name="ToolName" localSheetId="13" hidden="0" function="0" vbProcedure="0">#ref!</definedName>
    <definedName name="ToolPos" localSheetId="13" hidden="0" function="0" vbProcedure="0">#ref!</definedName>
    <definedName name="Tools" localSheetId="13" hidden="0" function="0" vbProcedure="0">#ref!</definedName>
    <definedName name="ToolType" localSheetId="13" hidden="0" function="0" vbProcedure="0">#ref!</definedName>
    <definedName name="ToolWeightAirString" localSheetId="13" hidden="0" function="0" vbProcedure="0">#ref!</definedName>
    <definedName name="ToolWeightCshString" localSheetId="13" hidden="0" function="0" vbProcedure="0">#ref!</definedName>
    <definedName name="ToolWeightdb" localSheetId="13" hidden="0" function="0" vbProcedure="0">#ref!</definedName>
    <definedName name="ToolWeightMudString" localSheetId="13" hidden="0" function="0" vbProcedure="0">#ref!</definedName>
    <definedName name="ToolWeightslb" localSheetId="13" hidden="0" function="0" vbProcedure="0">#ref!</definedName>
    <definedName name="ToolWeightString" localSheetId="13" hidden="0" function="0" vbProcedure="0">#ref!</definedName>
    <definedName name="ToolWeightString2" localSheetId="13" hidden="0" function="0" vbProcedure="0">#ref!</definedName>
    <definedName name="ToolWeightUntdb" localSheetId="13" hidden="0" function="0" vbProcedure="0">#ref!</definedName>
    <definedName name="ToolWeightUntslb" localSheetId="13" hidden="0" function="0" vbProcedure="0">#ref!</definedName>
    <definedName name="ToolWeightUntString" localSheetId="13" hidden="0" function="0" vbProcedure="0">#ref!</definedName>
    <definedName name="topdepthstring" localSheetId="13" hidden="0" function="0" vbProcedure="0">#ref!</definedName>
    <definedName name="topPinBoxdb" localSheetId="13" hidden="0" function="0" vbProcedure="0">#ref!</definedName>
    <definedName name="toppinboxslb" localSheetId="13" hidden="0" function="0" vbProcedure="0">#ref!</definedName>
    <definedName name="TOPPKRIMG" localSheetId="13" hidden="0" function="0" vbProcedure="0">INDEX([172]PKR!$A$16:$B$17,MATCH([172]INPUT!$G$56,[172]PKR!$A$16:$A$17,0),2)</definedName>
    <definedName name="TOPPKRIMG_1" localSheetId="13" hidden="0" function="0" vbProcedure="0">INDEX([161]PKR!$A$16:$B$18,MATCH([161]INPUT!$G$56,[161]PKR!$A$16:$A$18,0),2)</definedName>
    <definedName name="topthreadstring" localSheetId="13" hidden="0" function="0" vbProcedure="0">#ref!</definedName>
    <definedName name="topTypedb" localSheetId="13" hidden="0" function="0" vbProcedure="0">#ref!</definedName>
    <definedName name="toptypelocdb" localSheetId="13" hidden="0" function="0" vbProcedure="0">#ref!</definedName>
    <definedName name="toptypeslb" localSheetId="13" hidden="0" function="0" vbProcedure="0">#ref!</definedName>
    <definedName name="Top_Drive_y_n" localSheetId="13" hidden="0" function="0" vbProcedure="0">'[49]liner job info'!#ref!</definedName>
    <definedName name="Top_Perf._TVD" localSheetId="13" hidden="0" function="0" vbProcedure="0">'[108]Pre-Job Info Sheet'!$B$30</definedName>
    <definedName name="Top_Perforation" localSheetId="13" hidden="0" function="0" vbProcedure="0">'[108]Pre-Job Info Sheet'!$B$28</definedName>
    <definedName name="Top_Shot" localSheetId="13" hidden="0" function="0" vbProcedure="0">#ref!</definedName>
    <definedName name="TorqUnit" localSheetId="13" hidden="0" function="0" vbProcedure="0">#ref!</definedName>
    <definedName name="TOServiceTypes" localSheetId="13" hidden="0" function="0" vbProcedure="0">#ref!</definedName>
    <definedName name="TotalBuoyantWeight" localSheetId="13" hidden="0" function="0" vbProcedure="0">#ref!</definedName>
    <definedName name="TotalBuoyantWeightUnits" localSheetId="13" hidden="0" function="0" vbProcedure="0">#ref!</definedName>
    <definedName name="TotalCorrection" localSheetId="13" hidden="0" function="0" vbProcedure="0">#ref!</definedName>
    <definedName name="TotalCorrectionLbl" localSheetId="13" hidden="0" function="0" vbProcedure="0">#ref!</definedName>
    <definedName name="TotalCsg" localSheetId="13" hidden="0" function="0" vbProcedure="0">#ref!</definedName>
    <definedName name="TotalCsga" localSheetId="13" hidden="0" function="0" vbProcedure="0">#ref!</definedName>
    <definedName name="TotalLength" localSheetId="13" hidden="0" function="0" vbProcedure="0">#ref!</definedName>
    <definedName name="TotalLengthUnits" localSheetId="13" hidden="0" function="0" vbProcedure="0">#ref!</definedName>
    <definedName name="TotalPresOutput" localSheetId="13" hidden="0" function="0" vbProcedure="0">#ref!</definedName>
    <definedName name="TotalWeightInAir" localSheetId="13" hidden="0" function="0" vbProcedure="0">#ref!</definedName>
    <definedName name="TotalWeightInAirUnits" localSheetId="13" hidden="0" function="0" vbProcedure="0">#ref!</definedName>
    <definedName name="Total_Actual_Lease_Charges" localSheetId="13" hidden="0" function="0" vbProcedure="0">#ref!</definedName>
    <definedName name="Total_DP_Wt" localSheetId="13" hidden="0" function="0" vbProcedure="0">'[11]Weight Calculations'!$H$13</definedName>
    <definedName name="Total_Length_of_BHA" localSheetId="13" hidden="0" function="0" vbProcedure="0">'[108]TCP-BHA'!$H$47</definedName>
    <definedName name="TOT_ANN_CAP" localSheetId="13" hidden="0" function="0" vbProcedure="0">'[113]#REF'!$G$189</definedName>
    <definedName name="TOT_CAP_HOLE" localSheetId="13" hidden="0" function="0" vbProcedure="0">'[113]#REF'!$G$190</definedName>
    <definedName name="Tot_Distance" localSheetId="13" hidden="0" function="0" vbProcedure="0">#ref!</definedName>
    <definedName name="Tot_DP_Vol" localSheetId="13" hidden="0" function="0" vbProcedure="0">'[11]Metric Conversions'!$B$75</definedName>
    <definedName name="Tot_Liner_Wt" localSheetId="13" hidden="0" function="0" vbProcedure="0">'[11]Weight Calculations'!$H$18</definedName>
    <definedName name="Tot_Lnr_Vol_to_LC" localSheetId="13" hidden="0" function="0" vbProcedure="0">'[11]Metric Conversions'!$B$79</definedName>
    <definedName name="Tot_Rop" localSheetId="13" hidden="0" function="0" vbProcedure="0">#ref!</definedName>
    <definedName name="Tot_Rop_Name" localSheetId="13" hidden="0" function="0" vbProcedure="0">#ref!</definedName>
    <definedName name="TOT_SAND_2B_PUMPED" localSheetId="13" hidden="0" function="0" vbProcedure="0">'[7]#ref'!#ref!</definedName>
    <definedName name="TOT_SAND_COV_BLANK" localSheetId="13" hidden="0" function="0" vbProcedure="0">'[113]#REF'!$H$136</definedName>
    <definedName name="TOT_SAND_COV_SCREEN" localSheetId="13" hidden="0" function="0" vbProcedure="0">'[113]#REF'!$H$135</definedName>
    <definedName name="TOT_SAND_IN_PERFS" localSheetId="13" hidden="0" function="0" vbProcedure="0">'[113]#REF'!$F$137</definedName>
    <definedName name="TOT_SAND_PLACED" localSheetId="13" hidden="0" function="0" vbProcedure="0">'[113]#REF'!$F$131</definedName>
    <definedName name="TOT_SAND_REVOUT" localSheetId="13" hidden="0" function="0" vbProcedure="0">'[7]#ref'!#ref!</definedName>
    <definedName name="Tot_Time" localSheetId="13" hidden="0" function="0" vbProcedure="0">#ref!</definedName>
    <definedName name="Tot_Time_Name" localSheetId="13" hidden="0" function="0" vbProcedure="0">#ref!</definedName>
    <definedName name="Tot_Vol_to_Bump_Plugs" localSheetId="13" hidden="0" function="0" vbProcedure="0">'[11]Metric Conversions'!$B$80</definedName>
    <definedName name="tpermit" localSheetId="13" hidden="0" function="0" vbProcedure="0">[157]Control!$D$5</definedName>
    <definedName name="TQW" localSheetId="13" hidden="0" function="0" vbProcedure="0">'[38]final tally '!tqw</definedName>
    <definedName name="tr" localSheetId="13" hidden="0" function="0" vbProcedure="0">null</definedName>
    <definedName name="transport" localSheetId="13" hidden="0" function="0" vbProcedure="0">[57]data!#ref!</definedName>
    <definedName name="treatment" localSheetId="13" hidden="0" function="0" vbProcedure="0">[57]data!#ref!</definedName>
    <definedName name="try" localSheetId="13" hidden="0" function="0" vbProcedure="0">[173]Calculos!$K$3:$V$31</definedName>
    <definedName name="TR_Column" localSheetId="13" hidden="0" function="0" vbProcedure="0">null</definedName>
    <definedName name="TR_Unit" localSheetId="13" hidden="0" function="0" vbProcedure="0">null</definedName>
    <definedName name="tshoe" localSheetId="13" hidden="0" function="0" vbProcedure="0">[157]Drillers!$Q$20</definedName>
    <definedName name="tsize" localSheetId="13" hidden="0" function="0" vbProcedure="0">[157]Control!$D$7</definedName>
    <definedName name="TST" localSheetId="13" hidden="0" function="0" vbProcedure="0">'[30]Liner Job Info'!$O$5</definedName>
    <definedName name="tstickup" localSheetId="13" hidden="0" function="0" vbProcedure="0">[157]Drillers!$O$20</definedName>
    <definedName name="TStringW" localSheetId="13" hidden="0" function="0" vbProcedure="0">#ref!</definedName>
    <definedName name="TS_pricelist" localSheetId="13" hidden="0" function="0" vbProcedure="0">[139]Pricelist!$A$57:$B$65</definedName>
    <definedName name="TU" localSheetId="13" hidden="0" function="0" vbProcedure="0">#ref!</definedName>
    <definedName name="Tubing" localSheetId="13" hidden="0" function="0" vbProcedure="0">[174]Tubing!$B$7:$I$142</definedName>
    <definedName name="TubingAverage" localSheetId="13" hidden="0" function="0" vbProcedure="0">((SUM([38]!NosOfTubing))-(MakeupLoss*COUNT([38]!NosOfTubing)))/COUNT([38]!NosOfTubing)</definedName>
    <definedName name="tubingInfo" localSheetId="13" hidden="0" function="0" vbProcedure="0">#ref!</definedName>
    <definedName name="TubingLength" localSheetId="13" hidden="0" function="0" vbProcedure="0">#ref!</definedName>
    <definedName name="tubingmat" localSheetId="13" hidden="0" function="0" vbProcedure="0">#ref!</definedName>
    <definedName name="TubingOD" localSheetId="13" hidden="0" function="0" vbProcedure="0">[94]Lists!$AH$3:$AH$297</definedName>
    <definedName name="tubingSG" localSheetId="13" hidden="0" function="0" vbProcedure="0">#ref!</definedName>
    <definedName name="tubingsize" localSheetId="13" hidden="0" function="0" vbProcedure="0">#ref!</definedName>
    <definedName name="TubingSizes" localSheetId="13" hidden="0" function="0" vbProcedure="0">[94]Lists!$H$2:$H$14</definedName>
    <definedName name="tubingtype" localSheetId="13" hidden="0" function="0" vbProcedure="0">#ref!</definedName>
    <definedName name="tubingW" localSheetId="13" hidden="0" function="0" vbProcedure="0">#ref!</definedName>
    <definedName name="tubingweight" localSheetId="13" hidden="0" function="0" vbProcedure="0">[86]!TubTable[id LIST (in)]</definedName>
    <definedName name="tubingweigth" localSheetId="13" hidden="0" function="0" vbProcedure="0">#ref!</definedName>
    <definedName name="TUCF" localSheetId="13" hidden="0" function="0" vbProcedure="0">#ref!</definedName>
    <definedName name="TV" localSheetId="13" hidden="0" function="0" vbProcedure="0">#ref!</definedName>
    <definedName name="TVD" localSheetId="13" hidden="0" function="0" vbProcedure="0">#ref!</definedName>
    <definedName name="TVDCV" localSheetId="13" hidden="0" function="0" vbProcedure="0">#ref!</definedName>
    <definedName name="TVDRV" localSheetId="13" hidden="0" function="0" vbProcedure="0">#ref!</definedName>
    <definedName name="TVDSLPJ" localSheetId="13" hidden="0" function="0" vbProcedure="0">#ref!</definedName>
    <definedName name="TVD_Column" localSheetId="13" hidden="0" function="0" vbProcedure="0">!#ref!</definedName>
    <definedName name="TVD_MID_PERF" localSheetId="13" hidden="0" function="0" vbProcedure="0">'[113]#REF'!$F$25</definedName>
    <definedName name="TVD_Reference" localSheetId="13" hidden="0" function="0" vbProcedure="0">#ref!</definedName>
    <definedName name="TVD_ReferenceValue" localSheetId="13" hidden="0" function="0" vbProcedure="0">#ref!</definedName>
    <definedName name="TVD_Unit" localSheetId="13" hidden="0" function="0" vbProcedure="0">#ref!</definedName>
    <definedName name="TV_TVD" localSheetId="13" hidden="0" function="0" vbProcedure="0">'[108]Tester Valve Calcs'!$F$20</definedName>
    <definedName name="TV_Vol" localSheetId="13" hidden="0" function="0" vbProcedure="0">'[108]Tester Valve Calcs'!$M$17</definedName>
    <definedName name="tweight" localSheetId="13" hidden="0" function="0" vbProcedure="0">[157]Control!$D$8</definedName>
    <definedName name="twell" localSheetId="13" hidden="0" function="0" vbProcedure="0">[157]Control!$D$4</definedName>
    <definedName name="twstes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 localSheetId="13" hidden="0" function="0" vbProcedure="0">#ref!</definedName>
    <definedName name="TYJEJE" localSheetId="13" hidden="0" function="0" vbProcedure="0">'[38]final tally '!tyjeje</definedName>
    <definedName name="TYPE" localSheetId="13" hidden="0" function="0" vbProcedure="0">[184]References!$F$1:$F$2</definedName>
    <definedName name="TYPEOFPLUG" localSheetId="13" hidden="0" function="0" vbProcedure="0">'[190]DATA CALL OUT'!$C$1:$C$65536</definedName>
    <definedName name="T_ABOP" localSheetId="13" hidden="0" function="0" vbProcedure="0">'[94]Physical Barrier Check Form'!$B$15</definedName>
    <definedName name="T_BFluidColumn" localSheetId="13" hidden="0" function="0" vbProcedure="0">'[94]Physical Barrier Check Form'!$B$19</definedName>
    <definedName name="T_BHFieldRep" localSheetId="13" hidden="0" function="0" vbProcedure="0">#ref!</definedName>
    <definedName name="T_BHP" localSheetId="13" hidden="0" function="0" vbProcedure="0">'[94]Job Technical Info'!$A$42</definedName>
    <definedName name="T_BHRepNamePrinted" localSheetId="13" hidden="0" function="0" vbProcedure="0">#ref!</definedName>
    <definedName name="T_BHRepSignatureJobLog" localSheetId="13" hidden="0" function="0" vbProcedure="0">#ref!</definedName>
    <definedName name="T_BHT" localSheetId="13" hidden="0" function="0" vbProcedure="0">'[94]Job Technical Info'!$C$42</definedName>
    <definedName name="T_Casing1" localSheetId="13" hidden="0" function="0" vbProcedure="0">'[94]Job Technical Info'!$B$25</definedName>
    <definedName name="T_Casing2" localSheetId="13" hidden="0" function="0" vbProcedure="0">'[94]Job Technical Info'!$B$26</definedName>
    <definedName name="T_Casing3" localSheetId="13" hidden="0" function="0" vbProcedure="0">'[94]Job Technical Info'!$B$27</definedName>
    <definedName name="T_Casing4" localSheetId="13" hidden="0" function="0" vbProcedure="0">'[94]Job Technical Info'!$B$28</definedName>
    <definedName name="T_Ccasing" localSheetId="13" hidden="0" function="0" vbProcedure="0">'[94]Physical Barrier Check Form'!$B$23</definedName>
    <definedName name="T_Customer" localSheetId="13" hidden="0" function="0" vbProcedure="0">#ref!</definedName>
    <definedName name="T_CustomerNamePrinted" localSheetId="13" hidden="0" function="0" vbProcedure="0">#ref!</definedName>
    <definedName name="T_CustomerProject" localSheetId="13" hidden="0" function="0" vbProcedure="0">[94]Schematic!$A$8</definedName>
    <definedName name="T_CustomerRep" localSheetId="13" hidden="0" function="0" vbProcedure="0">#ref!</definedName>
    <definedName name="T_CustomerSignatureJobLog" localSheetId="13" hidden="0" function="0" vbProcedure="0">#ref!</definedName>
    <definedName name="T_C_H" localSheetId="13" hidden="0" function="0" vbProcedure="0">'[50]12(762mm)套管'!#ref!</definedName>
    <definedName name="T_Date" localSheetId="13" hidden="0" function="0" vbProcedure="0">#ref!</definedName>
    <definedName name="T_Description" localSheetId="13" hidden="0" function="0" vbProcedure="0">[94]Schematic!$D$31</definedName>
    <definedName name="T_District" localSheetId="13" hidden="0" function="0" vbProcedure="0">'[94]Physical Barrier Check Form'!$B$4</definedName>
    <definedName name="T_DistrictPh" localSheetId="13" hidden="0" function="0" vbProcedure="0">#ref!</definedName>
    <definedName name="T_DProductionPacker" localSheetId="13" hidden="0" function="0" vbProcedure="0">'[94]Physical Barrier Check Form'!$B$27</definedName>
    <definedName name="T_Drift" localSheetId="13" hidden="0" function="0" vbProcedure="0">'[94]Job Technical Info'!$G$23</definedName>
    <definedName name="T_Dual" localSheetId="13" hidden="0" function="0" vbProcedure="0">#ref!</definedName>
    <definedName name="T_DUEL" localSheetId="13" hidden="0" function="0" vbProcedure="0">#ref!</definedName>
    <definedName name="T_EBridgePlug" localSheetId="13" hidden="0" function="0" vbProcedure="0">'[94]Physical Barrier Check Form'!$B$31</definedName>
    <definedName name="T_FluidType" localSheetId="13" hidden="0" function="0" vbProcedure="0">'[94]Job Technical Info'!$E$42</definedName>
    <definedName name="T_FluidWeight" localSheetId="13" hidden="0" function="0" vbProcedure="0">'[94]Job Technical Info'!$G$42</definedName>
    <definedName name="T_FOtherBarriers" localSheetId="13" hidden="0" function="0" vbProcedure="0">'[94]Physical Barrier Check Form'!$B$35</definedName>
    <definedName name="T_Grade" localSheetId="13" hidden="0" function="0" vbProcedure="0">'[94]Job Technical Info'!$H$23</definedName>
    <definedName name="T_ID" localSheetId="13" hidden="0" function="0" vbProcedure="0">'[94]Job Technical Info'!$F$23</definedName>
    <definedName name="T_JCID" localSheetId="13" hidden="0" function="0" vbProcedure="0">#ref!</definedName>
    <definedName name="T_JobLog" localSheetId="13" hidden="0" function="0" vbProcedure="0">#ref!</definedName>
    <definedName name="T_Length" localSheetId="13" hidden="0" function="0" vbProcedure="0">[94]Schematic!$M$31</definedName>
    <definedName name="T_Liner1" localSheetId="13" hidden="0" function="0" vbProcedure="0">'[94]Job Technical Info'!$B$29</definedName>
    <definedName name="T_Liner2" localSheetId="13" hidden="0" function="0" vbProcedure="0">'[94]Job Technical Info'!$B$30</definedName>
    <definedName name="T_MaxDev" localSheetId="13" hidden="0" function="0" vbProcedure="0">[94]Schematic!$M$10</definedName>
    <definedName name="T_No" localSheetId="13" hidden="0" function="0" vbProcedure="0">[94]Schematic!$C$31</definedName>
    <definedName name="T_Notes" localSheetId="13" hidden="0" function="0" vbProcedure="0">'[94]Physical Barrier Check Form'!$H$13</definedName>
    <definedName name="T_OD" localSheetId="13" hidden="0" function="0" vbProcedure="0">'[94]Job Technical Info'!$D$23</definedName>
    <definedName name="T_OperationsRemarks" localSheetId="13" hidden="0" function="0" vbProcedure="0">#ref!</definedName>
    <definedName name="T_Project" localSheetId="13" hidden="0" function="0" vbProcedure="0">#ref!</definedName>
    <definedName name="T_Rig" localSheetId="13" hidden="0" function="0" vbProcedure="0">#ref!</definedName>
    <definedName name="T_SDC" localSheetId="13" hidden="0" function="0" vbProcedure="0">#ref!</definedName>
    <definedName name="T_Thread" localSheetId="13" hidden="0" function="0" vbProcedure="0">'[94]Job Technical Info'!$J$23</definedName>
    <definedName name="T_Time" localSheetId="13" hidden="0" function="0" vbProcedure="0">#ref!</definedName>
    <definedName name="T_Tubing1" localSheetId="13" hidden="0" function="0" vbProcedure="0">'[94]Job Technical Info'!$B$35</definedName>
    <definedName name="T_Tubing2" localSheetId="13" hidden="0" function="0" vbProcedure="0">'[94]Job Technical Info'!$B$36</definedName>
    <definedName name="T_Tubing3" localSheetId="13" hidden="0" function="0" vbProcedure="0">'[94]Job Technical Info'!$B$37</definedName>
    <definedName name="T_Tubing4" localSheetId="13" hidden="0" function="0" vbProcedure="0">'[94]Job Technical Info'!$B$38</definedName>
    <definedName name="T_Tubulars" localSheetId="13" hidden="0" function="0" vbProcedure="0">'[94]Job Technical Info'!$B$23</definedName>
    <definedName name="T_Weight" localSheetId="13" hidden="0" function="0" vbProcedure="0">'[94]Job Technical Info'!$E$23</definedName>
    <definedName name="T_Well" localSheetId="13" hidden="0" function="0" vbProcedure="0">#ref!</definedName>
    <definedName name="T_Workstring1" localSheetId="13" hidden="0" function="0" vbProcedure="0">'[94]Job Technical Info'!$B$31</definedName>
    <definedName name="T_Workstring2" localSheetId="13" hidden="0" function="0" vbProcedure="0">'[94]Job Technical Info'!$B$32</definedName>
    <definedName name="T_Workstring3" localSheetId="13" hidden="0" function="0" vbProcedure="0">'[94]Job Technical Info'!$B$33</definedName>
    <definedName name="T_Workstring4" localSheetId="13" hidden="0" function="0" vbProcedure="0">'[94]Job Technical Info'!$B$34</definedName>
    <definedName name="T____training" localSheetId="13" hidden="0" function="0" vbProcedure="0">#ref!</definedName>
    <definedName name="U" localSheetId="13" hidden="0" function="0" vbProcedure="0">[176]Lists!$A$1:$A$3</definedName>
    <definedName name="UB" localSheetId="13" hidden="0" function="0" vbProcedure="0">#ref!</definedName>
    <definedName name="UBDpDw" localSheetId="13" hidden="0" function="0" vbProcedure="0">#ref!</definedName>
    <definedName name="UBPressure" localSheetId="13" hidden="0" function="0" vbProcedure="0">#ref!</definedName>
    <definedName name="uk" localSheetId="13" hidden="0" function="0" vbProcedure="0">#ref!</definedName>
    <definedName name="Underbalance" localSheetId="13" hidden="0" function="0" vbProcedure="0">'[108]Job Calculation Sheet'!$H$34</definedName>
    <definedName name="UnitDb" localSheetId="13" hidden="0" function="0" vbProcedure="0">#ref!</definedName>
    <definedName name="UnitLength" localSheetId="13" hidden="0" function="0" vbProcedure="0">#ref!</definedName>
    <definedName name="UnitPressure" localSheetId="13" hidden="0" function="0" vbProcedure="0">#ref!</definedName>
    <definedName name="UnitTemp" localSheetId="13" hidden="0" function="0" vbProcedure="0">#ref!</definedName>
    <definedName name="UnitTemperature" localSheetId="13" hidden="0" function="0" vbProcedure="0">#ref!</definedName>
    <definedName name="UnitWeigth" localSheetId="13" hidden="0" function="0" vbProcedure="0">#ref!</definedName>
    <definedName name="UNI_AA_VERSION" localSheetId="13" hidden="1" function="0" vbProcedure="0">"322.2.0"</definedName>
    <definedName name="Update" localSheetId="13" hidden="0" function="0" vbProcedure="0">#ref!</definedName>
    <definedName name="UpdateCrtl" localSheetId="13" hidden="0" function="0" vbProcedure="0">#ref!</definedName>
    <definedName name="UpdateFlag" localSheetId="13" hidden="0" function="0" vbProcedure="0">#ref!</definedName>
    <definedName name="Used" localSheetId="13" hidden="0" function="0" vbProcedure="0">[11]DATA!$AR$2:$AR$3</definedName>
    <definedName name="VALIDCURR" localSheetId="13" hidden="0" function="0" vbProcedure="0">[177]Currency!$A$1:$A$170</definedName>
    <definedName name="Vallist" localSheetId="13" hidden="0" function="0" vbProcedure="0">'[11]Casing Info'!$A$2:$A$34</definedName>
    <definedName name="vallist2" localSheetId="13" hidden="0" function="0" vbProcedure="0">#N/A</definedName>
    <definedName name="vbcode.draw_blanks" localSheetId="13" hidden="0" function="0" vbProcedure="0">'[38]final tally '!vbcode.draw_blanks</definedName>
    <definedName name="vbcode.draw_linerfirst" localSheetId="13" hidden="0" function="0" vbProcedure="0">'[38]final tally '!vbcode.draw_linerfirst</definedName>
    <definedName name="vbcode.draw_linersecond" localSheetId="13" hidden="0" function="0" vbProcedure="0">'[38]final tally '!vbcode.draw_linersecond</definedName>
    <definedName name="vbcode.draw_miscellaneous" localSheetId="13" hidden="0" function="0" vbProcedure="0">'[38]final tally '!vbcode.draw_miscellaneous</definedName>
    <definedName name="vbcode.draw_productionfirst" localSheetId="13" hidden="0" function="0" vbProcedure="0">'[38]final tally '!vbcode.draw_productionfirst</definedName>
    <definedName name="vbcode.draw_productionsecond" localSheetId="13" hidden="0" function="0" vbProcedure="0">'[38]final tally '!vbcode.draw_productionsecond</definedName>
    <definedName name="vbcode.draw_quantum" localSheetId="13" hidden="0" function="0" vbProcedure="0">'[38]final tally '!vbcode.draw_quantum</definedName>
    <definedName name="vbcode.draw_screens" localSheetId="13" hidden="0" function="0" vbProcedure="0">'[38]final tally '!vbcode.draw_screens</definedName>
    <definedName name="vbcode.draw_shearsubs" localSheetId="13" hidden="0" function="0" vbProcedure="0">'[38]final tally '!vbcode.draw_shearsubs</definedName>
    <definedName name="vbcode.draw_sump" localSheetId="13" hidden="0" function="0" vbProcedure="0">'[38]final tally '!vbcode.draw_sump</definedName>
    <definedName name="vbcode.text_five" localSheetId="13" hidden="0" function="0" vbProcedure="0">'[38]final tally '!vbcode.text_five</definedName>
    <definedName name="vbcode.text_fivehalf" localSheetId="13" hidden="0" function="0" vbProcedure="0">'[38]final tally '!vbcode.text_fivehalf</definedName>
    <definedName name="vbcode.text_ninefiveeightfourfirst" localSheetId="13" hidden="0" function="0" vbProcedure="0">'[38]final tally '!vbcode.text_ninefiveeightfourfirst</definedName>
    <definedName name="vbcode.text_ninefiveeightfoursecond" localSheetId="13" hidden="0" function="0" vbProcedure="0">'[38]final tally '!vbcode.text_ninefiveeightfoursecond</definedName>
    <definedName name="vbcode.text_ninefiveeightsixfirst" localSheetId="13" hidden="0" function="0" vbProcedure="0">'[38]final tally '!vbcode.text_ninefiveeightsixfirst</definedName>
    <definedName name="vbcode.text_ninefiveeightsixsecond" localSheetId="13" hidden="0" function="0" vbProcedure="0">'[38]final tally '!vbcode.text_ninefiveeightsixsecond</definedName>
    <definedName name="vbcode.text_sevenfiveeightfour" localSheetId="13" hidden="0" function="0" vbProcedure="0">'[38]final tally '!vbcode.text_sevenfiveeightfour</definedName>
    <definedName name="vbcode.text_sevenfiveeightthree" localSheetId="13" hidden="0" function="0" vbProcedure="0">'[38]final tally '!vbcode.text_sevenfiveeightthree</definedName>
    <definedName name="vbcode.text_sevenfour" localSheetId="13" hidden="0" function="0" vbProcedure="0">'[38]final tally '!vbcode.text_sevenfour</definedName>
    <definedName name="vbcode.text_seventhree" localSheetId="13" hidden="0" function="0" vbProcedure="0">'[38]final tally '!vbcode.text_seventhree</definedName>
    <definedName name="Verticaldepth" localSheetId="13" hidden="0" function="0" vbProcedure="0">'[129]Front Page Info'!$C$18</definedName>
    <definedName name="vfdvf" localSheetId="13" hidden="0" function="0" vbProcedure="0">[181]!Macro61</definedName>
    <definedName name="VirginSheet" localSheetId="13" hidden="0" function="0" vbProcedure="0">#ref!</definedName>
    <definedName name="volume1" localSheetId="13" hidden="0" function="0" vbProcedure="0">{#N/A,#N/A,FALSE,"Volume"}</definedName>
    <definedName name="VolUnit" localSheetId="13" hidden="0" function="0" vbProcedure="0">#ref!</definedName>
    <definedName name="VOL_MULE_SHOE" localSheetId="13" hidden="0" function="0" vbProcedure="0">'[113]#REF'!$F$178</definedName>
    <definedName name="VS" localSheetId="13" hidden="0" function="0" vbProcedure="0">'[95]MACRO125 '!$F$6</definedName>
    <definedName name="VSEC_Azim" localSheetId="13" hidden="0" function="0" vbProcedure="0">#ref!</definedName>
    <definedName name="VSEC_Column" localSheetId="13" hidden="0" function="0" vbProcedure="0">!#ref!</definedName>
    <definedName name="VSEC_Origin" localSheetId="13" hidden="0" function="0" vbProcedure="0">#ref!</definedName>
    <definedName name="VSEC_Unit" localSheetId="13" hidden="0" function="0" vbProcedure="0">#ref!</definedName>
    <definedName name="vvv" localSheetId="13" hidden="0" function="0" vbProcedure="0">[119]钻井日报表!$E$7</definedName>
    <definedName name="vvvdf" localSheetId="13" hidden="0" function="0" vbProcedure="0">[119]钻井日报表!$G$8</definedName>
    <definedName name="vvvvv" localSheetId="13" hidden="0" function="0" vbProcedure="0">[82]!Macro60</definedName>
    <definedName name="w" localSheetId="13" hidden="0" function="0" vbProcedure="0">'[306]run sheet'!#ref!</definedName>
    <definedName name="water" localSheetId="13" hidden="0" function="0" vbProcedure="0">#ref!</definedName>
    <definedName name="WBJobRev" localSheetId="13" hidden="0" function="0" vbProcedure="0">'[94]Job Technical Info'!$C$11</definedName>
    <definedName name="we" localSheetId="13" hidden="0" function="0" vbProcedure="0">#ref!</definedName>
    <definedName name="Weak_DP" localSheetId="13" hidden="0" function="0" vbProcedure="0">'[11]Weight Calculations'!$V$63</definedName>
    <definedName name="Weak_link" localSheetId="13" hidden="0" function="0" vbProcedure="0">'[11]Weight Calculations'!$R$61</definedName>
    <definedName name="wedx" localSheetId="13" hidden="0" function="0" vbProcedure="0">#ref!</definedName>
    <definedName name="Week" localSheetId="13" hidden="0" function="0" vbProcedure="0">[18]Criteria!$A$2:$A$51</definedName>
    <definedName name="weight" localSheetId="13" hidden="0" function="0" vbProcedure="0">'[7]Drop-Down Items'!$M$7:$M$10</definedName>
    <definedName name="WeightInAirBelowJar" localSheetId="13" hidden="0" function="0" vbProcedure="0">#ref!</definedName>
    <definedName name="WeightInAirBelowJarUnits" localSheetId="13" hidden="0" function="0" vbProcedure="0">#ref!</definedName>
    <definedName name="WeightUni" localSheetId="13" hidden="0" function="0" vbProcedure="0">#ref!</definedName>
    <definedName name="WeightUnit" localSheetId="13" hidden="0" function="0" vbProcedure="0">#ref!</definedName>
    <definedName name="WeigthInput" localSheetId="13" hidden="0" function="0" vbProcedure="0">#ref!</definedName>
    <definedName name="well" localSheetId="13" hidden="0" function="0" vbProcedure="0">#ref!</definedName>
    <definedName name="well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localSheetId="13" hidden="0" function="0" vbProcedure="0">#ref!</definedName>
    <definedName name="wellcategory1" localSheetId="13" hidden="0" function="0" vbProcedure="0">[183]Data!$K$1:$K$65536</definedName>
    <definedName name="WellDegree" localSheetId="13" hidden="0" function="0" vbProcedure="0">#ref!</definedName>
    <definedName name="WellFd" localSheetId="13" hidden="0" function="0" vbProcedure="0">#ref!</definedName>
    <definedName name="Welllocation1" localSheetId="13" hidden="0" function="0" vbProcedure="0">[183]Data!$M$1:$M$65536</definedName>
    <definedName name="WellMD" localSheetId="13" hidden="0" function="0" vbProcedure="0">'[94]Job Technical Info'!$H$41</definedName>
    <definedName name="WellName" localSheetId="13" hidden="0" function="0" vbProcedure="0">#ref!</definedName>
    <definedName name="WellNo" localSheetId="13" hidden="0" function="0" vbProcedure="0">'[30]Liner Job Info'!$E$6</definedName>
    <definedName name="Wells" localSheetId="13" hidden="0" function="0" vbProcedure="0">[307]welltest!#ref!</definedName>
    <definedName name="WellTVD" localSheetId="13" hidden="0" function="0" vbProcedure="0">'[94]Job Technical Info'!$J$41</definedName>
    <definedName name="welltype" localSheetId="13" hidden="0" function="0" vbProcedure="0">'[113]#REF'!$F$18</definedName>
    <definedName name="Welltype2" localSheetId="13" hidden="0" function="0" vbProcedure="0">[178]Data!$H$1:$H$65536</definedName>
    <definedName name="Well_Name" localSheetId="13" hidden="0" function="0" vbProcedure="0">'[108]TCP-BHA'!$C$7</definedName>
    <definedName name="Well_Number" localSheetId="13" hidden="0" function="0" vbProcedure="0">'[62]Liner Job Info'!$E$6</definedName>
    <definedName name="well_type" localSheetId="13" hidden="0" function="0" vbProcedure="0">'[7]Drop-Down Items'!$D$43:$D$48</definedName>
    <definedName name="Well_Type__Oil_Gas" localSheetId="13" hidden="0" function="0" vbProcedure="0">'[108]Pre-Job Info Sheet'!$B$31</definedName>
    <definedName name="WHP" localSheetId="13" hidden="0" function="0" vbProcedure="0">#ref!</definedName>
    <definedName name="wht" localSheetId="13" hidden="0" function="0" vbProcedure="0">'[96]well test sheet'!#ref!</definedName>
    <definedName name="WHTFlow" localSheetId="13" hidden="0" function="0" vbProcedure="0">#ref!</definedName>
    <definedName name="WHTStatic" localSheetId="13" hidden="0" function="0" vbProcedure="0">#ref!</definedName>
    <definedName name="Withinlimit" localSheetId="13" hidden="0" function="0" vbProcedure="0">#ref!</definedName>
    <definedName name="WkstrDrift1" localSheetId="13" hidden="0" function="0" vbProcedure="0">'[94]Job Technical Info'!$G$31</definedName>
    <definedName name="WkstrDrift2" localSheetId="13" hidden="0" function="0" vbProcedure="0">'[94]Job Technical Info'!$G$32</definedName>
    <definedName name="WkstrDrift3" localSheetId="13" hidden="0" function="0" vbProcedure="0">'[94]Job Technical Info'!$G$33</definedName>
    <definedName name="WkstrDrift4" localSheetId="13" hidden="0" function="0" vbProcedure="0">'[94]Job Technical Info'!$G$34</definedName>
    <definedName name="WkstrGrd1" localSheetId="13" hidden="0" function="0" vbProcedure="0">'[94]Job Technical Info'!$H$31</definedName>
    <definedName name="WkstrGrd2" localSheetId="13" hidden="0" function="0" vbProcedure="0">'[94]Job Technical Info'!$H$32</definedName>
    <definedName name="WkstrGrd3" localSheetId="13" hidden="0" function="0" vbProcedure="0">'[94]Job Technical Info'!$H$33</definedName>
    <definedName name="WkstrGrd4" localSheetId="13" hidden="0" function="0" vbProcedure="0">'[94]Job Technical Info'!$H$34</definedName>
    <definedName name="WkstrID1" localSheetId="13" hidden="0" function="0" vbProcedure="0">'[94]Job Technical Info'!$F$31</definedName>
    <definedName name="WkstrID2" localSheetId="13" hidden="0" function="0" vbProcedure="0">'[94]Job Technical Info'!$F$32</definedName>
    <definedName name="WkstrID3" localSheetId="13" hidden="0" function="0" vbProcedure="0">'[94]Job Technical Info'!$F$33</definedName>
    <definedName name="WkstrID4" localSheetId="13" hidden="0" function="0" vbProcedure="0">'[94]Job Technical Info'!$F$34</definedName>
    <definedName name="WkstrSz1" localSheetId="13" hidden="0" function="0" vbProcedure="0">'[94]Job Technical Info'!$D$31</definedName>
    <definedName name="WkstrSz2" localSheetId="13" hidden="0" function="0" vbProcedure="0">'[94]Job Technical Info'!$D$32</definedName>
    <definedName name="WkstrSz3" localSheetId="13" hidden="0" function="0" vbProcedure="0">'[94]Job Technical Info'!$D$33</definedName>
    <definedName name="WkstrSz4" localSheetId="13" hidden="0" function="0" vbProcedure="0">'[94]Job Technical Info'!$D$34</definedName>
    <definedName name="WkstrThd1" localSheetId="13" hidden="0" function="0" vbProcedure="0">'[94]Job Technical Info'!$J$31</definedName>
    <definedName name="WkstrThd2" localSheetId="13" hidden="0" function="0" vbProcedure="0">'[94]Job Technical Info'!$J$32</definedName>
    <definedName name="WkstrThd3" localSheetId="13" hidden="0" function="0" vbProcedure="0">'[94]Job Technical Info'!$J$33</definedName>
    <definedName name="WkstrThd4" localSheetId="13" hidden="0" function="0" vbProcedure="0">'[94]Job Technical Info'!$J$34</definedName>
    <definedName name="WkstrWt1" localSheetId="13" hidden="0" function="0" vbProcedure="0">'[94]Job Technical Info'!$E$31</definedName>
    <definedName name="WkstrWt2" localSheetId="13" hidden="0" function="0" vbProcedure="0">'[94]Job Technical Info'!$E$32</definedName>
    <definedName name="WkstrWt3" localSheetId="13" hidden="0" function="0" vbProcedure="0">'[94]Job Technical Info'!$E$33</definedName>
    <definedName name="WkstrWt4" localSheetId="13" hidden="0" function="0" vbProcedure="0">'[94]Job Technical Info'!$E$34</definedName>
    <definedName name="workstringid" localSheetId="13" hidden="0" function="0" vbProcedure="0">'[113]#REF'!$H$12</definedName>
    <definedName name="workstringidref" localSheetId="13" hidden="0" function="0" vbProcedure="0">[106]Data!$GC$3</definedName>
    <definedName name="workstringlength" localSheetId="13" hidden="0" function="0" vbProcedure="0">'[113]#REF'!$J$12</definedName>
    <definedName name="workstringod" localSheetId="13" hidden="0" function="0" vbProcedure="0">'[113]#REF'!$F$12</definedName>
    <definedName name="workstringtable" localSheetId="13" hidden="0" function="0" vbProcedure="0">[86]!CasingTable[#data]</definedName>
    <definedName name="workstringwt" localSheetId="13" hidden="0" function="0" vbProcedure="0">'[113]#REF'!$M$12</definedName>
    <definedName name="Workstring_Grade" localSheetId="13" hidden="0" function="0" vbProcedure="0">'[108]Pre-Job Info Sheet'!$D$27</definedName>
    <definedName name="Workstring_ID" localSheetId="13" hidden="0" function="0" vbProcedure="0">'[108]Job Calculation Sheet'!$F$16</definedName>
    <definedName name="Workstring_Length" localSheetId="13" hidden="0" function="0" vbProcedure="0">'[108]TCP-BHA'!$G$12</definedName>
    <definedName name="Workstring_Size" localSheetId="13" hidden="0" function="0" vbProcedure="0">'[108]Pre-Job Info Sheet'!$D$25</definedName>
    <definedName name="Workstring_Type" localSheetId="13" hidden="0" function="0" vbProcedure="0">'[108]Pre-Job Info Sheet'!$D$24</definedName>
    <definedName name="Workstring_Wt._Ft." localSheetId="13" hidden="0" function="0" vbProcedure="0">'[108]Pre-Job Info Sheet'!$D$26</definedName>
    <definedName name="WPsk" localSheetId="13" hidden="0" function="0" vbProcedure="0">#ref!</definedName>
    <definedName name="wrn.ASDF." localSheetId="13" hidden="1" function="0" vbProcedure="0">{#N/A,#N/A,FALSE,"SHEET 1";#N/A,#N/A,FALSE,"Sheet4"}</definedName>
    <definedName name="wrn.AT._.Reports." localSheetId="13" hidden="1" function="0" vbProcedure="0">{#N/A,#N/A,FALSE,"Drlg Param Run 1-1";#N/A,#N/A,FALSE,"DDR (3)";#N/A,#N/A,FALSE,"BHA AT (1)";#N/A,#N/A,FALSE,"Downlinkbha";#N/A,#N/A,FALSE,"Job Status Report"}</definedName>
    <definedName name="wrn.CD_MST." localSheetId="13" hidden="1" function="0" vbProcedure="0">{#N/A,#N/A,FALSE,"Sheet1"}</definedName>
    <definedName name="wrn.DST_TCP." localSheetId="13" hidden="1" function="0" vbProcedure="0">{#N/A,#N/A,FALSE,"INFO";#N/A,#N/A,FALSE,"PCT";#N/A,#N/A,FALSE,"DISCS";#N/A,#N/A,FALSE,"DISC TABLE";#N/A,#N/A,FALSE,"CUSHION";#N/A,#N/A,FALSE,"HYDRAULICS";#N/A,#N/A,FALSE,"MCCV";#N/A,#N/A,FALSE,"HDF";#N/A,#N/A,FALSE,"GUNS";#N/A,#N/A,FALSE,"GUNDATA"}</definedName>
    <definedName name="wrn.FULL._.DTL." localSheetId="13" hidden="1" function="0" vbProcedure="0">{"CF",#N/A,FALSE,"FULL COST";"MANUFACT",#N/A,FALSE,"FULL COST";"PAYNMENT",#N/A,FALSE,"FULL COST"}</definedName>
    <definedName name="wrn.FULLSUM." localSheetId="13" hidden="1" function="0" vbProcedure="0">{#N/A,#N/A,FALSE,"SUM-1";#N/A,#N/A,FALSE,"SUM-2";#N/A,#N/A,FALSE,"TENDER"}</definedName>
    <definedName name="wrn.ratios." localSheetId="13" hidden="1" function="0" vbProcedure="0">{"raatios",#N/A,FALSE,"A";"ratios",#N/A,FALSE,"B";"ratios",#N/A,FALSE,"C";"ratios",#N/A,FALSE,"D";"ratios",#N/A,FALSE,"F"}</definedName>
    <definedName name="wrn.SUMMARY." localSheetId="13" hidden="1" function="0" vbProcedure="0">{#N/A,#N/A,FALSE,"JUNK"}</definedName>
    <definedName name="wrn.VOLUME." localSheetId="13" hidden="0" function="0" vbProcedure="0">{#N/A,#N/A,FALSE,"Volume"}</definedName>
    <definedName name="wrn.volume.2" localSheetId="13" hidden="0" function="0" vbProcedure="0">{#N/A,#N/A,FALSE,"Volume"}</definedName>
    <definedName name="wrn.volume.2_1" localSheetId="13" hidden="0" function="0" vbProcedure="0">{#N/A,#N/A,FALSE,"Volume"}</definedName>
    <definedName name="wrn.volume.2_2" localSheetId="13" hidden="0" function="0" vbProcedure="0">{#N/A,#N/A,FALSE,"Volume"}</definedName>
    <definedName name="wrn.volume.2_3" localSheetId="13" hidden="0" function="0" vbProcedure="0">{#N/A,#N/A,FALSE,"Volume"}</definedName>
    <definedName name="wrn.volume.2_4" localSheetId="13" hidden="0" function="0" vbProcedure="0">{#N/A,#N/A,FALSE,"Volume"}</definedName>
    <definedName name="wrn.volume.2_5" localSheetId="13" hidden="0" function="0" vbProcedure="0">{#N/A,#N/A,FALSE,"Volume"}</definedName>
    <definedName name="wrn.volume.3" localSheetId="13" hidden="0" function="0" vbProcedure="0">{#N/A,#N/A,FALSE,"Volume"}</definedName>
    <definedName name="wrn.volume.3_1" localSheetId="13" hidden="0" function="0" vbProcedure="0">{#N/A,#N/A,FALSE,"Volume"}</definedName>
    <definedName name="wrn.volume.3_2" localSheetId="13" hidden="0" function="0" vbProcedure="0">{#N/A,#N/A,FALSE,"Volume"}</definedName>
    <definedName name="wrn.volume.3_3" localSheetId="13" hidden="0" function="0" vbProcedure="0">{#N/A,#N/A,FALSE,"Volume"}</definedName>
    <definedName name="wrn.volume.3_4" localSheetId="13" hidden="0" function="0" vbProcedure="0">{#N/A,#N/A,FALSE,"Volume"}</definedName>
    <definedName name="wrn.volume.3_5" localSheetId="13" hidden="0" function="0" vbProcedure="0">{#N/A,#N/A,FALSE,"Volume"}</definedName>
    <definedName name="wrn.VOLUME._1" localSheetId="13" hidden="0" function="0" vbProcedure="0">{#N/A,#N/A,FALSE,"Volume"}</definedName>
    <definedName name="wrn.VOLUME._2" localSheetId="13" hidden="0" function="0" vbProcedure="0">{#N/A,#N/A,FALSE,"Volume"}</definedName>
    <definedName name="wrn.VOLUME._3" localSheetId="13" hidden="0" function="0" vbProcedure="0">{#N/A,#N/A,FALSE,"Volume"}</definedName>
    <definedName name="wrn.VOLUME._4" localSheetId="13" hidden="0" function="0" vbProcedure="0">{#N/A,#N/A,FALSE,"Volume"}</definedName>
    <definedName name="wrn.VOLUME._5" localSheetId="13" hidden="0" function="0" vbProcedure="0">{#N/A,#N/A,FALSE,"Volume"}</definedName>
    <definedName name="WRN.VULUME" localSheetId="13" hidden="0" function="0" vbProcedure="0">{#N/A,#N/A,FALSE,"Volume"}</definedName>
    <definedName name="wrn.Wellplan."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3" hidden="1" function="0" vbProcedure="0">{#N/A,#N/A,FALSE,"SHEET 1";#N/A,#N/A,FALSE,"Sheet4"}</definedName>
    <definedName name="wscolumn" localSheetId="13" hidden="0" function="0" vbProcedure="0">[106]Data!$W$19</definedName>
    <definedName name="WS_ID" localSheetId="13" hidden="0" function="0" vbProcedure="0">'[113]#REF'!$H$12</definedName>
    <definedName name="WS_LENGTH" localSheetId="13" hidden="0" function="0" vbProcedure="0">'[113]#REF'!$J$12</definedName>
    <definedName name="WS_OD" localSheetId="13" hidden="0" function="0" vbProcedure="0">'[113]#REF'!$F$12</definedName>
    <definedName name="wt" localSheetId="13" hidden="0" function="0" vbProcedure="0">'[115]Max-Torq'!$P$64</definedName>
    <definedName name="wtcasing" localSheetId="13" hidden="0" function="0" vbProcedure="0">[106]Data!$J$19</definedName>
    <definedName name="wtr_cumm" localSheetId="13" hidden="0" function="0" vbProcedure="0">'[96]well test sheet'!#ref!</definedName>
    <definedName name="wtr_rate" localSheetId="13" hidden="0" function="0" vbProcedure="0">'[96]well test sheet'!#ref!</definedName>
    <definedName name="wtworkstring" localSheetId="13" hidden="0" function="0" vbProcedure="0">[106]Data!$W$21</definedName>
    <definedName name="Wt_Bouyant" localSheetId="13" hidden="0" function="0" vbProcedure="0">'[108]Packer Calculation Sheet'!$I$34</definedName>
    <definedName name="Wt_w_Cmt" localSheetId="13" hidden="0" function="0" vbProcedure="0">'[11]Liner Job Info'!$D$34</definedName>
    <definedName name="Wt_W_Pkr_Tst" localSheetId="13" hidden="0" function="0" vbProcedure="0">'[11]Liner Job Info'!$D$36</definedName>
    <definedName name="X" localSheetId="13" hidden="0" function="0" vbProcedure="0">#ref!</definedName>
    <definedName name="X5_TO" localSheetId="13" hidden="0" function="0" vbProcedure="0">[129]RSS!$C$197</definedName>
    <definedName name="XCEED_TO" localSheetId="13" hidden="0" function="0" vbProcedure="0">[129]RSS!$G$201</definedName>
    <definedName name="XO" localSheetId="13" hidden="0" function="0" vbProcedure="0">#ref!</definedName>
    <definedName name="xoportdepth" localSheetId="13" hidden="0" function="0" vbProcedure="0">'[113]#REF'!$F$21</definedName>
    <definedName name="XO_DEPTH" localSheetId="13" hidden="0" function="0" vbProcedure="0">'[113]#REF'!$F$21</definedName>
    <definedName name="XO_PORT_DEPTH" localSheetId="13" hidden="0" function="0" vbProcedure="0">'[113]#REF'!$F$21</definedName>
    <definedName name="XTRA_TO" localSheetId="13" hidden="0" function="0" vbProcedure="0">[129]RSS!$E$201</definedName>
    <definedName name="xxx" localSheetId="13" hidden="0" function="0" vbProcedure="0">[145]tonmiles!#ref!</definedName>
    <definedName name="xxxx" localSheetId="13" hidden="0" function="0" vbProcedure="0">[309]!Macro46</definedName>
    <definedName name="Y" localSheetId="13" hidden="0" function="0" vbProcedure="0">'[310]#ref'!#ref!</definedName>
    <definedName name="YESNO" localSheetId="13" hidden="0" function="0" vbProcedure="0">[129]RSS!$E$139:$E$141</definedName>
    <definedName name="YJEJD" localSheetId="13" hidden="0" function="0" vbProcedure="0">'[38]final tally '!yjejd</definedName>
    <definedName name="YN" localSheetId="13" hidden="0" function="0" vbProcedure="0">#ref!</definedName>
    <definedName name="yp" localSheetId="13" hidden="0" function="0" vbProcedure="0">'[115]Max-Torq'!$N$59</definedName>
    <definedName name="ypa" localSheetId="13" hidden="0" function="0" vbProcedure="0">'[115]Max-Torq'!$P$63</definedName>
    <definedName name="ypdtr" localSheetId="13" hidden="0" function="0" vbProcedure="0">'[115]Max-Torq'!$P$70</definedName>
    <definedName name="yyyyyyyyyyyy" localSheetId="13" hidden="1" function="0" vbProcedure="0">{"raatios",#N/A,FALSE,"A";"ratios",#N/A,FALSE,"B";"ratios",#N/A,FALSE,"C";"ratios",#N/A,FALSE,"D";"ratios",#N/A,FALSE,"F"}</definedName>
    <definedName name="Z" localSheetId="13" hidden="0" function="0" vbProcedure="0">#ref!</definedName>
    <definedName name="zone" localSheetId="13" hidden="0" function="0" vbProcedure="0">[5]WTR!$L$4</definedName>
    <definedName name="Zone1BHP" localSheetId="13" hidden="0" function="0" vbProcedure="0">'[94]Job Technical Info'!$G$49</definedName>
    <definedName name="Zone1BHT" localSheetId="13" hidden="0" function="0" vbProcedure="0">'[94]Job Technical Info'!$H$49</definedName>
    <definedName name="Zone1Bottom" localSheetId="13" hidden="0" function="0" vbProcedure="0">'[94]Job Technical Info'!$E$49</definedName>
    <definedName name="Zone1Dev" localSheetId="13" hidden="0" function="0" vbProcedure="0">'[94]Job Technical Info'!$F$49</definedName>
    <definedName name="Zone1FluidType" localSheetId="13" hidden="0" function="0" vbProcedure="0">'[94]Job Technical Info'!$I$49</definedName>
    <definedName name="Zone1FluidWt" localSheetId="13" hidden="0" function="0" vbProcedure="0">'[94]Job Technical Info'!$J$49</definedName>
    <definedName name="Zone1Name" localSheetId="13" hidden="0" function="0" vbProcedure="0">'[94]Job Technical Info'!$C$49</definedName>
    <definedName name="Zone1Top" localSheetId="13" hidden="0" function="0" vbProcedure="0">'[94]Job Technical Info'!$D$49</definedName>
    <definedName name="Zone2BHP" localSheetId="13" hidden="0" function="0" vbProcedure="0">'[94]Job Technical Info'!$G$50</definedName>
    <definedName name="Zone2BHT" localSheetId="13" hidden="0" function="0" vbProcedure="0">'[94]Job Technical Info'!$H$50</definedName>
    <definedName name="Zone2Bottom" localSheetId="13" hidden="0" function="0" vbProcedure="0">'[94]Job Technical Info'!$E$50</definedName>
    <definedName name="Zone2Dev" localSheetId="13" hidden="0" function="0" vbProcedure="0">'[94]Job Technical Info'!$F$50</definedName>
    <definedName name="Zone2FluidType" localSheetId="13" hidden="0" function="0" vbProcedure="0">'[94]Job Technical Info'!$I$50</definedName>
    <definedName name="Zone2FluidWt" localSheetId="13" hidden="0" function="0" vbProcedure="0">'[94]Job Technical Info'!$J$50</definedName>
    <definedName name="Zone2Name" localSheetId="13" hidden="0" function="0" vbProcedure="0">'[94]Job Technical Info'!$C$50</definedName>
    <definedName name="Zone2Top" localSheetId="13" hidden="0" function="0" vbProcedure="0">'[94]Job Technical Info'!$D$50</definedName>
    <definedName name="Zone3BHP" localSheetId="13" hidden="0" function="0" vbProcedure="0">'[94]Job Technical Info'!$G$51</definedName>
    <definedName name="Zone3BHT" localSheetId="13" hidden="0" function="0" vbProcedure="0">'[94]Job Technical Info'!$H$51</definedName>
    <definedName name="Zone3Bottom" localSheetId="13" hidden="0" function="0" vbProcedure="0">'[94]Job Technical Info'!$E$51</definedName>
    <definedName name="Zone3Dev" localSheetId="13" hidden="0" function="0" vbProcedure="0">'[94]Job Technical Info'!$F$51</definedName>
    <definedName name="Zone3FluidType" localSheetId="13" hidden="0" function="0" vbProcedure="0">'[94]Job Technical Info'!$I$51</definedName>
    <definedName name="Zone3FluidWt" localSheetId="13" hidden="0" function="0" vbProcedure="0">'[94]Job Technical Info'!$J$51</definedName>
    <definedName name="Zone3Name" localSheetId="13" hidden="0" function="0" vbProcedure="0">'[94]Job Technical Info'!$C$51</definedName>
    <definedName name="Zone3Top" localSheetId="13" hidden="0" function="0" vbProcedure="0">'[94]Job Technical Info'!$D$51</definedName>
    <definedName name="Zone4BHP" localSheetId="13" hidden="0" function="0" vbProcedure="0">'[94]Job Technical Info'!$G$52</definedName>
    <definedName name="Zone4BHT" localSheetId="13" hidden="0" function="0" vbProcedure="0">'[94]Job Technical Info'!$H$52</definedName>
    <definedName name="Zone4Bottom" localSheetId="13" hidden="0" function="0" vbProcedure="0">'[94]Job Technical Info'!$E$52</definedName>
    <definedName name="Zone4Dev" localSheetId="13" hidden="0" function="0" vbProcedure="0">'[94]Job Technical Info'!$F$52</definedName>
    <definedName name="Zone4FluidType" localSheetId="13" hidden="0" function="0" vbProcedure="0">'[94]Job Technical Info'!$I$52</definedName>
    <definedName name="Zone4FluidWt" localSheetId="13" hidden="0" function="0" vbProcedure="0">'[94]Job Technical Info'!$J$52</definedName>
    <definedName name="Zone4Name" localSheetId="13" hidden="0" function="0" vbProcedure="0">'[94]Job Technical Info'!$C$52</definedName>
    <definedName name="Zone4Top" localSheetId="13" hidden="0" function="0" vbProcedure="0">'[94]Job Technical Info'!$D$52</definedName>
    <definedName name="Zone5BHP" localSheetId="13" hidden="0" function="0" vbProcedure="0">'[94]Job Technical Info'!$G$53</definedName>
    <definedName name="Zone5BHT" localSheetId="13" hidden="0" function="0" vbProcedure="0">'[94]Job Technical Info'!$H$53</definedName>
    <definedName name="Zone5Bottom" localSheetId="13" hidden="0" function="0" vbProcedure="0">'[94]Job Technical Info'!$E$53</definedName>
    <definedName name="Zone5Dev" localSheetId="13" hidden="0" function="0" vbProcedure="0">'[94]Job Technical Info'!$F$53</definedName>
    <definedName name="Zone5FluidType" localSheetId="13" hidden="0" function="0" vbProcedure="0">'[94]Job Technical Info'!$I$53</definedName>
    <definedName name="Zone5FluidWt" localSheetId="13" hidden="0" function="0" vbProcedure="0">'[94]Job Technical Info'!$J$53</definedName>
    <definedName name="Zone5Name" localSheetId="13" hidden="0" function="0" vbProcedure="0">'[94]Job Technical Info'!$C$53</definedName>
    <definedName name="Zone5Top" localSheetId="13" hidden="0" function="0" vbProcedure="0">'[94]Job Technical Info'!$D$53</definedName>
    <definedName name="ZXP_Seal_Area" localSheetId="13" hidden="0" function="0" vbProcedure="0">[11]Test!$Z$38</definedName>
    <definedName name="zzzzzz" localSheetId="13" hidden="0" function="0" vbProcedure="0">[309]!'[module4 formula].macro1'</definedName>
    <definedName name="Z_Fact_DH" localSheetId="13" hidden="0" function="0" vbProcedure="0">'[108]Tester Valve Calcs'!$F$23</definedName>
    <definedName name="Z_Fact_Surf" localSheetId="13" hidden="0" function="0" vbProcedure="0">'[108]Tester Valve Calcs'!$F$18</definedName>
    <definedName name="_A" localSheetId="13" hidden="0" function="0" vbProcedure="0">'[2]run sheet'!#ref!</definedName>
    <definedName name="_B" localSheetId="13" hidden="0" function="0" vbProcedure="0">#ref!</definedName>
    <definedName name="_C" localSheetId="13" hidden="0" function="0" vbProcedure="0">'[2]run sheet'!#ref!</definedName>
    <definedName name="_D" localSheetId="13" hidden="0" function="0" vbProcedure="0">'[2]run sheet'!#ref!</definedName>
    <definedName name="_E" localSheetId="13" hidden="0" function="0" vbProcedure="0">'[2]run sheet'!#ref!</definedName>
    <definedName name="_f" localSheetId="13" hidden="0" function="0" vbProcedure="0">{#N/A,#N/A,FALSE,"Volume"}</definedName>
    <definedName name="_g" localSheetId="13" hidden="0" function="0" vbProcedure="0">{#N/A,#N/A,FALSE,"Volume"}</definedName>
    <definedName name="_h" localSheetId="13" hidden="0" function="0" vbProcedure="0">{#N/A,#N/A,FALSE,"Volume"}</definedName>
    <definedName name="_I" localSheetId="13" hidden="0" function="0" vbProcedure="0">'[2]run sheet'!#ref!</definedName>
    <definedName name="_L" localSheetId="13" hidden="0" function="0" vbProcedure="0">'[2]run sheet'!#ref!</definedName>
    <definedName name="_N" localSheetId="13" hidden="0" function="0" vbProcedure="0">'[2]run sheet'!#ref!</definedName>
    <definedName name="_P" localSheetId="13" hidden="0" function="0" vbProcedure="0">{#N/A,#N/A,FALSE,"Volume"}</definedName>
    <definedName name="_q" localSheetId="13" hidden="0" function="0" vbProcedure="0">'[4]run sheet'!#ref!</definedName>
    <definedName name="_s" localSheetId="13" hidden="0" function="0" vbProcedure="0">#ref!</definedName>
    <definedName name="_T" localSheetId="13" hidden="0" function="0" vbProcedure="0">{#N/A,#N/A,FALSE,"Volume"}</definedName>
    <definedName name="_V" localSheetId="13" hidden="0" function="0" vbProcedure="0">#ref!</definedName>
    <definedName name="_X" localSheetId="13" hidden="0" function="0" vbProcedure="0">'[2]run sheet'!#ref!</definedName>
    <definedName name="_Z" localSheetId="13" hidden="0" function="0" vbProcedure="0">'[2]run sheet'!#ref!</definedName>
    <definedName name="_" localSheetId="13" hidden="0" function="0" vbProcedure="0">[6]readings!#ref!</definedName>
    <definedName name="_1" localSheetId="13" hidden="0" function="0" vbProcedure="0">{#N/A,#N/A,FALSE,"Volume"}</definedName>
    <definedName name="_11Druckbereich" localSheetId="13" hidden="0" function="0" vbProcedure="0">[36]run_s!#ref!</definedName>
    <definedName name="_1234GRAPH_G" localSheetId="13" hidden="1" function="0" vbProcedure="0">[179]Run!$F$16:$F$514</definedName>
    <definedName name="_1Module2__2__.gaugeconok2" localSheetId="13" hidden="0" function="0" vbProcedure="0">DATA!_1Module2__2__.gaugeconok2</definedName>
    <definedName name="_1_" localSheetId="13" hidden="0" function="0" vbProcedure="0">#ref!</definedName>
    <definedName name="_1__123Graph_ACHART_1" localSheetId="13" hidden="1" function="0" vbProcedure="0">[21]mkn06!#ref!</definedName>
    <definedName name="_2" localSheetId="13" hidden="0" function="0" vbProcedure="0">{#N/A,#N/A,FALSE,"Volume"}</definedName>
    <definedName name="_2Module2__2__.gaugeok2" localSheetId="13" hidden="0" function="0" vbProcedure="0">DATA!_2Module2__2__.gaugeok2</definedName>
    <definedName name="_3Module2__2__.gaugeselect2" localSheetId="13" hidden="0" function="0" vbProcedure="0">DATA!_3Module2__2__.gaugeselect2</definedName>
    <definedName name="_3Module4_Formula_.Macro1" localSheetId="13" hidden="0" function="0" vbProcedure="0">[38]!_3Module4_Formula_.Macro1</definedName>
    <definedName name="_3__123Graph_ACHART_1" localSheetId="13" hidden="1" function="0" vbProcedure="0">[37]mkn06!#ref!</definedName>
    <definedName name="_3__123Graph_ACHART_2" localSheetId="13" hidden="1" function="0" vbProcedure="0">'[22]case sjac 19'!#ref!</definedName>
    <definedName name="_3__123Graph_XCHART_1" localSheetId="13" hidden="1" function="0" vbProcedure="0">[21]mkn06!#ref!</definedName>
    <definedName name="_4Module2__2__.serialselect3" localSheetId="13" hidden="0" function="0" vbProcedure="0">DATA!_4Module2__2__.serialselect3</definedName>
    <definedName name="_4__123Graph_ACHART_1" localSheetId="13" hidden="1" function="0" vbProcedure="0">[34]mkn06!#ref!</definedName>
    <definedName name="_4__123Graph_ACHART_2" localSheetId="13" hidden="1" function="0" vbProcedure="0">'[22]case sjac 19'!#ref!</definedName>
    <definedName name="_4__123Graph_BCHART_1" localSheetId="13" hidden="1" function="0" vbProcedure="0">[24]mkn06!#ref!</definedName>
    <definedName name="_5" localSheetId="13" hidden="0" function="0" vbProcedure="0">{#N/A,#N/A,FALSE,"Volume"}</definedName>
    <definedName name="_5Module2__2__.serialselect4" localSheetId="13" hidden="0" function="0" vbProcedure="0">DATA!_5Module2__2__.serialselect4</definedName>
    <definedName name="_6__123Graph_ACHART_2" localSheetId="13" hidden="1" function="0" vbProcedure="0">'[22]case sjac 19'!#ref!</definedName>
    <definedName name="_6__123Graph_BCHART_1" localSheetId="13" hidden="1" function="0" vbProcedure="0">[37]mkn06!#ref!</definedName>
    <definedName name="_6__123Graph_BCHART_2" localSheetId="13" hidden="1" function="0" vbProcedure="0">'[22]case sjac 19'!#ref!</definedName>
    <definedName name="_a" localSheetId="13" hidden="0" function="0" vbProcedure="0">{#N/A,#N/A,FALSE,"Volume"}</definedName>
    <definedName name="_a1" localSheetId="13" hidden="0" function="0" vbProcedure="0">{#N/A,#N/A,FALSE,"Volume"}</definedName>
    <definedName name="_a2" localSheetId="13" hidden="0" function="0" vbProcedure="0">{#N/A,#N/A,FALSE,"Volume"}</definedName>
    <definedName name="_a3" localSheetId="13" hidden="0" function="0" vbProcedure="0">{#N/A,#N/A,FALSE,"Volume"}</definedName>
    <definedName name="_A4" localSheetId="13" hidden="1" function="0" vbProcedure="0">[179]Run!$B$18:$B$512</definedName>
    <definedName name="_aa" localSheetId="13" hidden="0" function="0" vbProcedure="0">{#N/A,#N/A,FALSE,"Volume"}</definedName>
    <definedName name="_aaa" localSheetId="13" hidden="0" function="0" vbProcedure="0">{#N/A,#N/A,FALSE,"Volume"}</definedName>
    <definedName name="_aaaaa" localSheetId="13" hidden="0" function="0" vbProcedure="0">{#N/A,#N/A,FALSE,"Volume"}</definedName>
    <definedName name="_aaaaaa" localSheetId="13" hidden="0" function="0" vbProcedure="0">{#N/A,#N/A,FALSE,"Volume"}</definedName>
    <definedName name="_ab" localSheetId="13" hidden="0" function="0" vbProcedure="0">{#N/A,#N/A,FALSE,"Volume"}</definedName>
    <definedName name="_ac" localSheetId="13" hidden="0" function="0" vbProcedure="0">{#N/A,#N/A,FALSE,"Volume"}</definedName>
    <definedName name="_acasdf" localSheetId="13" hidden="0" function="0" vbProcedure="0">{#N/A,#N/A,FALSE,"Volume"}</definedName>
    <definedName name="_acc" localSheetId="13" hidden="0" function="0" vbProcedure="0">{#N/A,#N/A,FALSE,"Volume"}</definedName>
    <definedName name="_ap1" localSheetId="13" hidden="0" function="0" vbProcedure="0">{#N/A,#N/A,FALSE,"Volume"}</definedName>
    <definedName name="_ap2" localSheetId="13" hidden="0" function="0" vbProcedure="0">{#N/A,#N/A,FALSE,"Volume"}</definedName>
    <definedName name="_ap3" localSheetId="13" hidden="0" function="0" vbProcedure="0">{#N/A,#N/A,FALSE,"Volume"}</definedName>
    <definedName name="_app1" localSheetId="13" hidden="0" function="0" vbProcedure="0">{#N/A,#N/A,FALSE,"Volume"}</definedName>
    <definedName name="_app2" localSheetId="13" hidden="0" function="0" vbProcedure="0">{#N/A,#N/A,FALSE,"Volume"}</definedName>
    <definedName name="_app3" localSheetId="13" hidden="0" function="0" vbProcedure="0">{#N/A,#N/A,FALSE,"Volume"}</definedName>
    <definedName name="_app4" localSheetId="13" hidden="0" function="0" vbProcedure="0">{#N/A,#N/A,FALSE,"Volume"}</definedName>
    <definedName name="_app5" localSheetId="13" hidden="0" function="0" vbProcedure="0">{#N/A,#N/A,FALSE,"Volume"}</definedName>
    <definedName name="_asdfas" localSheetId="13" hidden="0" function="0" vbProcedure="0">{#N/A,#N/A,FALSE,"Volume"}</definedName>
    <definedName name="_b" localSheetId="13" hidden="0" function="0" vbProcedure="0">{#N/A,#N/A,FALSE,"Volume"}</definedName>
    <definedName name="_b1" localSheetId="13" hidden="0" function="0" vbProcedure="0">{#N/A,#N/A,FALSE,"Volume"}</definedName>
    <definedName name="_b2" localSheetId="13" hidden="0" function="0" vbProcedure="0">{#N/A,#N/A,FALSE,"Volume"}</definedName>
    <definedName name="_b3" localSheetId="13" hidden="0" function="0" vbProcedure="0">{#N/A,#N/A,FALSE,"Volume"}</definedName>
    <definedName name="_b4" localSheetId="13" hidden="0" function="0" vbProcedure="0">{#N/A,#N/A,FALSE,"Volume"}</definedName>
    <definedName name="_b5" localSheetId="13" hidden="0" function="0" vbProcedure="0">{#N/A,#N/A,FALSE,"Volume"}</definedName>
    <definedName name="_bb2789" localSheetId="13" hidden="0" function="0" vbProcedure="0">[10]!Calculate_Pipe</definedName>
    <definedName name="_bgn1" localSheetId="13" hidden="1" function="0" vbProcedure="0">{#N/A,#N/A,FALSE,"Sheet1"}</definedName>
    <definedName name="_c" localSheetId="13" hidden="0" function="0" vbProcedure="0">{#N/A,#N/A,FALSE,"Volume"}</definedName>
    <definedName name="_c1" localSheetId="13" hidden="0" function="0" vbProcedure="0">{#N/A,#N/A,FALSE,"Volume"}</definedName>
    <definedName name="_c2" localSheetId="13" hidden="0" function="0" vbProcedure="0">{#N/A,#N/A,FALSE,"Volume"}</definedName>
    <definedName name="_c3" localSheetId="13" hidden="0" function="0" vbProcedure="0">{#N/A,#N/A,FALSE,"Volume"}</definedName>
    <definedName name="_c4" localSheetId="13" hidden="0" function="0" vbProcedure="0">{#N/A,#N/A,FALSE,"Volume"}</definedName>
    <definedName name="_cd1" localSheetId="13" hidden="1" function="0" vbProcedure="0">{#N/A,#N/A,FALSE,"Sheet1"}</definedName>
    <definedName name="_cf1" localSheetId="13" hidden="1" function="0" vbProcedure="0">{#N/A,#N/A,FALSE,"Sheet1"}</definedName>
    <definedName name="_Col10" localSheetId="13" hidden="0" function="0" vbProcedure="0">#ref!</definedName>
    <definedName name="_Col11" localSheetId="13" hidden="0" function="0" vbProcedure="0">#ref!</definedName>
    <definedName name="_Col12" localSheetId="13" hidden="0" function="0" vbProcedure="0">#ref!</definedName>
    <definedName name="_Col13" localSheetId="13" hidden="0" function="0" vbProcedure="0">#ref!</definedName>
    <definedName name="_Col14" localSheetId="13" hidden="0" function="0" vbProcedure="0">#ref!</definedName>
    <definedName name="_Col15" localSheetId="13" hidden="0" function="0" vbProcedure="0">#ref!</definedName>
    <definedName name="_Col16" localSheetId="13" hidden="0" function="0" vbProcedure="0">#ref!</definedName>
    <definedName name="_Col17" localSheetId="13" hidden="0" function="0" vbProcedure="0">#ref!</definedName>
    <definedName name="_Col18" localSheetId="13" hidden="0" function="0" vbProcedure="0">#ref!</definedName>
    <definedName name="_Col19" localSheetId="13" hidden="0" function="0" vbProcedure="0">#ref!</definedName>
    <definedName name="_Col2" localSheetId="13" hidden="0" function="0" vbProcedure="0">#ref!</definedName>
    <definedName name="_Col20" localSheetId="13" hidden="0" function="0" vbProcedure="0">#ref!</definedName>
    <definedName name="_Col21" localSheetId="13" hidden="0" function="0" vbProcedure="0">#ref!</definedName>
    <definedName name="_Col22" localSheetId="13" hidden="0" function="0" vbProcedure="0">#ref!</definedName>
    <definedName name="_Col23" localSheetId="13" hidden="0" function="0" vbProcedure="0">#ref!</definedName>
    <definedName name="_Col24" localSheetId="13" hidden="0" function="0" vbProcedure="0">#ref!</definedName>
    <definedName name="_Col25" localSheetId="13" hidden="0" function="0" vbProcedure="0">#ref!</definedName>
    <definedName name="_Col26" localSheetId="13" hidden="0" function="0" vbProcedure="0">#ref!</definedName>
    <definedName name="_Col27" localSheetId="13" hidden="0" function="0" vbProcedure="0">#ref!</definedName>
    <definedName name="_Col28" localSheetId="13" hidden="0" function="0" vbProcedure="0">#ref!</definedName>
    <definedName name="_Col29" localSheetId="13" hidden="0" function="0" vbProcedure="0">#ref!</definedName>
    <definedName name="_Col3" localSheetId="13" hidden="0" function="0" vbProcedure="0">#ref!</definedName>
    <definedName name="_Col30" localSheetId="13" hidden="0" function="0" vbProcedure="0">#ref!</definedName>
    <definedName name="_Col4" localSheetId="13" hidden="0" function="0" vbProcedure="0">#ref!</definedName>
    <definedName name="_Col5" localSheetId="13" hidden="0" function="0" vbProcedure="0">#ref!</definedName>
    <definedName name="_Col6" localSheetId="13" hidden="0" function="0" vbProcedure="0">#ref!</definedName>
    <definedName name="_Col7" localSheetId="13" hidden="0" function="0" vbProcedure="0">#ref!</definedName>
    <definedName name="_Col8" localSheetId="13" hidden="0" function="0" vbProcedure="0">#ref!</definedName>
    <definedName name="_Col9" localSheetId="13" hidden="0" function="0" vbProcedure="0">#ref!</definedName>
    <definedName name="_Csg1" localSheetId="13" hidden="0" function="0" vbProcedure="0">#ref!</definedName>
    <definedName name="_Csg2" localSheetId="13" hidden="0" function="0" vbProcedure="0">#ref!</definedName>
    <definedName name="_Csg3" localSheetId="13" hidden="0" function="0" vbProcedure="0">#ref!</definedName>
    <definedName name="_d" localSheetId="13" hidden="0" function="0" vbProcedure="0">{#N/A,#N/A,FALSE,"Volume"}</definedName>
    <definedName name="_d1" localSheetId="13" hidden="0" function="0" vbProcedure="0">{#N/A,#N/A,FALSE,"Volume"}</definedName>
    <definedName name="_d2_" localSheetId="13" hidden="0" function="0" vbProcedure="0">{#N/A,#N/A,FALSE,"Volume"}</definedName>
    <definedName name="_d3" localSheetId="13" hidden="0" function="0" vbProcedure="0">{#N/A,#N/A,FALSE,"Volume"}</definedName>
    <definedName name="_d4" localSheetId="13" hidden="0" function="0" vbProcedure="0">{#N/A,#N/A,FALSE,"Volume"}</definedName>
    <definedName name="_DAT16" localSheetId="13" hidden="0" function="0" vbProcedure="0">'[40]sap serv 06-02'!#ref!</definedName>
    <definedName name="_DAT17" localSheetId="13" hidden="0" function="0" vbProcedure="0">'[40]sap serv 06-02'!#ref!</definedName>
    <definedName name="_DAT19" localSheetId="13" hidden="0" function="0" vbProcedure="0">'[40]sap serv 06-02'!#ref!</definedName>
    <definedName name="_DAT20" localSheetId="13" hidden="0" function="0" vbProcedure="0">'[40]sap serv 06-02'!#ref!</definedName>
    <definedName name="_DAT25" localSheetId="13" hidden="0" function="0" vbProcedure="0">'[40]sap serv 06-02'!#ref!</definedName>
    <definedName name="_DAT26" localSheetId="13" hidden="0" function="0" vbProcedure="0">'[40]sap serv 06-02'!#ref!</definedName>
    <definedName name="_DAT27" localSheetId="13" hidden="0" function="0" vbProcedure="0">'[40]sap serv 06-02'!#ref!</definedName>
    <definedName name="_DAT28" localSheetId="13" hidden="0" function="0" vbProcedure="0">'[40]sap serv 06-02'!#ref!</definedName>
    <definedName name="_DAT29" localSheetId="13" hidden="0" function="0" vbProcedure="0">'[40]sap serv 06-02'!#ref!</definedName>
    <definedName name="_DAT31" localSheetId="13" hidden="0" function="0" vbProcedure="0">'[40]sap serv 06-02'!#ref!</definedName>
    <definedName name="_DAT32" localSheetId="13" hidden="0" function="0" vbProcedure="0">'[40]sap serv 06-02'!#ref!</definedName>
    <definedName name="_DAT34" localSheetId="13" hidden="0" function="0" vbProcedure="0">'[40]sap serv 06-02'!#ref!</definedName>
    <definedName name="_DAT35" localSheetId="13" hidden="0" function="0" vbProcedure="0">'[40]sap serv 06-02'!#ref!</definedName>
    <definedName name="_DAT36" localSheetId="13" hidden="0" function="0" vbProcedure="0">'[40]sap serv 06-02'!#ref!</definedName>
    <definedName name="_DAT40" localSheetId="13" hidden="0" function="0" vbProcedure="0">'[40]sap serv 06-02'!#ref!</definedName>
    <definedName name="_DAT41" localSheetId="13" hidden="0" function="0" vbProcedure="0">'[40]sap serv 06-02'!#ref!</definedName>
    <definedName name="_DAT42" localSheetId="13" hidden="0" function="0" vbProcedure="0">'[40]sap serv 06-02'!#ref!</definedName>
    <definedName name="_DAT44" localSheetId="13" hidden="0" function="0" vbProcedure="0">'[40]sap serv 06-02'!#ref!</definedName>
    <definedName name="_DAT45" localSheetId="13" hidden="0" function="0" vbProcedure="0">'[40]sap serv 06-02'!#ref!</definedName>
    <definedName name="_DAT46" localSheetId="13" hidden="0" function="0" vbProcedure="0">'[40]sap serv 06-02'!#ref!</definedName>
    <definedName name="_DAT47" localSheetId="13" hidden="0" function="0" vbProcedure="0">'[40]sap serv 06-02'!#ref!</definedName>
    <definedName name="_DAT48" localSheetId="13" hidden="0" function="0" vbProcedure="0">'[40]sap serv 06-02'!#ref!</definedName>
    <definedName name="_DAT49" localSheetId="13" hidden="0" function="0" vbProcedure="0">'[40]sap serv 06-02'!#ref!</definedName>
    <definedName name="_DAT50" localSheetId="13" hidden="0" function="0" vbProcedure="0">'[40]sap serv 06-02'!#ref!</definedName>
    <definedName name="_DAT52" localSheetId="13" hidden="0" function="0" vbProcedure="0">'[40]sap serv 06-02'!#ref!</definedName>
    <definedName name="_DAT53" localSheetId="13" hidden="0" function="0" vbProcedure="0">'[40]sap serv 06-02'!#ref!</definedName>
    <definedName name="_DAT54" localSheetId="13" hidden="0" function="0" vbProcedure="0">'[40]sap serv 06-02'!#ref!</definedName>
    <definedName name="_DAT56" localSheetId="13" hidden="0" function="0" vbProcedure="0">'[40]sap serv 06-02'!#ref!</definedName>
    <definedName name="_DAT57" localSheetId="13" hidden="0" function="0" vbProcedure="0">'[40]sap serv 06-02'!#ref!</definedName>
    <definedName name="_DAT62" localSheetId="13" hidden="0" function="0" vbProcedure="0">'[40]sap serv 06-02'!#ref!</definedName>
    <definedName name="_DAT63" localSheetId="13" hidden="0" function="0" vbProcedure="0">'[40]sap serv 06-02'!#ref!</definedName>
    <definedName name="_e" localSheetId="13" hidden="0" function="0" vbProcedure="0">{#N/A,#N/A,FALSE,"Volume"}</definedName>
    <definedName name="_e1" localSheetId="13" hidden="0" function="0" vbProcedure="0">{#N/A,#N/A,FALSE,"Volume"}</definedName>
    <definedName name="_e2" localSheetId="13" hidden="0" function="0" vbProcedure="0">{#N/A,#N/A,FALSE,"Volume"}</definedName>
    <definedName name="_e3" localSheetId="13" hidden="0" function="0" vbProcedure="0">{#N/A,#N/A,FALSE,"Volume"}</definedName>
    <definedName name="_e4" localSheetId="13" hidden="0" function="0" vbProcedure="0">{#N/A,#N/A,FALSE,"Volume"}</definedName>
    <definedName name="_f1" localSheetId="13" hidden="0" function="0" vbProcedure="0">{#N/A,#N/A,FALSE,"Volume"}</definedName>
    <definedName name="_f2" localSheetId="13" hidden="0" function="0" vbProcedure="0">{#N/A,#N/A,FALSE,"Volume"}</definedName>
    <definedName name="_f3" localSheetId="13" hidden="0" function="0" vbProcedure="0">{#N/A,#N/A,FALSE,"Volume"}</definedName>
    <definedName name="_f4" localSheetId="13" hidden="0" function="0" vbProcedure="0">{#N/A,#N/A,FALSE,"Volume"}</definedName>
    <definedName name="_f5" localSheetId="13" hidden="0" function="0" vbProcedure="0">{#N/A,#N/A,FALSE,"Volume"}</definedName>
    <definedName name="_f6" localSheetId="13" hidden="0" function="0" vbProcedure="0">{#N/A,#N/A,FALSE,"Volume"}</definedName>
    <definedName name="_f7" localSheetId="13" hidden="0" function="0" vbProcedure="0">{#N/A,#N/A,FALSE,"Volume"}</definedName>
    <definedName name="_Fill" localSheetId="13" hidden="1" function="0" vbProcedure="0">#ref!</definedName>
    <definedName name="_gmh1" localSheetId="13" hidden="1" function="0" vbProcedure="0">{#N/A,#N/A,FALSE,"Sheet1"}</definedName>
    <definedName name="_i" localSheetId="13" hidden="0" function="0" vbProcedure="0">{#N/A,#N/A,FALSE,"Volume"}</definedName>
    <definedName name="_JE" localSheetId="13" hidden="0" function="0" vbProcedure="0">#ref!</definedName>
    <definedName name="_Key1" localSheetId="13" hidden="1" function="0" vbProcedure="0">#ref!</definedName>
    <definedName name="_lyc7" localSheetId="13" hidden="0" function="0" vbProcedure="0">[119]钻井日报表!$G$5</definedName>
    <definedName name="_Mes1" localSheetId="13" hidden="0" function="0" vbProcedure="0">#ref!</definedName>
    <definedName name="_Mes2" localSheetId="13" hidden="0" function="0" vbProcedure="0">#ref!</definedName>
    <definedName name="_Mes3" localSheetId="13" hidden="0" function="0" vbProcedure="0">#ref!</definedName>
    <definedName name="_Mes4" localSheetId="13" hidden="0" function="0" vbProcedure="0">#ref!</definedName>
    <definedName name="_num15" localSheetId="13" hidden="0" function="0" vbProcedure="0">'[33]data '!#ref!</definedName>
    <definedName name="_Order2" localSheetId="13" hidden="1" function="0" vbProcedure="0">255</definedName>
    <definedName name="_P1" localSheetId="13" hidden="0" function="0" vbProcedure="0">{#N/A,#N/A,FALSE,"Volume"}</definedName>
    <definedName name="_P2" localSheetId="13" hidden="0" function="0" vbProcedure="0">{#N/A,#N/A,FALSE,"Volume"}</definedName>
    <definedName name="_P3" localSheetId="13" hidden="0" function="0" vbProcedure="0">{#N/A,#N/A,FALSE,"Volume"}</definedName>
    <definedName name="_P4" localSheetId="13" hidden="0" function="0" vbProcedure="0">{#N/A,#N/A,FALSE,"Volume"}</definedName>
    <definedName name="_pap1" localSheetId="13" hidden="0" function="0" vbProcedure="0">{#N/A,#N/A,FALSE,"Volume"}</definedName>
    <definedName name="_pap2" localSheetId="13" hidden="0" function="0" vbProcedure="0">{#N/A,#N/A,FALSE,"Volume"}</definedName>
    <definedName name="_pap3" localSheetId="13" hidden="0" function="0" vbProcedure="0">{#N/A,#N/A,FALSE,"Volume"}</definedName>
    <definedName name="_pap4" localSheetId="13" hidden="0" function="0" vbProcedure="0">{#N/A,#N/A,FALSE,"Volume"}</definedName>
    <definedName name="_pap5" localSheetId="13" hidden="0" function="0" vbProcedure="0">{#N/A,#N/A,FALSE,"Volume"}</definedName>
    <definedName name="_PPH1" localSheetId="13" hidden="0" function="0" vbProcedure="0">[43]!Calculate_Pipe</definedName>
    <definedName name="_r06" localSheetId="13" hidden="0" function="0" vbProcedure="0">[44]!AutoCAD</definedName>
    <definedName name="_Regression_Out" localSheetId="13" hidden="1" function="0" vbProcedure="0">#ref!</definedName>
    <definedName name="_Regression_X" localSheetId="13" hidden="1" function="0" vbProcedure="0">#ref!</definedName>
    <definedName name="_Regression_Y" localSheetId="13" hidden="1" function="0" vbProcedure="0">#ref!</definedName>
    <definedName name="_Rmk1" localSheetId="13" hidden="0" function="0" vbProcedure="0">#ref!</definedName>
    <definedName name="_Rmk11" localSheetId="13" hidden="0" function="0" vbProcedure="0">#ref!</definedName>
    <definedName name="_Rmk12" localSheetId="13" hidden="0" function="0" vbProcedure="0">#ref!</definedName>
    <definedName name="_Rmk13" localSheetId="13" hidden="0" function="0" vbProcedure="0">#ref!</definedName>
    <definedName name="_Rmk14" localSheetId="13" hidden="0" function="0" vbProcedure="0">#ref!</definedName>
    <definedName name="_Rmk15" localSheetId="13" hidden="0" function="0" vbProcedure="0">#ref!</definedName>
    <definedName name="_Rmk16" localSheetId="13" hidden="0" function="0" vbProcedure="0">#ref!</definedName>
    <definedName name="_Rmk17" localSheetId="13" hidden="0" function="0" vbProcedure="0">#ref!</definedName>
    <definedName name="_Rmk18" localSheetId="13" hidden="0" function="0" vbProcedure="0">#ref!</definedName>
    <definedName name="_Rmk19" localSheetId="13" hidden="0" function="0" vbProcedure="0">#ref!</definedName>
    <definedName name="_Rmk2" localSheetId="13" hidden="0" function="0" vbProcedure="0">#ref!</definedName>
    <definedName name="_Rmk3" localSheetId="13" hidden="0" function="0" vbProcedure="0">#ref!</definedName>
    <definedName name="_Rmk4" localSheetId="13" hidden="0" function="0" vbProcedure="0">#ref!</definedName>
    <definedName name="_Rmk5" localSheetId="13" hidden="0" function="0" vbProcedure="0">#ref!</definedName>
    <definedName name="_Rmk6" localSheetId="13" hidden="0" function="0" vbProcedure="0">#ref!</definedName>
    <definedName name="_Rmk7" localSheetId="13" hidden="0" function="0" vbProcedure="0">#ref!</definedName>
    <definedName name="_Rmk8" localSheetId="13" hidden="0" function="0" vbProcedure="0">#ref!</definedName>
    <definedName name="_Rmk9" localSheetId="13" hidden="0" function="0" vbProcedure="0">#ref!</definedName>
    <definedName name="_Sort" localSheetId="13" hidden="1" function="0" vbProcedure="0">#ref!</definedName>
    <definedName name="_SPM1" localSheetId="13" hidden="0" function="0" vbProcedure="0">[18]!Macro1</definedName>
    <definedName name="_SSA1" localSheetId="13" hidden="0" function="0" vbProcedure="0">[46]!Macro46</definedName>
    <definedName name="_Table1_In1" localSheetId="13" hidden="1" function="0" vbProcedure="0">[103]Run!$E$575</definedName>
    <definedName name="_Table1_Out" localSheetId="13" hidden="1" function="0" vbProcedure="0">[103]Run!$C$16:$E$577</definedName>
    <definedName name="_Table2_In1" localSheetId="13" hidden="1" function="0" vbProcedure="0">#ref!</definedName>
    <definedName name="_Table2_Out" localSheetId="13" hidden="1" function="0" vbProcedure="0">#ref!</definedName>
    <definedName name="_TST2" localSheetId="13" hidden="0" function="0" vbProcedure="0">'[11]Liner Job Info'!$O$7</definedName>
    <definedName name="_UA38" localSheetId="13" hidden="0" function="0" vbProcedure="0">DATA!_UA38</definedName>
    <definedName name="_wrn1" localSheetId="13" hidden="0" function="0" vbProcedure="0">{#N/A,#N/A,FALSE,"Volume"}</definedName>
    <definedName name="_x" localSheetId="13" hidden="0" function="0" vbProcedure="0">{#N/A,#N/A,FALSE,"Volume"}</definedName>
    <definedName name="_xa" localSheetId="13" hidden="0" function="0" vbProcedure="0">{#N/A,#N/A,FALSE,"Volume"}</definedName>
    <definedName name="_xb" localSheetId="13" hidden="0" function="0" vbProcedure="0">{#N/A,#N/A,FALSE,"Volume"}</definedName>
    <definedName name="_xc" localSheetId="13" hidden="0" function="0" vbProcedure="0">{#N/A,#N/A,FALSE,"Volume"}</definedName>
    <definedName name="_xlnm.Database" localSheetId="13" hidden="0" function="0" vbProcedure="0">#ref!</definedName>
    <definedName name="_z" localSheetId="13" hidden="0" function="0" vbProcedure="0">{#N/A,#N/A,FALSE,"Volume"}</definedName>
    <definedName name="_z1" localSheetId="13" hidden="0" function="0" vbProcedure="0">{#N/A,#N/A,FALSE,"Volume"}</definedName>
    <definedName name="_z2" localSheetId="13" hidden="0" function="0" vbProcedure="0">{#N/A,#N/A,FALSE,"Volume"}</definedName>
    <definedName name="_z3" localSheetId="13" hidden="0" function="0" vbProcedure="0">{#N/A,#N/A,FALSE,"Volume"}</definedName>
    <definedName name="_z4" localSheetId="13" hidden="0" function="0" vbProcedure="0">{#N/A,#N/A,FALSE,"Volume"}</definedName>
    <definedName name="__" localSheetId="13" hidden="0" function="0" vbProcedure="0">'[113]#REF'!$E$29</definedName>
    <definedName name="__123Graph_A" localSheetId="13" hidden="1" function="0" vbProcedure="0">[103]Run!$B$18:$B$512</definedName>
    <definedName name="__123Graph_B" localSheetId="13" hidden="1" function="0" vbProcedure="0">'[102]Minimum Curve Method'!$K$9:$K$152</definedName>
    <definedName name="__123Graph_C" localSheetId="13" hidden="1" function="0" vbProcedure="0">[103]Run!$C$16:$C$512</definedName>
    <definedName name="__123Graph_D" localSheetId="13" hidden="1" function="0" vbProcedure="0">[103]Run!$D$15:$D$512</definedName>
    <definedName name="__123Graph_E" localSheetId="13" hidden="1" function="0" vbProcedure="0">[103]Run!$E$16:$E$514</definedName>
    <definedName name="__123Graph_F" localSheetId="13" hidden="1" function="0" vbProcedure="0">[103]Run!$F$16:$F$514</definedName>
    <definedName name="__123Graph_X" localSheetId="13" hidden="1" function="0" vbProcedure="0">'[102]Minimum Curve Method'!$K$9:$K$152</definedName>
    <definedName name="__1Module2__2__.gaugeconok2" localSheetId="13" hidden="0" function="0" vbProcedure="0">DATA!__1Module2__2__.gaugeconok2</definedName>
    <definedName name="__2Module2__2__.gaugeok2" localSheetId="13" hidden="0" function="0" vbProcedure="0">DATA!__2Module2__2__.gaugeok2</definedName>
    <definedName name="__2__123Graph_ACHART_1" localSheetId="13" hidden="1" function="0" vbProcedure="0">[27]mkn06!#ref!</definedName>
    <definedName name="__2__123Graph_BCHART_1" localSheetId="13" hidden="1" function="0" vbProcedure="0">[21]mkn06!#ref!</definedName>
    <definedName name="__3Module2__2__.gaugeselect2" localSheetId="13" hidden="0" function="0" vbProcedure="0">DATA!__3Module2__2__.gaugeselect2</definedName>
    <definedName name="__3__123Graph_XCHART_1" localSheetId="13" hidden="1" function="0" vbProcedure="0">[21]mkn06!#ref!</definedName>
    <definedName name="__4Module2__2__.serialselect3" localSheetId="13" hidden="0" function="0" vbProcedure="0">DATA!__4Module2__2__.serialselect3</definedName>
    <definedName name="__4__123Graph_ACHART_2" localSheetId="13" hidden="1" function="0" vbProcedure="0">'[23]case sjac 19'!#ref!</definedName>
    <definedName name="__5Module2__2__.serialselect4" localSheetId="13" hidden="0" function="0" vbProcedure="0">DATA!__5Module2__2__.serialselect4</definedName>
    <definedName name="__5__123Graph_ACHART_2" localSheetId="13" hidden="1" function="0" vbProcedure="0">'[22]case sjac 19'!#ref!</definedName>
    <definedName name="__6__123Graph_BCHART_1" localSheetId="13" hidden="1" function="0" vbProcedure="0">[24]mkn06!#ref!</definedName>
    <definedName name="__8__123Graph_BCHART_2" localSheetId="13" hidden="1" function="0" vbProcedure="0">'[23]case sjac 19'!#ref!</definedName>
    <definedName name="__A4" localSheetId="13" hidden="1" function="0" vbProcedure="0">[179]Run!$B$18:$B$512</definedName>
    <definedName name="__bb2789" localSheetId="13" hidden="0" function="0" vbProcedure="0">[10]!Calculate_Pipe</definedName>
    <definedName name="__Csg1" localSheetId="13" hidden="0" function="0" vbProcedure="0">#ref!</definedName>
    <definedName name="__Csg2" localSheetId="13" hidden="0" function="0" vbProcedure="0">#ref!</definedName>
    <definedName name="__Csg3" localSheetId="13" hidden="0" function="0" vbProcedure="0">#ref!</definedName>
    <definedName name="__gas1013" localSheetId="13" hidden="0" function="0" vbProcedure="0">'[30]calculo de gas total'!#ref!</definedName>
    <definedName name="__GAS1016" localSheetId="13" hidden="0" function="0" vbProcedure="0">'[31]calculo de gas total'!#ref!</definedName>
    <definedName name="__GAS1017" localSheetId="13" hidden="0" function="0" vbProcedure="0">'[31]calculo de gas total'!#ref!</definedName>
    <definedName name="__GAS1101" localSheetId="13" hidden="0" function="0" vbProcedure="0">'[31]calculo de gas total'!#ref!</definedName>
    <definedName name="__GAS1102" localSheetId="13" hidden="0" function="0" vbProcedure="0">'[31]calculo de gas total'!#ref!</definedName>
    <definedName name="__Mes1" localSheetId="13" hidden="0" function="0" vbProcedure="0">#ref!</definedName>
    <definedName name="__Mes2" localSheetId="13" hidden="0" function="0" vbProcedure="0">#ref!</definedName>
    <definedName name="__Mes3" localSheetId="13" hidden="0" function="0" vbProcedure="0">#ref!</definedName>
    <definedName name="__Mes4" localSheetId="13" hidden="0" function="0" vbProcedure="0">#ref!</definedName>
    <definedName name="__PET1" localSheetId="13" hidden="0" function="0" vbProcedure="0">#ref!</definedName>
    <definedName name="__REG1773" localSheetId="13" hidden="0" function="0" vbProcedure="0">'[31]calculo de gas total'!#ref!</definedName>
    <definedName name="__Rmk1" localSheetId="13" hidden="0" function="0" vbProcedure="0">#ref!</definedName>
    <definedName name="__Rmk11" localSheetId="13" hidden="0" function="0" vbProcedure="0">#ref!</definedName>
    <definedName name="__Rmk12" localSheetId="13" hidden="0" function="0" vbProcedure="0">#ref!</definedName>
    <definedName name="__Rmk13" localSheetId="13" hidden="0" function="0" vbProcedure="0">#ref!</definedName>
    <definedName name="__Rmk14" localSheetId="13" hidden="0" function="0" vbProcedure="0">#ref!</definedName>
    <definedName name="__Rmk15" localSheetId="13" hidden="0" function="0" vbProcedure="0">#ref!</definedName>
    <definedName name="__Rmk16" localSheetId="13" hidden="0" function="0" vbProcedure="0">#ref!</definedName>
    <definedName name="__Rmk17" localSheetId="13" hidden="0" function="0" vbProcedure="0">#ref!</definedName>
    <definedName name="__Rmk18" localSheetId="13" hidden="0" function="0" vbProcedure="0">#ref!</definedName>
    <definedName name="__Rmk19" localSheetId="13" hidden="0" function="0" vbProcedure="0">#ref!</definedName>
    <definedName name="__Rmk2" localSheetId="13" hidden="0" function="0" vbProcedure="0">#ref!</definedName>
    <definedName name="__Rmk3" localSheetId="13" hidden="0" function="0" vbProcedure="0">#ref!</definedName>
    <definedName name="__Rmk4" localSheetId="13" hidden="0" function="0" vbProcedure="0">#ref!</definedName>
    <definedName name="__Rmk5" localSheetId="13" hidden="0" function="0" vbProcedure="0">#ref!</definedName>
    <definedName name="__Rmk6" localSheetId="13" hidden="0" function="0" vbProcedure="0">#ref!</definedName>
    <definedName name="__Rmk7" localSheetId="13" hidden="0" function="0" vbProcedure="0">#ref!</definedName>
    <definedName name="__Rmk8" localSheetId="13" hidden="0" function="0" vbProcedure="0">#ref!</definedName>
    <definedName name="__Rmk9" localSheetId="13" hidden="0" function="0" vbProcedure="0">#ref!</definedName>
    <definedName name="__SPM1" localSheetId="13" hidden="0" function="0" vbProcedure="0">[18]!Macro1</definedName>
    <definedName name="__UA38" localSheetId="13" hidden="0" function="0" vbProcedure="0">DATA!__UA38</definedName>
    <definedName name="__wrn1" localSheetId="13" hidden="0" function="0" vbProcedure="0">{#N/A,#N/A,FALSE,"Volume"}</definedName>
    <definedName name="___A4" localSheetId="13" hidden="1" function="0" vbProcedure="0">[179]Run!$B$18:$B$512</definedName>
    <definedName name="___bb2789" localSheetId="13" hidden="0" function="0" vbProcedure="0">[10]!Calculate_Pipe</definedName>
    <definedName name="___SPM1" localSheetId="13" hidden="0" function="0" vbProcedure="0">[18]!Macro1</definedName>
    <definedName name="___wrn1" localSheetId="13" hidden="0" function="0" vbProcedure="0">{#N/A,#N/A,FALSE,"Volume"}</definedName>
    <definedName name="____A4" localSheetId="13" hidden="1" function="0" vbProcedure="0">[179]Run!$B$18:$B$512</definedName>
    <definedName name="____bb2789" localSheetId="13" hidden="0" function="0" vbProcedure="0">[10]!Calculate_Pipe</definedName>
    <definedName name="____SPM1" localSheetId="13" hidden="0" function="0" vbProcedure="0">[18]!Macro1</definedName>
    <definedName name="____wrn1" localSheetId="13" hidden="0" function="0" vbProcedure="0">{#N/A,#N/A,FALSE,"Volume"}</definedName>
    <definedName name="_____A4" localSheetId="13" hidden="1" function="0" vbProcedure="0">[179]Run!$B$18:$B$512</definedName>
    <definedName name="_____bb2789" localSheetId="13" hidden="0" function="0" vbProcedure="0">[16]!Calculate_Pipe</definedName>
    <definedName name="_____SPM1" localSheetId="13" hidden="0" function="0" vbProcedure="0">[18]!Macro1</definedName>
    <definedName name="_____wrn1" localSheetId="13" hidden="0" function="0" vbProcedure="0">{#N/A,#N/A,FALSE,"Volume"}</definedName>
    <definedName name="______A4" localSheetId="13" hidden="1" function="0" vbProcedure="0">[179]Run!$B$18:$B$512</definedName>
    <definedName name="______bb2789" localSheetId="13" hidden="0" function="0" vbProcedure="0">[16]!Calculate_Pipe</definedName>
    <definedName name="______SPM1" localSheetId="13" hidden="0" function="0" vbProcedure="0">[18]!Macro1</definedName>
    <definedName name="_______A4" localSheetId="13" hidden="1" function="0" vbProcedure="0">[179]Run!$B$18:$B$512</definedName>
    <definedName name="_______bb2789" localSheetId="13" hidden="0" function="0" vbProcedure="0">[16]!Calculate_Pipe</definedName>
    <definedName name="_______wrn1" localSheetId="13" hidden="0" function="0" vbProcedure="0">{#N/A,#N/A,FALSE,"Volume"}</definedName>
    <definedName name="________A4" localSheetId="13" hidden="1" function="0" vbProcedure="0">[179]Run!$B$18:$B$512</definedName>
    <definedName name="________bb2789" localSheetId="13" hidden="0" function="0" vbProcedure="0">[16]!Calculate_Pipe</definedName>
    <definedName name="_________A4" localSheetId="13" hidden="1" function="0" vbProcedure="0">[179]Run!$B$18:$B$512</definedName>
    <definedName name="_________bb2789" localSheetId="13" hidden="0" function="0" vbProcedure="0">[16]!Calculate_Pipe</definedName>
    <definedName name="_________wrn1" localSheetId="13" hidden="0" function="0" vbProcedure="0">{#N/A,#N/A,FALSE,"Volume"}</definedName>
    <definedName name="__________A4" localSheetId="13" hidden="1" function="0" vbProcedure="0">[179]Run!$B$18:$B$512</definedName>
    <definedName name="__________bb2789" localSheetId="13" hidden="0" function="0" vbProcedure="0">[16]!Calculate_Pipe</definedName>
    <definedName name="___________A4" localSheetId="13" hidden="1" function="0" vbProcedure="0">[179]Run!$B$18:$B$512</definedName>
    <definedName name="___________bb2789" localSheetId="13" hidden="0" function="0" vbProcedure="0">[16]!Calculate_Pipe</definedName>
    <definedName name="___________wrn1" localSheetId="13" hidden="0" function="0" vbProcedure="0">{#N/A,#N/A,FALSE,"Volume"}</definedName>
    <definedName name="____________A4" localSheetId="13" hidden="1" function="0" vbProcedure="0">[179]Run!$B$18:$B$512</definedName>
    <definedName name="____________bb2789" localSheetId="13" hidden="0" function="0" vbProcedure="0">[16]!Calculate_Pipe</definedName>
    <definedName name="____________wrn1" localSheetId="13" hidden="0" function="0" vbProcedure="0">{#N/A,#N/A,FALSE,"Volume"}</definedName>
    <definedName name="_____________A4" localSheetId="13" hidden="1" function="0" vbProcedure="0">[179]Run!$B$18:$B$512</definedName>
    <definedName name="_____________bb2789" localSheetId="13" hidden="0" function="0" vbProcedure="0">[16]!Calculate_Pipe</definedName>
    <definedName name="______________A4" localSheetId="13" hidden="1" function="0" vbProcedure="0">[179]Run!$B$18:$B$512</definedName>
    <definedName name="______________bb2789" localSheetId="13" hidden="0" function="0" vbProcedure="0">[16]!Calculate_Pipe</definedName>
    <definedName name="_______________A4" localSheetId="13" hidden="1" function="0" vbProcedure="0">[179]Run!$B$18:$B$512</definedName>
    <definedName name="_______________bb2789" localSheetId="13" hidden="0" function="0" vbProcedure="0">[16]!Calculate_Pipe</definedName>
    <definedName name="________________A4" localSheetId="13" hidden="1" function="0" vbProcedure="0">[179]Run!$B$18:$B$512</definedName>
    <definedName name="________________bb2789" localSheetId="13" hidden="0" function="0" vbProcedure="0">[10]!Calculate_Pipe</definedName>
    <definedName name="_________________A4" localSheetId="13" hidden="1" function="0" vbProcedure="0">[179]Run!$B$18:$B$512</definedName>
    <definedName name="_________________bb2789" localSheetId="13" hidden="0" function="0" vbProcedure="0">[10]!Calculate_Pipe</definedName>
    <definedName name="__________________A4" localSheetId="13" hidden="1" function="0" vbProcedure="0">[179]Run!$B$18:$B$512</definedName>
    <definedName name="__________________bb2789" localSheetId="13" hidden="0" function="0" vbProcedure="0">[12]!Calculate_Pipe</definedName>
    <definedName name="___________________A4" localSheetId="13" hidden="1" function="0" vbProcedure="0">[179]Run!$B$18:$B$512</definedName>
    <definedName name="___________________bb2789" localSheetId="13" hidden="0" function="0" vbProcedure="0">[12]!Calculate_Pipe</definedName>
    <definedName name="____________________A4" localSheetId="13" hidden="1" function="0" vbProcedure="0">[191]Run!$B$18:$B$512</definedName>
    <definedName name="____________________bb2789" localSheetId="13" hidden="0" function="0" vbProcedure="0">[10]!Calculate_Pipe</definedName>
    <definedName name="_____________________A4" localSheetId="13" hidden="1" function="0" vbProcedure="0">[179]Run!$B$18:$B$512</definedName>
    <definedName name="_____________________bb2789" localSheetId="13" hidden="0" function="0" vbProcedure="0">[13]!Calculate_Pipe</definedName>
    <definedName name="______________________A4" localSheetId="13" hidden="1" function="0" vbProcedure="0">[179]Run!$B$18:$B$512</definedName>
    <definedName name="______________________bb2789" localSheetId="13" hidden="0" function="0" vbProcedure="0">[10]!Calculate_Pipe</definedName>
    <definedName name="_______________________A4" localSheetId="13" hidden="1" function="0" vbProcedure="0">[191]Run!$B$18:$B$512</definedName>
    <definedName name="_______________________bb2789" localSheetId="13" hidden="0" function="0" vbProcedure="0">[10]!Calculate_Pipe</definedName>
    <definedName name="________________________A4" localSheetId="13" hidden="1" function="0" vbProcedure="0">[179]Run!$B$18:$B$512</definedName>
    <definedName name="________________________bb2789" localSheetId="13" hidden="0" function="0" vbProcedure="0">[12]!Calculate_Pipe</definedName>
    <definedName name="_________________________bb2789" localSheetId="13" hidden="0" function="0" vbProcedure="0">[10]!Calculate_Pipe</definedName>
    <definedName name="__________________________A4" localSheetId="13" hidden="1" function="0" vbProcedure="0">[191]Run!$B$18:$B$512</definedName>
    <definedName name="歼击机" localSheetId="13" hidden="0" function="0" vbProcedure="0">[192]钻井日报表!$E$7</definedName>
    <definedName name="起始日期" localSheetId="13" hidden="0" function="0" vbProcedure="0">[181]钻井日报表!$B$1</definedName>
    <definedName name="_xlnm.Print_Area" localSheetId="13">'DATA'!$A$1:$C$494</definedName>
    <definedName name="AA" localSheetId="14" hidden="0" function="0" vbProcedure="0">#ref!</definedName>
    <definedName name="ABX" localSheetId="14" hidden="1" function="0" vbProcedure="0">[103]Run!$B$18:$B$512</definedName>
    <definedName name="addresstwo" localSheetId="14" hidden="0" function="0" vbProcedure="0">[56]data!#ref!</definedName>
    <definedName name="ae" localSheetId="14" hidden="0" function="0" vbProcedure="0">'[104]forecast 3YP'!$AD$6</definedName>
    <definedName name="AFE19R"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4" hidden="0" function="0" vbProcedure="0">'[44]7-30-04'!$W$55:$IV$7457</definedName>
    <definedName name="AMACRO.n2foam" localSheetId="14" hidden="0" function="0" vbProcedure="0">'[64]tool backload dt'!amacro.n2foam</definedName>
    <definedName name="Ambient_temp" localSheetId="14" hidden="0" function="0" vbProcedure="0">'[7]#ref'!#ref!</definedName>
    <definedName name="amis" localSheetId="14" hidden="0" function="0" vbProcedure="0">[105]Tally!$A$5:$J$825</definedName>
    <definedName name="annularvol" localSheetId="14" hidden="0" function="0" vbProcedure="0">[106]Data!$F$13</definedName>
    <definedName name="Ao" localSheetId="14" hidden="0" function="0" vbProcedure="0">[107]Piston!$F$5</definedName>
    <definedName name="Ap" localSheetId="14" hidden="0" function="0" vbProcedure="0">[107]Piston!$F$6</definedName>
    <definedName name="Approver_Objectives" localSheetId="14" hidden="0" function="0" vbProcedure="0">'[73]well team goals'!#ref!</definedName>
    <definedName name="Approver_Well_Plan" localSheetId="14" hidden="0" function="0" vbProcedure="0">'[73]well team goals'!#ref!</definedName>
    <definedName name="assy.3" localSheetId="14" hidden="0" function="0" vbProcedure="0">[75]!Calculate_Pipe</definedName>
    <definedName name="ASSY2312" localSheetId="14" hidden="0" function="0" vbProcedure="0">[28]!Macro1</definedName>
    <definedName name="ASSY_122" localSheetId="14" hidden="0" function="0" vbProcedure="0">[28]!Macro1</definedName>
    <definedName name="ASSY_2111" localSheetId="14" hidden="0" function="0" vbProcedure="0">[28]!Macro1</definedName>
    <definedName name="ASSY_231" localSheetId="14" hidden="0" function="0" vbProcedure="0">[28]!Macro1</definedName>
    <definedName name="ASSY_342" localSheetId="14" hidden="0" function="0" vbProcedure="0">[28]!Macro1</definedName>
    <definedName name="ASSY_36" localSheetId="14" hidden="0" function="0" vbProcedure="0">[28]!Macro1</definedName>
    <definedName name="ASSY_4" localSheetId="14" hidden="0" function="0" vbProcedure="0">[28]!Macro1</definedName>
    <definedName name="ASSY_432" localSheetId="14" hidden="0" function="0" vbProcedure="0">[28]!Macro1</definedName>
    <definedName name="AutoCAD" localSheetId="14" hidden="0" function="0" vbProcedure="0">[44]!AutoCAD</definedName>
    <definedName name="AutoCAD_1" localSheetId="14" hidden="0" function="0" vbProcedure="0">[28]!AutoCAD</definedName>
    <definedName name="AutoCAD_10" localSheetId="14" hidden="0" function="0" vbProcedure="0">[28]!AutoCAD</definedName>
    <definedName name="AutoCAD_11" localSheetId="14" hidden="0" function="0" vbProcedure="0">[28]!AutoCAD</definedName>
    <definedName name="AutoCAD_2" localSheetId="14" hidden="0" function="0" vbProcedure="0">[28]!AutoCAD</definedName>
    <definedName name="AutoCAD_3" localSheetId="14" hidden="0" function="0" vbProcedure="0">[28]!AutoCAD</definedName>
    <definedName name="AutoCAD_4" localSheetId="14" hidden="0" function="0" vbProcedure="0">[28]!AutoCAD</definedName>
    <definedName name="AutoCAD_5" localSheetId="14" hidden="0" function="0" vbProcedure="0">[28]!AutoCAD</definedName>
    <definedName name="AutoCAD_6" localSheetId="14" hidden="0" function="0" vbProcedure="0">[28]!AutoCAD</definedName>
    <definedName name="AutoCAD_7" localSheetId="14" hidden="0" function="0" vbProcedure="0">[28]!AutoCAD</definedName>
    <definedName name="AutoCAD_8" localSheetId="14" hidden="0" function="0" vbProcedure="0">[28]!AutoCAD</definedName>
    <definedName name="AutoCAD_9" localSheetId="14" hidden="0" function="0" vbProcedure="0">[28]!AutoCAD</definedName>
    <definedName name="Aux_BHA_ID" localSheetId="14" hidden="0" function="0" vbProcedure="0">'[108]Job Calculation Sheet'!$F$20</definedName>
    <definedName name="Aux_BHA_OD" localSheetId="14" hidden="0" function="0" vbProcedure="0">'[108]Job Calculation Sheet'!$E$20</definedName>
    <definedName name="AvgJoint" localSheetId="14" hidden="0" function="0" vbProcedure="0">[109]DATA!$BO$2:$BO$9</definedName>
    <definedName name="AvgLength" localSheetId="14" hidden="0" function="0" vbProcedure="0">'[79]casing talley'!#ref!</definedName>
    <definedName name="axj" localSheetId="14" hidden="1" function="0" vbProcedure="0">{#N/A,#N/A,FALSE,"Sheet1"}</definedName>
    <definedName name="A_L" localSheetId="14" hidden="0" function="0" vbProcedure="0">'[50]12(762mm)套管'!#ref!</definedName>
    <definedName name="back" localSheetId="14" hidden="0" function="0" vbProcedure="0">'[64]tool backload dt'!back</definedName>
    <definedName name="BallMaterial" localSheetId="14" hidden="0" function="0" vbProcedure="0">[109]DATA!$BL$2:$BL$11</definedName>
    <definedName name="Ballooning_Area" localSheetId="14" hidden="0" function="0" vbProcedure="0">[109]Test!$M$18</definedName>
    <definedName name="Ballseat" localSheetId="14" hidden="0" function="0" vbProcedure="0">[109]DATA!$AG$2:$AG$9</definedName>
    <definedName name="BallSize" localSheetId="14" hidden="0" function="0" vbProcedure="0">[109]DATA!$BF$3:$BF$8</definedName>
    <definedName name="basicok" localSheetId="14" hidden="0" function="0" vbProcedure="0">[28]!basicok</definedName>
    <definedName name="BBB" localSheetId="14" hidden="0" function="0" vbProcedure="0">'[110]DD Worksheet'!$C$1</definedName>
    <definedName name="bbllm3" localSheetId="14" hidden="0" function="0" vbProcedure="0">'[109]Metric Conversions'!$B$69</definedName>
    <definedName name="bblstk" localSheetId="14" hidden="0" function="0" vbProcedure="0">'[109]Displacement Cal.'!$B$7</definedName>
    <definedName name="BD" localSheetId="14" hidden="0" function="0" vbProcedure="0">INDEX([111]DRAW!$A$2:$B$13,MATCH([112]AUTO_DHWS!$AV$15,[111]DRAW!$A$2:$A$13,0),2)</definedName>
    <definedName name="BD_SC" localSheetId="14" hidden="0" function="0" vbProcedure="0">INDEX([111]DRAW!$A$2:$B$13,MATCH([112]AUTO_DHWS!$AV$16,[111]DRAW!$A$2:$A$13,0),2)</definedName>
    <definedName name="BD_TB" localSheetId="14" hidden="0" function="0" vbProcedure="0">INDEX([111]DRAW!$A$2:$B$13,MATCH([112]AUTO_DHWS!$AV$9,[111]DRAW!$A$2:$A$13,0),2)</definedName>
    <definedName name="bgn" localSheetId="14" hidden="1" function="0" vbProcedure="0">{#N/A,#N/A,FALSE,"Sheet1"}</definedName>
    <definedName name="BHT" localSheetId="14" hidden="0" function="0" vbProcedure="0">'[94]Job Technical Info'!$D$42</definedName>
    <definedName name="Bitsize" localSheetId="14" hidden="0" function="0" vbProcedure="0">[109]DATA!$L$2:$L$41</definedName>
    <definedName name="bj_stroke" localSheetId="14" hidden="0" function="0" vbProcedure="0">'[109]Metric Conversions'!$B$35</definedName>
    <definedName name="bj_strokez" localSheetId="14" hidden="0" function="0" vbProcedure="0">'[109]Metric Conversions'!$C$35</definedName>
    <definedName name="BJ_Tens" localSheetId="14" hidden="0" function="0" vbProcedure="0">'[109]Liner Job Info'!$P$45</definedName>
    <definedName name="blanklength" localSheetId="14" hidden="0" function="0" vbProcedure="0">'[113]#REF'!$J$13</definedName>
    <definedName name="blankod" localSheetId="14" hidden="0" function="0" vbProcedure="0">'[113]#REF'!$F$13</definedName>
    <definedName name="BLANK_COVERED_NV" localSheetId="14" hidden="0" function="0" vbProcedure="0">'[113]#REF'!$G$111</definedName>
    <definedName name="BLANK_LENGTH" localSheetId="14" hidden="0" function="0" vbProcedure="0">'[113]#REF'!$J$13</definedName>
    <definedName name="BLANK_OD" localSheetId="14" hidden="0" function="0" vbProcedure="0">'[113]#REF'!$F$13</definedName>
    <definedName name="block" localSheetId="14" hidden="0" function="0" vbProcedure="0">[5]WTR!$I$5</definedName>
    <definedName name="Block_Field" localSheetId="14" hidden="0" function="0" vbProcedure="0">'[108]Pre-Job Info Sheet'!$D$7</definedName>
    <definedName name="BLock_TD_Wt" localSheetId="14" hidden="0" function="0" vbProcedure="0">'[30]Liner Job Info'!$D$33</definedName>
    <definedName name="Block_Wt" localSheetId="14" hidden="0" function="0" vbProcedure="0">'[109]Weight Calculations'!$H$14</definedName>
    <definedName name="bOB" localSheetId="14" hidden="0" function="0" vbProcedure="0">[114]Volumes!$K$1:$Y$76</definedName>
    <definedName name="BOT" localSheetId="14" hidden="0" function="0" vbProcedure="0">'[94]Job Technical Info'!$A$4</definedName>
    <definedName name="Bottom_Hole_Temp." localSheetId="14" hidden="0" function="0" vbProcedure="0">'[108]Pre-Job Info Sheet'!$B$34</definedName>
    <definedName name="Bottom_Perforation" localSheetId="14" hidden="0" function="0" vbProcedure="0">'[108]Pre-Job Info Sheet'!$B$29</definedName>
    <definedName name="Bottom_Shot" localSheetId="14" hidden="0" function="0" vbProcedure="0">'[108]TCP-BHA'!$H$36</definedName>
    <definedName name="BPLimit" localSheetId="14" hidden="0" function="0" vbProcedure="0">[86]!TubTable[[340]:[438]]</definedName>
    <definedName name="BR_Column" localSheetId="14" hidden="0" function="0" vbProcedure="0">null</definedName>
    <definedName name="BR_Unit" localSheetId="14" hidden="0" function="0" vbProcedure="0">null</definedName>
    <definedName name="bs" localSheetId="14" hidden="0" function="0" vbProcedure="0">'[115]Max-Torq'!$Q$79</definedName>
    <definedName name="bsw" localSheetId="14" hidden="0" function="0" vbProcedure="0">'[96]well test sheet'!#ref!</definedName>
    <definedName name="Budget_owner" localSheetId="14" hidden="0" function="0" vbProcedure="0">'[73]well specification'!#ref!</definedName>
    <definedName name="Buoy_Factor" localSheetId="14" hidden="0" function="0" vbProcedure="0">'[30]Liner Job Info'!$D$32</definedName>
    <definedName name="bxf" localSheetId="14" hidden="0" function="0" vbProcedure="0">'[115]Max-Torq'!$P$62</definedName>
    <definedName name="BypassRate" localSheetId="14" hidden="0" function="0" vbProcedure="0">[86]!TubTable[[340]:[438]]</definedName>
    <definedName name="Ca" localSheetId="14" hidden="1" function="0" vbProcedure="0">{#N/A,#N/A,FALSE,"Drlg Param Run 1-1";#N/A,#N/A,FALSE,"DDR (3)";#N/A,#N/A,FALSE,"BHA AT (1)";#N/A,#N/A,FALSE,"Downlinkbha";#N/A,#N/A,FALSE,"Job Status Report"}</definedName>
    <definedName name="CABLE2_1" localSheetId="14" hidden="0" function="0" vbProcedure="0">INDEX([111]DRAW!$L$52:$M$54,MATCH([112]AUTO_DHWS!$AY$8,[111]DRAW!$L$52:$L$54,0),2)</definedName>
    <definedName name="CABLE2_2" localSheetId="14" hidden="0" function="0" vbProcedure="0">INDEX([111]DRAW!$L$52:$M$56,MATCH([112]AUTO_DHWS!$AY$9,[111]DRAW!$L$52:$L$56,0),2)</definedName>
    <definedName name="CABLE_1" localSheetId="14" hidden="0" function="0" vbProcedure="0">INDEX([111]DRAW!$L$52:$M$53,MATCH([112]AUTO_DHWS!$AY$4,[111]DRAW!$L$52:$L$53,0),2)</definedName>
    <definedName name="CABLE_2" localSheetId="14" hidden="0" function="0" vbProcedure="0">INDEX([111]DRAW!$L$52:$M$56,MATCH([112]AUTO_DHWS!$AY$5,[111]DRAW!$L$52:$L$56,0),2)</definedName>
    <definedName name="CABLE_3" localSheetId="14" hidden="0" function="0" vbProcedure="0">INDEX([111]DRAW!$M$57:$N$63,MATCH([112]AUTO_DHWS!$AY$6,[111]DRAW!$M$57:$M$63,0),2)</definedName>
    <definedName name="Calculate_Pipe" localSheetId="14" hidden="0" function="0" vbProcedure="0">[99]!Calculate_Pipe</definedName>
    <definedName name="Capacities" localSheetId="14"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4" hidden="0" function="0" vbProcedure="0">'[113]#REF'!$G$188</definedName>
    <definedName name="CARRIER_FL_WT" localSheetId="14" hidden="0" function="0" vbProcedure="0">'[113]#REF'!$F$67</definedName>
    <definedName name="CARR_FL_VISCOSITY" localSheetId="14" hidden="0" function="0" vbProcedure="0">'[113]#REF'!$I$106</definedName>
    <definedName name="CARR_FL_VOL_PREPACK" localSheetId="14" hidden="0" function="0" vbProcedure="0">'[113]#REF'!$F$47</definedName>
    <definedName name="Carr_fl_wt_prepack" localSheetId="14" hidden="0" function="0" vbProcedure="0">'[113]#REF'!$F$46</definedName>
    <definedName name="casingcolumn" localSheetId="14" hidden="0" function="0" vbProcedure="0">[106]Data!$J$17</definedName>
    <definedName name="casingid" localSheetId="14" hidden="0" function="0" vbProcedure="0">'[113]#REF'!$H$11</definedName>
    <definedName name="casingidref" localSheetId="14" hidden="0" function="0" vbProcedure="0">[106]Data!$GC$1</definedName>
    <definedName name="casinginfuserate" localSheetId="14" hidden="0" function="0" vbProcedure="0">'[113]#REF'!$K$50</definedName>
    <definedName name="casingliner" localSheetId="14" hidden="0" function="0" vbProcedure="0">[106]Data!$E$45</definedName>
    <definedName name="casingod" localSheetId="14" hidden="0" function="0" vbProcedure="0">'[113]#REF'!$F$11</definedName>
    <definedName name="CasingSize" localSheetId="14" hidden="0" function="0" vbProcedure="0">'[117]Well Installation Drawing'!$E$15</definedName>
    <definedName name="CasingWeight" localSheetId="14" hidden="0" function="0" vbProcedure="0">'[117]Well Installation Drawing'!$G$15</definedName>
    <definedName name="casingwt" localSheetId="14" hidden="0" function="0" vbProcedure="0">'[113]#REF'!$J$11</definedName>
    <definedName name="Casing_Collapsez" localSheetId="14" hidden="0" function="0" vbProcedure="0">'[109]Liner Job Info'!$J$14</definedName>
    <definedName name="Casing_I.D." localSheetId="14" hidden="0" function="0" vbProcedure="0">'[108]Job Calculation Sheet'!$F$13</definedName>
    <definedName name="Casing_Liner" localSheetId="14" hidden="0" function="0" vbProcedure="0">'[94]Installation Results #1'!$C$27</definedName>
    <definedName name="Casing_Size" localSheetId="14" hidden="0" function="0" vbProcedure="0">'[108]Pre-Job Info Sheet'!$D$15</definedName>
    <definedName name="Casing_Size_Weight" localSheetId="14" hidden="0" function="0" vbProcedure="0">'[108]TCP-BHA'!$I$5</definedName>
    <definedName name="Casing_Weight" localSheetId="14" hidden="0" function="0" vbProcedure="0">'[108]Pre-Job Info Sheet'!$D$16</definedName>
    <definedName name="CAS_BLNK_ANNULUS" localSheetId="14" hidden="0" function="0" vbProcedure="0">'[113]#REF'!$I$108</definedName>
    <definedName name="CAS_BLNK_VOL" localSheetId="14" hidden="0" function="0" vbProcedure="0">'[7]#ref'!#ref!</definedName>
    <definedName name="CAS_EXT_VOL" localSheetId="14" hidden="0" function="0" vbProcedure="0">'[7]#ref'!#ref!</definedName>
    <definedName name="CAS_ID" localSheetId="14" hidden="0" function="0" vbProcedure="0">'[113]#REF'!$H$11</definedName>
    <definedName name="CAS_OD" localSheetId="14" hidden="0" function="0" vbProcedure="0">'[113]#REF'!$J$11</definedName>
    <definedName name="CAS_SCR_VOL" localSheetId="14" hidden="0" function="0" vbProcedure="0">'[7]#ref'!#ref!</definedName>
    <definedName name="CAS_WT" localSheetId="14" hidden="0" function="0" vbProcedure="0">'[113]#REF'!$J$11</definedName>
    <definedName name="category" localSheetId="14" hidden="0" function="0" vbProcedure="0">[118]Sheet2!$A$70:$A$73</definedName>
    <definedName name="Cc" localSheetId="14" hidden="0" function="0" vbProcedure="0">0.3</definedName>
    <definedName name="ccc" localSheetId="14" hidden="0" function="0" vbProcedure="0">[119]钻井日报表!$I$7</definedName>
    <definedName name="cdr" localSheetId="14" hidden="0" function="0" vbProcedure="0">'[96]well test sheet'!#ref!</definedName>
    <definedName name="CDWimdbase" localSheetId="14" hidden="0" function="0" vbProcedure="0">'[120]CD''s'!$A$2:$G$374</definedName>
    <definedName name="CementCompany" localSheetId="14" hidden="0" function="0" vbProcedure="0">[109]DATA!$BJ$2:$BJ$8</definedName>
    <definedName name="CENG" localSheetId="14" hidden="0" function="0" vbProcedure="0">[193]Reference!$A$2:$A$4</definedName>
    <definedName name="Centralizers" localSheetId="14" hidden="0" function="0" vbProcedure="0">[109]DATA!$AI$2:$AI$9</definedName>
    <definedName name="cf" localSheetId="14" hidden="1" function="0" vbProcedure="0">{#N/A,#N/A,FALSE,"Sheet1"}</definedName>
    <definedName name="Chart" localSheetId="14" hidden="1" function="0" vbProcedure="0">{#N/A,#N/A,FALSE,"Sheet1"}</definedName>
    <definedName name="chart1" localSheetId="14" hidden="1" function="0" vbProcedure="0">{#N/A,#N/A,FALSE,"Sheet1"}</definedName>
    <definedName name="Chemmac" localSheetId="14" hidden="0" function="0" vbProcedure="0">'[64]tool backload dt'!chemmac</definedName>
    <definedName name="cim" localSheetId="14" hidden="0" function="0" vbProcedure="0">[117]!Calculate_Pipe</definedName>
    <definedName name="CIPMACRO.n2foam" localSheetId="14" hidden="0" function="0" vbProcedure="0">'[64]tool backload dt'!cipmacro.n2foam</definedName>
    <definedName name="circsqz" localSheetId="14" hidden="0" function="0" vbProcedure="0">[5]WTR!$M$86</definedName>
    <definedName name="CIR_RATE_RESTRESS" localSheetId="14" hidden="0" function="0" vbProcedure="0">'[113]#REF'!$I$109</definedName>
    <definedName name="CIV" localSheetId="14" hidden="0" function="0" vbProcedure="0">INDEX([111]DRAW!$A$2:$B$13,MATCH([112]AUTO_DHWS!$AV$10,[111]DRAW!$A$2:$A$13,0),2)</definedName>
    <definedName name="CIV_2" localSheetId="14" hidden="0" function="0" vbProcedure="0">INDEX([111]DRAW!$A$2:$B$14,MATCH([112]AUTO_DHWS!$AV$14,[111]DRAW!$A$2:$A$13,0),2)</definedName>
    <definedName name="CIV_PDHG" localSheetId="14" hidden="0" function="0" vbProcedure="0">INDEX([111]DRAW!$A$2:$B$13,MATCH([112]AUTO_DHWS!$AV$11,[111]DRAW!$A$2:$A$13,0),2)</definedName>
    <definedName name="CLFluid1" localSheetId="14" hidden="0" function="0" vbProcedure="0">'[94]Installation Results #1'!$E$270</definedName>
    <definedName name="CLFluid10" localSheetId="14" hidden="0" function="0" vbProcedure="0">'[94]Installation Results #1'!$E$279</definedName>
    <definedName name="CLFluid11" localSheetId="14" hidden="0" function="0" vbProcedure="0">'[94]Installation Results #1'!$E$280</definedName>
    <definedName name="CLFluid12" localSheetId="14" hidden="0" function="0" vbProcedure="0">'[94]Installation Results #1'!$E$281</definedName>
    <definedName name="CLFluid13" localSheetId="14" hidden="0" function="0" vbProcedure="0">'[94]Installation Results #1'!$E$282</definedName>
    <definedName name="CLFluid14" localSheetId="14" hidden="0" function="0" vbProcedure="0">'[94]Installation Results #1'!$E$283</definedName>
    <definedName name="CLFluid15" localSheetId="14" hidden="0" function="0" vbProcedure="0">'[94]Installation Results #1'!$E$284</definedName>
    <definedName name="CLFluid2" localSheetId="14" hidden="0" function="0" vbProcedure="0">'[94]Installation Results #1'!$E$271</definedName>
    <definedName name="CLFluid3" localSheetId="14" hidden="0" function="0" vbProcedure="0">'[94]Installation Results #1'!$E$272</definedName>
    <definedName name="CLFluid4" localSheetId="14" hidden="0" function="0" vbProcedure="0">'[94]Installation Results #1'!$E$273</definedName>
    <definedName name="CLFluid5" localSheetId="14" hidden="0" function="0" vbProcedure="0">'[94]Installation Results #1'!$E$274</definedName>
    <definedName name="CLFluid6" localSheetId="14" hidden="0" function="0" vbProcedure="0">'[94]Installation Results #1'!$E$275</definedName>
    <definedName name="CLFluid7" localSheetId="14" hidden="0" function="0" vbProcedure="0">'[94]Installation Results #1'!$E$276</definedName>
    <definedName name="CLFluid8" localSheetId="14" hidden="0" function="0" vbProcedure="0">'[94]Installation Results #1'!$E$277</definedName>
    <definedName name="CLFluid9" localSheetId="14" hidden="0" function="0" vbProcedure="0">'[94]Installation Results #1'!$E$278</definedName>
    <definedName name="Clist" localSheetId="14" hidden="0" function="0" vbProcedure="0">OFFSET(INDIRECT(ADDRESS(MATCH('DATA 1'!CL_Wt,'DATA 1'!Objects,0)+1,2,,,"Casing Info")),0,1,COUNTIF('DATA 1'!Objects,'DATA 1'!CL_Wt),1)</definedName>
    <definedName name="CL_Wt" localSheetId="14" hidden="0" function="0" vbProcedure="0">'[109]Database Pg1'!$E$28</definedName>
    <definedName name="Objects" localSheetId="14" hidden="0" function="0" vbProcedure="0">'[109]Casing Info'!$B$2:$B$241</definedName>
    <definedName name="Clist2" localSheetId="14" hidden="0" function="0" vbProcedure="0">OFFSET(INDIRECT(ADDRESS(MATCH('DATA 1'!Hsize2,'DATA 1'!Objects,0)+1,2,,,"Casing Info")),0,1,COUNTIF('DATA 1'!Objects,'DATA 1'!Hsize2),1)</definedName>
    <definedName name="Hsize2" localSheetId="14" hidden="0" function="0" vbProcedure="0">'[109]Database Pg1'!$G$81</definedName>
    <definedName name="Clist3" localSheetId="14" hidden="0" function="0" vbProcedure="0">OFFSET(INDIRECT(ADDRESS(MATCH('DATA 1'!Hsize3,'DATA 1'!Objects,0)+1,2,,,"Casing Info")),0,1,COUNTIF('DATA 1'!Objects,'DATA 1'!Hsize3),1)</definedName>
    <definedName name="Hsize3" localSheetId="14" hidden="0" function="0" vbProcedure="0">'[109]Database Pg1'!$G$83</definedName>
    <definedName name="CO2_" localSheetId="14" hidden="0" function="0" vbProcedure="0">'[94]Job Technical Info'!$L$42</definedName>
    <definedName name="CODELIST" localSheetId="14" hidden="0" function="0" vbProcedure="0">'[194]CODE SIN'!$A$3:$A$240</definedName>
    <definedName name="CODETAB" localSheetId="14" hidden="0" function="0" vbProcedure="0">'[194]CODE SIN'!$C$3:$AD$240</definedName>
    <definedName name="coections" localSheetId="14" hidden="0" function="0" vbProcedure="0">[28]!coections</definedName>
    <definedName name="COMP" localSheetId="14" hidden="0" function="0" vbProcedure="0">#ref!</definedName>
    <definedName name="company" localSheetId="14" hidden="0" function="0" vbProcedure="0">'[40]CPS Call Sheet'!$E$4</definedName>
    <definedName name="Company_Man" localSheetId="14" hidden="0" function="0" vbProcedure="0">'[62]Liner Job Info'!$E$7</definedName>
    <definedName name="Company_Name" localSheetId="14" hidden="0" function="0" vbProcedure="0">'[123]Liner Job Info'!$E$4</definedName>
    <definedName name="compfluidwt" localSheetId="14" hidden="0" function="0" vbProcedure="0">'[113]#REF'!$L$27</definedName>
    <definedName name="Compl._Fluid_Type" localSheetId="14" hidden="0" function="0" vbProcedure="0">'[108]Pre-Job Info Sheet'!$D$32</definedName>
    <definedName name="Compl._Fluid_Wt." localSheetId="14" hidden="0" function="0" vbProcedure="0">'[108]Pre-Job Info Sheet'!$D$33</definedName>
    <definedName name="COMPL_FL_VOL" localSheetId="14" hidden="0" function="0" vbProcedure="0">'[113]#REF'!$F$68</definedName>
    <definedName name="COMPL_FL_WT" localSheetId="14" hidden="0" function="0" vbProcedure="0">'[113]#REF'!$K$27</definedName>
    <definedName name="conections" localSheetId="14" hidden="0" function="0" vbProcedure="0">[28]!conections</definedName>
    <definedName name="Conflict1" localSheetId="14" hidden="1" function="0" vbProcedure="0">{#N/A,#N/A,FALSE,"Drlg Param Run 1-1";#N/A,#N/A,FALSE,"DDR (3)";#N/A,#N/A,FALSE,"BHA AT (1)";#N/A,#N/A,FALSE,"Downlinkbha";#N/A,#N/A,FALSE,"Job Status Report"}</definedName>
    <definedName name="conref" localSheetId="14" hidden="0" function="0" vbProcedure="0">[124]Price!$A$1:$A$65536</definedName>
    <definedName name="consequence" localSheetId="14" hidden="0" function="0" vbProcedure="0">[125]Sheet2!$A$1:$A$5</definedName>
    <definedName name="contract" localSheetId="14" hidden="0" function="0" vbProcedure="0">'[126]Call Sheet'!$E$3</definedName>
    <definedName name="contractnum" localSheetId="14" hidden="0" function="0" vbProcedure="0">'[33]data '!#ref!</definedName>
    <definedName name="contractor" localSheetId="14" hidden="0" function="0" vbProcedure="0">'[126]Call Sheet'!$E$6</definedName>
    <definedName name="Coordinator" localSheetId="14" hidden="0" function="0" vbProcedure="0">'[94]Job Technical Info'!$G$10</definedName>
    <definedName name="CoRep" localSheetId="14" hidden="0" function="0" vbProcedure="0">'[94]Job Technical Info'!$C$16</definedName>
    <definedName name="corrlist2" localSheetId="14" hidden="0" function="0" vbProcedure="0">OFFSET(INDIRECT(ADDRESS(MATCH('DATA 1'!Hsize2,'DATA 1'!Objects,0)+1,2,,,"Casing Info")),0,1,COUNTIF('DATA 1'!Objects,[28]!Liner1_OD),1)</definedName>
    <definedName name="corrlist4" localSheetId="14" hidden="0" function="0" vbProcedure="0">OFFSET(INDIRECT(ADDRESS(MATCH('DATA 1'!Hanger_Size,'DATA 1'!Objects,0)+1,2,,,"Casing Info")),0,1,COUNTIF('DATA 1'!Objects, 'DATA 1'!Hanger_Size),1)</definedName>
    <definedName name="Hanger_Size" localSheetId="14" hidden="0" function="0" vbProcedure="0">'[109]Database Pg1'!$G$79</definedName>
    <definedName name="Cotry" localSheetId="14" hidden="0" function="0" vbProcedure="0">'[109]Liner Job Info'!$E$10</definedName>
    <definedName name="Countries" localSheetId="14" hidden="0" function="0" vbProcedure="0">[109]DATA!$BR$1:$BR$196</definedName>
    <definedName name="COUNTRY" localSheetId="14" hidden="0" function="0" vbProcedure="0">'[127]Master data'!$A$2:$A$239</definedName>
    <definedName name="county" localSheetId="14" hidden="0" function="0" vbProcedure="0">'[40]CPS Call Sheet'!$P$7</definedName>
    <definedName name="Crack_DH" localSheetId="14" hidden="0" function="0" vbProcedure="0">'[108]Tester Valve Calcs'!$F$31</definedName>
    <definedName name="Crack_Press" localSheetId="14" hidden="0" function="0" vbProcedure="0">'[108]Tester Valve Calcs'!$F$13</definedName>
    <definedName name="crs" localSheetId="14" hidden="0" function="0" vbProcedure="0">[128]RSS!$E$199:$E$205</definedName>
    <definedName name="CRS_FLOAT_VALVE" localSheetId="14" hidden="0" function="0" vbProcedure="0">[129]RSS!$O$177:$O$180</definedName>
    <definedName name="CRS_FLOW_KIT" localSheetId="14" hidden="0" function="0" vbProcedure="0">[129]RSS!$E$181:$E$184</definedName>
    <definedName name="CRS_STAB" localSheetId="14" hidden="0" function="0" vbProcedure="0">[129]RSS!$E$191:$E$197</definedName>
    <definedName name="Csg" localSheetId="14" hidden="0" function="0" vbProcedure="0">[6]Sheet1!$G$1:$G$3</definedName>
    <definedName name="CsgDrift1" localSheetId="14" hidden="0" function="0" vbProcedure="0">'[94]Job Technical Info'!$G$25</definedName>
    <definedName name="CsgDrift2" localSheetId="14" hidden="0" function="0" vbProcedure="0">'[94]Job Technical Info'!$G$26</definedName>
    <definedName name="CsgDrift3" localSheetId="14" hidden="0" function="0" vbProcedure="0">'[94]Job Technical Info'!$G$27</definedName>
    <definedName name="CsgDrift4" localSheetId="14" hidden="0" function="0" vbProcedure="0">'[94]Job Technical Info'!$G$28</definedName>
    <definedName name="CsgGrd1" localSheetId="14" hidden="0" function="0" vbProcedure="0">'[94]Job Technical Info'!$H$25</definedName>
    <definedName name="CsgGrd2" localSheetId="14" hidden="0" function="0" vbProcedure="0">'[94]Job Technical Info'!$H$26</definedName>
    <definedName name="CsgGrd3" localSheetId="14" hidden="0" function="0" vbProcedure="0">'[94]Job Technical Info'!$H$27</definedName>
    <definedName name="CsgGrd4" localSheetId="14" hidden="0" function="0" vbProcedure="0">'[94]Job Technical Info'!$H$28</definedName>
    <definedName name="CsgID1" localSheetId="14" hidden="0" function="0" vbProcedure="0">'[94]Job Technical Info'!$F$25</definedName>
    <definedName name="CsgID2" localSheetId="14" hidden="0" function="0" vbProcedure="0">'[94]Job Technical Info'!$F$26</definedName>
    <definedName name="CsgID3" localSheetId="14" hidden="0" function="0" vbProcedure="0">'[94]Job Technical Info'!$F$27</definedName>
    <definedName name="CsgID4" localSheetId="14" hidden="0" function="0" vbProcedure="0">'[94]Job Technical Info'!$F$28</definedName>
    <definedName name="CsgSz1" localSheetId="14" hidden="0" function="0" vbProcedure="0">'[94]Job Technical Info'!$D$25</definedName>
    <definedName name="CsgSz2" localSheetId="14" hidden="0" function="0" vbProcedure="0">'[94]Job Technical Info'!$D$26</definedName>
    <definedName name="CsgSz3" localSheetId="14" hidden="0" function="0" vbProcedure="0">'[94]Job Technical Info'!$D$27</definedName>
    <definedName name="CsgSz4" localSheetId="14" hidden="0" function="0" vbProcedure="0">'[94]Job Technical Info'!$D$28</definedName>
    <definedName name="CsgThd1" localSheetId="14" hidden="0" function="0" vbProcedure="0">'[94]Job Technical Info'!$J$25</definedName>
    <definedName name="CsgThd2" localSheetId="14" hidden="0" function="0" vbProcedure="0">'[94]Job Technical Info'!$J$26</definedName>
    <definedName name="CsgThd3" localSheetId="14" hidden="0" function="0" vbProcedure="0">'[94]Job Technical Info'!$J$27</definedName>
    <definedName name="CsgThd4" localSheetId="14" hidden="0" function="0" vbProcedure="0">'[94]Job Technical Info'!$J$28</definedName>
    <definedName name="CsgWt" localSheetId="14" hidden="0" function="0" vbProcedure="0">[6]Sheet1!$H$1:$H$10</definedName>
    <definedName name="CsgWt1" localSheetId="14" hidden="0" function="0" vbProcedure="0">'[94]Job Technical Info'!$E$25</definedName>
    <definedName name="CsgWt2" localSheetId="14" hidden="0" function="0" vbProcedure="0">'[94]Job Technical Info'!$E$26</definedName>
    <definedName name="CsgWt3" localSheetId="14" hidden="0" function="0" vbProcedure="0">'[94]Job Technical Info'!$E$27</definedName>
    <definedName name="CsgWt4" localSheetId="14" hidden="0" function="0" vbProcedure="0">'[94]Job Technical Info'!$E$28</definedName>
    <definedName name="Csg_Bst" localSheetId="14" hidden="0" function="0" vbProcedure="0">'[109]Metric Conversions'!$B$43</definedName>
    <definedName name="Csg_Burstz" localSheetId="14" hidden="0" function="0" vbProcedure="0">'[109]Liner Job Info'!$H$14</definedName>
    <definedName name="Csg_Dft" localSheetId="14" hidden="0" function="0" vbProcedure="0">'[109]Liner Job Info'!$L$14</definedName>
    <definedName name="CSG_DPTH" localSheetId="14" hidden="0" function="0" vbProcedure="0">'[130]Metric Conversions'!$B$15</definedName>
    <definedName name="CSG_DPTHz" localSheetId="14" hidden="0" function="0" vbProcedure="0">'[109]Liner Job Info'!$P$14</definedName>
    <definedName name="CSG_Grd" localSheetId="14" hidden="0" function="0" vbProcedure="0">'[130]Liner Job Info'!$D$14</definedName>
    <definedName name="CSG_ID" localSheetId="14" hidden="0" function="0" vbProcedure="0">'[109]Liner Job Info'!$B$14</definedName>
    <definedName name="CSG_ID_Area" localSheetId="14" hidden="0" function="0" vbProcedure="0">[109]Test!$Z$39</definedName>
    <definedName name="CSG_MYS" localSheetId="14" hidden="0" function="0" vbProcedure="0">[131]DATA!$J$3:$J$22</definedName>
    <definedName name="CSG_OD" localSheetId="14" hidden="0" function="0" vbProcedure="0">'[130]Liner Job Info'!$A$14</definedName>
    <definedName name="CSG_Thread" localSheetId="14" hidden="0" function="0" vbProcedure="0">'[130]Liner Job Info'!$E$14</definedName>
    <definedName name="Csg_Wt" localSheetId="14" hidden="0" function="0" vbProcedure="0">'[130]Liner Job Info'!$C$14</definedName>
    <definedName name="CsShoeDepth" localSheetId="14" hidden="0" function="0" vbProcedure="0">'[94]Job Technical Info'!$F$40</definedName>
    <definedName name="CU.FT." localSheetId="14" hidden="0" function="0" vbProcedure="0">'[113]#REF'!$E$23</definedName>
    <definedName name="currency" localSheetId="14" hidden="0" function="0" vbProcedure="0">[56]data!#ref!</definedName>
    <definedName name="Customer" localSheetId="14" hidden="0" function="0" vbProcedure="0">'[94]Job Technical Info'!$C$12</definedName>
    <definedName name="customer1" localSheetId="14" hidden="0" function="0" vbProcedure="0">[132]Data!$A$1:$A$65536</definedName>
    <definedName name="Customer2" localSheetId="14" hidden="0" function="0" vbProcedure="0">[132]Data!$B$1:$B$65536</definedName>
    <definedName name="CustomerName" localSheetId="14" hidden="0" function="0" vbProcedure="0">'[144]job info sheet'!#ref!</definedName>
    <definedName name="customerrep" localSheetId="14" hidden="0" function="0" vbProcedure="0">'[113]#REF'!$E$6</definedName>
    <definedName name="Cyl_Yield" localSheetId="14" hidden="0" function="0" vbProcedure="0">'[48]liner job info'!#ref!</definedName>
    <definedName name="d" localSheetId="14" hidden="0" function="0" vbProcedure="0">'[2]run sheet'!#ref!</definedName>
    <definedName name="DAADA" localSheetId="14" hidden="0" function="0" vbProcedure="0">[117]!Calculate_Pipe</definedName>
    <definedName name="DAD" localSheetId="14" hidden="0" function="0" vbProcedure="0">'[146]tally checklist'!dad</definedName>
    <definedName name="DADAA" localSheetId="14" hidden="0" function="0" vbProcedure="0">'[146]tally checklist'!dadaa</definedName>
    <definedName name="DAEFF" localSheetId="14" hidden="0" function="0" vbProcedure="0">'[146]tally checklist'!daeff</definedName>
    <definedName name="DAPage" localSheetId="14" hidden="0" function="0" vbProcedure="0">'[94]Data Acq. Results'!$S$5</definedName>
    <definedName name="data1" localSheetId="14" hidden="0" function="0" vbProcedure="0">#ref!</definedName>
    <definedName name="DC" localSheetId="14" hidden="0" function="0" vbProcedure="0">'[44]7-30-04'!$GO$7457</definedName>
    <definedName name="dd" localSheetId="14" hidden="0" function="0" vbProcedure="0">null</definedName>
    <definedName name="dddd" localSheetId="14" hidden="0" function="0" vbProcedure="0">[148]试油成果记录!#ref!</definedName>
    <definedName name="decdhm" localSheetId="14" hidden="0" function="0" vbProcedure="0">'[133]Personal Expense Dec-95 (MH)'!$K$5</definedName>
    <definedName name="decdlr" localSheetId="14" hidden="0" function="0" vbProcedure="0">'[133]Personal Expense Dec-95 (MH)'!$H$5</definedName>
    <definedName name="decfrc" localSheetId="14" hidden="0" function="0" vbProcedure="0">'[133]Personal Expense Dec-95 (MH)'!$I$5</definedName>
    <definedName name="decpnd" localSheetId="14" hidden="0" function="0" vbProcedure="0">'[133]Personal Expense Dec-95 (MH)'!$G$5</definedName>
    <definedName name="decrl" localSheetId="14" hidden="0" function="0" vbProcedure="0">'[133]Personal Expense Dec-95 (MH)'!$J$5</definedName>
    <definedName name="decrup" localSheetId="14" hidden="0" function="0" vbProcedure="0">'[133]Personal Expense Dec-95 (MH)'!$L$5</definedName>
    <definedName name="decrupees" localSheetId="14" hidden="0" function="0" vbProcedure="0">'[133]Cash Expense December-95'!$H$6</definedName>
    <definedName name="deliveredto" localSheetId="14" hidden="0" function="0" vbProcedure="0">'[33]data '!#ref!</definedName>
    <definedName name="deliverto" localSheetId="14" hidden="0" function="0" vbProcedure="0">[56]data!#ref!</definedName>
    <definedName name="DENG" localSheetId="14" hidden="0" function="0" vbProcedure="0">[193]Reference!$B$2:$B$12</definedName>
    <definedName name="DEPTH_TAGGED_PREPACK" localSheetId="14" hidden="0" function="0" vbProcedure="0">'[113]#REF'!$F$80</definedName>
    <definedName name="DEQ" localSheetId="14" hidden="0" function="0" vbProcedure="0">'[146]tally checklist'!deq</definedName>
    <definedName name="Desired_Set_Down" localSheetId="14" hidden="0" function="0" vbProcedure="0">'[108]Packer Calculation Sheet'!$G$47</definedName>
    <definedName name="Dev" localSheetId="14" hidden="0" function="0" vbProcedure="0">'[109]Liner Job Info'!$D$30</definedName>
    <definedName name="DEVIATION" localSheetId="14" hidden="0" function="0" vbProcedure="0">'[113]#REF'!$F$24</definedName>
    <definedName name="dftg" localSheetId="14" hidden="0" function="0" vbProcedure="0">'[134]井口装置示意图-4'!$E$1:$E$65536</definedName>
    <definedName name="DiameterConversion" localSheetId="14" hidden="0" function="0" vbProcedure="0">[94]Lists!$AD$3</definedName>
    <definedName name="Diff_Across_Ball" localSheetId="14" hidden="0" function="0" vbProcedure="0">'[108]Tester Valve Calcs'!$F$30</definedName>
    <definedName name="Disp._Fluid_Type" localSheetId="14" hidden="0" function="0" vbProcedure="0">'[108]Pre-Job Info Sheet'!$D$37</definedName>
    <definedName name="Disp._Fluid_Weight" localSheetId="14" hidden="0" function="0" vbProcedure="0">'[108]Pre-Job Info Sheet'!$D$38</definedName>
    <definedName name="Displacement" localSheetId="14" hidden="0" function="0" vbProcedure="0">[109]DATA!$AJ$2:$AJ$12</definedName>
    <definedName name="DisplacementMethod" localSheetId="14" hidden="0" function="0" vbProcedure="0">[109]DATA!$AS$2:$AS$4</definedName>
    <definedName name="Disp_Fluid_Wt" localSheetId="14" hidden="0" function="0" vbProcedure="0">'[108]Job Calculation Sheet'!$D$30</definedName>
    <definedName name="District" localSheetId="14" hidden="0" function="0" vbProcedure="0">'[30]Liner Job Info'!$O$4</definedName>
    <definedName name="DistrictPh" localSheetId="14" hidden="0" function="0" vbProcedure="0">'[94]Job Technical Info'!$G$11</definedName>
    <definedName name="Districts" localSheetId="14" hidden="0" function="0" vbProcedure="0">[109]DATA!$A$6:$A$437</definedName>
    <definedName name="diverterlbs" localSheetId="14" hidden="0" function="0" vbProcedure="0">[5]WTR!$G$59</definedName>
    <definedName name="DIV_MIX_RATIO" localSheetId="14" hidden="0" function="0" vbProcedure="0">'[113]#REF'!$K$55</definedName>
    <definedName name="DL" localSheetId="14" hidden="0" function="0" vbProcedure="0">[107]Piston!$F$21</definedName>
    <definedName name="docNum" localSheetId="14" hidden="0" function="0" vbProcedure="0">[49]Revision_History!$G$6&amp;" "&amp;[49]Revision_History!$H$6</definedName>
    <definedName name="DocTitle" localSheetId="14" hidden="0" function="0" vbProcedure="0">'[94]Job Technical Info'!$C$2</definedName>
    <definedName name="Doc_Rev" localSheetId="14" hidden="0" function="0" vbProcedure="0">'[30]Liner Job Info'!$A$2</definedName>
    <definedName name="DP1_Cap" localSheetId="14" hidden="0" function="0" vbProcedure="0">'[109]Liner Job Info'!$G$22</definedName>
    <definedName name="DP1_conn" localSheetId="14" hidden="0" function="0" vbProcedure="0">'[130]Liner Job Info'!$J$22</definedName>
    <definedName name="DP1_Grd" localSheetId="14" hidden="0" function="0" vbProcedure="0">'[130]Liner Job Info'!$F$22</definedName>
    <definedName name="DP1_ID" localSheetId="14" hidden="0" function="0" vbProcedure="0">'[109]Liner Job Info'!$E$22</definedName>
    <definedName name="DP1_Leng" localSheetId="14" hidden="0" function="0" vbProcedure="0">'[130]Metric Conversions'!$B$20</definedName>
    <definedName name="DP1_Lengz" localSheetId="14" hidden="0" function="0" vbProcedure="0">'[109]Liner Job Info'!$I$22</definedName>
    <definedName name="DP1_MYS" localSheetId="14" hidden="0" function="0" vbProcedure="0">'[109]Liner Job Info'!$AD$31</definedName>
    <definedName name="DP1_OD" localSheetId="14" hidden="0" function="0" vbProcedure="0">'[130]Liner Job Info'!$C$22</definedName>
    <definedName name="DP1_Tens" localSheetId="14" hidden="0" function="0" vbProcedure="0">'[109]Liner Job Info'!$M$22</definedName>
    <definedName name="DP1_Volz" localSheetId="14" hidden="0" function="0" vbProcedure="0">'[109]Metric Conversions'!$C$70</definedName>
    <definedName name="DP1_Wt_inmud" localSheetId="14" hidden="0" function="0" vbProcedure="0">'[109]Weight Calculations'!$H$8</definedName>
    <definedName name="DP1_Wt_Per_Ft" localSheetId="14" hidden="0" function="0" vbProcedure="0">'[130]Liner Job Info'!$D$22</definedName>
    <definedName name="DP1_X_Csg_Volz" localSheetId="14" hidden="0" function="0" vbProcedure="0">'[109]Metric Conversions'!$C$85</definedName>
    <definedName name="DP2_Cap" localSheetId="14" hidden="0" function="0" vbProcedure="0">'[109]Liner Job Info'!$G$23</definedName>
    <definedName name="DP2_conn" localSheetId="14" hidden="0" function="0" vbProcedure="0">'[130]Liner Job Info'!$J$23</definedName>
    <definedName name="DP2_Cross_Sect" localSheetId="14" hidden="0" function="0" vbProcedure="0">'[48]liner job info'!#ref!</definedName>
    <definedName name="DP2_Grd" localSheetId="14" hidden="0" function="0" vbProcedure="0">'[130]Liner Job Info'!$F$23</definedName>
    <definedName name="DP2_ID" localSheetId="14" hidden="0" function="0" vbProcedure="0">'[109]Liner Job Info'!$E$23</definedName>
    <definedName name="DP2_Leng" localSheetId="14" hidden="0" function="0" vbProcedure="0">'[130]Metric Conversions'!$B$21</definedName>
    <definedName name="DP2_Lengz" localSheetId="14" hidden="0" function="0" vbProcedure="0">'[109]Liner Job Info'!$I$23</definedName>
    <definedName name="DP2_MYS" localSheetId="14" hidden="0" function="0" vbProcedure="0">'[109]Liner Job Info'!$AD$32</definedName>
    <definedName name="DP2_OD" localSheetId="14" hidden="0" function="0" vbProcedure="0">'[130]Liner Job Info'!$C$23</definedName>
    <definedName name="DP2_Tens" localSheetId="14" hidden="0" function="0" vbProcedure="0">'[109]Liner Job Info'!$M$23</definedName>
    <definedName name="DP2_Volz" localSheetId="14" hidden="0" function="0" vbProcedure="0">'[109]Metric Conversions'!$C$71</definedName>
    <definedName name="DP2_Wt_inmud" localSheetId="14" hidden="0" function="0" vbProcedure="0">'[109]Weight Calculations'!$H$9</definedName>
    <definedName name="DP2_Wt_Per_Ft" localSheetId="14" hidden="0" function="0" vbProcedure="0">'[130]Liner Job Info'!$D$23</definedName>
    <definedName name="DP2_X_Csg_Volz" localSheetId="14" hidden="0" function="0" vbProcedure="0">'[109]Metric Conversions'!$C$86</definedName>
    <definedName name="DP3_bbl_per_ft" localSheetId="14" hidden="0" function="0" vbProcedure="0">'[48]liner job info'!#ref!</definedName>
    <definedName name="DP3_Cap" localSheetId="14" hidden="0" function="0" vbProcedure="0">'[109]Liner Job Info'!$G$24</definedName>
    <definedName name="DP3_COnn" localSheetId="14" hidden="0" function="0" vbProcedure="0">'[130]Liner Job Info'!$J$24</definedName>
    <definedName name="DP3_Grd" localSheetId="14" hidden="0" function="0" vbProcedure="0">'[130]Liner Job Info'!$F$24</definedName>
    <definedName name="DP3_ID" localSheetId="14" hidden="0" function="0" vbProcedure="0">'[109]Liner Job Info'!$E$24</definedName>
    <definedName name="DP3_Leng" localSheetId="14" hidden="0" function="0" vbProcedure="0">'[130]Metric Conversions'!$B$22</definedName>
    <definedName name="DP3_Lengz" localSheetId="14" hidden="0" function="0" vbProcedure="0">'[109]Liner Job Info'!$I$24</definedName>
    <definedName name="DP3_MYS" localSheetId="14" hidden="0" function="0" vbProcedure="0">'[109]Liner Job Info'!$AD$33</definedName>
    <definedName name="DP3_OD" localSheetId="14" hidden="0" function="0" vbProcedure="0">'[130]Liner Job Info'!$C$24</definedName>
    <definedName name="DP3_Tens" localSheetId="14" hidden="0" function="0" vbProcedure="0">'[109]Liner Job Info'!$M$24</definedName>
    <definedName name="DP3_Volz" localSheetId="14" hidden="0" function="0" vbProcedure="0">'[109]Metric Conversions'!$C$72</definedName>
    <definedName name="DP3_Wt_inmud" localSheetId="14" hidden="0" function="0" vbProcedure="0">'[109]Weight Calculations'!$H$10</definedName>
    <definedName name="DP3_Wt_Per_Ft" localSheetId="14" hidden="0" function="0" vbProcedure="0">'[130]Liner Job Info'!$D$24</definedName>
    <definedName name="DP3_X_Csg_Volz" localSheetId="14" hidden="0" function="0" vbProcedure="0">'[109]Metric Conversions'!$C$87</definedName>
    <definedName name="DP4_Cap" localSheetId="14" hidden="0" function="0" vbProcedure="0">'[109]Liner Job Info'!$G$25</definedName>
    <definedName name="DP4_COnn" localSheetId="14" hidden="0" function="0" vbProcedure="0">'[130]Liner Job Info'!$J$25</definedName>
    <definedName name="DP4_Grd" localSheetId="14" hidden="0" function="0" vbProcedure="0">'[130]Liner Job Info'!$F$25</definedName>
    <definedName name="DP4_ID" localSheetId="14" hidden="0" function="0" vbProcedure="0">'[109]Liner Job Info'!$E$25</definedName>
    <definedName name="DP4_Leng" localSheetId="14" hidden="0" function="0" vbProcedure="0">'[130]Metric Conversions'!$B$23</definedName>
    <definedName name="DP4_Lengz" localSheetId="14" hidden="0" function="0" vbProcedure="0">'[109]Liner Job Info'!$I$25</definedName>
    <definedName name="DP4_MYS" localSheetId="14" hidden="0" function="0" vbProcedure="0">'[109]Liner Job Info'!$AD$34</definedName>
    <definedName name="DP4_OD" localSheetId="14" hidden="0" function="0" vbProcedure="0">'[130]Liner Job Info'!$C$25</definedName>
    <definedName name="DP4_Tens" localSheetId="14" hidden="0" function="0" vbProcedure="0">'[109]Liner Job Info'!$M$25</definedName>
    <definedName name="DP4_Volz" localSheetId="14" hidden="0" function="0" vbProcedure="0">'[109]Metric Conversions'!$C$73</definedName>
    <definedName name="DP4_Wt_inmud" localSheetId="14" hidden="0" function="0" vbProcedure="0">'[109]Weight Calculations'!$H$11</definedName>
    <definedName name="DP4_Wt_Per_Ft" localSheetId="14" hidden="0" function="0" vbProcedure="0">'[130]Liner Job Info'!$D$25</definedName>
    <definedName name="DP4_X_Csg_Volz" localSheetId="14" hidden="0" function="0" vbProcedure="0">'[109]Metric Conversions'!$C$88</definedName>
    <definedName name="DP5_bbl_per_ft" localSheetId="14" hidden="0" function="0" vbProcedure="0">'[109]Liner Job Info'!$AT$73</definedName>
    <definedName name="DP5_COnn" localSheetId="14" hidden="0" function="0" vbProcedure="0">'[130]Liner Job Info'!$J$26</definedName>
    <definedName name="DP5_Grd" localSheetId="14" hidden="0" function="0" vbProcedure="0">'[130]Liner Job Info'!$F$26</definedName>
    <definedName name="DP5_ID" localSheetId="14" hidden="0" function="0" vbProcedure="0">'[109]Liner Job Info'!$E$26</definedName>
    <definedName name="DP5_Leng" localSheetId="14" hidden="0" function="0" vbProcedure="0">'[130]Metric Conversions'!$B$24</definedName>
    <definedName name="DP5_Lengz" localSheetId="14" hidden="0" function="0" vbProcedure="0">'[109]Liner Job Info'!$I$26</definedName>
    <definedName name="DP5_MYS" localSheetId="14" hidden="0" function="0" vbProcedure="0">'[109]Liner Job Info'!$AD$35</definedName>
    <definedName name="DP5_OD" localSheetId="14" hidden="0" function="0" vbProcedure="0">'[130]Liner Job Info'!$C$26</definedName>
    <definedName name="DP5_Tens" localSheetId="14" hidden="0" function="0" vbProcedure="0">'[109]Liner Job Info'!$M$26</definedName>
    <definedName name="DP5_Volz" localSheetId="14" hidden="0" function="0" vbProcedure="0">'[109]Metric Conversions'!$C$74</definedName>
    <definedName name="DP5_Wt_inmud" localSheetId="14" hidden="0" function="0" vbProcedure="0">'[109]Weight Calculations'!$H$12</definedName>
    <definedName name="DP5_Wt_Per_Ft" localSheetId="14" hidden="0" function="0" vbProcedure="0">'[130]Liner Job Info'!$D$26</definedName>
    <definedName name="DP5_X_Csg_Volz" localSheetId="14" hidden="0" function="0" vbProcedure="0">'[109]Metric Conversions'!$C$89</definedName>
    <definedName name="dpdt" localSheetId="14" hidden="0" function="0" vbProcedure="0">'[136]WCT-Ft'!$Q$4:$X$18</definedName>
    <definedName name="DPi" localSheetId="14" hidden="0" function="0" vbProcedure="0">[107]Piston!$F$10</definedName>
    <definedName name="DPia" localSheetId="14" hidden="0" function="0" vbProcedure="0">[107]Balooning!$F$9</definedName>
    <definedName name="DPNumber_35" localSheetId="14" hidden="0" function="0" vbProcedure="0">'[137]DP Length'!$A$3:$A$1000</definedName>
    <definedName name="DPNumber_5" localSheetId="14" hidden="0" function="0" vbProcedure="0">'[137]DP Length'!$C$3:$C$1000</definedName>
    <definedName name="DPo" localSheetId="14" hidden="0" function="0" vbProcedure="0">[107]Piston!$F$11</definedName>
    <definedName name="DPoa" localSheetId="14" hidden="0" function="0" vbProcedure="0">[107]Balooning!$F$10</definedName>
    <definedName name="DPThread" localSheetId="14" hidden="0" function="0" vbProcedure="0">[109]DATA!$AA$44:$AA$94</definedName>
    <definedName name="DPTTL_HYD_LENTH" localSheetId="14" hidden="0" function="0" vbProcedure="0">'[109]Weight Calculations'!$F$46</definedName>
    <definedName name="DP_MYS" localSheetId="14" hidden="0" function="0" vbProcedure="0">[109]DATA!$AB$2:$AB$6</definedName>
    <definedName name="DP_Plus_Block" localSheetId="14" hidden="0" function="0" vbProcedure="0">'[109]Weight Calculations'!$H$15</definedName>
    <definedName name="DP_PSI" localSheetId="14" hidden="0" function="0" vbProcedure="0">'[109]Metric Conversions'!$B$49</definedName>
    <definedName name="DP_PSIz" localSheetId="14" hidden="0" function="0" vbProcedure="0">'[109]Liner Job Info'!$D$35</definedName>
    <definedName name="DP_SF" localSheetId="14" hidden="0" function="0" vbProcedure="0">'[109]Liner Job Info'!$R$27</definedName>
    <definedName name="drawblanks" localSheetId="14" hidden="0" function="0" vbProcedure="0">'[146]tally checklist'!drawblanks</definedName>
    <definedName name="drawlinerfirst" localSheetId="14" hidden="0" function="0" vbProcedure="0">'[146]tally checklist'!drawlinerfirst</definedName>
    <definedName name="drawlinersecond" localSheetId="14" hidden="0" function="0" vbProcedure="0">'[146]tally checklist'!drawlinersecond</definedName>
    <definedName name="drawmiscellaneous" localSheetId="14" hidden="0" function="0" vbProcedure="0">'[146]tally checklist'!drawmiscellaneous</definedName>
    <definedName name="drawproductionfirst" localSheetId="14" hidden="0" function="0" vbProcedure="0">'[146]tally checklist'!drawproductionfirst</definedName>
    <definedName name="drawproductionsecond" localSheetId="14" hidden="0" function="0" vbProcedure="0">'[146]tally checklist'!drawproductionsecond</definedName>
    <definedName name="drawquantum" localSheetId="14" hidden="0" function="0" vbProcedure="0">'[146]tally checklist'!drawquantum</definedName>
    <definedName name="drawscreens" localSheetId="14" hidden="0" function="0" vbProcedure="0">'[146]tally checklist'!drawscreens</definedName>
    <definedName name="drawshearsubs" localSheetId="14" hidden="0" function="0" vbProcedure="0">'[146]tally checklist'!drawshearsubs</definedName>
    <definedName name="drawsump" localSheetId="14" hidden="0" function="0" vbProcedure="0">'[146]tally checklist'!drawsump</definedName>
    <definedName name="draw_blanks" localSheetId="14" hidden="0" function="0" vbProcedure="0">'[146]tally checklist'!draw_blanks</definedName>
    <definedName name="draw_linerfirst" localSheetId="14" hidden="0" function="0" vbProcedure="0">'[146]tally checklist'!draw_linerfirst</definedName>
    <definedName name="draw_linersecond" localSheetId="14" hidden="0" function="0" vbProcedure="0">'[146]tally checklist'!draw_linersecond</definedName>
    <definedName name="draw_miscellaneous" localSheetId="14" hidden="0" function="0" vbProcedure="0">'[146]tally checklist'!draw_miscellaneous</definedName>
    <definedName name="draw_productionfirst" localSheetId="14" hidden="0" function="0" vbProcedure="0">'[146]tally checklist'!draw_productionfirst</definedName>
    <definedName name="draw_productionsecond" localSheetId="14" hidden="0" function="0" vbProcedure="0">'[146]tally checklist'!draw_productionsecond</definedName>
    <definedName name="draw_quantum" localSheetId="14" hidden="0" function="0" vbProcedure="0">'[146]tally checklist'!draw_quantum</definedName>
    <definedName name="draw_screens" localSheetId="14" hidden="0" function="0" vbProcedure="0">'[146]tally checklist'!draw_screens</definedName>
    <definedName name="draw_shearsubs" localSheetId="14" hidden="0" function="0" vbProcedure="0">'[146]tally checklist'!draw_shearsubs</definedName>
    <definedName name="draw_sump" localSheetId="14" hidden="0" function="0" vbProcedure="0">'[146]tally checklist'!draw_sump</definedName>
    <definedName name="DRILLER" localSheetId="14" hidden="0" function="0" vbProcedure="0">#ref!</definedName>
    <definedName name="Drillpipesize" localSheetId="14" hidden="0" function="0" vbProcedure="0">[109]DATA!$X$2:$X$10</definedName>
    <definedName name="Drillpipetype" localSheetId="14" hidden="0" function="0" vbProcedure="0">[109]DATA!$AA$2:$AA$6</definedName>
    <definedName name="Drillpipeweight" localSheetId="14" hidden="0" function="0" vbProcedure="0">[109]DATA!$Z$2:$Z$36</definedName>
    <definedName name="Druckbereich_MI" localSheetId="14" hidden="0" function="0" vbProcedure="0">'[138]Dev-Baker'!$A$1:$J$46</definedName>
    <definedName name="Druckbereich_S3" localSheetId="14" hidden="0" function="0" vbProcedure="0">'[165]run_s.xls'!#ref!</definedName>
    <definedName name="dtr" localSheetId="14" hidden="0" function="0" vbProcedure="0">'[115]Max-Torq'!$P$77</definedName>
    <definedName name="DWS" localSheetId="14" hidden="0" function="0" vbProcedure="0">'[111]DWS2023'!$A$4:$AD$257</definedName>
    <definedName name="Eff_Date" localSheetId="14" hidden="0" function="0" vbProcedure="0">'[94]Job Technical Info'!$L$3</definedName>
    <definedName name="EJYETYJEJ" localSheetId="14" hidden="0" function="0" vbProcedure="0">'[146]tally checklist'!ejyetyjej</definedName>
    <definedName name="Element_Rating" localSheetId="14" hidden="0" function="0" vbProcedure="0">'[109]Metric Conversions'!$B$57</definedName>
    <definedName name="Element_Ratingz" localSheetId="14" hidden="0" function="0" vbProcedure="0">'[109]Liner Job Info'!$P$41</definedName>
    <definedName name="equipmenttype" localSheetId="14" hidden="0" function="0" vbProcedure="0">[56]data!#ref!</definedName>
    <definedName name="error" localSheetId="14" hidden="0" function="0" vbProcedure="0">[106]Data!$F$10</definedName>
    <definedName name="ertert" localSheetId="14" hidden="0" function="0" vbProcedure="0">[171]试压!#ref!</definedName>
    <definedName name="ES_pricelist" localSheetId="14" hidden="0" function="0" vbProcedure="0">[139]Pricelist!$A$8:$B$18</definedName>
    <definedName name="Expected_Job_Date" localSheetId="14" hidden="0" function="0" vbProcedure="0">'[108]Pre-Job Info Sheet'!$D$5</definedName>
    <definedName name="Explosive_Type" localSheetId="14" hidden="0" function="0" vbProcedure="0">'[108]TCP-BHA'!$E$7</definedName>
    <definedName name="EXP_1" localSheetId="14" hidden="0" function="0" vbProcedure="0">INDEX([111]DRAW!$A$2:$B$13,MATCH([112]AUTO_DHWS!$AV$7,[111]DRAW!$A$2:$A$13,0),2)</definedName>
    <definedName name="EXT_LENGTH" localSheetId="14" hidden="0" function="0" vbProcedure="0">'[7]#ref'!#ref!</definedName>
    <definedName name="F" localSheetId="14" hidden="0" function="0" vbProcedure="0">[140]Parts!$A$1:$I$65536</definedName>
    <definedName name="fdg" localSheetId="14" hidden="0" function="0" vbProcedure="0">[119]钻井日报表!$G$7</definedName>
    <definedName name="februpees" localSheetId="14" hidden="0" function="0" vbProcedure="0">'[141]Cash Expense March-96'!$H$6</definedName>
    <definedName name="fe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4" hidden="0" function="0" vbProcedure="0">'[146]tally checklist'!fewfw</definedName>
    <definedName name="fff" localSheetId="14" hidden="0" function="0" vbProcedure="0">'[146]tally checklist'!fff</definedName>
    <definedName name="FJNDEF" localSheetId="14" hidden="0" function="0" vbProcedure="0">'[146]tally checklist'!fjndef</definedName>
    <definedName name="Floatequipment" localSheetId="14" hidden="0" function="0" vbProcedure="0">[109]DATA!$AM$2:$AM$9</definedName>
    <definedName name="FluidType" localSheetId="14" hidden="0" function="0" vbProcedure="0">'[94]Job Technical Info'!$F$42</definedName>
    <definedName name="FluidWt" localSheetId="14" hidden="0" function="0" vbProcedure="0">'[94]Job Technical Info'!$H$42</definedName>
    <definedName name="Form._Pressure" localSheetId="14" hidden="0" function="0" vbProcedure="0">'[108]Pre-Job Info Sheet'!$B$33</definedName>
    <definedName name="formation" localSheetId="14" hidden="0" function="0" vbProcedure="0">[56]data!#ref!</definedName>
    <definedName name="fracgrad" localSheetId="14" hidden="0" function="0" vbProcedure="0">[5]WTR!$L$38</definedName>
    <definedName name="fracpress" localSheetId="14" hidden="0" function="0" vbProcedure="0">'[113]#REF'!$L$25</definedName>
    <definedName name="frictionpressure" localSheetId="14" hidden="0" function="0" vbProcedure="0">[106]Data!$F$8</definedName>
    <definedName name="FRONT" localSheetId="14" hidden="0" function="0" vbProcedure="0">'[142]DAILY RPT'!$A$1:$Y$67</definedName>
    <definedName name="ftormeters" localSheetId="14" hidden="0" function="0" vbProcedure="0">'[109]Metric Conversions'!$B$14</definedName>
    <definedName name="Gamma_Quadrant" localSheetId="14" hidden="0" function="0" vbProcedure="0">[129]RSS!$N$139:$N$144</definedName>
    <definedName name="gasrate" localSheetId="14" hidden="0" function="0" vbProcedure="0">'[96]well test sheet'!#ref!</definedName>
    <definedName name="gas_cumm" localSheetId="14" hidden="0" function="0" vbProcedure="0">'[96]well test sheet'!#ref!</definedName>
    <definedName name="Gauge" localSheetId="14" hidden="0" function="0" vbProcedure="0">'[7]Drop-Down Items'!$D$74:$D$92</definedName>
    <definedName name="Gaugecancel" localSheetId="14" hidden="0" function="0" vbProcedure="0">[28]!Gaugecancel</definedName>
    <definedName name="gaugeconok" localSheetId="14" hidden="0" function="0" vbProcedure="0">[28]!gaugeconok</definedName>
    <definedName name="gaugeconok2" localSheetId="14" hidden="0" function="0" vbProcedure="0">[28]!gaugeconok2</definedName>
    <definedName name="gaugeok" localSheetId="14" hidden="0" function="0" vbProcedure="0">[28]!gaugeok</definedName>
    <definedName name="gaugeok2" localSheetId="14" hidden="0" function="0" vbProcedure="0">[28]!gaugeok2</definedName>
    <definedName name="gaugeselect" localSheetId="14" hidden="0" function="0" vbProcedure="0">[28]!gaugeselect</definedName>
    <definedName name="gaugeselect2" localSheetId="14" hidden="0" function="0" vbProcedure="0">[28]!gaugeselect2</definedName>
    <definedName name="gdsg" localSheetId="14" hidden="1" function="0" vbProcedure="0">[103]Run!$C$16:$C$512</definedName>
    <definedName name="GGGR" localSheetId="14" hidden="0" function="0" vbProcedure="0">'[146]tally checklist'!gggr</definedName>
    <definedName name="GL" localSheetId="14" hidden="0" function="0" vbProcedure="0">'[189]offset data'!#ref!</definedName>
    <definedName name="GLM_1" localSheetId="14" hidden="0" function="0" vbProcedure="0">INDEX([111]DRAW!$A$2:$B$13,MATCH([112]AUTO_DHWS!$AV$3,[111]DRAW!$A$2:$A$13,0),2)</definedName>
    <definedName name="GLM_2" localSheetId="14" hidden="0" function="0" vbProcedure="0">INDEX([111]DRAW!$A$2:$B$13,MATCH([112]AUTO_DHWS!$AV$4,[111]DRAW!$A$2:$A$13,0),2)</definedName>
    <definedName name="GLM_3" localSheetId="14" hidden="0" function="0" vbProcedure="0">INDEX([111]DRAW!$A$2:$B$13,MATCH([112]AUTO_DHWS!$AV$5,[111]DRAW!$A$2:$A$13,0),2)</definedName>
    <definedName name="GLM_4" localSheetId="14" hidden="0" function="0" vbProcedure="0">INDEX([111]DRAW!$A$2:$B$13,MATCH([112]AUTO_DHWS!$AV$6,[111]DRAW!$A$2:$A$13,0),2)</definedName>
    <definedName name="Gmh" localSheetId="14" hidden="1" function="0" vbProcedure="0">{#N/A,#N/A,FALSE,"Sheet1"}</definedName>
    <definedName name="gor" localSheetId="14" hidden="0" function="0" vbProcedure="0">'[96]well test sheet'!#ref!</definedName>
    <definedName name="gpbreakerconc" localSheetId="14" hidden="0" function="0" vbProcedure="0">'[113]#REF'!$K$68</definedName>
    <definedName name="gpbreakertype" localSheetId="14" hidden="0" function="0" vbProcedure="0">'[113]#REF'!$K$67</definedName>
    <definedName name="gpcarriertype" localSheetId="14" hidden="0" function="0" vbProcedure="0">[5]WTR!$G$83</definedName>
    <definedName name="gpcarriervis" localSheetId="14" hidden="0" function="0" vbProcedure="0">'[113]#REF'!$K$66</definedName>
    <definedName name="gpcarriervol" localSheetId="14" hidden="0" function="0" vbProcedure="0">'[113]#REF'!$F$69</definedName>
    <definedName name="gpcarrierwt" localSheetId="14" hidden="0" function="0" vbProcedure="0">'[113]#REF'!$F$67</definedName>
    <definedName name="gpextlength" localSheetId="14" hidden="0" function="0" vbProcedure="0">'[113]#REF'!$J$15</definedName>
    <definedName name="gpextod" localSheetId="14" hidden="0" function="0" vbProcedure="0">'[113]#REF'!$F$15</definedName>
    <definedName name="gpgel" localSheetId="14" hidden="0" function="0" vbProcedure="0">'[113]#REF'!$K$65</definedName>
    <definedName name="gplbs" localSheetId="14" hidden="0" function="0" vbProcedure="0">'[113]#REF'!$F$64</definedName>
    <definedName name="gpmixratio" localSheetId="14" hidden="0" function="0" vbProcedure="0">[5]WTR!$M$81</definedName>
    <definedName name="gppumprate" localSheetId="14" hidden="0" function="0" vbProcedure="0">[5]WTR!$F$88</definedName>
    <definedName name="gpslurrydens" localSheetId="14" hidden="0" function="0" vbProcedure="0">'[113]#REF'!$F$70</definedName>
    <definedName name="GP_EXT_OD" localSheetId="14" hidden="0" function="0" vbProcedure="0">'[113]#REF'!$F$15</definedName>
    <definedName name="GP_MIX_RATIO" localSheetId="14" hidden="0" function="0" vbProcedure="0">'[113]#REF'!$K$64</definedName>
    <definedName name="GP_SLURRY_VOL" localSheetId="14" hidden="0" function="0" vbProcedure="0">'[113]#REF'!$F$69</definedName>
    <definedName name="GQGQ" localSheetId="14" hidden="0" function="0" vbProcedure="0">'[146]tally checklist'!gqgq</definedName>
    <definedName name="GQQ" localSheetId="14" hidden="0" function="0" vbProcedure="0">'[146]tally checklist'!gqq</definedName>
    <definedName name="gravelsize" localSheetId="14" hidden="0" function="0" vbProcedure="0">[5]WTR!$G$82</definedName>
    <definedName name="GRAVEL_IN_CSG." localSheetId="14" hidden="0" function="0" vbProcedure="0">'[113]#REF'!XEP1048377</definedName>
    <definedName name="GroupID" localSheetId="14" hidden="0" function="0" vbProcedure="0">[109]DATA!$Q$2:$Q$268</definedName>
    <definedName name="Group_ID" localSheetId="14" hidden="0" function="0" vbProcedure="0">[131]DATA!$Q$2:$Q$268</definedName>
    <definedName name="GRQ" localSheetId="14" hidden="0" function="0" vbProcedure="0">'[146]tally checklist'!grq</definedName>
    <definedName name="GUB24SECWELL" localSheetId="14" hidden="1" function="0" vbProcedure="0">[143]Sheet1!$A$181:$H$210</definedName>
    <definedName name="Gun_Size" localSheetId="14" hidden="0" function="0" vbProcedure="0">'[108]TCP-BHA'!$F$5</definedName>
    <definedName name="GWS" localSheetId="14" hidden="0" function="0" vbProcedure="0">'[146]tally checklist'!gws</definedName>
    <definedName name="h" localSheetId="14" hidden="0" function="0" vbProcedure="0">[144]Tally!$A$5:$H$1064</definedName>
    <definedName name="H2S" localSheetId="14" hidden="0" function="0" vbProcedure="0">'[94]Job Technical Info'!$L$41</definedName>
    <definedName name="Hangerfunction" localSheetId="14" hidden="0" function="0" vbProcedure="0">[109]DATA!$AH$2:$AH$9</definedName>
    <definedName name="HAUL_Thread" localSheetId="14" hidden="0" function="0" vbProcedure="0">[109]DATA!$BM$22:$BM$114</definedName>
    <definedName name="hesfluid" localSheetId="14" hidden="0" function="0" vbProcedure="0">[56]data!#ref!</definedName>
    <definedName name="hgh" localSheetId="14" hidden="1" function="0" vbProcedure="0">[103]Run!$D$15:$D$512</definedName>
    <definedName name="HGR_OL_Packoff_In" localSheetId="14" hidden="0" function="0" vbProcedure="0">[109]Test!$M$36</definedName>
    <definedName name="hhp" localSheetId="14" hidden="0" function="0" vbProcedure="0">'[96]well test sheet'!#ref!</definedName>
    <definedName name="hj" localSheetId="14" hidden="0" function="0" vbProcedure="0">[194]bha!#ref!</definedName>
    <definedName name="HKWT" localSheetId="14" hidden="0" function="0" vbProcedure="0">[119]钻井日报表!$E$7</definedName>
    <definedName name="Hngr_Bst" localSheetId="14" hidden="0" function="0" vbProcedure="0">'[109]Metric Conversions'!$B$50</definedName>
    <definedName name="Hngr_Bstz" localSheetId="14" hidden="0" function="0" vbProcedure="0">'[109]Liner Job Info'!$D$39</definedName>
    <definedName name="Hngr_OL_PO_out" localSheetId="14" hidden="0" function="0" vbProcedure="0">[109]Test!$M$30</definedName>
    <definedName name="Hngr_Overload_Cmt_Setup" localSheetId="14" hidden="0" function="0" vbProcedure="0">[109]Test!$M$42</definedName>
    <definedName name="Hngr_Tens" localSheetId="14" hidden="0" function="0" vbProcedure="0">'[109]Liner Job Info'!$D$40</definedName>
    <definedName name="Hng_Cap" localSheetId="14" hidden="0" function="0" vbProcedure="0">'[109]Liner Job Info'!$D$41</definedName>
    <definedName name="holevol" localSheetId="14" hidden="0" function="0" vbProcedure="0">'[64]tool backload dt'!holevol</definedName>
    <definedName name="hpb" localSheetId="14" hidden="0" function="0" vbProcedure="0">'[96]well test sheet'!#ref!</definedName>
    <definedName name="HR_Turns" localSheetId="14" hidden="0" function="0" vbProcedure="0">'[109]Weight Calculations'!$Q$36</definedName>
    <definedName name="HTML_Control" localSheetId="14" hidden="1" function="0" vbProcedure="0">{"'Operator &amp; Well Info.'!$A$1:$F$16"}</definedName>
    <definedName name="hwdpdt" localSheetId="14" hidden="0" function="0" vbProcedure="0">'[136]WCT-Ft'!$Q$19:$X$24</definedName>
    <definedName name="Hyd._Pressure" localSheetId="14" hidden="0" function="0" vbProcedure="0">'[108]Job Calculation Sheet'!$H$28</definedName>
    <definedName name="Hyd_at_TV" localSheetId="14" hidden="0" function="0" vbProcedure="0">'[108]Tester Valve Calcs'!$F$21</definedName>
    <definedName name="Hyd_Effect_Force" localSheetId="14" hidden="0" function="0" vbProcedure="0">'[109]Weight Calculations'!$F$47</definedName>
    <definedName name="Hyd_force_element" localSheetId="14" hidden="0" function="0" vbProcedure="0">[109]Test!$M$17</definedName>
    <definedName name="HyfloSeatID" localSheetId="14" hidden="0" function="0" vbProcedure="0">[109]DATA!$AY$2:$AY$4</definedName>
    <definedName name="HyfloSeatNumber" localSheetId="14" hidden="0" function="0" vbProcedure="0">[109]DATA!$AZ$2:$AZ$5</definedName>
    <definedName name="HyfloSupplier" localSheetId="14" hidden="0" function="0" vbProcedure="0">[109]DATA!$BA$2:$BA$5</definedName>
    <definedName name="idlist" localSheetId="14" hidden="0" function="0" vbProcedure="0">[106]Data!$GD$2:$GE$237</definedName>
    <definedName name="IDUnit" localSheetId="14" hidden="0" function="0" vbProcedure="0">'[94]Job Technical Info'!$F$24</definedName>
    <definedName name="impdwg" localSheetId="14" hidden="0" function="0" vbProcedure="0">[28]!impdwg</definedName>
    <definedName name="impdwg_1" localSheetId="14" hidden="0" function="0" vbProcedure="0">'DATA 1'!impdwg</definedName>
    <definedName name="impdwg_10" localSheetId="14" hidden="0" function="0" vbProcedure="0">'DATA 1'!impdwg</definedName>
    <definedName name="impdwg_11" localSheetId="14" hidden="0" function="0" vbProcedure="0">'DATA 1'!impdwg</definedName>
    <definedName name="impdwg_2" localSheetId="14" hidden="0" function="0" vbProcedure="0">'DATA 1'!impdwg</definedName>
    <definedName name="impdwg_3" localSheetId="14" hidden="0" function="0" vbProcedure="0">'DATA 1'!impdwg</definedName>
    <definedName name="impdwg_4" localSheetId="14" hidden="0" function="0" vbProcedure="0">'DATA 1'!impdwg</definedName>
    <definedName name="impdwg_5" localSheetId="14" hidden="0" function="0" vbProcedure="0">'DATA 1'!impdwg</definedName>
    <definedName name="impdwg_6" localSheetId="14" hidden="0" function="0" vbProcedure="0">'DATA 1'!impdwg</definedName>
    <definedName name="impdwg_7" localSheetId="14" hidden="0" function="0" vbProcedure="0">'DATA 1'!impdwg</definedName>
    <definedName name="impdwg_8" localSheetId="14" hidden="0" function="0" vbProcedure="0">'DATA 1'!impdwg</definedName>
    <definedName name="impdwg_9" localSheetId="14" hidden="0" function="0" vbProcedure="0">'DATA 1'!impdwg</definedName>
    <definedName name="Inc" localSheetId="14" hidden="0" function="0" vbProcedure="0">[119]钻井日报表!$G$8</definedName>
    <definedName name="InclinationData" localSheetId="14" hidden="0" function="0" vbProcedure="0">OFFSET([28]!Inclination,2,0,COUNT(#ref!),1)</definedName>
    <definedName name="incrementa"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4" hidden="0" function="0" vbProcedure="0">'[145]Job File Index'!$B$7</definedName>
    <definedName name="INFUSER_RATE" localSheetId="14" hidden="0" function="0" vbProcedure="0">'[113]#REF'!$F$71</definedName>
    <definedName name="INFUSER_RATE_PREPACK" localSheetId="14" hidden="0" function="0" vbProcedure="0">'[113]#REF'!$F$50</definedName>
    <definedName name="Insert_New_Page" localSheetId="14" hidden="0" function="0" vbProcedure="0">[44]!Insert_New_Page</definedName>
    <definedName name="Insert_New_Page_1" localSheetId="14" hidden="0" function="0" vbProcedure="0">[28]!Insert_New_Page</definedName>
    <definedName name="Insert_New_Page_10" localSheetId="14" hidden="0" function="0" vbProcedure="0">[28]!Insert_New_Page</definedName>
    <definedName name="Insert_New_Page_11" localSheetId="14" hidden="0" function="0" vbProcedure="0">[28]!Insert_New_Page</definedName>
    <definedName name="Insert_New_Page_2" localSheetId="14" hidden="0" function="0" vbProcedure="0">[28]!Insert_New_Page</definedName>
    <definedName name="Insert_New_Page_3" localSheetId="14" hidden="0" function="0" vbProcedure="0">[28]!Insert_New_Page</definedName>
    <definedName name="Insert_New_Page_4" localSheetId="14" hidden="0" function="0" vbProcedure="0">[28]!Insert_New_Page</definedName>
    <definedName name="Insert_New_Page_5" localSheetId="14" hidden="0" function="0" vbProcedure="0">[28]!Insert_New_Page</definedName>
    <definedName name="Insert_New_Page_6" localSheetId="14" hidden="0" function="0" vbProcedure="0">[28]!Insert_New_Page</definedName>
    <definedName name="Insert_New_Page_7" localSheetId="14" hidden="0" function="0" vbProcedure="0">[28]!Insert_New_Page</definedName>
    <definedName name="Insert_New_Page_8" localSheetId="14" hidden="0" function="0" vbProcedure="0">[28]!Insert_New_Page</definedName>
    <definedName name="Insert_New_Page_9" localSheetId="14" hidden="0" function="0" vbProcedure="0">[28]!Insert_New_Page</definedName>
    <definedName name="Inverse_Balloon_Area" localSheetId="14" hidden="0" function="0" vbProcedure="0">[109]Test!$M$19</definedName>
    <definedName name="isip" localSheetId="14" hidden="0" function="0" vbProcedure="0">[5]WTR!$G$41</definedName>
    <definedName name="Issue" localSheetId="14" hidden="0" function="0" vbProcedure="0">'[146]Title Page'!$Q$2:$Q$20</definedName>
    <definedName name="Item1" localSheetId="14" hidden="0" function="0" vbProcedure="0">INDEX(#ref!,0,MATCH('[59]ENG Input'!$A$12,Categories,0))</definedName>
    <definedName name="Item10" localSheetId="14" hidden="0" function="0" vbProcedure="0">INDEX(#ref!,0,MATCH('[59]ENG Input'!$A$128,Categories,0))</definedName>
    <definedName name="Item11" localSheetId="14" hidden="0" function="0" vbProcedure="0">INDEX(#ref!,0,MATCH('[59]ENG Input'!$A$139,Categories,0))</definedName>
    <definedName name="Item12" localSheetId="14" hidden="0" function="0" vbProcedure="0">INDEX(#ref!,0,MATCH('[59]ENG Input'!$A$155,Categories,0))</definedName>
    <definedName name="Item13" localSheetId="14" hidden="0" function="0" vbProcedure="0">INDEX(#ref!,0,MATCH('[59]ENG Input'!$A$171,Categories,0))</definedName>
    <definedName name="Item14" localSheetId="14" hidden="0" function="0" vbProcedure="0">INDEX(#ref!,0,MATCH('[59]ENG Input'!$A$182,Categories,0))</definedName>
    <definedName name="Item15" localSheetId="14" hidden="0" function="0" vbProcedure="0">INDEX(#ref!,0,MATCH('[59]ENG Input'!$A$193,Categories,0))</definedName>
    <definedName name="Item16" localSheetId="14" hidden="0" function="0" vbProcedure="0">INDEX(#ref!,0,MATCH('[59]ENG Input'!$A$204,Categories,0))</definedName>
    <definedName name="Item17" localSheetId="14" hidden="0" function="0" vbProcedure="0">INDEX(#ref!,0,MATCH('[59]ENG Input'!$A$215,Categories,0))</definedName>
    <definedName name="Item18" localSheetId="14" hidden="0" function="0" vbProcedure="0">INDEX(#ref!,0,MATCH('[59]ENG Input'!$A$226,Categories,0))</definedName>
    <definedName name="Item19" localSheetId="14" hidden="0" function="0" vbProcedure="0">INDEX(#ref!,0,MATCH('[59]ENG Input'!$A$237,Categories,0))</definedName>
    <definedName name="Item2" localSheetId="14" hidden="0" function="0" vbProcedure="0">INDEX(#ref!,0,MATCH('[59]ENG Input'!$A$32,Categories,0))</definedName>
    <definedName name="Item20" localSheetId="14" hidden="0" function="0" vbProcedure="0">INDEX(#ref!,0,MATCH('[59]ENG Input'!$A$248,Categories,0))</definedName>
    <definedName name="Item3" localSheetId="14" hidden="0" function="0" vbProcedure="0">INDEX(#ref!,0,MATCH('[59]ENG Input'!$A$48,Categories,0))</definedName>
    <definedName name="Item4" localSheetId="14" hidden="0" function="0" vbProcedure="0">INDEX(#ref!,0,MATCH('[59]ENG Input'!$A$59,Categories,0))</definedName>
    <definedName name="Item5" localSheetId="14" hidden="0" function="0" vbProcedure="0">INDEX(#ref!,0,MATCH('[59]ENG Input'!$A$73,Categories,0))</definedName>
    <definedName name="Item6" localSheetId="14" hidden="0" function="0" vbProcedure="0">INDEX(#ref!,0,MATCH('[59]ENG Input'!$A$84,Categories,0))</definedName>
    <definedName name="Item7" localSheetId="14" hidden="0" function="0" vbProcedure="0">INDEX(#ref!,0,MATCH('[59]ENG Input'!$A$95,Categories,0))</definedName>
    <definedName name="Item8" localSheetId="14" hidden="0" function="0" vbProcedure="0">INDEX(#ref!,0,MATCH('[59]ENG Input'!$A$106,Categories,0))</definedName>
    <definedName name="Item9" localSheetId="14" hidden="0" function="0" vbProcedure="0">INDEX(#ref!,0,MATCH('[59]ENG Input'!$A$117,Categories,0))</definedName>
    <definedName name="janrupees" localSheetId="14" hidden="0" function="0" vbProcedure="0">'[147]Cash Expense January-96'!$H$6</definedName>
    <definedName name="JEYJD" localSheetId="14" hidden="0" function="0" vbProcedure="0">'[146]tally checklist'!jeyjd</definedName>
    <definedName name="JK" localSheetId="14" hidden="0" function="0" vbProcedure="0">'[148]CSG13'!$B$5</definedName>
    <definedName name="JobCenterID" localSheetId="14" hidden="0" function="0" vbProcedure="0">'[94]Job Technical Info'!$C$10</definedName>
    <definedName name="JobEndDate" localSheetId="14" hidden="0" function="0" vbProcedure="0">'[144]job info sheet'!#ref!</definedName>
    <definedName name="JobNumber" localSheetId="14" hidden="0" function="0" vbProcedure="0">'[129]Front Page Info'!$C$4</definedName>
    <definedName name="jobpurpose1" localSheetId="14" hidden="0" function="0" vbProcedure="0">[132]Data!$L$1:$L$65536</definedName>
    <definedName name="JobType" localSheetId="14" hidden="0" function="0" vbProcedure="0">[6]Sheet1!$A$11:$A$16</definedName>
    <definedName name="Jobtype1" localSheetId="14" hidden="0" function="0" vbProcedure="0">[132]Data!$N$1:$N$65536</definedName>
    <definedName name="Job_date" localSheetId="14" hidden="0" function="0" vbProcedure="0">'[108]TCP-BHA'!$D$5</definedName>
    <definedName name="Job_Name" localSheetId="14" hidden="0" function="0" vbProcedure="0">'[30]Liner Job Info'!$E$5</definedName>
    <definedName name="Job_Type" localSheetId="14" hidden="0" function="0" vbProcedure="0">'[12]JCSI 12'!$AB$29:$AB$42</definedName>
    <definedName name="JointNumber" localSheetId="14" hidden="0" function="0" vbProcedure="0">[99]!JointNumber</definedName>
    <definedName name="JRJTRJT" localSheetId="14" hidden="0" function="0" vbProcedure="0">'[146]tally checklist'!jrjtrjt</definedName>
    <definedName name="JtCount" localSheetId="14" hidden="0" function="0" vbProcedure="0">'[79]casing talley'!#ref!</definedName>
    <definedName name="JTNFN" localSheetId="14" hidden="0" function="0" vbProcedure="0">'[146]tally checklist'!jtnfn</definedName>
    <definedName name="jun" localSheetId="14" hidden="1" function="0" vbProcedure="0">{#N/A,#N/A,FALSE,"Sheet1"}</definedName>
    <definedName name="June" localSheetId="14" hidden="1" function="0" vbProcedure="0">{#N/A,#N/A,FALSE,"Sheet1"}</definedName>
    <definedName name="June1" localSheetId="14" hidden="1" function="0" vbProcedure="0">{#N/A,#N/A,FALSE,"Sheet1"}</definedName>
    <definedName name="junk" localSheetId="14" hidden="0" function="0" vbProcedure="0">{#N/A,#N/A,FALSE,"Volume"}</definedName>
    <definedName name="junk1" localSheetId="14" hidden="0" function="0" vbProcedure="0">{#N/A,#N/A,FALSE,"Volume"}</definedName>
    <definedName name="junk2" localSheetId="14" hidden="0" function="0" vbProcedure="0">{#N/A,#N/A,FALSE,"Volume"}</definedName>
    <definedName name="junk3" localSheetId="14" hidden="0" function="0" vbProcedure="0">{#N/A,#N/A,FALSE,"Volume"}</definedName>
    <definedName name="junk4" localSheetId="14" hidden="0" function="0" vbProcedure="0">{#N/A,#N/A,FALSE,"Volume"}</definedName>
    <definedName name="Kill_Fluid_Type" localSheetId="14" hidden="0" function="0" vbProcedure="0">'[108]TCP-BHA'!$G$7</definedName>
    <definedName name="Kill_Fluid_Wt" localSheetId="14" hidden="0" function="0" vbProcedure="0">'[108]TCP-BHA'!$F$7</definedName>
    <definedName name="KK" localSheetId="14" hidden="0" function="0" vbProcedure="0">[28]!Macro1</definedName>
    <definedName name="KL" localSheetId="14" hidden="0" function="0" vbProcedure="0">[149]BHA!$C$4</definedName>
    <definedName name="KO" localSheetId="14" hidden="0" function="0" vbProcedure="0">'[148]CSG13'!$F$6</definedName>
    <definedName name="KRR" localSheetId="14" hidden="0" function="0" vbProcedure="0">'[146]tally checklist'!krr</definedName>
    <definedName name="KUYUKR" localSheetId="14" hidden="0" function="0" vbProcedure="0">'[146]tally checklist'!kuyukr</definedName>
    <definedName name="landoffshore" localSheetId="14" hidden="0" function="0" vbProcedure="0">[56]data!#ref!</definedName>
    <definedName name="LastCsgString" localSheetId="14" hidden="0" function="0" vbProcedure="0">[109]DATA!$AU$2:$AU$4</definedName>
    <definedName name="latlong" localSheetId="14" hidden="0" function="0" vbProcedure="0">'[126]Call Sheet'!$P$7</definedName>
    <definedName name="LC" localSheetId="14" hidden="0" function="0" vbProcedure="0">INDEX([111]DRAW!$J$13:$K$22,MATCH([112]AUTO_DHWS!$BC$4,[111]DRAW!$J$13:$J$22,0),2)</definedName>
    <definedName name="LCJobType" localSheetId="14" hidden="0" function="0" vbProcedure="0">'[94]Installation Results #1'!$C$306</definedName>
    <definedName name="LC_TYPE" localSheetId="14" hidden="0" function="0" vbProcedure="0">INDEX([111]DRAW!$P$68:$Q$70,MATCH([111]DRAW!$Q$67,[111]DRAW!$P$68:$P$70,0),2)</definedName>
    <definedName name="Lead_Slurry_in_12.25__OH" localSheetId="14" hidden="0" function="0" vbProcedure="0">'[150]Cmt Csg'!$C$6</definedName>
    <definedName name="lease" localSheetId="14" hidden="0" function="0" vbProcedure="0">[5]WTR!$I$6</definedName>
    <definedName name="Lease1" localSheetId="14" hidden="0" function="0" vbProcedure="0">'[108]TCP-BHA'!$A$7</definedName>
    <definedName name="Lengths" localSheetId="14"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4" hidden="0" function="0" vbProcedure="0">[125]Sheet2!$C$1:$C$5</definedName>
    <definedName name="Liner1_Burst" localSheetId="14" hidden="0" function="0" vbProcedure="0">'[109]Metric Conversions'!$B$45</definedName>
    <definedName name="Liner1_Burstz" localSheetId="14" hidden="0" function="0" vbProcedure="0">'[109]Liner Job Info'!$J$17</definedName>
    <definedName name="Liner1_Cap" localSheetId="14" hidden="0" function="0" vbProcedure="0">'[109]Liner Job Info'!$P$17</definedName>
    <definedName name="Liner1_Collapsez" localSheetId="14" hidden="0" function="0" vbProcedure="0">'[109]Liner Job Info'!$L$17</definedName>
    <definedName name="Liner1_ID" localSheetId="14" hidden="0" function="0" vbProcedure="0">'[109]Liner Job Info'!$D$17</definedName>
    <definedName name="Liner1_Length" localSheetId="14" hidden="0" function="0" vbProcedure="0">'[130]Metric Conversions'!$B$17</definedName>
    <definedName name="Liner1_Lengthz" localSheetId="14" hidden="0" function="0" vbProcedure="0">'[109]Liner Job Info'!$R$17</definedName>
    <definedName name="Liner1_OD" localSheetId="14" hidden="0" function="0" vbProcedure="0">'[130]Liner Job Info'!$C$17</definedName>
    <definedName name="Liner1_Thread" localSheetId="14" hidden="0" function="0" vbProcedure="0">'[130]Liner Job Info'!$H$17</definedName>
    <definedName name="Liner1_Wt_in_Mud" localSheetId="14" hidden="0" function="0" vbProcedure="0">'[109]Weight Calculations'!$H$16</definedName>
    <definedName name="Liner1_Wt_Per_Ft" localSheetId="14" hidden="0" function="0" vbProcedure="0">'[130]Liner Job Info'!$E$17</definedName>
    <definedName name="Liner2_Burst" localSheetId="14" hidden="0" function="0" vbProcedure="0">'[109]Metric Conversions'!$B$46</definedName>
    <definedName name="Liner2_Burstz" localSheetId="14" hidden="0" function="0" vbProcedure="0">'[109]Liner Job Info'!$J$18</definedName>
    <definedName name="Liner2_Cap" localSheetId="14" hidden="0" function="0" vbProcedure="0">'[109]Liner Job Info'!$P$18</definedName>
    <definedName name="Liner2_Collapsez" localSheetId="14" hidden="0" function="0" vbProcedure="0">'[109]Liner Job Info'!$L$18</definedName>
    <definedName name="Liner2_ID" localSheetId="14" hidden="0" function="0" vbProcedure="0">'[109]Liner Job Info'!$D$18</definedName>
    <definedName name="Liner2_Length" localSheetId="14" hidden="0" function="0" vbProcedure="0">'[130]Metric Conversions'!$B$18</definedName>
    <definedName name="Liner2_Lengthz" localSheetId="14" hidden="0" function="0" vbProcedure="0">'[109]Liner Job Info'!$R$18</definedName>
    <definedName name="Liner2_OD" localSheetId="14" hidden="0" function="0" vbProcedure="0">'[130]Liner Job Info'!$C$18</definedName>
    <definedName name="Liner2_Thread" localSheetId="14" hidden="0" function="0" vbProcedure="0">'[130]Liner Job Info'!$H$18</definedName>
    <definedName name="Liner2_Wt_in_Mud" localSheetId="14" hidden="0" function="0" vbProcedure="0">'[109]Weight Calculations'!$H$17</definedName>
    <definedName name="Liner2_Wt_Per_FT" localSheetId="14" hidden="0" function="0" vbProcedure="0">'[130]Liner Job Info'!$E$18</definedName>
    <definedName name="Linertype" localSheetId="14" hidden="0" function="0" vbProcedure="0">[109]DATA!$W$2:$W$12</definedName>
    <definedName name="Liner_I.D." localSheetId="14" hidden="0" function="0" vbProcedure="0">'[108]Job Calculation Sheet'!$F$14</definedName>
    <definedName name="Liner_ID_Area" localSheetId="14" hidden="0" function="0" vbProcedure="0">[109]Test!$V$40</definedName>
    <definedName name="Liner_Size" localSheetId="14" hidden="0" function="0" vbProcedure="0">'[108]Pre-Job Info Sheet'!$D$17</definedName>
    <definedName name="Liner_Top__MD" localSheetId="14" hidden="0" function="0" vbProcedure="0">'[108]Pre-Job Info Sheet'!$D$19</definedName>
    <definedName name="Liner_Weight" localSheetId="14" hidden="0" function="0" vbProcedure="0">'[108]Pre-Job Info Sheet'!$D$18</definedName>
    <definedName name="lkj" localSheetId="14" hidden="1" function="0" vbProcedure="0">[103]Run!$B$18:$B$512</definedName>
    <definedName name="Lnr1_Grade" localSheetId="14" hidden="0" function="0" vbProcedure="0">'[130]Liner Job Info'!$F$17</definedName>
    <definedName name="Lnr1_Vol" localSheetId="14" hidden="0" function="0" vbProcedure="0">'[109]Metric Conversions'!$B$77</definedName>
    <definedName name="Lnr1_Volz" localSheetId="14" hidden="0" function="0" vbProcedure="0">'[109]Metric Conversions'!$C$77</definedName>
    <definedName name="Lnr1_X_OH_Volz" localSheetId="14" hidden="0" function="0" vbProcedure="0">'[109]Metric Conversions'!$C$82</definedName>
    <definedName name="Lnr2_Grade" localSheetId="14" hidden="0" function="0" vbProcedure="0">'[130]Liner Job Info'!$F$18</definedName>
    <definedName name="Lnr2_Vol" localSheetId="14" hidden="0" function="0" vbProcedure="0">'[109]Metric Conversions'!$B$78</definedName>
    <definedName name="Lnr2_Volz" localSheetId="14" hidden="0" function="0" vbProcedure="0">'[109]Metric Conversions'!$C$78</definedName>
    <definedName name="Lnr2_X_OH_Volz" localSheetId="14" hidden="0" function="0" vbProcedure="0">'[109]Metric Conversions'!$C$83</definedName>
    <definedName name="LnrDrift1" localSheetId="14" hidden="0" function="0" vbProcedure="0">'[94]Job Technical Info'!$G$29</definedName>
    <definedName name="LnrDrift2" localSheetId="14" hidden="0" function="0" vbProcedure="0">'[94]Job Technical Info'!$G$30</definedName>
    <definedName name="LnrGrd1" localSheetId="14" hidden="0" function="0" vbProcedure="0">'[94]Job Technical Info'!$H$29</definedName>
    <definedName name="LnrGrd2" localSheetId="14" hidden="0" function="0" vbProcedure="0">'[94]Job Technical Info'!$H$30</definedName>
    <definedName name="LnrID1" localSheetId="14" hidden="0" function="0" vbProcedure="0">'[94]Job Technical Info'!$F$29</definedName>
    <definedName name="LnrID2" localSheetId="14" hidden="0" function="0" vbProcedure="0">'[94]Job Technical Info'!$F$30</definedName>
    <definedName name="LnrSz1" localSheetId="14" hidden="0" function="0" vbProcedure="0">'[94]Job Technical Info'!$D$29</definedName>
    <definedName name="LnrSz2" localSheetId="14" hidden="0" function="0" vbProcedure="0">'[94]Job Technical Info'!$D$30</definedName>
    <definedName name="LnrThd1" localSheetId="14" hidden="0" function="0" vbProcedure="0">'[94]Job Technical Info'!$J$29</definedName>
    <definedName name="LnrThd2" localSheetId="14" hidden="0" function="0" vbProcedure="0">'[94]Job Technical Info'!$J$30</definedName>
    <definedName name="LnrWt1" localSheetId="14" hidden="0" function="0" vbProcedure="0">'[94]Job Technical Info'!$E$29</definedName>
    <definedName name="LnrWt2" localSheetId="14" hidden="0" function="0" vbProcedure="0">'[94]Job Technical Info'!$E$30</definedName>
    <definedName name="Lnr_Shoe_Depth" localSheetId="14" hidden="0" function="0" vbProcedure="0">'[130]Metric Conversions'!$B$29</definedName>
    <definedName name="Loaded" localSheetId="14" hidden="0" function="0" vbProcedure="0">'[108]Pre-Job Info Sheet'!$B$19</definedName>
    <definedName name="Location" localSheetId="14" hidden="0" function="0" vbProcedure="0">[63]auf_screen!#ref!</definedName>
    <definedName name="LOGGER" localSheetId="14" hidden="0" function="0" vbProcedure="0">[209]!Calculate_Pipe</definedName>
    <definedName name="loudout" localSheetId="14" hidden="1" function="0" vbProcedure="0">[151]Run!$D$15:$D$512</definedName>
    <definedName name="LS" localSheetId="14" hidden="0" function="0" vbProcedure="0">'[196]amberjack a32ream'!#ref!</definedName>
    <definedName name="LSA" localSheetId="14" hidden="0" function="0" vbProcedure="0">[213]!Calculate_Pipe</definedName>
    <definedName name="LSD" localSheetId="14" hidden="0" function="0" vbProcedure="0">'[144]job info sheet'!#ref!</definedName>
    <definedName name="LTP" localSheetId="14" hidden="0" function="0" vbProcedure="0">INDEX([111]DRAW!$D$14:$E$15,MATCH([112]AUTO_DHWS!$BB$7,[111]DRAW!$D$14:$D$15,0),2)</definedName>
    <definedName name="Macro1" localSheetId="14" hidden="0" function="0" vbProcedure="0">[18]!Macro1</definedName>
    <definedName name="Macro2" localSheetId="14" hidden="0" function="0" vbProcedure="0">[28]!Macro2</definedName>
    <definedName name="Macro22" localSheetId="14" hidden="0" function="0" vbProcedure="0">[28]!Macro22</definedName>
    <definedName name="Macro22_1" localSheetId="14" hidden="0" function="0" vbProcedure="0">'DATA 1'!Macro22</definedName>
    <definedName name="Macro22_10" localSheetId="14" hidden="0" function="0" vbProcedure="0">'DATA 1'!Macro22</definedName>
    <definedName name="Macro22_11" localSheetId="14" hidden="0" function="0" vbProcedure="0">'DATA 1'!Macro22</definedName>
    <definedName name="Macro22_2" localSheetId="14" hidden="0" function="0" vbProcedure="0">'DATA 1'!Macro22</definedName>
    <definedName name="Macro22_3" localSheetId="14" hidden="0" function="0" vbProcedure="0">'DATA 1'!Macro22</definedName>
    <definedName name="Macro22_4" localSheetId="14" hidden="0" function="0" vbProcedure="0">'DATA 1'!Macro22</definedName>
    <definedName name="Macro22_5" localSheetId="14" hidden="0" function="0" vbProcedure="0">'DATA 1'!Macro22</definedName>
    <definedName name="Macro22_6" localSheetId="14" hidden="0" function="0" vbProcedure="0">'DATA 1'!Macro22</definedName>
    <definedName name="Macro22_7" localSheetId="14" hidden="0" function="0" vbProcedure="0">'DATA 1'!Macro22</definedName>
    <definedName name="Macro22_8" localSheetId="14" hidden="0" function="0" vbProcedure="0">'DATA 1'!Macro22</definedName>
    <definedName name="Macro22_9" localSheetId="14" hidden="0" function="0" vbProcedure="0">'DATA 1'!Macro22</definedName>
    <definedName name="Macro233" localSheetId="14" hidden="0" function="0" vbProcedure="0">[28]!Macro1</definedName>
    <definedName name="Macro2_1" localSheetId="14" hidden="0" function="0" vbProcedure="0">'DATA 1'!Macro2</definedName>
    <definedName name="Macro2_10" localSheetId="14" hidden="0" function="0" vbProcedure="0">'DATA 1'!Macro2</definedName>
    <definedName name="Macro2_11" localSheetId="14" hidden="0" function="0" vbProcedure="0">'DATA 1'!Macro2</definedName>
    <definedName name="Macro2_2" localSheetId="14" hidden="0" function="0" vbProcedure="0">'DATA 1'!Macro2</definedName>
    <definedName name="Macro2_3" localSheetId="14" hidden="0" function="0" vbProcedure="0">'DATA 1'!Macro2</definedName>
    <definedName name="Macro2_4" localSheetId="14" hidden="0" function="0" vbProcedure="0">'DATA 1'!Macro2</definedName>
    <definedName name="Macro2_5" localSheetId="14" hidden="0" function="0" vbProcedure="0">'DATA 1'!Macro2</definedName>
    <definedName name="Macro2_6" localSheetId="14" hidden="0" function="0" vbProcedure="0">'DATA 1'!Macro2</definedName>
    <definedName name="Macro2_7" localSheetId="14" hidden="0" function="0" vbProcedure="0">'DATA 1'!Macro2</definedName>
    <definedName name="Macro2_8" localSheetId="14" hidden="0" function="0" vbProcedure="0">'DATA 1'!Macro2</definedName>
    <definedName name="Macro2_9" localSheetId="14" hidden="0" function="0" vbProcedure="0">'DATA 1'!Macro2</definedName>
    <definedName name="Macro3" localSheetId="14" hidden="0" function="0" vbProcedure="0">[28]!Macro3</definedName>
    <definedName name="Macro3_1" localSheetId="14" hidden="0" function="0" vbProcedure="0">'DATA 1'!Macro3</definedName>
    <definedName name="Macro3_10" localSheetId="14" hidden="0" function="0" vbProcedure="0">'DATA 1'!Macro3</definedName>
    <definedName name="Macro3_11" localSheetId="14" hidden="0" function="0" vbProcedure="0">'DATA 1'!Macro3</definedName>
    <definedName name="Macro3_2" localSheetId="14" hidden="0" function="0" vbProcedure="0">'DATA 1'!Macro3</definedName>
    <definedName name="Macro3_3" localSheetId="14" hidden="0" function="0" vbProcedure="0">'DATA 1'!Macro3</definedName>
    <definedName name="Macro3_4" localSheetId="14" hidden="0" function="0" vbProcedure="0">'DATA 1'!Macro3</definedName>
    <definedName name="Macro3_5" localSheetId="14" hidden="0" function="0" vbProcedure="0">'DATA 1'!Macro3</definedName>
    <definedName name="Macro3_6" localSheetId="14" hidden="0" function="0" vbProcedure="0">'DATA 1'!Macro3</definedName>
    <definedName name="Macro3_7" localSheetId="14" hidden="0" function="0" vbProcedure="0">'DATA 1'!Macro3</definedName>
    <definedName name="Macro3_8" localSheetId="14" hidden="0" function="0" vbProcedure="0">'DATA 1'!Macro3</definedName>
    <definedName name="Macro3_9" localSheetId="14" hidden="0" function="0" vbProcedure="0">'DATA 1'!Macro3</definedName>
    <definedName name="Make_Up_Torque_Of_Weak_Link" localSheetId="14" hidden="0" function="0" vbProcedure="0">'[109]Liner Job Info'!$P$50</definedName>
    <definedName name="MaPSDensity" localSheetId="14" hidden="0" function="0" vbProcedure="0">'[94]SetUp Tab'!$G$25</definedName>
    <definedName name="MaPSDiameter" localSheetId="14" hidden="0" function="0" vbProcedure="0">'[94]SetUp Tab'!$G$23</definedName>
    <definedName name="MaPSFlowRate" localSheetId="14" hidden="0" function="0" vbProcedure="0">'[94]SetUp Tab'!$G$26</definedName>
    <definedName name="MaPSLength" localSheetId="14" hidden="0" function="0" vbProcedure="0">'[94]SetUp Tab'!$E$23</definedName>
    <definedName name="MaPSMass" localSheetId="14" hidden="0" function="0" vbProcedure="0">[94]Lists!$BJ$3</definedName>
    <definedName name="MaPSPressure" localSheetId="14" hidden="0" function="0" vbProcedure="0">'[94]SetUp Tab'!$G$24</definedName>
    <definedName name="MaPSTemp" localSheetId="14" hidden="0" function="0" vbProcedure="0">'[94]SetUp Tab'!$E$26</definedName>
    <definedName name="MaPSWeight" localSheetId="14" hidden="0" function="0" vbProcedure="0">'[94]SetUp Tab'!$E$24</definedName>
    <definedName name="marrupees" localSheetId="14" hidden="0" function="0" vbProcedure="0">'[152]Cash Expsense March-96'!$H$6</definedName>
    <definedName name="Material" localSheetId="14" hidden="0" function="0" vbProcedure="0">[109]DATA!$I$3:$I$22</definedName>
    <definedName name="Max._Deviation" localSheetId="14" hidden="0" function="0" vbProcedure="0">'[108]Pre-Job Info Sheet'!$B$36</definedName>
    <definedName name="MaxDev" localSheetId="14" hidden="0" function="0" vbProcedure="0">'[94]Job Technical Info'!$F$41</definedName>
    <definedName name="Max_Bump_psi" localSheetId="14" hidden="0" function="0" vbProcedure="0">'[109]Metric Conversions'!$B$59</definedName>
    <definedName name="Max_Bump_psiz" localSheetId="14" hidden="0" function="0" vbProcedure="0">'[109]Metric Conversions'!$C$59</definedName>
    <definedName name="Max_Test_Cmt_Setup" localSheetId="14" hidden="0" function="0" vbProcedure="0">'[109]Metric Conversions'!$B$62</definedName>
    <definedName name="Max_Test_Cmt_Setupz" localSheetId="14" hidden="0" function="0" vbProcedure="0">'[109]Metric Conversions'!$C$62</definedName>
    <definedName name="Max_Test_Seals_In" localSheetId="14" hidden="0" function="0" vbProcedure="0">'[109]Metric Conversions'!$B$61</definedName>
    <definedName name="Max_Test_Seals_Inz" localSheetId="14" hidden="0" function="0" vbProcedure="0">'[109]Metric Conversions'!$C$61</definedName>
    <definedName name="Max_test_seals_out" localSheetId="14" hidden="0" function="0" vbProcedure="0">'[109]Metric Conversions'!$B$60</definedName>
    <definedName name="Max_test_seals_outz" localSheetId="14" hidden="0" function="0" vbProcedure="0">'[109]Metric Conversions'!$C$60</definedName>
    <definedName name="Max_Turns" localSheetId="14" hidden="0" function="0" vbProcedure="0">'[109]Weight Calculations'!$T$36</definedName>
    <definedName name="MDData" localSheetId="14" hidden="0" function="0" vbProcedure="0">OFFSET([28]!MDForInclination,2,0,COUNT(#ref!),1)</definedName>
    <definedName name="MeteringTime" localSheetId="14" hidden="0" function="0" vbProcedure="0">[109]DATA!$BG$2:$BG$42</definedName>
    <definedName name="Min._Ten_Sett_Tool_Assy" localSheetId="14" hidden="0" function="0" vbProcedure="0">'[109]Weight Calculations'!$S$60</definedName>
    <definedName name="Min_DP_Tens" localSheetId="14" hidden="0" function="0" vbProcedure="0">'[109]Weight Calculations'!$W$61</definedName>
    <definedName name="Min_Ft_Release_RH" localSheetId="14" hidden="0" function="0" vbProcedure="0">'[109]Metric Conversions'!$B$39</definedName>
    <definedName name="Min_Ft_Release_RHz" localSheetId="14" hidden="0" function="0" vbProcedure="0">'[109]Metric Conversions'!$C$39</definedName>
    <definedName name="mobile" localSheetId="14" hidden="0" function="0" vbProcedure="0">'[126]Call Sheet'!$R$5</definedName>
    <definedName name="Module1.draw_productionfirst" localSheetId="14" hidden="0" function="0" vbProcedure="0">'[146]tally checklist'!module1.draw_productionfirst</definedName>
    <definedName name="Module1.draw_productionsecond" localSheetId="14" hidden="0" function="0" vbProcedure="0">'[146]tally checklist'!module1.draw_productionsecond</definedName>
    <definedName name="Module1.impdwg" localSheetId="14" hidden="0" function="0" vbProcedure="0">[28]!Module1.impdwg</definedName>
    <definedName name="Module1.impdwg_1" localSheetId="14" hidden="0" function="0" vbProcedure="0">'DATA 1'!Module1.impdwg</definedName>
    <definedName name="Module1.impdwg_10" localSheetId="14" hidden="0" function="0" vbProcedure="0">'DATA 1'!Module1.impdwg</definedName>
    <definedName name="Module1.impdwg_11" localSheetId="14" hidden="0" function="0" vbProcedure="0">'DATA 1'!Module1.impdwg</definedName>
    <definedName name="Module1.impdwg_2" localSheetId="14" hidden="0" function="0" vbProcedure="0">'DATA 1'!Module1.impdwg</definedName>
    <definedName name="Module1.impdwg_3" localSheetId="14" hidden="0" function="0" vbProcedure="0">'DATA 1'!Module1.impdwg</definedName>
    <definedName name="Module1.impdwg_4" localSheetId="14" hidden="0" function="0" vbProcedure="0">'DATA 1'!Module1.impdwg</definedName>
    <definedName name="Module1.impdwg_5" localSheetId="14" hidden="0" function="0" vbProcedure="0">'DATA 1'!Module1.impdwg</definedName>
    <definedName name="Module1.impdwg_6" localSheetId="14" hidden="0" function="0" vbProcedure="0">'DATA 1'!Module1.impdwg</definedName>
    <definedName name="Module1.impdwg_7" localSheetId="14" hidden="0" function="0" vbProcedure="0">'DATA 1'!Module1.impdwg</definedName>
    <definedName name="Module1.impdwg_8" localSheetId="14" hidden="0" function="0" vbProcedure="0">'DATA 1'!Module1.impdwg</definedName>
    <definedName name="Module1.impdwg_9" localSheetId="14" hidden="0" function="0" vbProcedure="0">'DATA 1'!Module1.impdwg</definedName>
    <definedName name="Module4.drawblanks" localSheetId="14" hidden="0" function="0" vbProcedure="0">'[146]tally checklist'!module4.drawblanks</definedName>
    <definedName name="Module4.drawlinerfirst" localSheetId="14" hidden="0" function="0" vbProcedure="0">'[146]tally checklist'!module4.drawlinerfirst</definedName>
    <definedName name="Module4.drawlinersecond" localSheetId="14" hidden="0" function="0" vbProcedure="0">'[146]tally checklist'!module4.drawlinersecond</definedName>
    <definedName name="Module4.drawmiscellaneous" localSheetId="14" hidden="0" function="0" vbProcedure="0">'[146]tally checklist'!module4.drawmiscellaneous</definedName>
    <definedName name="Module4.drawproductionfirst" localSheetId="14" hidden="0" function="0" vbProcedure="0">'[146]tally checklist'!module4.drawproductionfirst</definedName>
    <definedName name="Module4.drawproductionsecond" localSheetId="14" hidden="0" function="0" vbProcedure="0">'[146]tally checklist'!module4.drawproductionsecond</definedName>
    <definedName name="Module4.drawquantum" localSheetId="14" hidden="0" function="0" vbProcedure="0">'[146]tally checklist'!module4.drawquantum</definedName>
    <definedName name="Module4.drawscreens" localSheetId="14" hidden="0" function="0" vbProcedure="0">'[146]tally checklist'!module4.drawscreens</definedName>
    <definedName name="Module4.drawshearsubs" localSheetId="14" hidden="0" function="0" vbProcedure="0">'[146]tally checklist'!module4.drawshearsubs</definedName>
    <definedName name="Module4.drawsump" localSheetId="14" hidden="0" function="0" vbProcedure="0">'[146]tally checklist'!module4.drawsump</definedName>
    <definedName name="Module4.textfive" localSheetId="14" hidden="0" function="0" vbProcedure="0">'[146]tally checklist'!module4.textfive</definedName>
    <definedName name="Module4.textfivehalf" localSheetId="14" hidden="0" function="0" vbProcedure="0">'[146]tally checklist'!module4.textfivehalf</definedName>
    <definedName name="Module4.textninefiveeightfourfirst" localSheetId="14" hidden="0" function="0" vbProcedure="0">'[146]tally checklist'!module4.textninefiveeightfourfirst</definedName>
    <definedName name="Module4.textninefiveeightfoursecond" localSheetId="14" hidden="0" function="0" vbProcedure="0">'[146]tally checklist'!module4.textninefiveeightfoursecond</definedName>
    <definedName name="Module4.textninefiveeightsixfirst" localSheetId="14" hidden="0" function="0" vbProcedure="0">'[146]tally checklist'!module4.textninefiveeightsixfirst</definedName>
    <definedName name="Module4.textninefiveeightsixsecond" localSheetId="14" hidden="0" function="0" vbProcedure="0">'[146]tally checklist'!module4.textninefiveeightsixsecond</definedName>
    <definedName name="Module4.textsevenfiveeightfour" localSheetId="14" hidden="0" function="0" vbProcedure="0">'[146]tally checklist'!module4.textsevenfiveeightfour</definedName>
    <definedName name="Module4.textsevenfiveeightthree" localSheetId="14" hidden="0" function="0" vbProcedure="0">'[146]tally checklist'!module4.textsevenfiveeightthree</definedName>
    <definedName name="Module4.textsevenfour" localSheetId="14" hidden="0" function="0" vbProcedure="0">'[146]tally checklist'!module4.textsevenfour</definedName>
    <definedName name="Module4.textseventhree" localSheetId="14" hidden="0" function="0" vbProcedure="0">'[146]tally checklist'!module4.textseventhree</definedName>
    <definedName name="Month" localSheetId="14" hidden="0" function="0" vbProcedure="0">[63]auf_screen!#ref!</definedName>
    <definedName name="MorningReport" localSheetId="14" hidden="0" function="0" vbProcedure="0">'[218]morning report'!#ref!</definedName>
    <definedName name="mr" localSheetId="14" hidden="1" function="0" vbProcedure="0">{#N/A,#N/A,FALSE,"Sheet1"}</definedName>
    <definedName name="Mudtype" localSheetId="14" hidden="0" function="0" vbProcedure="0">[109]DATA!$N$2:$N$18</definedName>
    <definedName name="Mudwt" localSheetId="14" hidden="0" function="0" vbProcedure="0">"Dialog2_Edit Box 5"</definedName>
    <definedName name="Mud_Type" localSheetId="14" hidden="0" function="0" vbProcedure="0">'[7]Drop-Down Items'!$D$4:$D$14</definedName>
    <definedName name="Mud_Wt" localSheetId="14" hidden="0" function="0" vbProcedure="0">'[130]Metric Conversions'!$B$66</definedName>
    <definedName name="Mud_Wtz" localSheetId="14" hidden="0" function="0" vbProcedure="0">'[109]Liner Job Info'!$D$31</definedName>
    <definedName name="MULE_SHOE_DEPTH" localSheetId="14" hidden="0" function="0" vbProcedure="0">'[113]#REF'!$F$182</definedName>
    <definedName name="MW" localSheetId="14" hidden="0" function="0" vbProcedure="0">#ref!,#ref!,#ref!,#ref!,#ref!</definedName>
    <definedName name="MWD" localSheetId="14" hidden="0" function="0" vbProcedure="0">[6]Sheet1!$F$10:$F$12</definedName>
    <definedName name="m_choke" localSheetId="14" hidden="0" function="0" vbProcedure="0">'[96]well test sheet'!#ref!</definedName>
    <definedName name="n" localSheetId="14" hidden="0" function="0" vbProcedure="0">'[146]tally checklist'!n</definedName>
    <definedName name="N2_Precharge" localSheetId="14" hidden="0" function="0" vbProcedure="0">'[108]Tester Valve Calcs'!$F$16</definedName>
    <definedName name="N2_Press_DH" localSheetId="14" hidden="0" function="0" vbProcedure="0">'[108]Tester Valve Calcs'!$F$29</definedName>
    <definedName name="N2_Stroke" localSheetId="14" hidden="0" function="0" vbProcedure="0">'[108]Tester Valve Calcs'!$M$18</definedName>
    <definedName name="N2_Temp_DH" localSheetId="14" hidden="0" function="0" vbProcedure="0">'[108]Tester Valve Calcs'!$F$22</definedName>
    <definedName name="N2_Temp_Surf" localSheetId="14" hidden="0" function="0" vbProcedure="0">'[108]Tester Valve Calcs'!$F$17</definedName>
    <definedName name="N2_Vol_DH" localSheetId="14" hidden="0" function="0" vbProcedure="0">'[108]Tester Valve Calcs'!$F$25</definedName>
    <definedName name="N2_Vol_Surf" localSheetId="14" hidden="0" function="0" vbProcedure="0">'[108]Tester Valve Calcs'!$F$14</definedName>
    <definedName name="nb" localSheetId="14" hidden="0" function="0" vbProcedure="0">'[134]井口装置示意图-4'!$E$1:$E$65536</definedName>
    <definedName name="netperf" localSheetId="14" hidden="0" function="0" vbProcedure="0">[5]WTR!$G$33</definedName>
    <definedName name="NET_PERFS" localSheetId="14" hidden="0" function="0" vbProcedure="0">'[113]#REF'!$F$20</definedName>
    <definedName name="NewData" localSheetId="14" hidden="0" function="0" vbProcedure="0">'[132]New Contract'!$A$1:$G$65536</definedName>
    <definedName name="NewDes" localSheetId="14" hidden="0" function="0" vbProcedure="0">'[132]New Contract'!$A$1:$A$65536</definedName>
    <definedName name="newrisk" localSheetId="14" hidden="0" function="0" vbProcedure="0">[125]Sheet2!$D$1:$D$3</definedName>
    <definedName name="NextTD" localSheetId="14" hidden="0" function="0" vbProcedure="0">'[153]Lookahd EA'!$E$1:$N$3</definedName>
    <definedName name="ng"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4" hidden="0" function="0" vbProcedure="0">'[7]#ref'!#ref!</definedName>
    <definedName name="No" localSheetId="14" hidden="0" function="0" vbProcedure="0">'[154]BPR LOG'!$A$1:$A$1048576</definedName>
    <definedName name="NOofTools" localSheetId="14" hidden="0" function="0" vbProcedure="0">[109]DATA!$BP$2:$BP$12</definedName>
    <definedName name="O" localSheetId="14" hidden="0" function="0" vbProcedure="0">'[155]Report Long(Esso)'!$E$4</definedName>
    <definedName name="odcasing" localSheetId="14" hidden="0" function="0" vbProcedure="0">[106]Data!$J$16</definedName>
    <definedName name="ODSizes" localSheetId="14" hidden="0" function="0" vbProcedure="0">[94]Lists!$AF$3:$AF$42</definedName>
    <definedName name="ODUnit" localSheetId="14" hidden="0" function="0" vbProcedure="0">'[94]Job Technical Info'!$D$24</definedName>
    <definedName name="odworkstring" localSheetId="14" hidden="0" function="0" vbProcedure="0">[106]Data!$W$18</definedName>
    <definedName name="office" localSheetId="14" hidden="0" function="0" vbProcedure="0">'[126]Call Sheet'!$AH$5</definedName>
    <definedName name="Offshore_Block" localSheetId="14" hidden="0" function="0" vbProcedure="0">'[108]TCP-BHA'!$A$9</definedName>
    <definedName name="ogr" localSheetId="14" hidden="0" function="0" vbProcedure="0">'[156]Test Data'!$T$8:$T$16,'[156]Test Data'!$T$18:$T$122,'[156]Test Data'!$T$132:$T$247</definedName>
    <definedName name="OHoleID" localSheetId="14" hidden="0" function="0" vbProcedure="0">'[94]Job Technical Info'!$B$40</definedName>
    <definedName name="OHoleLength" localSheetId="14" hidden="0" function="0" vbProcedure="0">'[94]Job Technical Info'!$D$40</definedName>
    <definedName name="OH_Dia" localSheetId="14" hidden="0" function="0" vbProcedure="0">'[109]Liner Job Info'!$Q$14</definedName>
    <definedName name="oilrate" localSheetId="14" hidden="0" function="0" vbProcedure="0">'[96]well test sheet'!#ref!</definedName>
    <definedName name="oil_cumm" localSheetId="14" hidden="0" function="0" vbProcedure="0">'[96]well test sheet'!#ref!</definedName>
    <definedName name="omdo"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4" hidden="0" function="0" vbProcedure="0">'[157]Initial Tally'!$G$4</definedName>
    <definedName name="onefive" localSheetId="14" hidden="0" function="0" vbProcedure="0">[56]data!#ref!</definedName>
    <definedName name="OP_1" localSheetId="14" hidden="0" function="0" vbProcedure="0">[158]Data!$F$1:$F$3</definedName>
    <definedName name="Overbalance" localSheetId="14" hidden="0" function="0" vbProcedure="0">'[108]Pre-Job Info Sheet'!$D$34</definedName>
    <definedName name="Overlap" localSheetId="14" hidden="0" function="0" vbProcedure="0">'[109]Metric Conversions'!$B$16</definedName>
    <definedName name="Overlapz" localSheetId="14" hidden="0" function="0" vbProcedure="0">'[109]Liner Job Info'!$R$14</definedName>
    <definedName name="Overlap_Volz" localSheetId="14" hidden="0" function="0" vbProcedure="0">'[109]Metric Conversions'!$C$84</definedName>
    <definedName name="P" localSheetId="14" hidden="1" function="0" vbProcedure="0">{#N/A,#N/A,FALSE,"Drlg Param Run 1-1";#N/A,#N/A,FALSE,"DDR (3)";#N/A,#N/A,FALSE,"BHA AT (1)";#N/A,#N/A,FALSE,"Downlinkbha";#N/A,#N/A,FALSE,"Job Status Report"}</definedName>
    <definedName name="PACKER" localSheetId="14" hidden="0" function="0" vbProcedure="0">INDEX([111]DRAW!$A$2:$B$13,MATCH([112]AUTO_DHWS!$AV$8,[111]DRAW!$A$2:$A$13,0),2)</definedName>
    <definedName name="PackerDepth" localSheetId="14" hidden="0" function="0" vbProcedure="0">'[79]casing talley'!#ref!</definedName>
    <definedName name="PACKER_2" localSheetId="14" hidden="0" function="0" vbProcedure="0">INDEX([111]DRAW!$D$13:$E$14,MATCH([112]AUTO_DHWS!$AV$12,[111]DRAW!$D$13:$D$14,0),2)</definedName>
    <definedName name="Packer_Rotation" localSheetId="14" hidden="0" function="0" vbProcedure="0">'[109]Liner Job Info'!$P$40</definedName>
    <definedName name="Packer_Set_In" localSheetId="14" hidden="0" function="0" vbProcedure="0">'[108]Pre-Job Info Sheet'!$D$22</definedName>
    <definedName name="PackOff" localSheetId="14" hidden="0" function="0" vbProcedure="0">[109]DATA!$AP$2:$AP$6</definedName>
    <definedName name="PackoffXDP1_Pist_Area" localSheetId="14" hidden="0" function="0" vbProcedure="0">'[109]Liner Job Info'!$AF$2</definedName>
    <definedName name="PackoffXDP2_Pist_Area" localSheetId="14" hidden="0" function="0" vbProcedure="0">'[109]Liner Job Info'!$AF$3</definedName>
    <definedName name="PackoffXDP3_Pist_Area" localSheetId="14" hidden="0" function="0" vbProcedure="0">'[109]Liner Job Info'!$AG$28</definedName>
    <definedName name="PackoffXDP4_Pist_Area" localSheetId="14" hidden="0" function="0" vbProcedure="0">'[109]Liner Job Info'!$AG$29</definedName>
    <definedName name="PackoffXDP5_Pist_Area" localSheetId="14" hidden="0" function="0" vbProcedure="0">'[109]Liner Job Info'!$AG$30</definedName>
    <definedName name="Packoff_Pist_Area" localSheetId="14" hidden="0" function="0" vbProcedure="0">'[109]Liner Job Info'!$AG$31</definedName>
    <definedName name="Packoff_Stinger_OD" localSheetId="14" hidden="0" function="0" vbProcedure="0">'[109]Liner Job Info'!$P$42</definedName>
    <definedName name="Para3" localSheetId="14" hidden="1" function="0" vbProcedure="0">{#N/A,#N/A,FALSE,"Drlg Param Run 1-1";#N/A,#N/A,FALSE,"DDR (3)";#N/A,#N/A,FALSE,"BHA AT (1)";#N/A,#N/A,FALSE,"Downlinkbha";#N/A,#N/A,FALSE,"Job Status Report"}</definedName>
    <definedName name="Parish" localSheetId="14" hidden="0" function="0" vbProcedure="0">'[108]TCP-BHA'!$C$9</definedName>
    <definedName name="Parish_County" localSheetId="14" hidden="0" function="0" vbProcedure="0">'[108]Pre-Job Info Sheet'!$D$9</definedName>
    <definedName name="PBTD" localSheetId="14" hidden="0" function="0" vbProcedure="0">'[79]casing talley'!#ref!</definedName>
    <definedName name="Pckr_Body_Bst" localSheetId="14" hidden="0" function="0" vbProcedure="0">'[109]Metric Conversions'!$B$52</definedName>
    <definedName name="Pckr_Body_Bstz" localSheetId="14" hidden="0" function="0" vbProcedure="0">'[109]Liner Job Info'!$P$32</definedName>
    <definedName name="Pckr_Body_Collz" localSheetId="14" hidden="0" function="0" vbProcedure="0">'[109]Liner Job Info'!$P$33</definedName>
    <definedName name="Pckr_Body_Tens" localSheetId="14" hidden="0" function="0" vbProcedure="0">'[109]Liner Job Info'!$P$34</definedName>
    <definedName name="Pckr_Seal_Surf_OD" localSheetId="14" hidden="0" function="0" vbProcedure="0">'[109]Liner Job Info'!$P$31</definedName>
    <definedName name="Pckr_Sett_Force" localSheetId="14" hidden="0" function="0" vbProcedure="0">'[109]Liner Job Info'!$P$39</definedName>
    <definedName name="PDHG_2" localSheetId="14" hidden="0" function="0" vbProcedure="0">INDEX([111]DRAW!$A$2:$B$13,MATCH([112]AUTO_DHWS!$AV$13,[111]DRAW!$A$2:$A$13,0),2)</definedName>
    <definedName name="PD_SOFTWARE" localSheetId="14" hidden="0" function="0" vbProcedure="0">[129]RSS!$J$148:$J$152</definedName>
    <definedName name="PD_STAB" localSheetId="14" hidden="0" function="0" vbProcedure="0">[129]RSS!$R$131:$R$160</definedName>
    <definedName name="PEIGHT_TOTAL" localSheetId="14" hidden="0" function="0" vbProcedure="0">[241]index!#ref!</definedName>
    <definedName name="Perf._Interval" localSheetId="14" hidden="0" function="0" vbProcedure="0">'[108]Pre-Job Info Sheet'!$B$17</definedName>
    <definedName name="Perf._Interval_2" localSheetId="14" hidden="0" function="0" vbProcedure="0">'[108]Pre-Job Info Sheet'!$B$18</definedName>
    <definedName name="perfbottom" localSheetId="14" hidden="0" function="0" vbProcedure="0">[5]WTR!$I$32</definedName>
    <definedName name="PerfDepth" localSheetId="14" hidden="0" function="0" vbProcedure="0">'[79]casing talley'!#ref!</definedName>
    <definedName name="perftop" localSheetId="14" hidden="0" function="0" vbProcedure="0">[5]WTR!$G$32</definedName>
    <definedName name="PERF_BOTTOM" localSheetId="14" hidden="0" function="0" vbProcedure="0">'[113]#REF'!$H$19</definedName>
    <definedName name="PERF_SLURRY" localSheetId="14" hidden="0" function="0" vbProcedure="0">'[113]#REF'!$H$198</definedName>
    <definedName name="PERF_TOP" localSheetId="14" hidden="0" function="0" vbProcedure="0">'[113]#REF'!$F$19</definedName>
    <definedName name="PERF_VOL" localSheetId="14" hidden="0" function="0" vbProcedure="0">'[113]#REF'!$J$12</definedName>
    <definedName name="perm" localSheetId="14" hidden="0" function="0" vbProcedure="0">[106]Data!$G$56</definedName>
    <definedName name="perm1" localSheetId="14" hidden="0" function="0" vbProcedure="0">[106]Data!$G$57</definedName>
    <definedName name="Personnel1" localSheetId="14" hidden="0" function="0" vbProcedure="0">[132]Data!$P$1:$P$65536</definedName>
    <definedName name="PFIVE_TOTAL" localSheetId="14" hidden="0" function="0" vbProcedure="0">[241]index!#ref!</definedName>
    <definedName name="PFOUR_TOTAL" localSheetId="14" hidden="0" function="0" vbProcedure="0">[241]index!#ref!</definedName>
    <definedName name="Phasing" localSheetId="14" hidden="0" function="0" vbProcedure="0">'[108]Pre-Job Info Sheet'!$B$23</definedName>
    <definedName name="Phone" localSheetId="14" hidden="0" function="0" vbProcedure="0">'[117]Well Installation Drawing'!$K$11</definedName>
    <definedName name="pick1_958x475_system" localSheetId="14" hidden="0" function="0" vbProcedure="0">'[146]tally checklist'!pick1_958x475_system</definedName>
    <definedName name="pick1_958x6_system" localSheetId="14" hidden="0" function="0" vbProcedure="0">'[146]tally checklist'!pick1_958x6_system</definedName>
    <definedName name="pick1_production" localSheetId="14" hidden="0" function="0" vbProcedure="0">'[146]tally checklist'!pick1_production</definedName>
    <definedName name="pick2_958x475_system" localSheetId="14" hidden="0" function="0" vbProcedure="0">'[146]tally checklist'!pick2_958x475_system</definedName>
    <definedName name="pick2_958x6_system" localSheetId="14" hidden="0" function="0" vbProcedure="0">'[146]tally checklist'!pick2_958x6_system</definedName>
    <definedName name="pick2_production" localSheetId="14" hidden="0" function="0" vbProcedure="0">'[146]tally checklist'!pick2_production</definedName>
    <definedName name="pick_512_system" localSheetId="14" hidden="0" function="0" vbProcedure="0">'[146]tally checklist'!pick_512_system</definedName>
    <definedName name="pick_5_system" localSheetId="14" hidden="0" function="0" vbProcedure="0">'[146]tally checklist'!pick_5_system</definedName>
    <definedName name="pick_758x314_system" localSheetId="14" hidden="0" function="0" vbProcedure="0">'[146]tally checklist'!pick_758x314_system</definedName>
    <definedName name="pick_758x4_system" localSheetId="14" hidden="0" function="0" vbProcedure="0">'[146]tally checklist'!pick_758x4_system</definedName>
    <definedName name="pick_7x314_system" localSheetId="14" hidden="0" function="0" vbProcedure="0">'[146]tally checklist'!pick_7x314_system</definedName>
    <definedName name="pick_7x4_system" localSheetId="14" hidden="0" function="0" vbProcedure="0">'[146]tally checklist'!pick_7x4_system</definedName>
    <definedName name="pick_blanks" localSheetId="14" hidden="0" function="0" vbProcedure="0">'[146]tally checklist'!pick_blanks</definedName>
    <definedName name="pick_liner" localSheetId="14" hidden="0" function="0" vbProcedure="0">'[146]tally checklist'!pick_liner</definedName>
    <definedName name="pick_liner2" localSheetId="14" hidden="0" function="0" vbProcedure="0">'[146]tally checklist'!pick_liner2</definedName>
    <definedName name="pick_miscellaneous" localSheetId="14" hidden="0" function="0" vbProcedure="0">'[146]tally checklist'!pick_miscellaneous</definedName>
    <definedName name="pick_quantum" localSheetId="14" hidden="0" function="0" vbProcedure="0">'[146]tally checklist'!pick_quantum</definedName>
    <definedName name="pick_screens" localSheetId="14" hidden="0" function="0" vbProcedure="0">'[146]tally checklist'!pick_screens</definedName>
    <definedName name="pick_shearsubs" localSheetId="14" hidden="0" function="0" vbProcedure="0">'[146]tally checklist'!pick_shearsubs</definedName>
    <definedName name="pick_sump" localSheetId="14" hidden="0" function="0" vbProcedure="0">'[146]tally checklist'!pick_sump</definedName>
    <definedName name="PistArea_Packoff_to_DP_OD" localSheetId="14" hidden="0" function="0" vbProcedure="0">[109]Test!$M$16</definedName>
    <definedName name="Piston_Disp" localSheetId="14" hidden="0" function="0" vbProcedure="0">'[108]Tester Valve Calcs'!$M$16</definedName>
    <definedName name="Pist_Area_Csg_ID_to_DP1_OD" localSheetId="14" hidden="0" function="0" vbProcedure="0">[109]Test!$U$26</definedName>
    <definedName name="Pist_Area_Csg_ID_to_DP2_OD" localSheetId="14" hidden="0" function="0" vbProcedure="0">[109]Test!$U$27</definedName>
    <definedName name="Pist_Area_Csg_ID_to_DP3_OD" localSheetId="14" hidden="0" function="0" vbProcedure="0">[109]Test!$U$28</definedName>
    <definedName name="Pist_Area_Csg_ID_to_DP4_OD" localSheetId="14" hidden="0" function="0" vbProcedure="0">[109]Test!$U$29</definedName>
    <definedName name="Pist_Area_Csg_ID_to_DP5_OD" localSheetId="14" hidden="0" function="0" vbProcedure="0">[109]Test!$U$30</definedName>
    <definedName name="Pist_Area_from_CsgID_to_Packoff_OD" localSheetId="14" hidden="0" function="0" vbProcedure="0">[109]Test!$M$14</definedName>
    <definedName name="Pist_Area_PackoffOD_DP2_OD" localSheetId="14" hidden="0" function="0" vbProcedure="0">[109]Test!$Y$27</definedName>
    <definedName name="Pist_Area_PackoffOD_DP4_OD" localSheetId="14" hidden="0" function="0" vbProcedure="0">[109]Test!$Y$29</definedName>
    <definedName name="Pist_Area_PackoffOD_DP5_OD" localSheetId="14" hidden="0" function="0" vbProcedure="0">[109]Test!$Y$30</definedName>
    <definedName name="Pist_Area_PackoffOD_to_DP1_OD" localSheetId="14" hidden="0" function="0" vbProcedure="0">[109]Test!$Y$26</definedName>
    <definedName name="Pist_Area_PackoffOD_to_DP3_OD" localSheetId="14" hidden="0" function="0" vbProcedure="0">[109]Test!$Y$28</definedName>
    <definedName name="plotm" localSheetId="14" hidden="0" function="0" vbProcedure="0">'[64]tool backload dt'!plotm</definedName>
    <definedName name="PlugMethod" localSheetId="14" hidden="0" function="0" vbProcedure="0">[109]DATA!$BI$2:$BI$6</definedName>
    <definedName name="Plugs" localSheetId="14" hidden="0" function="0" vbProcedure="0">[109]DATA!$AL$2:$AL$13</definedName>
    <definedName name="Plug_Bmp_Hngr_Ovr_Ld" localSheetId="14" hidden="0" function="0" vbProcedure="0">[109]Test!$M$25</definedName>
    <definedName name="Plug_Bmp_psi_wo_DP" localSheetId="14" hidden="0" function="0" vbProcedure="0">[109]Test!$M$23</definedName>
    <definedName name="Plug_Bmp_psi_w_DP" localSheetId="14" hidden="0" function="0" vbProcedure="0">[109]Test!$M$24</definedName>
    <definedName name="Plug_Press_Rating" localSheetId="14" hidden="0" function="0" vbProcedure="0">'[109]Metric Conversions'!$B$51</definedName>
    <definedName name="Plug_Press_Ratingz" localSheetId="14" hidden="0" function="0" vbProcedure="0">'[109]Liner Job Info'!$D$43</definedName>
    <definedName name="Plug_Temp_Rating" localSheetId="14" hidden="0" function="0" vbProcedure="0">'[109]Liner Job Info'!$D$44</definedName>
    <definedName name="PNINE_TOTAL" localSheetId="14" hidden="0" function="0" vbProcedure="0">[241]index!#ref!</definedName>
    <definedName name="po" localSheetId="14" hidden="0" function="0" vbProcedure="0">[159]Drillers!$O$20</definedName>
    <definedName name="Ported_Sub" localSheetId="14" hidden="0" function="0" vbProcedure="0">'[108]TCP-BHA'!$H$30</definedName>
    <definedName name="Pos_of_Ball" localSheetId="14" hidden="0" function="0" vbProcedure="0">'[108]Tester Valve Calcs'!$F$12</definedName>
    <definedName name="PoundConversion" localSheetId="14" hidden="0" function="0" vbProcedure="0">[94]Lists!$AD$4</definedName>
    <definedName name="POWERV_TO" localSheetId="14" hidden="0" function="0" vbProcedure="0">[129]RSS!$A$206</definedName>
    <definedName name="ppgsggcc" localSheetId="14" hidden="0" function="0" vbProcedure="0">'[109]Metric Conversions'!$B$65</definedName>
    <definedName name="pregpstim" localSheetId="14" hidden="0" function="0" vbProcedure="0">[5]WTR!$G$48</definedName>
    <definedName name="PREPACK_MIX_RATIO" localSheetId="14" hidden="0" function="0" vbProcedure="0">'[113]#REF'!$K$44</definedName>
    <definedName name="pressure1" localSheetId="14" hidden="0" function="0" vbProcedure="0">[106]Data!$C$2</definedName>
    <definedName name="pressure10" localSheetId="14" hidden="0" function="0" vbProcedure="0">[106]Data!$C$11</definedName>
    <definedName name="pressure2" localSheetId="14" hidden="0" function="0" vbProcedure="0">[106]Data!$C$3</definedName>
    <definedName name="pressure3" localSheetId="14" hidden="0" function="0" vbProcedure="0">[106]Data!$C$4</definedName>
    <definedName name="pressure4" localSheetId="14" hidden="0" function="0" vbProcedure="0">[106]Data!$C$5</definedName>
    <definedName name="pressure5" localSheetId="14" hidden="0" function="0" vbProcedure="0">[106]Data!$C$6</definedName>
    <definedName name="pressure6" localSheetId="14" hidden="0" function="0" vbProcedure="0">[106]Data!$C$7</definedName>
    <definedName name="pressure7" localSheetId="14" hidden="0" function="0" vbProcedure="0">[106]Data!$C$8</definedName>
    <definedName name="pressure8" localSheetId="14" hidden="0" function="0" vbProcedure="0">[106]Data!$C$9</definedName>
    <definedName name="pressure9" localSheetId="14" hidden="0" function="0" vbProcedure="0">[106]Data!$C$10</definedName>
    <definedName name="pressurea" localSheetId="14" hidden="0" function="0" vbProcedure="0">[106]Data!$D$2</definedName>
    <definedName name="pressureb" localSheetId="14" hidden="0" function="0" vbProcedure="0">[106]Data!$D$3</definedName>
    <definedName name="pressurec" localSheetId="14" hidden="0" function="0" vbProcedure="0">[106]Data!$D$4</definedName>
    <definedName name="pressured" localSheetId="14" hidden="0" function="0" vbProcedure="0">[106]Data!$D$5</definedName>
    <definedName name="pressuree" localSheetId="14" hidden="0" function="0" vbProcedure="0">[106]Data!$D$6</definedName>
    <definedName name="pressuref" localSheetId="14" hidden="0" function="0" vbProcedure="0">[106]Data!$D$7</definedName>
    <definedName name="pressureg" localSheetId="14" hidden="0" function="0" vbProcedure="0">[106]Data!$D$8</definedName>
    <definedName name="pressureh" localSheetId="14" hidden="0" function="0" vbProcedure="0">[106]Data!$D$9</definedName>
    <definedName name="pressurei" localSheetId="14" hidden="0" function="0" vbProcedure="0">[106]Data!$D$10</definedName>
    <definedName name="pressurej" localSheetId="14" hidden="0" function="0" vbProcedure="0">[106]Data!$D$11</definedName>
    <definedName name="Pressures" localSheetId="14" hidden="0" function="0" vbProcedure="0">'[116]Kill Sheet - Horizontal'!$W$27,'[116]Kill Sheet - Horizontal'!$W$31,'[116]Kill Sheet - Horizontal'!$W$32</definedName>
    <definedName name="pricelist" localSheetId="14" hidden="0" function="0" vbProcedure="0">[139]Pricelist!$A$8:$B$11</definedName>
    <definedName name="print" localSheetId="14" hidden="0" function="0" vbProcedure="0">'[160]2003 SSWE LINE ITEMS'!$A$1:$V$302</definedName>
    <definedName name="PRODPKR" localSheetId="14" hidden="0" function="0" vbProcedure="0">INDEX([161]PKR!$A$2:$B$15,MATCH([161]INPUT!$H$37,[161]PKR!$A$2:$A$15,0),2)</definedName>
    <definedName name="production" localSheetId="14" hidden="0" function="0" vbProcedure="0">[162]WTR!$L$6</definedName>
    <definedName name="Production_History_by_Well" localSheetId="14" hidden="0" function="0" vbProcedure="0">'[250]neb-wells'!#ref!</definedName>
    <definedName name="profitcntr1" localSheetId="14" hidden="0" function="0" vbProcedure="0">[132]Data!$I$1:$I$65536</definedName>
    <definedName name="Project" localSheetId="14" hidden="0" function="0" vbProcedure="0">'[94]Job Technical Info'!$G$12</definedName>
    <definedName name="ProppantName" localSheetId="14" hidden="0" function="0" vbProcedure="0">'[94]Installation Results #1'!$B$326</definedName>
    <definedName name="PSEVEN_TOTAL" localSheetId="14" hidden="0" function="0" vbProcedure="0">[241]index!#ref!</definedName>
    <definedName name="PSI" localSheetId="14" hidden="0" function="0" vbProcedure="0">'[78]tester valve calcs'!#ref!</definedName>
    <definedName name="psia_array" localSheetId="14" hidden="0" function="0" vbProcedure="0">{"HMR","HMR-GT","ZI Probe","Spartek","Omega SP"}</definedName>
    <definedName name="psibarkpa" localSheetId="14" hidden="0" function="0" vbProcedure="0">'[109]Metric Conversions'!$B$42</definedName>
    <definedName name="psig_array" localSheetId="14" hidden="0" function="0" vbProcedure="0">{"RPG-3","RPG-4"}</definedName>
    <definedName name="PSIX_TOTAL" localSheetId="14" hidden="0" function="0" vbProcedure="0">[241]index!#ref!</definedName>
    <definedName name="psl" localSheetId="14" hidden="0" function="0" vbProcedure="0">[56]data!#ref!</definedName>
    <definedName name="Pstn_Force_Actual" localSheetId="14" hidden="0" function="0" vbProcedure="0">'[109]Weight Calculations'!$H$26</definedName>
    <definedName name="PS_pricelist" localSheetId="14" hidden="0" function="0" vbProcedure="0">[139]Pricelist!$A$22:$B$35</definedName>
    <definedName name="ptdtr" localSheetId="14" hidden="0" function="0" vbProcedure="0">'[115]Max-Torq'!$P$71</definedName>
    <definedName name="PTHREE_TOTAL" localSheetId="14" hidden="0" function="0" vbProcedure="0">[241]index!#ref!</definedName>
    <definedName name="PTWO_TOTAL" localSheetId="14" hidden="0" function="0" vbProcedure="0">[241]index!#ref!</definedName>
    <definedName name="PU_Dogs" localSheetId="14" hidden="0" function="0" vbProcedure="0">'[109]Metric Conversions'!$B$25</definedName>
    <definedName name="PU_Dogsz" localSheetId="14" hidden="0" function="0" vbProcedure="0">'[109]Liner Job Info'!$P$47</definedName>
    <definedName name="PU_Packoffz" localSheetId="14" hidden="0" function="0" vbProcedure="0">'[109]Liner Job Info'!$P$48</definedName>
    <definedName name="pv" localSheetId="14" hidden="0" function="0" vbProcedure="0">'[7]Drop-Down Items'!$R$7:$R$9</definedName>
    <definedName name="q" localSheetId="14" hidden="0" function="0" vbProcedure="0">'[88]Report Long(Esso)'!$E$2</definedName>
    <definedName name="QPNum" localSheetId="14" hidden="0" function="0" vbProcedure="0">'[94]Job Technical Info'!$K$11</definedName>
    <definedName name="qqq" localSheetId="14" hidden="1" function="0" vbProcedure="0">{#N/A,#N/A,FALSE,"Drlg Param Run 1-1";#N/A,#N/A,FALSE,"DDR (3)";#N/A,#N/A,FALSE,"BHA AT (1)";#N/A,#N/A,FALSE,"Downlinkbha";#N/A,#N/A,FALSE,"Job Status Report"}</definedName>
    <definedName name="quantum" localSheetId="14" hidden="0" function="0" vbProcedure="0">'[146]tally checklist'!quantum</definedName>
    <definedName name="Range1" localSheetId="14" hidden="0" function="0" vbProcedure="0">OFFSET([257]sheet1!$e$5, 1, 0,[257]sheet1!$e$2,1)</definedName>
    <definedName name="rate" localSheetId="14" hidden="0" function="0" vbProcedure="0">[106]Data!$F$7</definedName>
    <definedName name="rate1" localSheetId="14" hidden="0" function="0" vbProcedure="0">[106]Data!$A$2</definedName>
    <definedName name="rate10" localSheetId="14" hidden="0" function="0" vbProcedure="0">[106]Data!$A$11</definedName>
    <definedName name="rate2" localSheetId="14" hidden="0" function="0" vbProcedure="0">[106]Data!$A$3</definedName>
    <definedName name="rate3" localSheetId="14" hidden="0" function="0" vbProcedure="0">[106]Data!$A$4</definedName>
    <definedName name="rate4" localSheetId="14" hidden="0" function="0" vbProcedure="0">[106]Data!$A$5</definedName>
    <definedName name="rate5" localSheetId="14" hidden="0" function="0" vbProcedure="0">[106]Data!$A$6</definedName>
    <definedName name="rate6" localSheetId="14" hidden="0" function="0" vbProcedure="0">[106]Data!$A$7</definedName>
    <definedName name="rate7" localSheetId="14" hidden="0" function="0" vbProcedure="0">[106]Data!$A$8</definedName>
    <definedName name="rate8" localSheetId="14" hidden="0" function="0" vbProcedure="0">[106]Data!$A$9</definedName>
    <definedName name="rate9" localSheetId="14" hidden="0" function="0" vbProcedure="0">[106]Data!$A$10</definedName>
    <definedName name="raw_tally_lower" localSheetId="14" hidden="0" function="0" vbProcedure="0">'[164]2B Raw Rig Tally'!$B$13:$D$501</definedName>
    <definedName name="raw_tally_upper" localSheetId="14" hidden="0" function="0" vbProcedure="0">'[164]2B Raw Rig Tally'!$F$13:$H$501</definedName>
    <definedName name="Reasons" localSheetId="14" hidden="0" function="0" vbProcedure="0">'[146]Title Page'!$O$2:$O$23</definedName>
    <definedName name="Region" localSheetId="14" hidden="0" function="0" vbProcedure="0">'[94]SetUp Tab'!$D$15</definedName>
    <definedName name="Regions" localSheetId="14" hidden="0" function="0" vbProcedure="0">[18]Criteria!$B$2:$B$11</definedName>
    <definedName name="Rem_DP1_Tens" localSheetId="14" hidden="0" function="0" vbProcedure="0">'[109]Weight Calculations'!$W$53</definedName>
    <definedName name="Rem_DP2_Tens" localSheetId="14" hidden="0" function="0" vbProcedure="0">'[109]Weight Calculations'!$W$54</definedName>
    <definedName name="Rem_DP3_Tens" localSheetId="14" hidden="0" function="0" vbProcedure="0">'[109]Weight Calculations'!$W$55</definedName>
    <definedName name="Rem_DP4_Tens" localSheetId="14" hidden="0" function="0" vbProcedure="0">'[109]Weight Calculations'!$W$59</definedName>
    <definedName name="Rem_DP5_Tens" localSheetId="14" hidden="0" function="0" vbProcedure="0">'[109]Weight Calculations'!$W$60</definedName>
    <definedName name="Rentalequipment" localSheetId="14" hidden="0" function="0" vbProcedure="0">[109]DATA!$R$2:$R$79</definedName>
    <definedName name="Rental_Tool_ID" localSheetId="14" hidden="0" function="0" vbProcedure="0">[109]DATA!$S$2:$S$79</definedName>
    <definedName name="RESE" localSheetId="14" hidden="0" function="0" vbProcedure="0">'[146]tally checklist'!rese</definedName>
    <definedName name="reservoir15" localSheetId="14" hidden="0" function="0" vbProcedure="0">'[73]geological prognosis'!#ref!</definedName>
    <definedName name="reservoir16" localSheetId="14" hidden="0" function="0" vbProcedure="0">'[73]geological prognosis'!#ref!</definedName>
    <definedName name="reservoir17" localSheetId="14" hidden="0" function="0" vbProcedure="0">'[73]geological prognosis'!#ref!</definedName>
    <definedName name="reservoir18" localSheetId="14" hidden="0" function="0" vbProcedure="0">'[73]geological prognosis'!#ref!</definedName>
    <definedName name="reservoir19" localSheetId="14" hidden="0" function="0" vbProcedure="0">'[73]geological prognosis'!#ref!</definedName>
    <definedName name="reservoir20" localSheetId="14" hidden="0" function="0" vbProcedure="0">'[73]geological prognosis'!#ref!</definedName>
    <definedName name="reservoir21" localSheetId="14" hidden="0" function="0" vbProcedure="0">'[73]geological prognosis'!#ref!</definedName>
    <definedName name="reservoir22" localSheetId="14" hidden="0" function="0" vbProcedure="0">'[73]geological prognosis'!#ref!</definedName>
    <definedName name="reservoir23" localSheetId="14" hidden="0" function="0" vbProcedure="0">'[73]geological prognosis'!#ref!</definedName>
    <definedName name="reservoir24" localSheetId="14" hidden="0" function="0" vbProcedure="0">'[73]geological prognosis'!#ref!</definedName>
    <definedName name="reservoir25" localSheetId="14" hidden="0" function="0" vbProcedure="0">'[73]geological prognosis'!#ref!</definedName>
    <definedName name="reservoir26" localSheetId="14" hidden="0" function="0" vbProcedure="0">'[73]geological prognosis'!#ref!</definedName>
    <definedName name="reservoir27" localSheetId="14" hidden="0" function="0" vbProcedure="0">'[73]geological prognosis'!#ref!</definedName>
    <definedName name="reservoir28" localSheetId="14" hidden="0" function="0" vbProcedure="0">'[73]geological prognosis'!#ref!</definedName>
    <definedName name="reservoir29" localSheetId="14" hidden="0" function="0" vbProcedure="0">'[73]geological prognosis'!#ref!</definedName>
    <definedName name="resrevoir09" localSheetId="14" hidden="0" function="0" vbProcedure="0">'[73]geological prognosis'!#ref!</definedName>
    <definedName name="resrevoir10" localSheetId="14" hidden="0" function="0" vbProcedure="0">'[73]geological prognosis'!#ref!</definedName>
    <definedName name="resrevoir12" localSheetId="14" hidden="0" function="0" vbProcedure="0">'[73]geological prognosis'!#ref!</definedName>
    <definedName name="resrevoir13" localSheetId="14" hidden="0" function="0" vbProcedure="0">'[73]geological prognosis'!#ref!</definedName>
    <definedName name="resrevoir14" localSheetId="14" hidden="0" function="0" vbProcedure="0">'[73]geological prognosis'!#ref!</definedName>
    <definedName name="ret" localSheetId="14" hidden="0" function="0" vbProcedure="0">[119]钻井日报表!$G$3</definedName>
    <definedName name="Rev_XX" localSheetId="14" hidden="0" function="0" vbProcedure="0">'[94]Job Technical Info'!$L$4</definedName>
    <definedName name="rhstretchz" localSheetId="14" hidden="0" function="0" vbProcedure="0">'[109]Metric Conversions'!$C$38</definedName>
    <definedName name="RH_SHEAR" localSheetId="14" hidden="0" function="0" vbProcedure="0">'[109]Weight Calculations'!$H$21</definedName>
    <definedName name="RH_SHEAR_LNGTH" localSheetId="14" hidden="0" function="0" vbProcedure="0">'[109]Metric Conversions'!$B$37</definedName>
    <definedName name="RH_SHEAR_LNGTHz" localSheetId="14" hidden="0" function="0" vbProcedure="0">'[109]Metric Conversions'!$C$37</definedName>
    <definedName name="Rig" localSheetId="14" hidden="0" function="0" vbProcedure="0">'[130]Liner Job Info'!$E$8</definedName>
    <definedName name="rigcontractor1" localSheetId="14" hidden="0" function="0" vbProcedure="0">[132]Data!$G$1:$G$65536</definedName>
    <definedName name="Rigname1" localSheetId="14" hidden="0" function="0" vbProcedure="0">[132]Data!$E$1:$E$65536</definedName>
    <definedName name="RigPh" localSheetId="14" hidden="0" function="0" vbProcedure="0">'[94]Job Technical Info'!$G$17</definedName>
    <definedName name="Rig_Name" localSheetId="14" hidden="0" function="0" vbProcedure="0">'[108]Pre-Job Info Sheet'!$D$11</definedName>
    <definedName name="Rig_Output" localSheetId="14" hidden="0" function="0" vbProcedure="0">'[109]Displacement Cal.'!$G$7</definedName>
    <definedName name="RI_LC_Z2_ANSWERS_SCPacker1" localSheetId="14" hidden="0" function="0" vbProcedure="0">'[165]LowerCompletions - Risk Index'!$G$56</definedName>
    <definedName name="RI_LC_Z3_ANSWERS_SCPacker1" localSheetId="14" hidden="0" function="0" vbProcedure="0">'[165]LowerCompletions - Risk Index'!$G$69</definedName>
    <definedName name="RI_LC_Z4_ANSWERS_SCPacker1" localSheetId="14" hidden="0" function="0" vbProcedure="0">'[165]LowerCompletions - Risk Index'!$G$82</definedName>
    <definedName name="RI_LC_Z5_ANSWERS_SCPacker1" localSheetId="14" hidden="0" function="0" vbProcedure="0">'[165]LowerCompletions - Risk Index'!$G$95</definedName>
    <definedName name="Rotation" localSheetId="14" hidden="0" function="0" vbProcedure="0">[109]DATA!$AK$2:$AK$10</definedName>
    <definedName name="Rpt_Average_Header1" localSheetId="14" hidden="0" function="0" vbProcedure="0">#ref!</definedName>
    <definedName name="Rpt_Average_Header2" localSheetId="14" hidden="0" function="0" vbProcedure="0">#ref!</definedName>
    <definedName name="Rpt_Comments" localSheetId="14" hidden="0" function="0" vbProcedure="0">#ref!</definedName>
    <definedName name="Rpt_Logo_Left" localSheetId="14" hidden="0" function="0" vbProcedure="0">#ref!</definedName>
    <definedName name="Rpt_Logo_Right" localSheetId="14" hidden="0" function="0" vbProcedure="0">#ref!</definedName>
    <definedName name="rrr" localSheetId="14" hidden="1" function="0" vbProcedure="0">{#N/A,#N/A,FALSE,"Sheet1"}</definedName>
    <definedName name="RSS_TO_COMPLETE" localSheetId="14" hidden="0" function="0" vbProcedure="0">[129]RSS!$K$197</definedName>
    <definedName name="rtb" localSheetId="14" hidden="0" function="0" vbProcedure="0">'[115]Max-Torq'!$P$61</definedName>
    <definedName name="Runningtool" localSheetId="14" hidden="0" function="0" vbProcedure="0">[109]DATA!$AO$2:$AO$8</definedName>
    <definedName name="Rupees" localSheetId="14" hidden="0" function="0" vbProcedure="0">'[141]Cash Expense March-96'!$H$6</definedName>
    <definedName name="R_Group_ID" localSheetId="14" hidden="0" function="0" vbProcedure="0">[109]DATA!$T$2:$T$79</definedName>
    <definedName name="S" localSheetId="14" hidden="0" function="0" vbProcedure="0">'[2]run sheet'!#ref!</definedName>
    <definedName name="Salesequipment" localSheetId="14" hidden="0" function="0" vbProcedure="0">[109]DATA!$O$2:$O$268</definedName>
    <definedName name="Salesman" localSheetId="14" hidden="0" function="0" vbProcedure="0">'[108]Pre-Job Info Sheet'!$B$7</definedName>
    <definedName name="Sales_Explosive_Type" localSheetId="14" hidden="0" function="0" vbProcedure="0">'[108]Pre-Job Info Sheet'!$B$24</definedName>
    <definedName name="Sales_Gun_Size" localSheetId="14" hidden="0" function="0" vbProcedure="0">'[108]Pre-Job Info Sheet'!$B$21</definedName>
    <definedName name="Sales_Lease" localSheetId="14" hidden="0" function="0" vbProcedure="0">'[108]Pre-Job Info Sheet'!$D$8</definedName>
    <definedName name="Sales_SPF" localSheetId="14" hidden="0" function="0" vbProcedure="0">'[108]Pre-Job Info Sheet'!$B$22</definedName>
    <definedName name="Sales_Ticket_Number" localSheetId="14" hidden="0" function="0" vbProcedure="0">'[30]Liner Job Info'!$E$11</definedName>
    <definedName name="Sales_Underbalance" localSheetId="14" hidden="0" function="0" vbProcedure="0">'[108]Pre-Job Info Sheet'!$D$35</definedName>
    <definedName name="Sales_Well_Name" localSheetId="14" hidden="0" function="0" vbProcedure="0">'[108]Pre-Job Info Sheet'!$D$6</definedName>
    <definedName name="salinity" localSheetId="14" hidden="0" function="0" vbProcedure="0">'[96]well test sheet'!#ref!</definedName>
    <definedName name="SANDOUT_PRESSURE" localSheetId="14" hidden="0" function="0" vbProcedure="0">'[113]#REF'!$I$107</definedName>
    <definedName name="SAND_ABOVE_PERFS_PREPACK" localSheetId="14" hidden="0" function="0" vbProcedure="0">'[113]#REF'!$F$175</definedName>
    <definedName name="SAND_DIVERTER" localSheetId="14" hidden="0" function="0" vbProcedure="0">'[113]#REF'!$F$56</definedName>
    <definedName name="SAND_GP" localSheetId="14" hidden="0" function="0" vbProcedure="0">'[113]#REF'!$F$64</definedName>
    <definedName name="SAND_IN_CAS_BLNK" localSheetId="14" hidden="0" function="0" vbProcedure="0">'[7]#ref'!#ref!</definedName>
    <definedName name="SAND_IN_CAS_EXT" localSheetId="14" hidden="0" function="0" vbProcedure="0">'[7]#ref'!#ref!</definedName>
    <definedName name="SAND_IN_CAS_PREPACK" localSheetId="14" hidden="0" function="0" vbProcedure="0">'[113]#REF'!$F$81</definedName>
    <definedName name="SAND_IN_CAS_SCR" localSheetId="14" hidden="0" function="0" vbProcedure="0">'[7]#ref'!#ref!</definedName>
    <definedName name="SAND_IN_PERFS" localSheetId="14" hidden="0" function="0" vbProcedure="0">'[113]#REF'!$I$185</definedName>
    <definedName name="SAND_IN_PERFS_PP" localSheetId="14" hidden="0" function="0" vbProcedure="0">'[113]#REF'!$F$82</definedName>
    <definedName name="SAND_PASS_XO_PORT" localSheetId="14" hidden="0" function="0" vbProcedure="0">'[113]#REF'!$E$195</definedName>
    <definedName name="SAND_PERMEABILITY" localSheetId="14" hidden="0" function="0" vbProcedure="0">'[113]#REF'!$I$105</definedName>
    <definedName name="SAND_PLACED_GP" localSheetId="14" hidden="0" function="0" vbProcedure="0">'[113]#REF'!$F$95</definedName>
    <definedName name="SAND_PREPACK" localSheetId="14" hidden="0" function="0" vbProcedure="0">'[113]#REF'!$F$44</definedName>
    <definedName name="SAND_PUMPED_GP" localSheetId="14" hidden="0" function="0" vbProcedure="0">'[113]#REF'!$F$92</definedName>
    <definedName name="SAND_PUMPED_PREPACK" localSheetId="14" hidden="0" function="0" vbProcedure="0">'[113]#REF'!$F$78</definedName>
    <definedName name="SAND_REVOUT_GP" localSheetId="14" hidden="0" function="0" vbProcedure="0">'[113]#REF'!$F$93</definedName>
    <definedName name="SAND_REVOUT_PREPACK" localSheetId="14" hidden="0" function="0" vbProcedure="0">'[113]#REF'!$F$79</definedName>
    <definedName name="Save_Document" localSheetId="14" hidden="0" function="0" vbProcedure="0">[28]!Save_Document</definedName>
    <definedName name="Save_Document_1" localSheetId="14" hidden="0" function="0" vbProcedure="0">'DATA 1'!Save_Document</definedName>
    <definedName name="Save_Document_10" localSheetId="14" hidden="0" function="0" vbProcedure="0">'DATA 1'!Save_Document</definedName>
    <definedName name="Save_Document_11" localSheetId="14" hidden="0" function="0" vbProcedure="0">'DATA 1'!Save_Document</definedName>
    <definedName name="Save_Document_2" localSheetId="14" hidden="0" function="0" vbProcedure="0">'DATA 1'!Save_Document</definedName>
    <definedName name="Save_Document_3" localSheetId="14" hidden="0" function="0" vbProcedure="0">'DATA 1'!Save_Document</definedName>
    <definedName name="Save_Document_4" localSheetId="14" hidden="0" function="0" vbProcedure="0">'DATA 1'!Save_Document</definedName>
    <definedName name="Save_Document_5" localSheetId="14" hidden="0" function="0" vbProcedure="0">'DATA 1'!Save_Document</definedName>
    <definedName name="Save_Document_6" localSheetId="14" hidden="0" function="0" vbProcedure="0">'DATA 1'!Save_Document</definedName>
    <definedName name="Save_Document_7" localSheetId="14" hidden="0" function="0" vbProcedure="0">'DATA 1'!Save_Document</definedName>
    <definedName name="Save_Document_8" localSheetId="14" hidden="0" function="0" vbProcedure="0">'DATA 1'!Save_Document</definedName>
    <definedName name="Save_Document_9" localSheetId="14" hidden="0" function="0" vbProcedure="0">'DATA 1'!Save_Document</definedName>
    <definedName name="SCB" localSheetId="14" hidden="0" function="0" vbProcedure="0">[129]RSS!$B$136:$B$144</definedName>
    <definedName name="Schemati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4" hidden="0" function="0" vbProcedure="0">'[113]#REF'!$H$14</definedName>
    <definedName name="screenidlist" localSheetId="14" hidden="0" function="0" vbProcedure="0">[106]Data!$E$79:$F$127</definedName>
    <definedName name="screenlength" localSheetId="14" hidden="0" function="0" vbProcedure="0">'[113]#REF'!$J$14</definedName>
    <definedName name="screenod" localSheetId="14" hidden="0" function="0" vbProcedure="0">'[113]#REF'!$F$14</definedName>
    <definedName name="screentype" localSheetId="14" hidden="0" function="0" vbProcedure="0">'[113]#REF'!$M$14</definedName>
    <definedName name="SCREEN_LENGTH" localSheetId="14" hidden="0" function="0" vbProcedure="0">'[113]#REF'!$J$13</definedName>
    <definedName name="SCREEN_OD" localSheetId="14" hidden="0" function="0" vbProcedure="0">'[113]#REF'!$F$14</definedName>
    <definedName name="sd" localSheetId="14" hidden="0" function="0" vbProcedure="0">null</definedName>
    <definedName name="se" localSheetId="14" hidden="0" function="0" vbProcedure="0">'[270]calculo de gas total'!#ref!</definedName>
    <definedName name="SeatID" localSheetId="14" hidden="0" function="0" vbProcedure="0">[109]DATA!$BC$2:$BC$6</definedName>
    <definedName name="SeatNumber" localSheetId="14" hidden="0" function="0" vbProcedure="0">[109]DATA!$BD$2:$BD$7</definedName>
    <definedName name="SeatShear" localSheetId="14" hidden="0" function="0" vbProcedure="0">[109]DATA!$BE$2:$BE$4</definedName>
    <definedName name="SeatType" localSheetId="14" hidden="0" function="0" vbProcedure="0">[109]DATA!$BB$2:$BB$4</definedName>
    <definedName name="sep_press" localSheetId="14" hidden="0" function="0" vbProcedure="0">'[96]well test sheet'!#ref!</definedName>
    <definedName name="sep_temp" localSheetId="14" hidden="0" function="0" vbProcedure="0">'[96]well test sheet'!#ref!</definedName>
    <definedName name="serialselect1" localSheetId="14" hidden="0" function="0" vbProcedure="0">[28]!serialselect1</definedName>
    <definedName name="serialselect2" localSheetId="14" hidden="0" function="0" vbProcedure="0">[28]!serialselect2</definedName>
    <definedName name="serialselect3" localSheetId="14" hidden="0" function="0" vbProcedure="0">[28]!serialselect3</definedName>
    <definedName name="serialselect4" localSheetId="14" hidden="0" function="0" vbProcedure="0">[28]!serialselect4</definedName>
    <definedName name="ServiceCenter" localSheetId="14" hidden="0" function="0" vbProcedure="0">'[117]Well Installation Drawing'!$L$13</definedName>
    <definedName name="SETTLEMENT_RATE" localSheetId="14" hidden="0" function="0" vbProcedure="0">'[113]#REF'!$I$120</definedName>
    <definedName name="Sett_Tool_Tens" localSheetId="14" hidden="0" function="0" vbProcedure="0">'[109]Liner Job Info'!$P$44</definedName>
    <definedName name="Shear_HR_Mech_Release" localSheetId="14" hidden="0" function="0" vbProcedure="0">'[109]Liner Job Info'!$P$49</definedName>
    <definedName name="SHER" localSheetId="14" hidden="0" function="0" vbProcedure="0">'[146]tally checklist'!sher</definedName>
    <definedName name="shippedvia" localSheetId="14" hidden="0" function="0" vbProcedure="0">'[33]data '!#ref!</definedName>
    <definedName name="shit" localSheetId="14" hidden="1" function="0" vbProcedure="0">{#N/A,#N/A,FALSE,"Sheet1"}</definedName>
    <definedName name="SHO" localSheetId="14" hidden="0" function="0" vbProcedure="0">[119]钻井日报表!$G$3</definedName>
    <definedName name="ShoeTrack_Vol" localSheetId="14" hidden="0" function="0" vbProcedure="0">'[109]Metric Conversions'!$B$76</definedName>
    <definedName name="ShoeTrack_Volz" localSheetId="14" hidden="0" function="0" vbProcedure="0">'[109]Metric Conversions'!$C$76</definedName>
    <definedName name="Shoe_Track_Length" localSheetId="14" hidden="0" function="0" vbProcedure="0">'[109]Metric Conversions'!$B$19</definedName>
    <definedName name="Shoe_Track_Lengthz" localSheetId="14" hidden="0" function="0" vbProcedure="0">'[109]Liner Job Info'!$D$19</definedName>
    <definedName name="Show_1" localSheetId="14" hidden="0" function="0" vbProcedure="0">[44]!Show_1</definedName>
    <definedName name="Show_1_1" localSheetId="14" hidden="0" function="0" vbProcedure="0">[28]!Show_1</definedName>
    <definedName name="Show_1_10" localSheetId="14" hidden="0" function="0" vbProcedure="0">[28]!Show_1</definedName>
    <definedName name="Show_1_11" localSheetId="14" hidden="0" function="0" vbProcedure="0">[28]!Show_1</definedName>
    <definedName name="Show_1_2" localSheetId="14" hidden="0" function="0" vbProcedure="0">[28]!Show_1</definedName>
    <definedName name="Show_1_3" localSheetId="14" hidden="0" function="0" vbProcedure="0">[28]!Show_1</definedName>
    <definedName name="Show_1_4" localSheetId="14" hidden="0" function="0" vbProcedure="0">[28]!Show_1</definedName>
    <definedName name="Show_1_5" localSheetId="14" hidden="0" function="0" vbProcedure="0">[28]!Show_1</definedName>
    <definedName name="Show_1_6" localSheetId="14" hidden="0" function="0" vbProcedure="0">[28]!Show_1</definedName>
    <definedName name="Show_1_7" localSheetId="14" hidden="0" function="0" vbProcedure="0">[28]!Show_1</definedName>
    <definedName name="Show_1_8" localSheetId="14" hidden="0" function="0" vbProcedure="0">[28]!Show_1</definedName>
    <definedName name="Show_1_9" localSheetId="14" hidden="0" function="0" vbProcedure="0">[28]!Show_1</definedName>
    <definedName name="Show_2" localSheetId="14" hidden="0" function="0" vbProcedure="0">[44]!Show_2</definedName>
    <definedName name="Show_2_1" localSheetId="14" hidden="0" function="0" vbProcedure="0">[28]!Show_2</definedName>
    <definedName name="Show_2_10" localSheetId="14" hidden="0" function="0" vbProcedure="0">[28]!Show_2</definedName>
    <definedName name="Show_2_11" localSheetId="14" hidden="0" function="0" vbProcedure="0">[28]!Show_2</definedName>
    <definedName name="Show_2_2" localSheetId="14" hidden="0" function="0" vbProcedure="0">[28]!Show_2</definedName>
    <definedName name="Show_2_3" localSheetId="14" hidden="0" function="0" vbProcedure="0">[28]!Show_2</definedName>
    <definedName name="Show_2_4" localSheetId="14" hidden="0" function="0" vbProcedure="0">[28]!Show_2</definedName>
    <definedName name="Show_2_5" localSheetId="14" hidden="0" function="0" vbProcedure="0">[28]!Show_2</definedName>
    <definedName name="Show_2_6" localSheetId="14" hidden="0" function="0" vbProcedure="0">[28]!Show_2</definedName>
    <definedName name="Show_2_7" localSheetId="14" hidden="0" function="0" vbProcedure="0">[28]!Show_2</definedName>
    <definedName name="Show_2_8" localSheetId="14" hidden="0" function="0" vbProcedure="0">[28]!Show_2</definedName>
    <definedName name="Show_2_9" localSheetId="14" hidden="0" function="0" vbProcedure="0">[28]!Show_2</definedName>
    <definedName name="Size" localSheetId="14" hidden="0" function="0" vbProcedure="0">#ref!</definedName>
    <definedName name="SJT_DEPTH" localSheetId="14" hidden="0" function="0" vbProcedure="0">'[113]#REF'!$F$22</definedName>
    <definedName name="SJ_DEPTH" localSheetId="14" hidden="0" function="0" vbProcedure="0">'[113]#REF'!$F$22</definedName>
    <definedName name="SL" localSheetId="14" hidden="0" function="0" vbProcedure="0">[149]BHA!$C$3</definedName>
    <definedName name="SleeveLength" localSheetId="14" hidden="0" function="0" vbProcedure="0">[109]DATA!$AV$2:$AV$4</definedName>
    <definedName name="SLURRY_DENSITY" localSheetId="14" hidden="0" function="0" vbProcedure="0">'[113]#REF'!$F$70</definedName>
    <definedName name="SLURRY_VOL_PREPACK" localSheetId="14" hidden="0" function="0" vbProcedure="0">'[113]#REF'!$F$48</definedName>
    <definedName name="soldto" localSheetId="14" hidden="0" function="0" vbProcedure="0">'[126]Call Sheet'!$AL$3</definedName>
    <definedName name="sort" localSheetId="14" hidden="1" function="0" vbProcedure="0">[166]Sheet1!$A$181:$H$210</definedName>
    <definedName name="SORT_AREA" localSheetId="14" hidden="0" function="0" vbProcedure="0">'[167]DI-ESTI'!$A$8:$R$489</definedName>
    <definedName name="Spacedout" localSheetId="14" hidden="1" function="0" vbProcedure="0">{#N/A,#N/A,FALSE,"Drlg Param Run 1-1";#N/A,#N/A,FALSE,"DDR (3)";#N/A,#N/A,FALSE,"BHA AT (1)";#N/A,#N/A,FALSE,"Downlinkbha";#N/A,#N/A,FALSE,"Job Status Report"}</definedName>
    <definedName name="SpacerType" localSheetId="14" hidden="0" function="0" vbProcedure="0">[109]DATA!$BK$2:$BK$7</definedName>
    <definedName name="Spiral_Type" localSheetId="14" hidden="0" function="0" vbProcedure="0">[109]DATA!$BM$2:$BM$5</definedName>
    <definedName name="ssdsd" localSheetId="14" hidden="0" function="0" vbProcedure="0">'[146]tally checklist'!ssdsd</definedName>
    <definedName name="SSID" localSheetId="14" hidden="0" function="0" vbProcedure="0">'[109]Liner Job Info'!$O$6</definedName>
    <definedName name="sss" localSheetId="14" hidden="1" function="0" vbProcedure="0">{#N/A,#N/A,FALSE,"Drlg Param Run 1-1";#N/A,#N/A,FALSE,"DDR (3)";#N/A,#N/A,FALSE,"BHA AT (1)";#N/A,#N/A,FALSE,"Downlinkbha";#N/A,#N/A,FALSE,"Job Status Report"}</definedName>
    <definedName name="stages" localSheetId="14" hidden="0" function="0" vbProcedure="0">[5]WTR!$G$52</definedName>
    <definedName name="Stage_Number" localSheetId="14" hidden="0" function="0" vbProcedure="0">'[108]Pre-Job Info Sheet'!$B$15</definedName>
    <definedName name="Start_Here" localSheetId="14" hidden="0" function="0" vbProcedure="0">'[168]9.625 TCP String'!$B$10</definedName>
    <definedName name="state" localSheetId="14" hidden="0" function="0" vbProcedure="0">'[40]CPS Call Sheet'!$AC$7</definedName>
    <definedName name="status" localSheetId="14" hidden="0" function="0" vbProcedure="0">'[154]BPR LOG'!$H$1:$H$1048576</definedName>
    <definedName name="Stretch_DP1_Lnr_Wt" localSheetId="14" hidden="0" function="0" vbProcedure="0">'[109]Metric Conversions'!$B$30</definedName>
    <definedName name="Stretch_DP1_Lnr_Wtz" localSheetId="14" hidden="0" function="0" vbProcedure="0">'[109]Metric Conversions'!$C$30</definedName>
    <definedName name="Stretch_DP2_Lnr_Wt" localSheetId="14" hidden="0" function="0" vbProcedure="0">'[109]Metric Conversions'!$B$31</definedName>
    <definedName name="Stretch_DP2_Lnr_Wtz" localSheetId="14" hidden="0" function="0" vbProcedure="0">'[109]Metric Conversions'!$C$31</definedName>
    <definedName name="Stretch_DP3_Lnr_Wt" localSheetId="14" hidden="0" function="0" vbProcedure="0">'[109]Metric Conversions'!$B$32</definedName>
    <definedName name="Stretch_DP3_Lnr_Wtz" localSheetId="14" hidden="0" function="0" vbProcedure="0">'[109]Metric Conversions'!$C$32</definedName>
    <definedName name="Stretch_DP4_Lnr_Wt" localSheetId="14" hidden="0" function="0" vbProcedure="0">'[109]Metric Conversions'!$B$33</definedName>
    <definedName name="Stretch_DP4_Lnr_Wtz" localSheetId="14" hidden="0" function="0" vbProcedure="0">'[109]Metric Conversions'!$C$33</definedName>
    <definedName name="Stretch_DP5_Lnr_Wt" localSheetId="14" hidden="0" function="0" vbProcedure="0">'[109]Metric Conversions'!$B$34</definedName>
    <definedName name="Stretch_DP5_Lnr_Wtz" localSheetId="14" hidden="0" function="0" vbProcedure="0">'[109]Metric Conversions'!$C$34</definedName>
    <definedName name="Stretch_TTL_Lnr_Wt" localSheetId="14" hidden="0" function="0" vbProcedure="0">'[109]Metric Conversions'!$B$36</definedName>
    <definedName name="Stretch_TTL_Lnr_Wtz" localSheetId="14" hidden="0" function="0" vbProcedure="0">'[109]Metric Conversions'!$C$36</definedName>
    <definedName name="SubSeaTVD_Column" localSheetId="14" hidden="0" function="0" vbProcedure="0">null</definedName>
    <definedName name="SubSeaTVD_Unit" localSheetId="14" hidden="0" function="0" vbProcedure="0">null</definedName>
    <definedName name="SUMP_DEPTH" localSheetId="14" hidden="0" function="0" vbProcedure="0">'[113]#REF'!$F$23</definedName>
    <definedName name="Surfaceequipment" localSheetId="14" hidden="0" function="0" vbProcedure="0">[109]DATA!$AQ$2:$AQ$11</definedName>
    <definedName name="surfacefracpressure" localSheetId="14" hidden="0" function="0" vbProcedure="0">[106]Data!$F$4</definedName>
    <definedName name="Surf_Equip_Tens" localSheetId="14" hidden="0" function="0" vbProcedure="0">'[109]Liner Job Info'!$P$46</definedName>
    <definedName name="Svy_Print_Area" localSheetId="14" hidden="0" function="0" vbProcedure="0">'[168]9.625 TCP String'!$B$12:$I$3772</definedName>
    <definedName name="SWELL_PKR" localSheetId="14" hidden="0" function="0" vbProcedure="0">INDEX([111]PKR!$F$2:$G$10,MATCH([111]PKR!$H$1,[111]PKR!$F$2:$F$10,0),2)</definedName>
    <definedName name="Tally" localSheetId="14" hidden="0" function="0" vbProcedure="0">[169]Tally!$A$5:$C$1004</definedName>
    <definedName name="Tally_2" localSheetId="14" hidden="0" function="0" vbProcedure="0">[169]Tally!$E$5:$G$1004</definedName>
    <definedName name="Tally_3" localSheetId="14" hidden="0" function="0" vbProcedure="0">[169]Tally!$I$5:$K$1004</definedName>
    <definedName name="Taper_String_Grade" localSheetId="14" hidden="0" function="0" vbProcedure="0">'[108]Pre-Job Info Sheet'!$D$31</definedName>
    <definedName name="Taper_String_Size" localSheetId="14" hidden="0" function="0" vbProcedure="0">'[108]Pre-Job Info Sheet'!$D$29</definedName>
    <definedName name="Taper_String_Type" localSheetId="14" hidden="0" function="0" vbProcedure="0">'[108]Pre-Job Info Sheet'!$D$28</definedName>
    <definedName name="Taper_String_Wt._Ft." localSheetId="14" hidden="0" function="0" vbProcedure="0">'[108]Pre-Job Info Sheet'!$D$30</definedName>
    <definedName name="targe"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4" hidden="0" function="0" vbProcedure="0">#ref!,#ref!</definedName>
    <definedName name="TbgDrift1" localSheetId="14" hidden="0" function="0" vbProcedure="0">'[94]Job Technical Info'!$G$35</definedName>
    <definedName name="TbgDrift2" localSheetId="14" hidden="0" function="0" vbProcedure="0">'[94]Job Technical Info'!$G$36</definedName>
    <definedName name="TbgDrift3" localSheetId="14" hidden="0" function="0" vbProcedure="0">'[94]Job Technical Info'!$G$37</definedName>
    <definedName name="TbgDrift4" localSheetId="14" hidden="0" function="0" vbProcedure="0">'[94]Job Technical Info'!$G$38</definedName>
    <definedName name="TbgGrade" localSheetId="14" hidden="0" function="0" vbProcedure="0">[170]MUT!$O$3:$O$4</definedName>
    <definedName name="TbgGrd1" localSheetId="14" hidden="0" function="0" vbProcedure="0">'[94]Job Technical Info'!$H$35</definedName>
    <definedName name="TbgGrd2" localSheetId="14" hidden="0" function="0" vbProcedure="0">'[94]Job Technical Info'!$H$36</definedName>
    <definedName name="TbgGrd3" localSheetId="14" hidden="0" function="0" vbProcedure="0">'[94]Job Technical Info'!$H$37</definedName>
    <definedName name="TbgGrd4" localSheetId="14" hidden="0" function="0" vbProcedure="0">'[94]Job Technical Info'!$H$38</definedName>
    <definedName name="TbgID1" localSheetId="14" hidden="0" function="0" vbProcedure="0">'[94]Job Technical Info'!$F$35</definedName>
    <definedName name="TbgID2" localSheetId="14" hidden="0" function="0" vbProcedure="0">'[94]Job Technical Info'!$F$36</definedName>
    <definedName name="TbgID3" localSheetId="14" hidden="0" function="0" vbProcedure="0">'[94]Job Technical Info'!$F$37</definedName>
    <definedName name="TbgID4" localSheetId="14" hidden="0" function="0" vbProcedure="0">'[94]Job Technical Info'!$F$38</definedName>
    <definedName name="TbgSz1" localSheetId="14" hidden="0" function="0" vbProcedure="0">'[94]Job Technical Info'!$D$35</definedName>
    <definedName name="TbgSz2" localSheetId="14" hidden="0" function="0" vbProcedure="0">'[94]Job Technical Info'!$D$36</definedName>
    <definedName name="TbgSz3" localSheetId="14" hidden="0" function="0" vbProcedure="0">'[94]Job Technical Info'!$D$37</definedName>
    <definedName name="TbgSz4" localSheetId="14" hidden="0" function="0" vbProcedure="0">'[94]Job Technical Info'!$D$38</definedName>
    <definedName name="TbgThd1" localSheetId="14" hidden="0" function="0" vbProcedure="0">'[94]Job Technical Info'!$J$35</definedName>
    <definedName name="TbgThd2" localSheetId="14" hidden="0" function="0" vbProcedure="0">'[94]Job Technical Info'!$J$36</definedName>
    <definedName name="TbgThd3" localSheetId="14" hidden="0" function="0" vbProcedure="0">'[94]Job Technical Info'!$J$37</definedName>
    <definedName name="TbgThd4" localSheetId="14" hidden="0" function="0" vbProcedure="0">'[94]Job Technical Info'!$J$38</definedName>
    <definedName name="TbgWt1" localSheetId="14" hidden="0" function="0" vbProcedure="0">'[94]Job Technical Info'!$E$35</definedName>
    <definedName name="TbgWt2" localSheetId="14" hidden="0" function="0" vbProcedure="0">'[94]Job Technical Info'!$E$36</definedName>
    <definedName name="TbgWt3" localSheetId="14" hidden="0" function="0" vbProcedure="0">'[94]Job Technical Info'!$E$37</definedName>
    <definedName name="TbgWt4" localSheetId="14" hidden="0" function="0" vbProcedure="0">'[94]Job Technical Info'!$E$38</definedName>
    <definedName name="TB_Ext_API_Coll" localSheetId="14" hidden="0" function="0" vbProcedure="0">'[109]Metric Conversions'!$B$55</definedName>
    <definedName name="TB_Ext_API_Collz" localSheetId="14" hidden="0" function="0" vbProcedure="0">'[109]Liner Job Info'!$P$37</definedName>
    <definedName name="TB_Ext_Bst" localSheetId="14" hidden="0" function="0" vbProcedure="0">'[109]Metric Conversions'!$B$54</definedName>
    <definedName name="TB_Ext_Bstz" localSheetId="14" hidden="0" function="0" vbProcedure="0">'[109]Liner Job Info'!$P$36</definedName>
    <definedName name="TB_EXT_ID" localSheetId="14" hidden="0" function="0" vbProcedure="0">'[109]Liner Job Info'!$P$35</definedName>
    <definedName name="TB_Ext_Yield_Collz" localSheetId="14" hidden="0" function="0" vbProcedure="0">'[109]Liner Job Info'!$P$38</definedName>
    <definedName name="TD_Depth_md" localSheetId="14" hidden="0" function="0" vbProcedure="0">'[73]well specification'!#ref!</definedName>
    <definedName name="TD_md" localSheetId="14" hidden="0" function="0" vbProcedure="0">'[73]well specification'!#ref!</definedName>
    <definedName name="tedtr" localSheetId="14" hidden="0" function="0" vbProcedure="0">'[115]Max-Torq'!$P$72</definedName>
    <definedName name="teks"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4" hidden="0" function="0" vbProcedure="0">'[115]Max-Torq'!$N$58</definedName>
    <definedName name="terry1" localSheetId="14" hidden="0" function="0" vbProcedure="0">{#N/A,#N/A,FALSE,"Volume"}</definedName>
    <definedName name="terry2" localSheetId="14" hidden="0" function="0" vbProcedure="0">{#N/A,#N/A,FALSE,"Volume"}</definedName>
    <definedName name="terry3" localSheetId="14" hidden="0" function="0" vbProcedure="0">{#N/A,#N/A,FALSE,"Volume"}</definedName>
    <definedName name="terry4" localSheetId="14" hidden="0" function="0" vbProcedure="0">{#N/A,#N/A,FALSE,"Volume"}</definedName>
    <definedName name="terry5" localSheetId="14" hidden="0" function="0" vbProcedure="0">{#N/A,#N/A,FALSE,"Volume"}</definedName>
    <definedName name="TEST" localSheetId="14" hidden="0" function="0" vbProcedure="0">#ref!</definedName>
    <definedName name="Test_po_out_1" localSheetId="14" hidden="0" function="0" vbProcedure="0">[109]Test!$M$28</definedName>
    <definedName name="Test_po_out_2" localSheetId="14" hidden="0" function="0" vbProcedure="0">[109]Test!$M$29</definedName>
    <definedName name="textfive" localSheetId="14" hidden="0" function="0" vbProcedure="0">'[146]tally checklist'!textfive</definedName>
    <definedName name="textfivehalf" localSheetId="14" hidden="0" function="0" vbProcedure="0">'[146]tally checklist'!textfivehalf</definedName>
    <definedName name="textninefiveeightfourfirst" localSheetId="14" hidden="0" function="0" vbProcedure="0">'[146]tally checklist'!textninefiveeightfourfirst</definedName>
    <definedName name="textninefiveeightfoursecond" localSheetId="14" hidden="0" function="0" vbProcedure="0">'[146]tally checklist'!textninefiveeightfoursecond</definedName>
    <definedName name="textninefiveeightsixfirst" localSheetId="14" hidden="0" function="0" vbProcedure="0">'[146]tally checklist'!textninefiveeightsixfirst</definedName>
    <definedName name="textninefiveeightsixsecond" localSheetId="14" hidden="0" function="0" vbProcedure="0">'[146]tally checklist'!textninefiveeightsixsecond</definedName>
    <definedName name="textsevenfiveeightfour" localSheetId="14" hidden="0" function="0" vbProcedure="0">'[146]tally checklist'!textsevenfiveeightfour</definedName>
    <definedName name="textsevenfiveeightthree" localSheetId="14" hidden="0" function="0" vbProcedure="0">'[146]tally checklist'!textsevenfiveeightthree</definedName>
    <definedName name="textsevenfour" localSheetId="14" hidden="0" function="0" vbProcedure="0">'[146]tally checklist'!textsevenfour</definedName>
    <definedName name="textseventhree" localSheetId="14" hidden="0" function="0" vbProcedure="0">'[146]tally checklist'!textseventhree</definedName>
    <definedName name="text_five" localSheetId="14" hidden="0" function="0" vbProcedure="0">'[146]tally checklist'!text_five</definedName>
    <definedName name="text_fivehalf" localSheetId="14" hidden="0" function="0" vbProcedure="0">'[146]tally checklist'!text_fivehalf</definedName>
    <definedName name="text_ninefiveeightfourfirst" localSheetId="14" hidden="0" function="0" vbProcedure="0">'[146]tally checklist'!text_ninefiveeightfourfirst</definedName>
    <definedName name="text_ninefiveeightfoursecond" localSheetId="14" hidden="0" function="0" vbProcedure="0">'[146]tally checklist'!text_ninefiveeightfoursecond</definedName>
    <definedName name="text_ninefiveeightsixfirst" localSheetId="14" hidden="0" function="0" vbProcedure="0">'[146]tally checklist'!text_ninefiveeightsixfirst</definedName>
    <definedName name="text_ninefiveeightsixsecond" localSheetId="14" hidden="0" function="0" vbProcedure="0">'[146]tally checklist'!text_ninefiveeightsixsecond</definedName>
    <definedName name="text_sevenfiveeightfour" localSheetId="14" hidden="0" function="0" vbProcedure="0">'[146]tally checklist'!text_sevenfiveeightfour</definedName>
    <definedName name="text_sevenfiveeightthree" localSheetId="14" hidden="0" function="0" vbProcedure="0">'[146]tally checklist'!text_sevenfiveeightthree</definedName>
    <definedName name="text_sevenfour" localSheetId="14" hidden="0" function="0" vbProcedure="0">'[146]tally checklist'!text_sevenfour</definedName>
    <definedName name="text_seventhree" localSheetId="14" hidden="0" function="0" vbProcedure="0">'[146]tally checklist'!text_seventhree</definedName>
    <definedName name="tgrade" localSheetId="14" hidden="0" function="0" vbProcedure="0">[157]Control!$D$9</definedName>
    <definedName name="TGW" localSheetId="14" hidden="0" function="0" vbProcedure="0">'[146]tally checklist'!tgw</definedName>
    <definedName name="ThreadCon" localSheetId="14" hidden="0" function="0" vbProcedure="0">[171]MUT!$R$3:$R$9</definedName>
    <definedName name="ticketdate" localSheetId="14" hidden="0" function="0" vbProcedure="0">'[126]Call Sheet'!$AH$1</definedName>
    <definedName name="tickettype" localSheetId="14" hidden="0" function="0" vbProcedure="0">[56]data!#ref!</definedName>
    <definedName name="time" localSheetId="14" hidden="0" function="0" vbProcedure="0">'[96]well test sheet'!#ref!</definedName>
    <definedName name="TLCENG" localSheetId="14" hidden="0" function="0" vbProcedure="0">[193]Reference!$D$2</definedName>
    <definedName name="TLDENG" localSheetId="14" hidden="0" function="0" vbProcedure="0">[193]Reference!$C$2</definedName>
    <definedName name="TLDOPS" localSheetId="14" hidden="0" function="0" vbProcedure="0">[193]Reference!$E$2:$E$3</definedName>
    <definedName name="TOL" localSheetId="14" hidden="0" function="0" vbProcedure="0">'[130]Metric Conversions'!$B$28</definedName>
    <definedName name="TOLz" localSheetId="14" hidden="0" function="0" vbProcedure="0">'[109]Liner Job Info'!$I$19</definedName>
    <definedName name="ToolMaterial" localSheetId="14" hidden="0" function="0" vbProcedure="0">[109]DATA!$BN$2:$BN$8</definedName>
    <definedName name="Tool_ID" localSheetId="14" hidden="0" function="0" vbProcedure="0">[109]DATA!$P$2:$P$268</definedName>
    <definedName name="TOPPKRIMG" localSheetId="14" hidden="0" function="0" vbProcedure="0">INDEX([172]PKR!$A$16:$B$17,MATCH([172]INPUT!$G$56,[172]PKR!$A$16:$A$17,0),2)</definedName>
    <definedName name="TOPPKRIMG_1" localSheetId="14" hidden="0" function="0" vbProcedure="0">INDEX([161]PKR!$A$16:$B$18,MATCH([161]INPUT!$G$56,[161]PKR!$A$16:$A$18,0),2)</definedName>
    <definedName name="Top_Drive_y_n" localSheetId="14" hidden="0" function="0" vbProcedure="0">'[48]liner job info'!#ref!</definedName>
    <definedName name="Top_Perf._TVD" localSheetId="14" hidden="0" function="0" vbProcedure="0">'[108]Pre-Job Info Sheet'!$B$30</definedName>
    <definedName name="Top_Perforation" localSheetId="14" hidden="0" function="0" vbProcedure="0">'[108]Pre-Job Info Sheet'!$B$28</definedName>
    <definedName name="Total_DP_Wt" localSheetId="14" hidden="0" function="0" vbProcedure="0">'[109]Weight Calculations'!$H$13</definedName>
    <definedName name="Total_Length_of_BHA" localSheetId="14" hidden="0" function="0" vbProcedure="0">'[108]TCP-BHA'!$H$47</definedName>
    <definedName name="TOT_ANN_CAP" localSheetId="14" hidden="0" function="0" vbProcedure="0">'[113]#REF'!$G$189</definedName>
    <definedName name="Tot_Bottoms_Upz" localSheetId="14" hidden="0" function="0" vbProcedure="0">'[109]Metric Conversions'!$C$90</definedName>
    <definedName name="TOT_CAP_HOLE" localSheetId="14" hidden="0" function="0" vbProcedure="0">'[113]#REF'!$G$190</definedName>
    <definedName name="Tot_DP_Vol" localSheetId="14" hidden="0" function="0" vbProcedure="0">'[109]Metric Conversions'!$B$75</definedName>
    <definedName name="Tot_DP_Volz" localSheetId="14" hidden="0" function="0" vbProcedure="0">'[109]Metric Conversions'!$C$75</definedName>
    <definedName name="Tot_Liner_Wt" localSheetId="14" hidden="0" function="0" vbProcedure="0">'[109]Weight Calculations'!$H$18</definedName>
    <definedName name="Tot_Lnr_Vol_to_LC" localSheetId="14" hidden="0" function="0" vbProcedure="0">'[109]Metric Conversions'!$B$79</definedName>
    <definedName name="Tot_Lnr_Vol_to_LCz" localSheetId="14" hidden="0" function="0" vbProcedure="0">'[109]Metric Conversions'!$C$79</definedName>
    <definedName name="TOT_SAND_2B_PUMPED" localSheetId="14" hidden="0" function="0" vbProcedure="0">'[7]#ref'!#ref!</definedName>
    <definedName name="TOT_SAND_COV_BLANK" localSheetId="14" hidden="0" function="0" vbProcedure="0">'[113]#REF'!$H$136</definedName>
    <definedName name="TOT_SAND_COV_SCREEN" localSheetId="14" hidden="0" function="0" vbProcedure="0">'[113]#REF'!$H$135</definedName>
    <definedName name="TOT_SAND_IN_PERFS" localSheetId="14" hidden="0" function="0" vbProcedure="0">'[113]#REF'!$F$137</definedName>
    <definedName name="TOT_SAND_PLACED" localSheetId="14" hidden="0" function="0" vbProcedure="0">'[113]#REF'!$F$131</definedName>
    <definedName name="TOT_SAND_REVOUT" localSheetId="14" hidden="0" function="0" vbProcedure="0">'[7]#ref'!#ref!</definedName>
    <definedName name="Tot_Vol_to_Bump_Plugs" localSheetId="14" hidden="0" function="0" vbProcedure="0">'[109]Metric Conversions'!$B$80</definedName>
    <definedName name="Tot_Vol_to_Bump_Plugsz" localSheetId="14" hidden="0" function="0" vbProcedure="0">'[109]Metric Conversions'!$C$80</definedName>
    <definedName name="Tot_Vol_to_Shoez" localSheetId="14" hidden="0" function="0" vbProcedure="0">'[109]Metric Conversions'!$C$81</definedName>
    <definedName name="tpermit" localSheetId="14" hidden="0" function="0" vbProcedure="0">[157]Control!$D$5</definedName>
    <definedName name="TQW" localSheetId="14" hidden="0" function="0" vbProcedure="0">'[146]tally checklist'!tqw</definedName>
    <definedName name="tr" localSheetId="14" hidden="0" function="0" vbProcedure="0">null</definedName>
    <definedName name="transport" localSheetId="14" hidden="0" function="0" vbProcedure="0">[56]data!#ref!</definedName>
    <definedName name="treatment" localSheetId="14" hidden="0" function="0" vbProcedure="0">[56]data!#ref!</definedName>
    <definedName name="try" localSheetId="14" hidden="0" function="0" vbProcedure="0">[173]Calculos!$K$3:$V$31</definedName>
    <definedName name="TR_Column" localSheetId="14" hidden="0" function="0" vbProcedure="0">null</definedName>
    <definedName name="TR_Unit" localSheetId="14" hidden="0" function="0" vbProcedure="0">null</definedName>
    <definedName name="tshoe" localSheetId="14" hidden="0" function="0" vbProcedure="0">[157]Drillers!$Q$20</definedName>
    <definedName name="tsize" localSheetId="14" hidden="0" function="0" vbProcedure="0">[157]Control!$D$7</definedName>
    <definedName name="TST" localSheetId="14" hidden="0" function="0" vbProcedure="0">'[30]Liner Job Info'!$O$5</definedName>
    <definedName name="tstickup" localSheetId="14" hidden="0" function="0" vbProcedure="0">[157]Drillers!$O$20</definedName>
    <definedName name="TS_pricelist" localSheetId="14" hidden="0" function="0" vbProcedure="0">[139]Pricelist!$A$57:$B$65</definedName>
    <definedName name="Tubing" localSheetId="14" hidden="0" function="0" vbProcedure="0">[174]Tubing!$B$7:$I$142</definedName>
    <definedName name="TubingAverage" localSheetId="14" hidden="0" function="0" vbProcedure="0">((SUM(NosOfTubing))-(MakeupLoss*COUNT(NosOfTubing)))/COUNT(NosOfTubing)</definedName>
    <definedName name="TubingOD" localSheetId="14" hidden="0" function="0" vbProcedure="0">[94]Lists!$AH$3:$AH$297</definedName>
    <definedName name="TubingSizes" localSheetId="14" hidden="0" function="0" vbProcedure="0">[94]Lists!$H$2:$H$14</definedName>
    <definedName name="tubingweight" localSheetId="14" hidden="0" function="0" vbProcedure="0">[86]!TubTable[id LIST (in)]</definedName>
    <definedName name="TVD_MID_PERF" localSheetId="14" hidden="0" function="0" vbProcedure="0">'[113]#REF'!$F$25</definedName>
    <definedName name="TV_TVD" localSheetId="14" hidden="0" function="0" vbProcedure="0">'[108]Tester Valve Calcs'!$F$20</definedName>
    <definedName name="TV_Vol" localSheetId="14" hidden="0" function="0" vbProcedure="0">'[108]Tester Valve Calcs'!$M$17</definedName>
    <definedName name="tweight" localSheetId="14" hidden="0" function="0" vbProcedure="0">[157]Control!$D$8</definedName>
    <definedName name="twell" localSheetId="14" hidden="0" function="0" vbProcedure="0">[157]Control!$D$4</definedName>
    <definedName name="twstes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4" hidden="0" function="0" vbProcedure="0">'[146]tally checklist'!tyjeje</definedName>
    <definedName name="TYPE" localSheetId="14" hidden="0" function="0" vbProcedure="0">'[61]7-30-04'!#ref!</definedName>
    <definedName name="TYPEOFPLUG" localSheetId="14" hidden="0" function="0" vbProcedure="0">'[175]DATA CALL OUT'!$C$1:$C$65536</definedName>
    <definedName name="T_ABOP" localSheetId="14" hidden="0" function="0" vbProcedure="0">'[94]Physical Barrier Check Form'!$B$15</definedName>
    <definedName name="T_BFluidColumn" localSheetId="14" hidden="0" function="0" vbProcedure="0">'[94]Physical Barrier Check Form'!$B$19</definedName>
    <definedName name="T_BHP" localSheetId="14" hidden="0" function="0" vbProcedure="0">'[94]Job Technical Info'!$A$42</definedName>
    <definedName name="T_BHT" localSheetId="14" hidden="0" function="0" vbProcedure="0">'[94]Job Technical Info'!$C$42</definedName>
    <definedName name="T_Casing1" localSheetId="14" hidden="0" function="0" vbProcedure="0">'[94]Job Technical Info'!$B$25</definedName>
    <definedName name="T_Casing2" localSheetId="14" hidden="0" function="0" vbProcedure="0">'[94]Job Technical Info'!$B$26</definedName>
    <definedName name="T_Casing3" localSheetId="14" hidden="0" function="0" vbProcedure="0">'[94]Job Technical Info'!$B$27</definedName>
    <definedName name="T_Casing4" localSheetId="14" hidden="0" function="0" vbProcedure="0">'[94]Job Technical Info'!$B$28</definedName>
    <definedName name="T_Ccasing" localSheetId="14" hidden="0" function="0" vbProcedure="0">'[94]Physical Barrier Check Form'!$B$23</definedName>
    <definedName name="T_CustomerProject" localSheetId="14" hidden="0" function="0" vbProcedure="0">[94]Schematic!$A$8</definedName>
    <definedName name="T_C_H" localSheetId="14" hidden="0" function="0" vbProcedure="0">'[50]12(762mm)套管'!#ref!</definedName>
    <definedName name="T_Description" localSheetId="14" hidden="0" function="0" vbProcedure="0">[94]Schematic!$D$31</definedName>
    <definedName name="T_District" localSheetId="14" hidden="0" function="0" vbProcedure="0">'[94]Physical Barrier Check Form'!$B$4</definedName>
    <definedName name="T_DProductionPacker" localSheetId="14" hidden="0" function="0" vbProcedure="0">'[94]Physical Barrier Check Form'!$B$27</definedName>
    <definedName name="T_Drift" localSheetId="14" hidden="0" function="0" vbProcedure="0">'[94]Job Technical Info'!$G$23</definedName>
    <definedName name="T_EBridgePlug" localSheetId="14" hidden="0" function="0" vbProcedure="0">'[94]Physical Barrier Check Form'!$B$31</definedName>
    <definedName name="T_FluidType" localSheetId="14" hidden="0" function="0" vbProcedure="0">'[94]Job Technical Info'!$E$42</definedName>
    <definedName name="T_FluidWeight" localSheetId="14" hidden="0" function="0" vbProcedure="0">'[94]Job Technical Info'!$G$42</definedName>
    <definedName name="T_FOtherBarriers" localSheetId="14" hidden="0" function="0" vbProcedure="0">'[94]Physical Barrier Check Form'!$B$35</definedName>
    <definedName name="T_Grade" localSheetId="14" hidden="0" function="0" vbProcedure="0">'[94]Job Technical Info'!$H$23</definedName>
    <definedName name="T_ID" localSheetId="14" hidden="0" function="0" vbProcedure="0">'[94]Job Technical Info'!$F$23</definedName>
    <definedName name="T_Length" localSheetId="14" hidden="0" function="0" vbProcedure="0">[94]Schematic!$M$31</definedName>
    <definedName name="T_Liner1" localSheetId="14" hidden="0" function="0" vbProcedure="0">'[94]Job Technical Info'!$B$29</definedName>
    <definedName name="T_Liner2" localSheetId="14" hidden="0" function="0" vbProcedure="0">'[94]Job Technical Info'!$B$30</definedName>
    <definedName name="T_MaxDev" localSheetId="14" hidden="0" function="0" vbProcedure="0">[94]Schematic!$M$10</definedName>
    <definedName name="T_No" localSheetId="14" hidden="0" function="0" vbProcedure="0">[94]Schematic!$C$31</definedName>
    <definedName name="T_Notes" localSheetId="14" hidden="0" function="0" vbProcedure="0">'[94]Physical Barrier Check Form'!$H$13</definedName>
    <definedName name="T_OD" localSheetId="14" hidden="0" function="0" vbProcedure="0">'[94]Job Technical Info'!$D$23</definedName>
    <definedName name="T_Thread" localSheetId="14" hidden="0" function="0" vbProcedure="0">'[94]Job Technical Info'!$J$23</definedName>
    <definedName name="T_Tubing1" localSheetId="14" hidden="0" function="0" vbProcedure="0">'[94]Job Technical Info'!$B$35</definedName>
    <definedName name="T_Tubing2" localSheetId="14" hidden="0" function="0" vbProcedure="0">'[94]Job Technical Info'!$B$36</definedName>
    <definedName name="T_Tubing3" localSheetId="14" hidden="0" function="0" vbProcedure="0">'[94]Job Technical Info'!$B$37</definedName>
    <definedName name="T_Tubing4" localSheetId="14" hidden="0" function="0" vbProcedure="0">'[94]Job Technical Info'!$B$38</definedName>
    <definedName name="T_Tubulars" localSheetId="14" hidden="0" function="0" vbProcedure="0">'[94]Job Technical Info'!$B$23</definedName>
    <definedName name="T_Weight" localSheetId="14" hidden="0" function="0" vbProcedure="0">'[94]Job Technical Info'!$E$23</definedName>
    <definedName name="T_Workstring1" localSheetId="14" hidden="0" function="0" vbProcedure="0">'[94]Job Technical Info'!$B$31</definedName>
    <definedName name="T_Workstring2" localSheetId="14" hidden="0" function="0" vbProcedure="0">'[94]Job Technical Info'!$B$32</definedName>
    <definedName name="T_Workstring3" localSheetId="14" hidden="0" function="0" vbProcedure="0">'[94]Job Technical Info'!$B$33</definedName>
    <definedName name="T_Workstring4" localSheetId="14" hidden="0" function="0" vbProcedure="0">'[94]Job Technical Info'!$B$34</definedName>
    <definedName name="U" localSheetId="14" hidden="0" function="0" vbProcedure="0">[176]Lists!$A$1:$A$3</definedName>
    <definedName name="Underbalance" localSheetId="14" hidden="0" function="0" vbProcedure="0">'[108]Job Calculation Sheet'!$H$34</definedName>
    <definedName name="UNI_AA_VERSION" localSheetId="14" hidden="1" function="0" vbProcedure="0">"322.2.0"</definedName>
    <definedName name="Used" localSheetId="14" hidden="0" function="0" vbProcedure="0">[109]DATA!$AR$2:$AR$3</definedName>
    <definedName name="Using_Hanger" localSheetId="14" hidden="0" function="0" vbProcedure="0">'[109]Liner Job Info'!$D$38</definedName>
    <definedName name="Using_Packer" localSheetId="14" hidden="0" function="0" vbProcedure="0">'[109]Liner Job Info'!$P$30</definedName>
    <definedName name="VALIDCURR" localSheetId="14" hidden="0" function="0" vbProcedure="0">[177]Currency!$A$1:$A$170</definedName>
    <definedName name="Vallist" localSheetId="14" hidden="0" function="0" vbProcedure="0">'[109]Casing Info'!$A$2:$A$34</definedName>
    <definedName name="vallist2" localSheetId="14" hidden="0" function="0" vbProcedure="0">#N/A</definedName>
    <definedName name="vbcode.draw_blanks" localSheetId="14" hidden="0" function="0" vbProcedure="0">'[146]tally checklist'!vbcode.draw_blanks</definedName>
    <definedName name="vbcode.draw_linerfirst" localSheetId="14" hidden="0" function="0" vbProcedure="0">'[146]tally checklist'!vbcode.draw_linerfirst</definedName>
    <definedName name="vbcode.draw_linersecond" localSheetId="14" hidden="0" function="0" vbProcedure="0">'[146]tally checklist'!vbcode.draw_linersecond</definedName>
    <definedName name="vbcode.draw_miscellaneous" localSheetId="14" hidden="0" function="0" vbProcedure="0">'[146]tally checklist'!vbcode.draw_miscellaneous</definedName>
    <definedName name="vbcode.draw_productionfirst" localSheetId="14" hidden="0" function="0" vbProcedure="0">'[146]tally checklist'!vbcode.draw_productionfirst</definedName>
    <definedName name="vbcode.draw_productionsecond" localSheetId="14" hidden="0" function="0" vbProcedure="0">'[146]tally checklist'!vbcode.draw_productionsecond</definedName>
    <definedName name="vbcode.draw_quantum" localSheetId="14" hidden="0" function="0" vbProcedure="0">'[146]tally checklist'!vbcode.draw_quantum</definedName>
    <definedName name="vbcode.draw_screens" localSheetId="14" hidden="0" function="0" vbProcedure="0">'[146]tally checklist'!vbcode.draw_screens</definedName>
    <definedName name="vbcode.draw_shearsubs" localSheetId="14" hidden="0" function="0" vbProcedure="0">'[146]tally checklist'!vbcode.draw_shearsubs</definedName>
    <definedName name="vbcode.draw_sump" localSheetId="14" hidden="0" function="0" vbProcedure="0">'[146]tally checklist'!vbcode.draw_sump</definedName>
    <definedName name="vbcode.text_five" localSheetId="14" hidden="0" function="0" vbProcedure="0">'[146]tally checklist'!vbcode.text_five</definedName>
    <definedName name="vbcode.text_fivehalf" localSheetId="14" hidden="0" function="0" vbProcedure="0">'[146]tally checklist'!vbcode.text_fivehalf</definedName>
    <definedName name="vbcode.text_ninefiveeightfourfirst" localSheetId="14" hidden="0" function="0" vbProcedure="0">'[146]tally checklist'!vbcode.text_ninefiveeightfourfirst</definedName>
    <definedName name="vbcode.text_ninefiveeightfoursecond" localSheetId="14" hidden="0" function="0" vbProcedure="0">'[146]tally checklist'!vbcode.text_ninefiveeightfoursecond</definedName>
    <definedName name="vbcode.text_ninefiveeightsixfirst" localSheetId="14" hidden="0" function="0" vbProcedure="0">'[146]tally checklist'!vbcode.text_ninefiveeightsixfirst</definedName>
    <definedName name="vbcode.text_ninefiveeightsixsecond" localSheetId="14" hidden="0" function="0" vbProcedure="0">'[146]tally checklist'!vbcode.text_ninefiveeightsixsecond</definedName>
    <definedName name="vbcode.text_sevenfiveeightfour" localSheetId="14" hidden="0" function="0" vbProcedure="0">'[146]tally checklist'!vbcode.text_sevenfiveeightfour</definedName>
    <definedName name="vbcode.text_sevenfiveeightthree" localSheetId="14" hidden="0" function="0" vbProcedure="0">'[146]tally checklist'!vbcode.text_sevenfiveeightthree</definedName>
    <definedName name="vbcode.text_sevenfour" localSheetId="14" hidden="0" function="0" vbProcedure="0">'[146]tally checklist'!vbcode.text_sevenfour</definedName>
    <definedName name="vbcode.text_seventhree" localSheetId="14" hidden="0" function="0" vbProcedure="0">'[146]tally checklist'!vbcode.text_seventhree</definedName>
    <definedName name="Verticaldepth" localSheetId="14" hidden="0" function="0" vbProcedure="0">'[129]Front Page Info'!$C$18</definedName>
    <definedName name="volume1" localSheetId="14" hidden="0" function="0" vbProcedure="0">{#N/A,#N/A,FALSE,"Volume"}</definedName>
    <definedName name="VOL_MULE_SHOE" localSheetId="14" hidden="0" function="0" vbProcedure="0">'[113]#REF'!$F$178</definedName>
    <definedName name="VS" localSheetId="14" hidden="0" function="0" vbProcedure="0">'[95]MACRO125 '!$F$6</definedName>
    <definedName name="vvv" localSheetId="14" hidden="0" function="0" vbProcedure="0">[119]钻井日报表!$E$7</definedName>
    <definedName name="vvvdf" localSheetId="14" hidden="0" function="0" vbProcedure="0">[119]钻井日报表!$G$8</definedName>
    <definedName name="w" localSheetId="14" hidden="0" function="0" vbProcedure="0">'[306]run sheet'!#ref!</definedName>
    <definedName name="WBJobRev" localSheetId="14" hidden="0" function="0" vbProcedure="0">'[94]Job Technical Info'!$C$11</definedName>
    <definedName name="Weak_DP" localSheetId="14" hidden="0" function="0" vbProcedure="0">'[109]Weight Calculations'!$V$63</definedName>
    <definedName name="Weak_link" localSheetId="14" hidden="0" function="0" vbProcedure="0">'[109]Weight Calculations'!$R$61</definedName>
    <definedName name="Week" localSheetId="14" hidden="0" function="0" vbProcedure="0">[18]Criteria!$A$2:$A$51</definedName>
    <definedName name="weight" localSheetId="14" hidden="0" function="0" vbProcedure="0">'[7]Drop-Down Items'!$M$7:$M$10</definedName>
    <definedName name="well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4" hidden="0" function="0" vbProcedure="0">[132]Data!$K$1:$K$65536</definedName>
    <definedName name="Welllocation1" localSheetId="14" hidden="0" function="0" vbProcedure="0">[132]Data!$M$1:$M$65536</definedName>
    <definedName name="WellMD" localSheetId="14" hidden="0" function="0" vbProcedure="0">'[94]Job Technical Info'!$H$41</definedName>
    <definedName name="WellNo" localSheetId="14" hidden="0" function="0" vbProcedure="0">'[30]Liner Job Info'!$E$6</definedName>
    <definedName name="Wells" localSheetId="14" hidden="0" function="0" vbProcedure="0">[307]welltest!#ref!</definedName>
    <definedName name="WellTVD" localSheetId="14" hidden="0" function="0" vbProcedure="0">'[94]Job Technical Info'!$J$41</definedName>
    <definedName name="welltype" localSheetId="14" hidden="0" function="0" vbProcedure="0">'[113]#REF'!$F$18</definedName>
    <definedName name="Welltype2" localSheetId="14" hidden="0" function="0" vbProcedure="0">[178]Data!$H$1:$H$65536</definedName>
    <definedName name="Well_Name" localSheetId="14" hidden="0" function="0" vbProcedure="0">'[108]TCP-BHA'!$C$7</definedName>
    <definedName name="Well_Number" localSheetId="14" hidden="0" function="0" vbProcedure="0">'[62]Liner Job Info'!$E$6</definedName>
    <definedName name="well_type" localSheetId="14" hidden="0" function="0" vbProcedure="0">'[7]Drop-Down Items'!$D$43:$D$48</definedName>
    <definedName name="Well_Type__Oil_Gas" localSheetId="14" hidden="0" function="0" vbProcedure="0">'[108]Pre-Job Info Sheet'!$B$31</definedName>
    <definedName name="WHP" localSheetId="14" hidden="0" function="0" vbProcedure="0">#ref!</definedName>
    <definedName name="wht" localSheetId="14" hidden="0" function="0" vbProcedure="0">'[96]well test sheet'!#ref!</definedName>
    <definedName name="wiperplugunity" localSheetId="14" hidden="0" function="0" vbProcedure="0">[109]Test!$G$18</definedName>
    <definedName name="WkstrDrift1" localSheetId="14" hidden="0" function="0" vbProcedure="0">'[94]Job Technical Info'!$G$31</definedName>
    <definedName name="WkstrDrift2" localSheetId="14" hidden="0" function="0" vbProcedure="0">'[94]Job Technical Info'!$G$32</definedName>
    <definedName name="WkstrDrift3" localSheetId="14" hidden="0" function="0" vbProcedure="0">'[94]Job Technical Info'!$G$33</definedName>
    <definedName name="WkstrDrift4" localSheetId="14" hidden="0" function="0" vbProcedure="0">'[94]Job Technical Info'!$G$34</definedName>
    <definedName name="WkstrGrd1" localSheetId="14" hidden="0" function="0" vbProcedure="0">'[94]Job Technical Info'!$H$31</definedName>
    <definedName name="WkstrGrd2" localSheetId="14" hidden="0" function="0" vbProcedure="0">'[94]Job Technical Info'!$H$32</definedName>
    <definedName name="WkstrGrd3" localSheetId="14" hidden="0" function="0" vbProcedure="0">'[94]Job Technical Info'!$H$33</definedName>
    <definedName name="WkstrGrd4" localSheetId="14" hidden="0" function="0" vbProcedure="0">'[94]Job Technical Info'!$H$34</definedName>
    <definedName name="WkstrID1" localSheetId="14" hidden="0" function="0" vbProcedure="0">'[94]Job Technical Info'!$F$31</definedName>
    <definedName name="WkstrID2" localSheetId="14" hidden="0" function="0" vbProcedure="0">'[94]Job Technical Info'!$F$32</definedName>
    <definedName name="WkstrID3" localSheetId="14" hidden="0" function="0" vbProcedure="0">'[94]Job Technical Info'!$F$33</definedName>
    <definedName name="WkstrID4" localSheetId="14" hidden="0" function="0" vbProcedure="0">'[94]Job Technical Info'!$F$34</definedName>
    <definedName name="WkstrSz1" localSheetId="14" hidden="0" function="0" vbProcedure="0">'[94]Job Technical Info'!$D$31</definedName>
    <definedName name="WkstrSz2" localSheetId="14" hidden="0" function="0" vbProcedure="0">'[94]Job Technical Info'!$D$32</definedName>
    <definedName name="WkstrSz3" localSheetId="14" hidden="0" function="0" vbProcedure="0">'[94]Job Technical Info'!$D$33</definedName>
    <definedName name="WkstrSz4" localSheetId="14" hidden="0" function="0" vbProcedure="0">'[94]Job Technical Info'!$D$34</definedName>
    <definedName name="WkstrThd1" localSheetId="14" hidden="0" function="0" vbProcedure="0">'[94]Job Technical Info'!$J$31</definedName>
    <definedName name="WkstrThd2" localSheetId="14" hidden="0" function="0" vbProcedure="0">'[94]Job Technical Info'!$J$32</definedName>
    <definedName name="WkstrThd3" localSheetId="14" hidden="0" function="0" vbProcedure="0">'[94]Job Technical Info'!$J$33</definedName>
    <definedName name="WkstrThd4" localSheetId="14" hidden="0" function="0" vbProcedure="0">'[94]Job Technical Info'!$J$34</definedName>
    <definedName name="WkstrWt1" localSheetId="14" hidden="0" function="0" vbProcedure="0">'[94]Job Technical Info'!$E$31</definedName>
    <definedName name="WkstrWt2" localSheetId="14" hidden="0" function="0" vbProcedure="0">'[94]Job Technical Info'!$E$32</definedName>
    <definedName name="WkstrWt3" localSheetId="14" hidden="0" function="0" vbProcedure="0">'[94]Job Technical Info'!$E$33</definedName>
    <definedName name="WkstrWt4" localSheetId="14" hidden="0" function="0" vbProcedure="0">'[94]Job Technical Info'!$E$34</definedName>
    <definedName name="workstringid" localSheetId="14" hidden="0" function="0" vbProcedure="0">'[113]#REF'!$H$12</definedName>
    <definedName name="workstringidref" localSheetId="14" hidden="0" function="0" vbProcedure="0">[106]Data!$GC$3</definedName>
    <definedName name="workstringlength" localSheetId="14" hidden="0" function="0" vbProcedure="0">'[113]#REF'!$J$12</definedName>
    <definedName name="workstringod" localSheetId="14" hidden="0" function="0" vbProcedure="0">'[113]#REF'!$F$12</definedName>
    <definedName name="workstringtable" localSheetId="14" hidden="0" function="0" vbProcedure="0">[86]!CasingTable[#data]</definedName>
    <definedName name="workstringwt" localSheetId="14" hidden="0" function="0" vbProcedure="0">'[113]#REF'!$M$12</definedName>
    <definedName name="Workstring_Grade" localSheetId="14" hidden="0" function="0" vbProcedure="0">'[108]Pre-Job Info Sheet'!$D$27</definedName>
    <definedName name="Workstring_ID" localSheetId="14" hidden="0" function="0" vbProcedure="0">'[108]Job Calculation Sheet'!$F$16</definedName>
    <definedName name="Workstring_Length" localSheetId="14" hidden="0" function="0" vbProcedure="0">'[108]TCP-BHA'!$G$12</definedName>
    <definedName name="Workstring_Size" localSheetId="14" hidden="0" function="0" vbProcedure="0">'[108]Pre-Job Info Sheet'!$D$25</definedName>
    <definedName name="Workstring_Type" localSheetId="14" hidden="0" function="0" vbProcedure="0">'[108]Pre-Job Info Sheet'!$D$24</definedName>
    <definedName name="Workstring_Wt._Ft." localSheetId="14" hidden="0" function="0" vbProcedure="0">'[108]Pre-Job Info Sheet'!$D$26</definedName>
    <definedName name="wrn.ASDF." localSheetId="14" hidden="1" function="0" vbProcedure="0">{#N/A,#N/A,FALSE,"SHEET 1";#N/A,#N/A,FALSE,"Sheet4"}</definedName>
    <definedName name="wrn.AT._.Reports." localSheetId="14" hidden="1" function="0" vbProcedure="0">{#N/A,#N/A,FALSE,"Drlg Param Run 1-1";#N/A,#N/A,FALSE,"DDR (3)";#N/A,#N/A,FALSE,"BHA AT (1)";#N/A,#N/A,FALSE,"Downlinkbha";#N/A,#N/A,FALSE,"Job Status Report"}</definedName>
    <definedName name="wrn.CD_MST." localSheetId="14" hidden="1" function="0" vbProcedure="0">{#N/A,#N/A,FALSE,"Sheet1"}</definedName>
    <definedName name="wrn.DST_TCP." localSheetId="14" hidden="1" function="0" vbProcedure="0">{#N/A,#N/A,FALSE,"INFO";#N/A,#N/A,FALSE,"PCT";#N/A,#N/A,FALSE,"DISCS";#N/A,#N/A,FALSE,"DISC TABLE";#N/A,#N/A,FALSE,"CUSHION";#N/A,#N/A,FALSE,"HYDRAULICS";#N/A,#N/A,FALSE,"MCCV";#N/A,#N/A,FALSE,"HDF";#N/A,#N/A,FALSE,"GUNS";#N/A,#N/A,FALSE,"GUNDATA"}</definedName>
    <definedName name="wrn.FULL._.DTL." localSheetId="14" hidden="1" function="0" vbProcedure="0">{"CF",#N/A,FALSE,"FULL COST";"MANUFACT",#N/A,FALSE,"FULL COST";"PAYNMENT",#N/A,FALSE,"FULL COST"}</definedName>
    <definedName name="wrn.FULLSUM." localSheetId="14" hidden="1" function="0" vbProcedure="0">{#N/A,#N/A,FALSE,"SUM-1";#N/A,#N/A,FALSE,"SUM-2";#N/A,#N/A,FALSE,"TENDER"}</definedName>
    <definedName name="wrn.ratios." localSheetId="14" hidden="1" function="0" vbProcedure="0">{"raatios",#N/A,FALSE,"A";"ratios",#N/A,FALSE,"B";"ratios",#N/A,FALSE,"C";"ratios",#N/A,FALSE,"D";"ratios",#N/A,FALSE,"F"}</definedName>
    <definedName name="wrn.SUMMARY." localSheetId="14" hidden="1" function="0" vbProcedure="0">{#N/A,#N/A,FALSE,"JUNK"}</definedName>
    <definedName name="wrn.VOLUME." localSheetId="14" hidden="0" function="0" vbProcedure="0">{#N/A,#N/A,FALSE,"Volume"}</definedName>
    <definedName name="wrn.volume.2" localSheetId="14" hidden="0" function="0" vbProcedure="0">{#N/A,#N/A,FALSE,"Volume"}</definedName>
    <definedName name="wrn.volume.2_1" localSheetId="14" hidden="0" function="0" vbProcedure="0">{#N/A,#N/A,FALSE,"Volume"}</definedName>
    <definedName name="wrn.volume.2_2" localSheetId="14" hidden="0" function="0" vbProcedure="0">{#N/A,#N/A,FALSE,"Volume"}</definedName>
    <definedName name="wrn.volume.2_3" localSheetId="14" hidden="0" function="0" vbProcedure="0">{#N/A,#N/A,FALSE,"Volume"}</definedName>
    <definedName name="wrn.volume.2_4" localSheetId="14" hidden="0" function="0" vbProcedure="0">{#N/A,#N/A,FALSE,"Volume"}</definedName>
    <definedName name="wrn.volume.2_5" localSheetId="14" hidden="0" function="0" vbProcedure="0">{#N/A,#N/A,FALSE,"Volume"}</definedName>
    <definedName name="wrn.volume.3" localSheetId="14" hidden="0" function="0" vbProcedure="0">{#N/A,#N/A,FALSE,"Volume"}</definedName>
    <definedName name="wrn.volume.3_1" localSheetId="14" hidden="0" function="0" vbProcedure="0">{#N/A,#N/A,FALSE,"Volume"}</definedName>
    <definedName name="wrn.volume.3_2" localSheetId="14" hidden="0" function="0" vbProcedure="0">{#N/A,#N/A,FALSE,"Volume"}</definedName>
    <definedName name="wrn.volume.3_3" localSheetId="14" hidden="0" function="0" vbProcedure="0">{#N/A,#N/A,FALSE,"Volume"}</definedName>
    <definedName name="wrn.volume.3_4" localSheetId="14" hidden="0" function="0" vbProcedure="0">{#N/A,#N/A,FALSE,"Volume"}</definedName>
    <definedName name="wrn.volume.3_5" localSheetId="14" hidden="0" function="0" vbProcedure="0">{#N/A,#N/A,FALSE,"Volume"}</definedName>
    <definedName name="wrn.VOLUME._1" localSheetId="14" hidden="0" function="0" vbProcedure="0">{#N/A,#N/A,FALSE,"Volume"}</definedName>
    <definedName name="wrn.VOLUME._2" localSheetId="14" hidden="0" function="0" vbProcedure="0">{#N/A,#N/A,FALSE,"Volume"}</definedName>
    <definedName name="wrn.VOLUME._3" localSheetId="14" hidden="0" function="0" vbProcedure="0">{#N/A,#N/A,FALSE,"Volume"}</definedName>
    <definedName name="wrn.VOLUME._4" localSheetId="14" hidden="0" function="0" vbProcedure="0">{#N/A,#N/A,FALSE,"Volume"}</definedName>
    <definedName name="wrn.VOLUME._5" localSheetId="14" hidden="0" function="0" vbProcedure="0">{#N/A,#N/A,FALSE,"Volume"}</definedName>
    <definedName name="WRN.VULUME" localSheetId="14" hidden="0" function="0" vbProcedure="0">{#N/A,#N/A,FALSE,"Volume"}</definedName>
    <definedName name="wrn.Wellplan."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4" hidden="1" function="0" vbProcedure="0">{#N/A,#N/A,FALSE,"SHEET 1";#N/A,#N/A,FALSE,"Sheet4"}</definedName>
    <definedName name="wscolumn" localSheetId="14" hidden="0" function="0" vbProcedure="0">[106]Data!$W$19</definedName>
    <definedName name="WS_ID" localSheetId="14" hidden="0" function="0" vbProcedure="0">'[113]#REF'!$H$12</definedName>
    <definedName name="WS_LENGTH" localSheetId="14" hidden="0" function="0" vbProcedure="0">'[113]#REF'!$J$12</definedName>
    <definedName name="WS_OD" localSheetId="14" hidden="0" function="0" vbProcedure="0">'[113]#REF'!$F$12</definedName>
    <definedName name="wt" localSheetId="14" hidden="0" function="0" vbProcedure="0">'[115]Max-Torq'!$P$64</definedName>
    <definedName name="wtcasing" localSheetId="14" hidden="0" function="0" vbProcedure="0">[106]Data!$J$19</definedName>
    <definedName name="wtr_cumm" localSheetId="14" hidden="0" function="0" vbProcedure="0">'[96]well test sheet'!#ref!</definedName>
    <definedName name="wtr_rate" localSheetId="14" hidden="0" function="0" vbProcedure="0">'[96]well test sheet'!#ref!</definedName>
    <definedName name="wtworkstring" localSheetId="14" hidden="0" function="0" vbProcedure="0">[106]Data!$W$21</definedName>
    <definedName name="Wtype" localSheetId="14" hidden="0" function="0" vbProcedure="0">'[109]Liner Job Info'!$E$9</definedName>
    <definedName name="Wt_Bouyant" localSheetId="14" hidden="0" function="0" vbProcedure="0">'[108]Packer Calculation Sheet'!$I$34</definedName>
    <definedName name="Wt_w_Cmt" localSheetId="14" hidden="0" function="0" vbProcedure="0">'[109]Liner Job Info'!$D$34</definedName>
    <definedName name="Wt_W_Pkr_Tst" localSheetId="14" hidden="0" function="0" vbProcedure="0">'[109]Liner Job Info'!$D$36</definedName>
    <definedName name="X" localSheetId="14" hidden="0" function="0" vbProcedure="0">#ref!</definedName>
    <definedName name="X5_TO" localSheetId="14" hidden="0" function="0" vbProcedure="0">[129]RSS!$C$197</definedName>
    <definedName name="XCEED_TO" localSheetId="14" hidden="0" function="0" vbProcedure="0">[129]RSS!$G$201</definedName>
    <definedName name="xoportdepth" localSheetId="14" hidden="0" function="0" vbProcedure="0">'[113]#REF'!$F$21</definedName>
    <definedName name="XO_DEPTH" localSheetId="14" hidden="0" function="0" vbProcedure="0">'[113]#REF'!$F$21</definedName>
    <definedName name="XO_PORT_DEPTH" localSheetId="14" hidden="0" function="0" vbProcedure="0">'[113]#REF'!$F$21</definedName>
    <definedName name="XTRA_TO" localSheetId="14" hidden="0" function="0" vbProcedure="0">[129]RSS!$E$201</definedName>
    <definedName name="xxx" localSheetId="14" hidden="1" function="0" vbProcedure="0">{#N/A,#N/A,FALSE,"Sheet1"}</definedName>
    <definedName name="Y" localSheetId="14" hidden="0" function="0" vbProcedure="0">'[310]#ref'!#ref!</definedName>
    <definedName name="YESNO" localSheetId="14" hidden="0" function="0" vbProcedure="0">[129]RSS!$E$139:$E$141</definedName>
    <definedName name="YJEJD" localSheetId="14" hidden="0" function="0" vbProcedure="0">'[146]tally checklist'!yjejd</definedName>
    <definedName name="yp" localSheetId="14" hidden="0" function="0" vbProcedure="0">'[115]Max-Torq'!$N$59</definedName>
    <definedName name="ypa" localSheetId="14" hidden="0" function="0" vbProcedure="0">'[115]Max-Torq'!$P$63</definedName>
    <definedName name="ypdtr" localSheetId="14" hidden="0" function="0" vbProcedure="0">'[115]Max-Torq'!$P$70</definedName>
    <definedName name="yyyyyyyyyyyy" localSheetId="14" hidden="1" function="0" vbProcedure="0">{"raatios",#N/A,FALSE,"A";"ratios",#N/A,FALSE,"B";"ratios",#N/A,FALSE,"C";"ratios",#N/A,FALSE,"D";"ratios",#N/A,FALSE,"F"}</definedName>
    <definedName name="zone" localSheetId="14" hidden="0" function="0" vbProcedure="0">[5]WTR!$L$4</definedName>
    <definedName name="Zone1BHP" localSheetId="14" hidden="0" function="0" vbProcedure="0">'[94]Job Technical Info'!$G$49</definedName>
    <definedName name="Zone1BHT" localSheetId="14" hidden="0" function="0" vbProcedure="0">'[94]Job Technical Info'!$H$49</definedName>
    <definedName name="Zone1Bottom" localSheetId="14" hidden="0" function="0" vbProcedure="0">'[94]Job Technical Info'!$E$49</definedName>
    <definedName name="Zone1Dev" localSheetId="14" hidden="0" function="0" vbProcedure="0">'[94]Job Technical Info'!$F$49</definedName>
    <definedName name="Zone1FluidType" localSheetId="14" hidden="0" function="0" vbProcedure="0">'[94]Job Technical Info'!$I$49</definedName>
    <definedName name="Zone1FluidWt" localSheetId="14" hidden="0" function="0" vbProcedure="0">'[94]Job Technical Info'!$J$49</definedName>
    <definedName name="Zone1Name" localSheetId="14" hidden="0" function="0" vbProcedure="0">'[94]Job Technical Info'!$C$49</definedName>
    <definedName name="Zone1Top" localSheetId="14" hidden="0" function="0" vbProcedure="0">'[94]Job Technical Info'!$D$49</definedName>
    <definedName name="Zone2BHP" localSheetId="14" hidden="0" function="0" vbProcedure="0">'[94]Job Technical Info'!$G$50</definedName>
    <definedName name="Zone2BHT" localSheetId="14" hidden="0" function="0" vbProcedure="0">'[94]Job Technical Info'!$H$50</definedName>
    <definedName name="Zone2Bottom" localSheetId="14" hidden="0" function="0" vbProcedure="0">'[94]Job Technical Info'!$E$50</definedName>
    <definedName name="Zone2Dev" localSheetId="14" hidden="0" function="0" vbProcedure="0">'[94]Job Technical Info'!$F$50</definedName>
    <definedName name="Zone2FluidType" localSheetId="14" hidden="0" function="0" vbProcedure="0">'[94]Job Technical Info'!$I$50</definedName>
    <definedName name="Zone2FluidWt" localSheetId="14" hidden="0" function="0" vbProcedure="0">'[94]Job Technical Info'!$J$50</definedName>
    <definedName name="Zone2Name" localSheetId="14" hidden="0" function="0" vbProcedure="0">'[94]Job Technical Info'!$C$50</definedName>
    <definedName name="Zone2Top" localSheetId="14" hidden="0" function="0" vbProcedure="0">'[94]Job Technical Info'!$D$50</definedName>
    <definedName name="Zone3BHP" localSheetId="14" hidden="0" function="0" vbProcedure="0">'[94]Job Technical Info'!$G$51</definedName>
    <definedName name="Zone3BHT" localSheetId="14" hidden="0" function="0" vbProcedure="0">'[94]Job Technical Info'!$H$51</definedName>
    <definedName name="Zone3Bottom" localSheetId="14" hidden="0" function="0" vbProcedure="0">'[94]Job Technical Info'!$E$51</definedName>
    <definedName name="Zone3Dev" localSheetId="14" hidden="0" function="0" vbProcedure="0">'[94]Job Technical Info'!$F$51</definedName>
    <definedName name="Zone3FluidType" localSheetId="14" hidden="0" function="0" vbProcedure="0">'[94]Job Technical Info'!$I$51</definedName>
    <definedName name="Zone3FluidWt" localSheetId="14" hidden="0" function="0" vbProcedure="0">'[94]Job Technical Info'!$J$51</definedName>
    <definedName name="Zone3Name" localSheetId="14" hidden="0" function="0" vbProcedure="0">'[94]Job Technical Info'!$C$51</definedName>
    <definedName name="Zone3Top" localSheetId="14" hidden="0" function="0" vbProcedure="0">'[94]Job Technical Info'!$D$51</definedName>
    <definedName name="Zone4BHP" localSheetId="14" hidden="0" function="0" vbProcedure="0">'[94]Job Technical Info'!$G$52</definedName>
    <definedName name="Zone4BHT" localSheetId="14" hidden="0" function="0" vbProcedure="0">'[94]Job Technical Info'!$H$52</definedName>
    <definedName name="Zone4Bottom" localSheetId="14" hidden="0" function="0" vbProcedure="0">'[94]Job Technical Info'!$E$52</definedName>
    <definedName name="Zone4Dev" localSheetId="14" hidden="0" function="0" vbProcedure="0">'[94]Job Technical Info'!$F$52</definedName>
    <definedName name="Zone4FluidType" localSheetId="14" hidden="0" function="0" vbProcedure="0">'[94]Job Technical Info'!$I$52</definedName>
    <definedName name="Zone4FluidWt" localSheetId="14" hidden="0" function="0" vbProcedure="0">'[94]Job Technical Info'!$J$52</definedName>
    <definedName name="Zone4Name" localSheetId="14" hidden="0" function="0" vbProcedure="0">'[94]Job Technical Info'!$C$52</definedName>
    <definedName name="Zone4Top" localSheetId="14" hidden="0" function="0" vbProcedure="0">'[94]Job Technical Info'!$D$52</definedName>
    <definedName name="Zone5BHP" localSheetId="14" hidden="0" function="0" vbProcedure="0">'[94]Job Technical Info'!$G$53</definedName>
    <definedName name="Zone5BHT" localSheetId="14" hidden="0" function="0" vbProcedure="0">'[94]Job Technical Info'!$H$53</definedName>
    <definedName name="Zone5Bottom" localSheetId="14" hidden="0" function="0" vbProcedure="0">'[94]Job Technical Info'!$E$53</definedName>
    <definedName name="Zone5Dev" localSheetId="14" hidden="0" function="0" vbProcedure="0">'[94]Job Technical Info'!$F$53</definedName>
    <definedName name="Zone5FluidType" localSheetId="14" hidden="0" function="0" vbProcedure="0">'[94]Job Technical Info'!$I$53</definedName>
    <definedName name="Zone5FluidWt" localSheetId="14" hidden="0" function="0" vbProcedure="0">'[94]Job Technical Info'!$J$53</definedName>
    <definedName name="Zone5Name" localSheetId="14" hidden="0" function="0" vbProcedure="0">'[94]Job Technical Info'!$C$53</definedName>
    <definedName name="Zone5Top" localSheetId="14" hidden="0" function="0" vbProcedure="0">'[94]Job Technical Info'!$D$53</definedName>
    <definedName name="ZXP_Seal_Area" localSheetId="14" hidden="0" function="0" vbProcedure="0">[109]Test!$Z$38</definedName>
    <definedName name="Z_Fact_DH" localSheetId="14" hidden="0" function="0" vbProcedure="0">'[108]Tester Valve Calcs'!$F$23</definedName>
    <definedName name="Z_Fact_Surf" localSheetId="14" hidden="0" function="0" vbProcedure="0">'[108]Tester Valve Calcs'!$F$18</definedName>
    <definedName name="_A" localSheetId="14" hidden="0" function="0" vbProcedure="0">'[2]run sheet'!#ref!</definedName>
    <definedName name="_C" localSheetId="14" hidden="0" function="0" vbProcedure="0">'[2]run sheet'!#ref!</definedName>
    <definedName name="_D" localSheetId="14" hidden="0" function="0" vbProcedure="0">'[2]run sheet'!#ref!</definedName>
    <definedName name="_E" localSheetId="14" hidden="0" function="0" vbProcedure="0">'[2]run sheet'!#ref!</definedName>
    <definedName name="_f" localSheetId="14" hidden="0" function="0" vbProcedure="0">{#N/A,#N/A,FALSE,"Volume"}</definedName>
    <definedName name="_g" localSheetId="14" hidden="0" function="0" vbProcedure="0">{#N/A,#N/A,FALSE,"Volume"}</definedName>
    <definedName name="_h" localSheetId="14" hidden="0" function="0" vbProcedure="0">{#N/A,#N/A,FALSE,"Volume"}</definedName>
    <definedName name="_I" localSheetId="14" hidden="0" function="0" vbProcedure="0">'[2]run sheet'!#ref!</definedName>
    <definedName name="_L" localSheetId="14" hidden="0" function="0" vbProcedure="0">'[2]run sheet'!#ref!</definedName>
    <definedName name="_N" localSheetId="14" hidden="0" function="0" vbProcedure="0">'[2]run sheet'!#ref!</definedName>
    <definedName name="_q" localSheetId="14" hidden="0" function="0" vbProcedure="0">'[4]run sheet'!#ref!</definedName>
    <definedName name="_T" localSheetId="14" hidden="0" function="0" vbProcedure="0">{#N/A,#N/A,FALSE,"Volume"}</definedName>
    <definedName name="_Z" localSheetId="14" hidden="0" function="0" vbProcedure="0">'[2]run sheet'!#ref!</definedName>
    <definedName name="_" localSheetId="14" hidden="0" function="0" vbProcedure="0">[6]readings!#ref!</definedName>
    <definedName name="_1" localSheetId="14" hidden="0" function="0" vbProcedure="0">{#N/A,#N/A,FALSE,"Volume"}</definedName>
    <definedName name="_11Druckbereich" localSheetId="14" hidden="0" function="0" vbProcedure="0">[36]run_s!#ref!</definedName>
    <definedName name="_1234GRAPH_G" localSheetId="14" hidden="1" function="0" vbProcedure="0">[179]Run!$F$16:$F$514</definedName>
    <definedName name="_1Module2__2__.gaugeconok2" localSheetId="14" hidden="0" function="0" vbProcedure="0">[28]!_1Module2__2__.gaugeconok2</definedName>
    <definedName name="_2" localSheetId="14" hidden="0" function="0" vbProcedure="0">{#N/A,#N/A,FALSE,"Volume"}</definedName>
    <definedName name="_2Module2__2__.gaugeok2" localSheetId="14" hidden="0" function="0" vbProcedure="0">[28]!_2Module2__2__.gaugeok2</definedName>
    <definedName name="_3Module2__2__.gaugeselect2" localSheetId="14" hidden="0" function="0" vbProcedure="0">[28]!_3Module2__2__.gaugeselect2</definedName>
    <definedName name="_4Module2__2__.serialselect3" localSheetId="14" hidden="0" function="0" vbProcedure="0">[28]!_4Module2__2__.serialselect3</definedName>
    <definedName name="_5" localSheetId="14" hidden="0" function="0" vbProcedure="0">{#N/A,#N/A,FALSE,"Volume"}</definedName>
    <definedName name="_5Module2__2__.serialselect4" localSheetId="14" hidden="0" function="0" vbProcedure="0">[28]!_5Module2__2__.serialselect4</definedName>
    <definedName name="_a" localSheetId="14" hidden="0" function="0" vbProcedure="0">{#N/A,#N/A,FALSE,"Volume"}</definedName>
    <definedName name="_a1" localSheetId="14" hidden="0" function="0" vbProcedure="0">{#N/A,#N/A,FALSE,"Volume"}</definedName>
    <definedName name="_a2" localSheetId="14" hidden="0" function="0" vbProcedure="0">{#N/A,#N/A,FALSE,"Volume"}</definedName>
    <definedName name="_a3" localSheetId="14" hidden="0" function="0" vbProcedure="0">{#N/A,#N/A,FALSE,"Volume"}</definedName>
    <definedName name="_A4" localSheetId="14" hidden="1" function="0" vbProcedure="0">[179]Run!$B$18:$B$512</definedName>
    <definedName name="_aa" localSheetId="14" hidden="0" function="0" vbProcedure="0">{#N/A,#N/A,FALSE,"Volume"}</definedName>
    <definedName name="_aaa" localSheetId="14" hidden="0" function="0" vbProcedure="0">{#N/A,#N/A,FALSE,"Volume"}</definedName>
    <definedName name="_aaaaa" localSheetId="14" hidden="0" function="0" vbProcedure="0">{#N/A,#N/A,FALSE,"Volume"}</definedName>
    <definedName name="_aaaaaa" localSheetId="14" hidden="0" function="0" vbProcedure="0">{#N/A,#N/A,FALSE,"Volume"}</definedName>
    <definedName name="_ab" localSheetId="14" hidden="0" function="0" vbProcedure="0">{#N/A,#N/A,FALSE,"Volume"}</definedName>
    <definedName name="_ac" localSheetId="14" hidden="0" function="0" vbProcedure="0">{#N/A,#N/A,FALSE,"Volume"}</definedName>
    <definedName name="_acasdf" localSheetId="14" hidden="0" function="0" vbProcedure="0">{#N/A,#N/A,FALSE,"Volume"}</definedName>
    <definedName name="_acc" localSheetId="14" hidden="0" function="0" vbProcedure="0">{#N/A,#N/A,FALSE,"Volume"}</definedName>
    <definedName name="_ap1" localSheetId="14" hidden="0" function="0" vbProcedure="0">{#N/A,#N/A,FALSE,"Volume"}</definedName>
    <definedName name="_ap2" localSheetId="14" hidden="0" function="0" vbProcedure="0">{#N/A,#N/A,FALSE,"Volume"}</definedName>
    <definedName name="_ap3" localSheetId="14" hidden="0" function="0" vbProcedure="0">{#N/A,#N/A,FALSE,"Volume"}</definedName>
    <definedName name="_app1" localSheetId="14" hidden="0" function="0" vbProcedure="0">{#N/A,#N/A,FALSE,"Volume"}</definedName>
    <definedName name="_app2" localSheetId="14" hidden="0" function="0" vbProcedure="0">{#N/A,#N/A,FALSE,"Volume"}</definedName>
    <definedName name="_app3" localSheetId="14" hidden="0" function="0" vbProcedure="0">{#N/A,#N/A,FALSE,"Volume"}</definedName>
    <definedName name="_app4" localSheetId="14" hidden="0" function="0" vbProcedure="0">{#N/A,#N/A,FALSE,"Volume"}</definedName>
    <definedName name="_app5" localSheetId="14" hidden="0" function="0" vbProcedure="0">{#N/A,#N/A,FALSE,"Volume"}</definedName>
    <definedName name="_asdfas" localSheetId="14" hidden="0" function="0" vbProcedure="0">{#N/A,#N/A,FALSE,"Volume"}</definedName>
    <definedName name="_b" localSheetId="14" hidden="0" function="0" vbProcedure="0">{#N/A,#N/A,FALSE,"Volume"}</definedName>
    <definedName name="_b1" localSheetId="14" hidden="0" function="0" vbProcedure="0">{#N/A,#N/A,FALSE,"Volume"}</definedName>
    <definedName name="_b2" localSheetId="14" hidden="0" function="0" vbProcedure="0">{#N/A,#N/A,FALSE,"Volume"}</definedName>
    <definedName name="_b3" localSheetId="14" hidden="0" function="0" vbProcedure="0">{#N/A,#N/A,FALSE,"Volume"}</definedName>
    <definedName name="_b4" localSheetId="14" hidden="0" function="0" vbProcedure="0">{#N/A,#N/A,FALSE,"Volume"}</definedName>
    <definedName name="_b5" localSheetId="14" hidden="0" function="0" vbProcedure="0">{#N/A,#N/A,FALSE,"Volume"}</definedName>
    <definedName name="_bgn1" localSheetId="14" hidden="1" function="0" vbProcedure="0">{#N/A,#N/A,FALSE,"Sheet1"}</definedName>
    <definedName name="_c" localSheetId="14" hidden="0" function="0" vbProcedure="0">{#N/A,#N/A,FALSE,"Volume"}</definedName>
    <definedName name="_c1" localSheetId="14" hidden="0" function="0" vbProcedure="0">{#N/A,#N/A,FALSE,"Volume"}</definedName>
    <definedName name="_c2" localSheetId="14" hidden="0" function="0" vbProcedure="0">{#N/A,#N/A,FALSE,"Volume"}</definedName>
    <definedName name="_c3" localSheetId="14" hidden="0" function="0" vbProcedure="0">{#N/A,#N/A,FALSE,"Volume"}</definedName>
    <definedName name="_c4" localSheetId="14" hidden="0" function="0" vbProcedure="0">{#N/A,#N/A,FALSE,"Volume"}</definedName>
    <definedName name="_cd1" localSheetId="14" hidden="1" function="0" vbProcedure="0">{#N/A,#N/A,FALSE,"Sheet1"}</definedName>
    <definedName name="_cf1" localSheetId="14" hidden="1" function="0" vbProcedure="0">{#N/A,#N/A,FALSE,"Sheet1"}</definedName>
    <definedName name="_d" localSheetId="14" hidden="0" function="0" vbProcedure="0">{#N/A,#N/A,FALSE,"Volume"}</definedName>
    <definedName name="_d1" localSheetId="14" hidden="0" function="0" vbProcedure="0">{#N/A,#N/A,FALSE,"Volume"}</definedName>
    <definedName name="_d2_" localSheetId="14" hidden="0" function="0" vbProcedure="0">{#N/A,#N/A,FALSE,"Volume"}</definedName>
    <definedName name="_d3" localSheetId="14" hidden="0" function="0" vbProcedure="0">{#N/A,#N/A,FALSE,"Volume"}</definedName>
    <definedName name="_d4" localSheetId="14" hidden="0" function="0" vbProcedure="0">{#N/A,#N/A,FALSE,"Volume"}</definedName>
    <definedName name="_DAT16" localSheetId="14" hidden="0" function="0" vbProcedure="0">'[40]sap serv 06-02'!#ref!</definedName>
    <definedName name="_DAT17" localSheetId="14" hidden="0" function="0" vbProcedure="0">'[40]sap serv 06-02'!#ref!</definedName>
    <definedName name="_DAT19" localSheetId="14" hidden="0" function="0" vbProcedure="0">'[40]sap serv 06-02'!#ref!</definedName>
    <definedName name="_DAT20" localSheetId="14" hidden="0" function="0" vbProcedure="0">'[40]sap serv 06-02'!#ref!</definedName>
    <definedName name="_DAT25" localSheetId="14" hidden="0" function="0" vbProcedure="0">'[40]sap serv 06-02'!#ref!</definedName>
    <definedName name="_DAT26" localSheetId="14" hidden="0" function="0" vbProcedure="0">'[40]sap serv 06-02'!#ref!</definedName>
    <definedName name="_DAT27" localSheetId="14" hidden="0" function="0" vbProcedure="0">'[40]sap serv 06-02'!#ref!</definedName>
    <definedName name="_DAT28" localSheetId="14" hidden="0" function="0" vbProcedure="0">'[40]sap serv 06-02'!#ref!</definedName>
    <definedName name="_DAT29" localSheetId="14" hidden="0" function="0" vbProcedure="0">'[40]sap serv 06-02'!#ref!</definedName>
    <definedName name="_DAT31" localSheetId="14" hidden="0" function="0" vbProcedure="0">'[40]sap serv 06-02'!#ref!</definedName>
    <definedName name="_DAT32" localSheetId="14" hidden="0" function="0" vbProcedure="0">'[40]sap serv 06-02'!#ref!</definedName>
    <definedName name="_DAT34" localSheetId="14" hidden="0" function="0" vbProcedure="0">'[40]sap serv 06-02'!#ref!</definedName>
    <definedName name="_DAT35" localSheetId="14" hidden="0" function="0" vbProcedure="0">'[40]sap serv 06-02'!#ref!</definedName>
    <definedName name="_DAT36" localSheetId="14" hidden="0" function="0" vbProcedure="0">'[40]sap serv 06-02'!#ref!</definedName>
    <definedName name="_DAT40" localSheetId="14" hidden="0" function="0" vbProcedure="0">'[40]sap serv 06-02'!#ref!</definedName>
    <definedName name="_DAT41" localSheetId="14" hidden="0" function="0" vbProcedure="0">'[40]sap serv 06-02'!#ref!</definedName>
    <definedName name="_DAT42" localSheetId="14" hidden="0" function="0" vbProcedure="0">'[40]sap serv 06-02'!#ref!</definedName>
    <definedName name="_DAT44" localSheetId="14" hidden="0" function="0" vbProcedure="0">'[40]sap serv 06-02'!#ref!</definedName>
    <definedName name="_DAT45" localSheetId="14" hidden="0" function="0" vbProcedure="0">'[40]sap serv 06-02'!#ref!</definedName>
    <definedName name="_DAT46" localSheetId="14" hidden="0" function="0" vbProcedure="0">'[40]sap serv 06-02'!#ref!</definedName>
    <definedName name="_DAT47" localSheetId="14" hidden="0" function="0" vbProcedure="0">'[40]sap serv 06-02'!#ref!</definedName>
    <definedName name="_DAT48" localSheetId="14" hidden="0" function="0" vbProcedure="0">'[40]sap serv 06-02'!#ref!</definedName>
    <definedName name="_DAT49" localSheetId="14" hidden="0" function="0" vbProcedure="0">'[40]sap serv 06-02'!#ref!</definedName>
    <definedName name="_DAT50" localSheetId="14" hidden="0" function="0" vbProcedure="0">'[40]sap serv 06-02'!#ref!</definedName>
    <definedName name="_DAT52" localSheetId="14" hidden="0" function="0" vbProcedure="0">'[40]sap serv 06-02'!#ref!</definedName>
    <definedName name="_DAT53" localSheetId="14" hidden="0" function="0" vbProcedure="0">'[40]sap serv 06-02'!#ref!</definedName>
    <definedName name="_DAT54" localSheetId="14" hidden="0" function="0" vbProcedure="0">'[40]sap serv 06-02'!#ref!</definedName>
    <definedName name="_DAT56" localSheetId="14" hidden="0" function="0" vbProcedure="0">'[40]sap serv 06-02'!#ref!</definedName>
    <definedName name="_DAT57" localSheetId="14" hidden="0" function="0" vbProcedure="0">'[40]sap serv 06-02'!#ref!</definedName>
    <definedName name="_DAT62" localSheetId="14" hidden="0" function="0" vbProcedure="0">'[40]sap serv 06-02'!#ref!</definedName>
    <definedName name="_DAT63" localSheetId="14" hidden="0" function="0" vbProcedure="0">'[40]sap serv 06-02'!#ref!</definedName>
    <definedName name="_e" localSheetId="14" hidden="0" function="0" vbProcedure="0">{#N/A,#N/A,FALSE,"Volume"}</definedName>
    <definedName name="_e1" localSheetId="14" hidden="0" function="0" vbProcedure="0">{#N/A,#N/A,FALSE,"Volume"}</definedName>
    <definedName name="_e2" localSheetId="14" hidden="0" function="0" vbProcedure="0">{#N/A,#N/A,FALSE,"Volume"}</definedName>
    <definedName name="_e3" localSheetId="14" hidden="0" function="0" vbProcedure="0">{#N/A,#N/A,FALSE,"Volume"}</definedName>
    <definedName name="_e4" localSheetId="14" hidden="0" function="0" vbProcedure="0">{#N/A,#N/A,FALSE,"Volume"}</definedName>
    <definedName name="_f1" localSheetId="14" hidden="0" function="0" vbProcedure="0">{#N/A,#N/A,FALSE,"Volume"}</definedName>
    <definedName name="_f2" localSheetId="14" hidden="0" function="0" vbProcedure="0">{#N/A,#N/A,FALSE,"Volume"}</definedName>
    <definedName name="_f3" localSheetId="14" hidden="0" function="0" vbProcedure="0">{#N/A,#N/A,FALSE,"Volume"}</definedName>
    <definedName name="_f4" localSheetId="14" hidden="0" function="0" vbProcedure="0">{#N/A,#N/A,FALSE,"Volume"}</definedName>
    <definedName name="_f5" localSheetId="14" hidden="0" function="0" vbProcedure="0">{#N/A,#N/A,FALSE,"Volume"}</definedName>
    <definedName name="_f6" localSheetId="14" hidden="0" function="0" vbProcedure="0">{#N/A,#N/A,FALSE,"Volume"}</definedName>
    <definedName name="_f7" localSheetId="14" hidden="0" function="0" vbProcedure="0">{#N/A,#N/A,FALSE,"Volume"}</definedName>
    <definedName name="_gmh1" localSheetId="14" hidden="1" function="0" vbProcedure="0">{#N/A,#N/A,FALSE,"Sheet1"}</definedName>
    <definedName name="_i" localSheetId="14" hidden="0" function="0" vbProcedure="0">{#N/A,#N/A,FALSE,"Volume"}</definedName>
    <definedName name="_lyc7" localSheetId="14" hidden="0" function="0" vbProcedure="0">[119]钻井日报表!$G$5</definedName>
    <definedName name="_num15" localSheetId="14" hidden="0" function="0" vbProcedure="0">'[33]data '!#ref!</definedName>
    <definedName name="_Order2" localSheetId="14" hidden="1" function="0" vbProcedure="0">255</definedName>
    <definedName name="_P" localSheetId="14" hidden="0" function="0" vbProcedure="0">{#N/A,#N/A,FALSE,"Volume"}</definedName>
    <definedName name="_P1" localSheetId="14" hidden="0" function="0" vbProcedure="0">{#N/A,#N/A,FALSE,"Volume"}</definedName>
    <definedName name="_P2" localSheetId="14" hidden="0" function="0" vbProcedure="0">{#N/A,#N/A,FALSE,"Volume"}</definedName>
    <definedName name="_P3" localSheetId="14" hidden="0" function="0" vbProcedure="0">{#N/A,#N/A,FALSE,"Volume"}</definedName>
    <definedName name="_P4" localSheetId="14" hidden="0" function="0" vbProcedure="0">{#N/A,#N/A,FALSE,"Volume"}</definedName>
    <definedName name="_pap1" localSheetId="14" hidden="0" function="0" vbProcedure="0">{#N/A,#N/A,FALSE,"Volume"}</definedName>
    <definedName name="_pap2" localSheetId="14" hidden="0" function="0" vbProcedure="0">{#N/A,#N/A,FALSE,"Volume"}</definedName>
    <definedName name="_pap3" localSheetId="14" hidden="0" function="0" vbProcedure="0">{#N/A,#N/A,FALSE,"Volume"}</definedName>
    <definedName name="_pap4" localSheetId="14" hidden="0" function="0" vbProcedure="0">{#N/A,#N/A,FALSE,"Volume"}</definedName>
    <definedName name="_pap5" localSheetId="14" hidden="0" function="0" vbProcedure="0">{#N/A,#N/A,FALSE,"Volume"}</definedName>
    <definedName name="_r06" localSheetId="14" hidden="0" function="0" vbProcedure="0">[44]!AutoCAD</definedName>
    <definedName name="_Table1_In1" localSheetId="14" hidden="1" function="0" vbProcedure="0">[103]Run!$E$575</definedName>
    <definedName name="_Table1_Out" localSheetId="14" hidden="1" function="0" vbProcedure="0">[103]Run!$C$16:$E$577</definedName>
    <definedName name="_TST2" localSheetId="14" hidden="0" function="0" vbProcedure="0">'[109]Liner Job Info'!$O$7</definedName>
    <definedName name="_UA38" localSheetId="14" hidden="0" function="0" vbProcedure="0">[28]!_UA38</definedName>
    <definedName name="_wrn1" localSheetId="14" hidden="0" function="0" vbProcedure="0">{#N/A,#N/A,FALSE,"Volume"}</definedName>
    <definedName name="_x" localSheetId="14" hidden="0" function="0" vbProcedure="0">{#N/A,#N/A,FALSE,"Volume"}</definedName>
    <definedName name="_xa" localSheetId="14" hidden="0" function="0" vbProcedure="0">{#N/A,#N/A,FALSE,"Volume"}</definedName>
    <definedName name="_xb" localSheetId="14" hidden="0" function="0" vbProcedure="0">{#N/A,#N/A,FALSE,"Volume"}</definedName>
    <definedName name="_xc" localSheetId="14" hidden="0" function="0" vbProcedure="0">{#N/A,#N/A,FALSE,"Volume"}</definedName>
    <definedName name="_z" localSheetId="14" hidden="0" function="0" vbProcedure="0">{#N/A,#N/A,FALSE,"Volume"}</definedName>
    <definedName name="_z1" localSheetId="14" hidden="0" function="0" vbProcedure="0">{#N/A,#N/A,FALSE,"Volume"}</definedName>
    <definedName name="_z2" localSheetId="14" hidden="0" function="0" vbProcedure="0">{#N/A,#N/A,FALSE,"Volume"}</definedName>
    <definedName name="_z3" localSheetId="14" hidden="0" function="0" vbProcedure="0">{#N/A,#N/A,FALSE,"Volume"}</definedName>
    <definedName name="_z4" localSheetId="14" hidden="0" function="0" vbProcedure="0">{#N/A,#N/A,FALSE,"Volume"}</definedName>
    <definedName name="__" localSheetId="14" hidden="0" function="0" vbProcedure="0">'[113]#REF'!$E$29</definedName>
    <definedName name="__123Graph_A" localSheetId="14" hidden="1" function="0" vbProcedure="0">[103]Run!$B$18:$B$512</definedName>
    <definedName name="__123Graph_B" localSheetId="14" hidden="1" function="0" vbProcedure="0">'[102]Minimum Curve Method'!$K$9:$K$152</definedName>
    <definedName name="__123Graph_C" localSheetId="14" hidden="1" function="0" vbProcedure="0">[103]Run!$C$16:$C$512</definedName>
    <definedName name="__123Graph_D" localSheetId="14" hidden="1" function="0" vbProcedure="0">[103]Run!$D$15:$D$512</definedName>
    <definedName name="__123Graph_E" localSheetId="14" hidden="1" function="0" vbProcedure="0">[103]Run!$E$16:$E$514</definedName>
    <definedName name="__123Graph_F" localSheetId="14" hidden="1" function="0" vbProcedure="0">[103]Run!$F$16:$F$514</definedName>
    <definedName name="__123Graph_X" localSheetId="14" hidden="1" function="0" vbProcedure="0">'[102]Minimum Curve Method'!$K$9:$K$152</definedName>
    <definedName name="__1Module2__2__.gaugeconok2" localSheetId="14" hidden="0" function="0" vbProcedure="0">[28]!__1Module2__2__.gaugeconok2</definedName>
    <definedName name="__2Module2__2__.gaugeok2" localSheetId="14" hidden="0" function="0" vbProcedure="0">[28]!__2Module2__2__.gaugeok2</definedName>
    <definedName name="__3Module2__2__.gaugeselect2" localSheetId="14" hidden="0" function="0" vbProcedure="0">[28]!__3Module2__2__.gaugeselect2</definedName>
    <definedName name="__4Module2__2__.serialselect3" localSheetId="14" hidden="0" function="0" vbProcedure="0">[28]!__4Module2__2__.serialselect3</definedName>
    <definedName name="__5Module2__2__.serialselect4" localSheetId="14" hidden="0" function="0" vbProcedure="0">[28]!__5Module2__2__.serialselect4</definedName>
    <definedName name="__A4" localSheetId="14" hidden="1" function="0" vbProcedure="0">[179]Run!$B$18:$B$512</definedName>
    <definedName name="__bb2789" localSheetId="14" hidden="0" function="0" vbProcedure="0">[10]!Calculate_Pipe</definedName>
    <definedName name="__UA38" localSheetId="14" hidden="0" function="0" vbProcedure="0">[28]!__UA38</definedName>
    <definedName name="__wrn1" localSheetId="14" hidden="0" function="0" vbProcedure="0">{#N/A,#N/A,FALSE,"Volume"}</definedName>
    <definedName name="___A4" localSheetId="14" hidden="1" function="0" vbProcedure="0">[179]Run!$B$18:$B$512</definedName>
    <definedName name="___bb2789" localSheetId="14" hidden="0" function="0" vbProcedure="0">[10]!Calculate_Pipe</definedName>
    <definedName name="___wrn1" localSheetId="14" hidden="0" function="0" vbProcedure="0">{#N/A,#N/A,FALSE,"Volume"}</definedName>
    <definedName name="____A4" localSheetId="14" hidden="1" function="0" vbProcedure="0">[179]Run!$B$18:$B$512</definedName>
    <definedName name="____bb2789" localSheetId="14" hidden="0" function="0" vbProcedure="0">[10]!Calculate_Pipe</definedName>
    <definedName name="____wrn1" localSheetId="14" hidden="0" function="0" vbProcedure="0">{#N/A,#N/A,FALSE,"Volume"}</definedName>
    <definedName name="_____A4" localSheetId="14" hidden="1" function="0" vbProcedure="0">[179]Run!$B$18:$B$512</definedName>
    <definedName name="_____wrn1" localSheetId="14" hidden="0" function="0" vbProcedure="0">{#N/A,#N/A,FALSE,"Volume"}</definedName>
    <definedName name="______A4" localSheetId="14" hidden="1" function="0" vbProcedure="0">[179]Run!$B$18:$B$512</definedName>
    <definedName name="_______A4" localSheetId="14" hidden="1" function="0" vbProcedure="0">[179]Run!$B$18:$B$512</definedName>
    <definedName name="_______wrn1" localSheetId="14" hidden="0" function="0" vbProcedure="0">{#N/A,#N/A,FALSE,"Volume"}</definedName>
    <definedName name="________A4" localSheetId="14" hidden="1" function="0" vbProcedure="0">[179]Run!$B$18:$B$512</definedName>
    <definedName name="_________A4" localSheetId="14" hidden="1" function="0" vbProcedure="0">[179]Run!$B$18:$B$512</definedName>
    <definedName name="_________wrn1" localSheetId="14" hidden="0" function="0" vbProcedure="0">{#N/A,#N/A,FALSE,"Volume"}</definedName>
    <definedName name="__________A4" localSheetId="14" hidden="1" function="0" vbProcedure="0">[179]Run!$B$18:$B$512</definedName>
    <definedName name="___________A4" localSheetId="14" hidden="1" function="0" vbProcedure="0">[179]Run!$B$18:$B$512</definedName>
    <definedName name="___________wrn1" localSheetId="14" hidden="0" function="0" vbProcedure="0">{#N/A,#N/A,FALSE,"Volume"}</definedName>
    <definedName name="____________A4" localSheetId="14" hidden="1" function="0" vbProcedure="0">[179]Run!$B$18:$B$512</definedName>
    <definedName name="____________wrn1" localSheetId="14" hidden="0" function="0" vbProcedure="0">{#N/A,#N/A,FALSE,"Volume"}</definedName>
    <definedName name="_____________A4" localSheetId="14" hidden="1" function="0" vbProcedure="0">[179]Run!$B$18:$B$512</definedName>
    <definedName name="______________A4" localSheetId="14" hidden="1" function="0" vbProcedure="0">[179]Run!$B$18:$B$512</definedName>
    <definedName name="_______________A4" localSheetId="14" hidden="1" function="0" vbProcedure="0">[179]Run!$B$18:$B$512</definedName>
    <definedName name="________________A4" localSheetId="14" hidden="1" function="0" vbProcedure="0">[179]Run!$B$18:$B$512</definedName>
    <definedName name="________________bb2789" localSheetId="14" hidden="0" function="0" vbProcedure="0">[10]!Calculate_Pipe</definedName>
    <definedName name="_________________A4" localSheetId="14" hidden="1" function="0" vbProcedure="0">[179]Run!$B$18:$B$512</definedName>
    <definedName name="_________________bb2789" localSheetId="14" hidden="0" function="0" vbProcedure="0">[10]!Calculate_Pipe</definedName>
    <definedName name="__________________A4" localSheetId="14" hidden="1" function="0" vbProcedure="0">[179]Run!$B$18:$B$512</definedName>
    <definedName name="__________________bb2789" localSheetId="14" hidden="0" function="0" vbProcedure="0">[12]!Calculate_Pipe</definedName>
    <definedName name="___________________A4" localSheetId="14" hidden="1" function="0" vbProcedure="0">[179]Run!$B$18:$B$512</definedName>
    <definedName name="____________________A4" localSheetId="14" hidden="1" function="0" vbProcedure="0">[191]Run!$B$18:$B$512</definedName>
    <definedName name="_____________________A4" localSheetId="14" hidden="1" function="0" vbProcedure="0">[179]Run!$B$18:$B$512</definedName>
    <definedName name="______________________A4" localSheetId="14" hidden="1" function="0" vbProcedure="0">[179]Run!$B$18:$B$512</definedName>
    <definedName name="_______________________A4" localSheetId="14" hidden="1" function="0" vbProcedure="0">[191]Run!$B$18:$B$512</definedName>
    <definedName name="________________________A4" localSheetId="14" hidden="1" function="0" vbProcedure="0">[179]Run!$B$18:$B$512</definedName>
    <definedName name="__________________________A4" localSheetId="14" hidden="1" function="0" vbProcedure="0">[191]Run!$B$18:$B$512</definedName>
    <definedName name="歼击机" localSheetId="14" hidden="0" function="0" vbProcedure="0">[119]钻井日报表!$E$7</definedName>
    <definedName name="起始日期" localSheetId="14" hidden="0" function="0" vbProcedure="0">[181]钻井日报表!$B$1</definedName>
    <definedName name="a" localSheetId="15" hidden="1" function="0" vbProcedure="0">#ref!</definedName>
    <definedName name="AA" localSheetId="15" hidden="0" function="0" vbProcedure="0">#ref!</definedName>
    <definedName name="ABX" localSheetId="15" hidden="1" function="0" vbProcedure="0">#ref!</definedName>
    <definedName name="addresstwo" localSheetId="15" hidden="0" function="0" vbProcedure="0">[56]data!#ref!</definedName>
    <definedName name="ae" localSheetId="15" hidden="0" function="0" vbProcedure="0">'[104]forecast 3YP'!$AD$6</definedName>
    <definedName name="AFE19R"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5" hidden="0" function="0" vbProcedure="0">'[44]7-30-04'!$W$55:$IV$7457</definedName>
    <definedName name="AMACRO.n2foam" localSheetId="15" hidden="0" function="0" vbProcedure="0">'[64]tool backload dt'!amacro.n2foam</definedName>
    <definedName name="Ambient_temp" localSheetId="15" hidden="0" function="0" vbProcedure="0">'[7]#ref'!#ref!</definedName>
    <definedName name="amis" localSheetId="15" hidden="0" function="0" vbProcedure="0">[105]Tally!$A$5:$J$825</definedName>
    <definedName name="annularvol" localSheetId="15" hidden="0" function="0" vbProcedure="0">[106]Data!$F$13</definedName>
    <definedName name="Ao" localSheetId="15" hidden="0" function="0" vbProcedure="0">[107]Piston!$F$5</definedName>
    <definedName name="Ap" localSheetId="15" hidden="0" function="0" vbProcedure="0">[107]Piston!$F$6</definedName>
    <definedName name="Approver_Objectives" localSheetId="15" hidden="0" function="0" vbProcedure="0">'[73]well team goals'!#ref!</definedName>
    <definedName name="Approver_Well_Plan" localSheetId="15" hidden="0" function="0" vbProcedure="0">'[73]well team goals'!#ref!</definedName>
    <definedName name="assy.3" localSheetId="15" hidden="0" function="0" vbProcedure="0">[75]!Calculate_Pipe</definedName>
    <definedName name="ASSY2312" localSheetId="15" hidden="0" function="0" vbProcedure="0">[28]!Macro1</definedName>
    <definedName name="ASSY_122" localSheetId="15" hidden="0" function="0" vbProcedure="0">[28]!Macro1</definedName>
    <definedName name="ASSY_2111" localSheetId="15" hidden="0" function="0" vbProcedure="0">[28]!Macro1</definedName>
    <definedName name="ASSY_231" localSheetId="15" hidden="0" function="0" vbProcedure="0">[28]!Macro1</definedName>
    <definedName name="ASSY_342" localSheetId="15" hidden="0" function="0" vbProcedure="0">[28]!Macro1</definedName>
    <definedName name="ASSY_36" localSheetId="15" hidden="0" function="0" vbProcedure="0">[28]!Macro1</definedName>
    <definedName name="ASSY_4" localSheetId="15" hidden="0" function="0" vbProcedure="0">[28]!Macro1</definedName>
    <definedName name="ASSY_432" localSheetId="15" hidden="0" function="0" vbProcedure="0">[28]!Macro1</definedName>
    <definedName name="AutoCAD" localSheetId="15" hidden="0" function="0" vbProcedure="0">[44]!AutoCAD</definedName>
    <definedName name="AutoCAD_1" localSheetId="15" hidden="0" function="0" vbProcedure="0">[28]!AutoCAD</definedName>
    <definedName name="AutoCAD_10" localSheetId="15" hidden="0" function="0" vbProcedure="0">[28]!AutoCAD</definedName>
    <definedName name="AutoCAD_11" localSheetId="15" hidden="0" function="0" vbProcedure="0">[28]!AutoCAD</definedName>
    <definedName name="AutoCAD_2" localSheetId="15" hidden="0" function="0" vbProcedure="0">[28]!AutoCAD</definedName>
    <definedName name="AutoCAD_3" localSheetId="15" hidden="0" function="0" vbProcedure="0">[28]!AutoCAD</definedName>
    <definedName name="AutoCAD_4" localSheetId="15" hidden="0" function="0" vbProcedure="0">[28]!AutoCAD</definedName>
    <definedName name="AutoCAD_5" localSheetId="15" hidden="0" function="0" vbProcedure="0">[28]!AutoCAD</definedName>
    <definedName name="AutoCAD_6" localSheetId="15" hidden="0" function="0" vbProcedure="0">[28]!AutoCAD</definedName>
    <definedName name="AutoCAD_7" localSheetId="15" hidden="0" function="0" vbProcedure="0">[28]!AutoCAD</definedName>
    <definedName name="AutoCAD_8" localSheetId="15" hidden="0" function="0" vbProcedure="0">[28]!AutoCAD</definedName>
    <definedName name="AutoCAD_9" localSheetId="15" hidden="0" function="0" vbProcedure="0">[28]!AutoCAD</definedName>
    <definedName name="Aux_BHA_ID" localSheetId="15" hidden="0" function="0" vbProcedure="0">'[108]Job Calculation Sheet'!$F$20</definedName>
    <definedName name="Aux_BHA_OD" localSheetId="15" hidden="0" function="0" vbProcedure="0">'[108]Job Calculation Sheet'!$E$20</definedName>
    <definedName name="AvgJoint" localSheetId="15" hidden="0" function="0" vbProcedure="0">[109]DATA!$BO$2:$BO$9</definedName>
    <definedName name="AvgLength" localSheetId="15" hidden="0" function="0" vbProcedure="0">'[79]casing talley'!#ref!</definedName>
    <definedName name="axj" localSheetId="15" hidden="1" function="0" vbProcedure="0">{#N/A,#N/A,FALSE,"Sheet1"}</definedName>
    <definedName name="A_L" localSheetId="15" hidden="0" function="0" vbProcedure="0">'[50]12(762mm)套管'!#ref!</definedName>
    <definedName name="b" localSheetId="15" hidden="1" function="0" vbProcedure="0">#ref!</definedName>
    <definedName name="back" localSheetId="15" hidden="0" function="0" vbProcedure="0">'[64]tool backload dt'!back</definedName>
    <definedName name="BallMaterial" localSheetId="15" hidden="0" function="0" vbProcedure="0">[109]DATA!$BL$2:$BL$11</definedName>
    <definedName name="Ballooning_Area" localSheetId="15" hidden="0" function="0" vbProcedure="0">[109]Test!$M$18</definedName>
    <definedName name="Ballseat" localSheetId="15" hidden="0" function="0" vbProcedure="0">[109]DATA!$AG$2:$AG$9</definedName>
    <definedName name="BallSize" localSheetId="15" hidden="0" function="0" vbProcedure="0">[109]DATA!$BF$3:$BF$8</definedName>
    <definedName name="basicok" localSheetId="15" hidden="0" function="0" vbProcedure="0">[28]!basicok</definedName>
    <definedName name="BBB" localSheetId="15" hidden="0" function="0" vbProcedure="0">'[110]DD Worksheet'!$C$1</definedName>
    <definedName name="bbllm3" localSheetId="15" hidden="0" function="0" vbProcedure="0">'[109]Metric Conversions'!$B$69</definedName>
    <definedName name="bblstk" localSheetId="15" hidden="0" function="0" vbProcedure="0">'[109]Displacement Cal.'!$B$7</definedName>
    <definedName name="BD" localSheetId="15" hidden="0" function="0" vbProcedure="0">INDEX([111]DRAW!$A$2:$B$13,MATCH([112]AUTO_DHWS!$AV$15,[111]DRAW!$A$2:$A$13,0),2)</definedName>
    <definedName name="BD_SC" localSheetId="15" hidden="0" function="0" vbProcedure="0">INDEX([111]DRAW!$A$2:$B$13,MATCH([112]AUTO_DHWS!$AV$16,[111]DRAW!$A$2:$A$13,0),2)</definedName>
    <definedName name="BD_TB" localSheetId="15" hidden="0" function="0" vbProcedure="0">INDEX([111]DRAW!$A$2:$B$13,MATCH([112]AUTO_DHWS!$AV$9,[111]DRAW!$A$2:$A$13,0),2)</definedName>
    <definedName name="bgn" localSheetId="15" hidden="1" function="0" vbProcedure="0">{#N/A,#N/A,FALSE,"Sheet1"}</definedName>
    <definedName name="BHT" localSheetId="15" hidden="0" function="0" vbProcedure="0">'[94]Job Technical Info'!$D$42</definedName>
    <definedName name="Bitsize" localSheetId="15" hidden="0" function="0" vbProcedure="0">[109]DATA!$L$2:$L$41</definedName>
    <definedName name="bj_stroke" localSheetId="15" hidden="0" function="0" vbProcedure="0">'[109]Metric Conversions'!$B$35</definedName>
    <definedName name="bj_strokez" localSheetId="15" hidden="0" function="0" vbProcedure="0">'[109]Metric Conversions'!$C$35</definedName>
    <definedName name="BJ_Tens" localSheetId="15" hidden="0" function="0" vbProcedure="0">'[109]Liner Job Info'!$P$45</definedName>
    <definedName name="blanklength" localSheetId="15" hidden="0" function="0" vbProcedure="0">'[113]#REF'!$J$13</definedName>
    <definedName name="blankod" localSheetId="15" hidden="0" function="0" vbProcedure="0">'[113]#REF'!$F$13</definedName>
    <definedName name="BLANK_COVERED_NV" localSheetId="15" hidden="0" function="0" vbProcedure="0">'[113]#REF'!$G$111</definedName>
    <definedName name="BLANK_LENGTH" localSheetId="15" hidden="0" function="0" vbProcedure="0">'[113]#REF'!$J$13</definedName>
    <definedName name="BLANK_OD" localSheetId="15" hidden="0" function="0" vbProcedure="0">'[113]#REF'!$F$13</definedName>
    <definedName name="block" localSheetId="15" hidden="0" function="0" vbProcedure="0">[5]WTR!$I$5</definedName>
    <definedName name="Block_Field" localSheetId="15" hidden="0" function="0" vbProcedure="0">'[108]Pre-Job Info Sheet'!$D$7</definedName>
    <definedName name="BLock_TD_Wt" localSheetId="15" hidden="0" function="0" vbProcedure="0">'[30]Liner Job Info'!$D$33</definedName>
    <definedName name="Block_Wt" localSheetId="15" hidden="0" function="0" vbProcedure="0">'[109]Weight Calculations'!$H$14</definedName>
    <definedName name="bOB" localSheetId="15" hidden="0" function="0" vbProcedure="0">[114]Volumes!$K$1:$Y$76</definedName>
    <definedName name="BOT" localSheetId="15" hidden="0" function="0" vbProcedure="0">'[94]Job Technical Info'!$A$4</definedName>
    <definedName name="Bottom_Hole_Temp." localSheetId="15" hidden="0" function="0" vbProcedure="0">'[108]Pre-Job Info Sheet'!$B$34</definedName>
    <definedName name="Bottom_Perforation" localSheetId="15" hidden="0" function="0" vbProcedure="0">'[108]Pre-Job Info Sheet'!$B$29</definedName>
    <definedName name="Bottom_Shot" localSheetId="15" hidden="0" function="0" vbProcedure="0">'[108]TCP-BHA'!$H$36</definedName>
    <definedName name="BPLimit" localSheetId="15" hidden="0" function="0" vbProcedure="0">[86]!TubTable[[340]:[438]]</definedName>
    <definedName name="BR_Column" localSheetId="15" hidden="0" function="0" vbProcedure="0">null</definedName>
    <definedName name="BR_Unit" localSheetId="15" hidden="0" function="0" vbProcedure="0">null</definedName>
    <definedName name="bs" localSheetId="15" hidden="0" function="0" vbProcedure="0">'[115]Max-Torq'!$Q$79</definedName>
    <definedName name="bsw" localSheetId="15" hidden="0" function="0" vbProcedure="0">'[96]well test sheet'!#ref!</definedName>
    <definedName name="Budget_owner" localSheetId="15" hidden="0" function="0" vbProcedure="0">'[73]well specification'!#ref!</definedName>
    <definedName name="Buoy_Factor" localSheetId="15" hidden="0" function="0" vbProcedure="0">'[30]Liner Job Info'!$D$32</definedName>
    <definedName name="bxf" localSheetId="15" hidden="0" function="0" vbProcedure="0">'[115]Max-Torq'!$P$62</definedName>
    <definedName name="BypassRate" localSheetId="15" hidden="0" function="0" vbProcedure="0">[86]!TubTable[[340]:[438]]</definedName>
    <definedName name="Ca" localSheetId="15" hidden="1" function="0" vbProcedure="0">{#N/A,#N/A,FALSE,"Drlg Param Run 1-1";#N/A,#N/A,FALSE,"DDR (3)";#N/A,#N/A,FALSE,"BHA AT (1)";#N/A,#N/A,FALSE,"Downlinkbha";#N/A,#N/A,FALSE,"Job Status Report"}</definedName>
    <definedName name="CABLE2_1" localSheetId="15" hidden="0" function="0" vbProcedure="0">INDEX([111]DRAW!$L$52:$M$54,MATCH([112]AUTO_DHWS!$AY$8,[111]DRAW!$L$52:$L$54,0),2)</definedName>
    <definedName name="CABLE2_2" localSheetId="15" hidden="0" function="0" vbProcedure="0">INDEX([111]DRAW!$L$52:$M$56,MATCH([112]AUTO_DHWS!$AY$9,[111]DRAW!$L$52:$L$56,0),2)</definedName>
    <definedName name="CABLE_1" localSheetId="15" hidden="0" function="0" vbProcedure="0">INDEX([111]DRAW!$L$52:$M$53,MATCH([112]AUTO_DHWS!$AY$4,[111]DRAW!$L$52:$L$53,0),2)</definedName>
    <definedName name="CABLE_2" localSheetId="15" hidden="0" function="0" vbProcedure="0">INDEX([111]DRAW!$L$52:$M$56,MATCH([112]AUTO_DHWS!$AY$5,[111]DRAW!$L$52:$L$56,0),2)</definedName>
    <definedName name="CABLE_3" localSheetId="15" hidden="0" function="0" vbProcedure="0">INDEX([111]DRAW!$M$57:$N$63,MATCH([112]AUTO_DHWS!$AY$6,[111]DRAW!$M$57:$M$63,0),2)</definedName>
    <definedName name="Calculate_Pipe" localSheetId="15" hidden="0" function="0" vbProcedure="0">[99]!Calculate_Pipe</definedName>
    <definedName name="Capacities" localSheetId="15"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5" hidden="0" function="0" vbProcedure="0">'[113]#REF'!$G$188</definedName>
    <definedName name="CARRIER_FL_WT" localSheetId="15" hidden="0" function="0" vbProcedure="0">'[113]#REF'!$F$67</definedName>
    <definedName name="CARR_FL_VISCOSITY" localSheetId="15" hidden="0" function="0" vbProcedure="0">'[113]#REF'!$I$106</definedName>
    <definedName name="CARR_FL_VOL_PREPACK" localSheetId="15" hidden="0" function="0" vbProcedure="0">'[113]#REF'!$F$47</definedName>
    <definedName name="Carr_fl_wt_prepack" localSheetId="15" hidden="0" function="0" vbProcedure="0">'[113]#REF'!$F$46</definedName>
    <definedName name="casingcolumn" localSheetId="15" hidden="0" function="0" vbProcedure="0">[106]Data!$J$17</definedName>
    <definedName name="casingid" localSheetId="15" hidden="0" function="0" vbProcedure="0">'[113]#REF'!$H$11</definedName>
    <definedName name="casingidref" localSheetId="15" hidden="0" function="0" vbProcedure="0">[106]Data!$GC$1</definedName>
    <definedName name="casinginfuserate" localSheetId="15" hidden="0" function="0" vbProcedure="0">'[113]#REF'!$K$50</definedName>
    <definedName name="casingliner" localSheetId="15" hidden="0" function="0" vbProcedure="0">[106]Data!$E$45</definedName>
    <definedName name="casingod" localSheetId="15" hidden="0" function="0" vbProcedure="0">'[113]#REF'!$F$11</definedName>
    <definedName name="CasingSize" localSheetId="15" hidden="0" function="0" vbProcedure="0">'[117]Well Installation Drawing'!$E$15</definedName>
    <definedName name="CasingWeight" localSheetId="15" hidden="0" function="0" vbProcedure="0">'[117]Well Installation Drawing'!$G$15</definedName>
    <definedName name="casingwt" localSheetId="15" hidden="0" function="0" vbProcedure="0">'[113]#REF'!$J$11</definedName>
    <definedName name="Casing_Collapsez" localSheetId="15" hidden="0" function="0" vbProcedure="0">'[109]Liner Job Info'!$J$14</definedName>
    <definedName name="Casing_I.D." localSheetId="15" hidden="0" function="0" vbProcedure="0">'[108]Job Calculation Sheet'!$F$13</definedName>
    <definedName name="Casing_Liner" localSheetId="15" hidden="0" function="0" vbProcedure="0">'[94]Installation Results #1'!$C$27</definedName>
    <definedName name="Casing_Size" localSheetId="15" hidden="0" function="0" vbProcedure="0">'[108]Pre-Job Info Sheet'!$D$15</definedName>
    <definedName name="Casing_Size_Weight" localSheetId="15" hidden="0" function="0" vbProcedure="0">'[108]TCP-BHA'!$I$5</definedName>
    <definedName name="Casing_Weight" localSheetId="15" hidden="0" function="0" vbProcedure="0">'[108]Pre-Job Info Sheet'!$D$16</definedName>
    <definedName name="CAS_BLNK_ANNULUS" localSheetId="15" hidden="0" function="0" vbProcedure="0">'[113]#REF'!$I$108</definedName>
    <definedName name="CAS_BLNK_VOL" localSheetId="15" hidden="0" function="0" vbProcedure="0">'[7]#ref'!#ref!</definedName>
    <definedName name="CAS_EXT_VOL" localSheetId="15" hidden="0" function="0" vbProcedure="0">'[7]#ref'!#ref!</definedName>
    <definedName name="CAS_ID" localSheetId="15" hidden="0" function="0" vbProcedure="0">'[113]#REF'!$H$11</definedName>
    <definedName name="CAS_OD" localSheetId="15" hidden="0" function="0" vbProcedure="0">'[113]#REF'!$J$11</definedName>
    <definedName name="CAS_SCR_VOL" localSheetId="15" hidden="0" function="0" vbProcedure="0">'[7]#ref'!#ref!</definedName>
    <definedName name="CAS_WT" localSheetId="15" hidden="0" function="0" vbProcedure="0">'[113]#REF'!$J$11</definedName>
    <definedName name="category" localSheetId="15" hidden="0" function="0" vbProcedure="0">[118]Sheet2!$A$70:$A$73</definedName>
    <definedName name="Cc" localSheetId="15" hidden="0" function="0" vbProcedure="0">0.3</definedName>
    <definedName name="ccc" localSheetId="15" hidden="0" function="0" vbProcedure="0">[119]钻井日报表!$I$7</definedName>
    <definedName name="cdr" localSheetId="15" hidden="0" function="0" vbProcedure="0">'[96]well test sheet'!#ref!</definedName>
    <definedName name="CDWimdbase" localSheetId="15" hidden="0" function="0" vbProcedure="0">'[120]CD''s'!$A$2:$G$374</definedName>
    <definedName name="CementCompany" localSheetId="15" hidden="0" function="0" vbProcedure="0">[109]DATA!$BJ$2:$BJ$8</definedName>
    <definedName name="CENG" localSheetId="15" hidden="0" function="0" vbProcedure="0">[193]Reference!$A$2:$A$4</definedName>
    <definedName name="Centralizers" localSheetId="15" hidden="0" function="0" vbProcedure="0">[109]DATA!$AI$2:$AI$9</definedName>
    <definedName name="cf" localSheetId="15" hidden="1" function="0" vbProcedure="0">{#N/A,#N/A,FALSE,"Sheet1"}</definedName>
    <definedName name="Chart" localSheetId="15" hidden="1" function="0" vbProcedure="0">{#N/A,#N/A,FALSE,"Sheet1"}</definedName>
    <definedName name="chart1" localSheetId="15" hidden="1" function="0" vbProcedure="0">{#N/A,#N/A,FALSE,"Sheet1"}</definedName>
    <definedName name="Chemmac" localSheetId="15" hidden="0" function="0" vbProcedure="0">'[64]tool backload dt'!chemmac</definedName>
    <definedName name="cim" localSheetId="15" hidden="0" function="0" vbProcedure="0">[117]!Calculate_Pipe</definedName>
    <definedName name="CIPMACRO.n2foam" localSheetId="15" hidden="0" function="0" vbProcedure="0">'[64]tool backload dt'!cipmacro.n2foam</definedName>
    <definedName name="circsqz" localSheetId="15" hidden="0" function="0" vbProcedure="0">[5]WTR!$M$86</definedName>
    <definedName name="CIR_RATE_RESTRESS" localSheetId="15" hidden="0" function="0" vbProcedure="0">'[113]#REF'!$I$109</definedName>
    <definedName name="CIV" localSheetId="15" hidden="0" function="0" vbProcedure="0">INDEX([111]DRAW!$A$2:$B$13,MATCH([112]AUTO_DHWS!$AV$10,[111]DRAW!$A$2:$A$13,0),2)</definedName>
    <definedName name="CIV_2" localSheetId="15" hidden="0" function="0" vbProcedure="0">INDEX([111]DRAW!$A$2:$B$14,MATCH([112]AUTO_DHWS!$AV$14,[111]DRAW!$A$2:$A$13,0),2)</definedName>
    <definedName name="CIV_PDHG" localSheetId="15" hidden="0" function="0" vbProcedure="0">INDEX([111]DRAW!$A$2:$B$13,MATCH([112]AUTO_DHWS!$AV$11,[111]DRAW!$A$2:$A$13,0),2)</definedName>
    <definedName name="CLFluid1" localSheetId="15" hidden="0" function="0" vbProcedure="0">'[94]Installation Results #1'!$E$270</definedName>
    <definedName name="CLFluid10" localSheetId="15" hidden="0" function="0" vbProcedure="0">'[94]Installation Results #1'!$E$279</definedName>
    <definedName name="CLFluid11" localSheetId="15" hidden="0" function="0" vbProcedure="0">'[94]Installation Results #1'!$E$280</definedName>
    <definedName name="CLFluid12" localSheetId="15" hidden="0" function="0" vbProcedure="0">'[94]Installation Results #1'!$E$281</definedName>
    <definedName name="CLFluid13" localSheetId="15" hidden="0" function="0" vbProcedure="0">'[94]Installation Results #1'!$E$282</definedName>
    <definedName name="CLFluid14" localSheetId="15" hidden="0" function="0" vbProcedure="0">'[94]Installation Results #1'!$E$283</definedName>
    <definedName name="CLFluid15" localSheetId="15" hidden="0" function="0" vbProcedure="0">'[94]Installation Results #1'!$E$284</definedName>
    <definedName name="CLFluid2" localSheetId="15" hidden="0" function="0" vbProcedure="0">'[94]Installation Results #1'!$E$271</definedName>
    <definedName name="CLFluid3" localSheetId="15" hidden="0" function="0" vbProcedure="0">'[94]Installation Results #1'!$E$272</definedName>
    <definedName name="CLFluid4" localSheetId="15" hidden="0" function="0" vbProcedure="0">'[94]Installation Results #1'!$E$273</definedName>
    <definedName name="CLFluid5" localSheetId="15" hidden="0" function="0" vbProcedure="0">'[94]Installation Results #1'!$E$274</definedName>
    <definedName name="CLFluid6" localSheetId="15" hidden="0" function="0" vbProcedure="0">'[94]Installation Results #1'!$E$275</definedName>
    <definedName name="CLFluid7" localSheetId="15" hidden="0" function="0" vbProcedure="0">'[94]Installation Results #1'!$E$276</definedName>
    <definedName name="CLFluid8" localSheetId="15" hidden="0" function="0" vbProcedure="0">'[94]Installation Results #1'!$E$277</definedName>
    <definedName name="CLFluid9" localSheetId="15" hidden="0" function="0" vbProcedure="0">'[94]Installation Results #1'!$E$278</definedName>
    <definedName name="Clist" localSheetId="15" hidden="0" function="0" vbProcedure="0">OFFSET(INDIRECT(ADDRESS(MATCH(DHWS!CL_Wt,DHWS!Objects,0)+1,2,,,"Casing Info")),0,1,COUNTIF(DHWS!Objects,DHWS!CL_Wt),1)</definedName>
    <definedName name="CL_Wt" localSheetId="15" hidden="0" function="0" vbProcedure="0">'[109]Database Pg1'!$E$28</definedName>
    <definedName name="Objects" localSheetId="15" hidden="0" function="0" vbProcedure="0">'[109]Casing Info'!$B$2:$B$241</definedName>
    <definedName name="Clist2" localSheetId="15" hidden="0" function="0" vbProcedure="0">OFFSET(INDIRECT(ADDRESS(MATCH(DHWS!Hsize2,DHWS!Objects,0)+1,2,,,"Casing Info")),0,1,COUNTIF(DHWS!Objects,DHWS!Hsize2),1)</definedName>
    <definedName name="Hsize2" localSheetId="15" hidden="0" function="0" vbProcedure="0">'[109]Database Pg1'!$G$81</definedName>
    <definedName name="Clist3" localSheetId="15" hidden="0" function="0" vbProcedure="0">OFFSET(INDIRECT(ADDRESS(MATCH(DHWS!Hsize3,DHWS!Objects,0)+1,2,,,"Casing Info")),0,1,COUNTIF(DHWS!Objects,DHWS!Hsize3),1)</definedName>
    <definedName name="Hsize3" localSheetId="15" hidden="0" function="0" vbProcedure="0">'[109]Database Pg1'!$G$83</definedName>
    <definedName name="CO2_" localSheetId="15" hidden="0" function="0" vbProcedure="0">'[94]Job Technical Info'!$L$42</definedName>
    <definedName name="CODELIST" localSheetId="15" hidden="0" function="0" vbProcedure="0">'[194]CODE SIN'!$A$3:$A$240</definedName>
    <definedName name="CODETAB" localSheetId="15" hidden="0" function="0" vbProcedure="0">'[194]CODE SIN'!$C$3:$AD$240</definedName>
    <definedName name="coections" localSheetId="15" hidden="0" function="0" vbProcedure="0">[28]!coections</definedName>
    <definedName name="COMP" localSheetId="15" hidden="0" function="0" vbProcedure="0">#ref!</definedName>
    <definedName name="company" localSheetId="15" hidden="0" function="0" vbProcedure="0">'[40]CPS Call Sheet'!$E$4</definedName>
    <definedName name="Company_Man" localSheetId="15" hidden="0" function="0" vbProcedure="0">'[62]Liner Job Info'!$E$7</definedName>
    <definedName name="Company_Name" localSheetId="15" hidden="0" function="0" vbProcedure="0">'[123]Liner Job Info'!$E$4</definedName>
    <definedName name="compfluidwt" localSheetId="15" hidden="0" function="0" vbProcedure="0">'[113]#REF'!$L$27</definedName>
    <definedName name="Compl._Fluid_Type" localSheetId="15" hidden="0" function="0" vbProcedure="0">'[108]Pre-Job Info Sheet'!$D$32</definedName>
    <definedName name="Compl._Fluid_Wt." localSheetId="15" hidden="0" function="0" vbProcedure="0">'[108]Pre-Job Info Sheet'!$D$33</definedName>
    <definedName name="COMPL_FL_VOL" localSheetId="15" hidden="0" function="0" vbProcedure="0">'[113]#REF'!$F$68</definedName>
    <definedName name="COMPL_FL_WT" localSheetId="15" hidden="0" function="0" vbProcedure="0">'[113]#REF'!$K$27</definedName>
    <definedName name="conections" localSheetId="15" hidden="0" function="0" vbProcedure="0">[28]!conections</definedName>
    <definedName name="Conflict1" localSheetId="15" hidden="1" function="0" vbProcedure="0">{#N/A,#N/A,FALSE,"Drlg Param Run 1-1";#N/A,#N/A,FALSE,"DDR (3)";#N/A,#N/A,FALSE,"BHA AT (1)";#N/A,#N/A,FALSE,"Downlinkbha";#N/A,#N/A,FALSE,"Job Status Report"}</definedName>
    <definedName name="conref" localSheetId="15" hidden="0" function="0" vbProcedure="0">[124]Price!$A$1:$A$65536</definedName>
    <definedName name="consequence" localSheetId="15" hidden="0" function="0" vbProcedure="0">[125]Sheet2!$A$1:$A$5</definedName>
    <definedName name="contract" localSheetId="15" hidden="0" function="0" vbProcedure="0">'[126]Call Sheet'!$E$3</definedName>
    <definedName name="contractnum" localSheetId="15" hidden="0" function="0" vbProcedure="0">'[33]data '!#ref!</definedName>
    <definedName name="contractor" localSheetId="15" hidden="0" function="0" vbProcedure="0">'[126]Call Sheet'!$E$6</definedName>
    <definedName name="Coordinator" localSheetId="15" hidden="0" function="0" vbProcedure="0">'[94]Job Technical Info'!$G$10</definedName>
    <definedName name="CoRep" localSheetId="15" hidden="0" function="0" vbProcedure="0">'[94]Job Technical Info'!$C$16</definedName>
    <definedName name="corrlist2" localSheetId="15" hidden="0" function="0" vbProcedure="0">OFFSET(INDIRECT(ADDRESS(MATCH(DHWS!Hsize2,DHWS!Objects,0)+1,2,,,"Casing Info")),0,1,COUNTIF(DHWS!Objects,[28]!Liner1_OD),1)</definedName>
    <definedName name="corrlist4" localSheetId="15" hidden="0" function="0" vbProcedure="0">OFFSET(INDIRECT(ADDRESS(MATCH(DHWS!Hanger_Size,DHWS!Objects,0)+1,2,,,"Casing Info")),0,1,COUNTIF(DHWS!Objects, DHWS!Hanger_Size),1)</definedName>
    <definedName name="Hanger_Size" localSheetId="15" hidden="0" function="0" vbProcedure="0">'[109]Database Pg1'!$G$79</definedName>
    <definedName name="Cotry" localSheetId="15" hidden="0" function="0" vbProcedure="0">'[109]Liner Job Info'!$E$10</definedName>
    <definedName name="Countries" localSheetId="15" hidden="0" function="0" vbProcedure="0">[109]DATA!$BR$1:$BR$196</definedName>
    <definedName name="COUNTRY" localSheetId="15" hidden="0" function="0" vbProcedure="0">'[127]Master data'!$A$2:$A$239</definedName>
    <definedName name="county" localSheetId="15" hidden="0" function="0" vbProcedure="0">'[40]CPS Call Sheet'!$P$7</definedName>
    <definedName name="Crack_DH" localSheetId="15" hidden="0" function="0" vbProcedure="0">'[108]Tester Valve Calcs'!$F$31</definedName>
    <definedName name="Crack_Press" localSheetId="15" hidden="0" function="0" vbProcedure="0">'[108]Tester Valve Calcs'!$F$13</definedName>
    <definedName name="crs" localSheetId="15" hidden="0" function="0" vbProcedure="0">[128]RSS!$E$199:$E$205</definedName>
    <definedName name="CRS_FLOAT_VALVE" localSheetId="15" hidden="0" function="0" vbProcedure="0">[129]RSS!$O$177:$O$180</definedName>
    <definedName name="CRS_FLOW_KIT" localSheetId="15" hidden="0" function="0" vbProcedure="0">[129]RSS!$E$181:$E$184</definedName>
    <definedName name="CRS_STAB" localSheetId="15" hidden="0" function="0" vbProcedure="0">[129]RSS!$E$191:$E$197</definedName>
    <definedName name="Csg" localSheetId="15" hidden="0" function="0" vbProcedure="0">[6]Sheet1!$G$1:$G$3</definedName>
    <definedName name="CsgDrift1" localSheetId="15" hidden="0" function="0" vbProcedure="0">'[94]Job Technical Info'!$G$25</definedName>
    <definedName name="CsgDrift2" localSheetId="15" hidden="0" function="0" vbProcedure="0">'[94]Job Technical Info'!$G$26</definedName>
    <definedName name="CsgDrift3" localSheetId="15" hidden="0" function="0" vbProcedure="0">'[94]Job Technical Info'!$G$27</definedName>
    <definedName name="CsgDrift4" localSheetId="15" hidden="0" function="0" vbProcedure="0">'[94]Job Technical Info'!$G$28</definedName>
    <definedName name="CsgGrd1" localSheetId="15" hidden="0" function="0" vbProcedure="0">'[94]Job Technical Info'!$H$25</definedName>
    <definedName name="CsgGrd2" localSheetId="15" hidden="0" function="0" vbProcedure="0">'[94]Job Technical Info'!$H$26</definedName>
    <definedName name="CsgGrd3" localSheetId="15" hidden="0" function="0" vbProcedure="0">'[94]Job Technical Info'!$H$27</definedName>
    <definedName name="CsgGrd4" localSheetId="15" hidden="0" function="0" vbProcedure="0">'[94]Job Technical Info'!$H$28</definedName>
    <definedName name="CsgID1" localSheetId="15" hidden="0" function="0" vbProcedure="0">'[94]Job Technical Info'!$F$25</definedName>
    <definedName name="CsgID2" localSheetId="15" hidden="0" function="0" vbProcedure="0">'[94]Job Technical Info'!$F$26</definedName>
    <definedName name="CsgID3" localSheetId="15" hidden="0" function="0" vbProcedure="0">'[94]Job Technical Info'!$F$27</definedName>
    <definedName name="CsgID4" localSheetId="15" hidden="0" function="0" vbProcedure="0">'[94]Job Technical Info'!$F$28</definedName>
    <definedName name="CsgSz1" localSheetId="15" hidden="0" function="0" vbProcedure="0">'[94]Job Technical Info'!$D$25</definedName>
    <definedName name="CsgSz2" localSheetId="15" hidden="0" function="0" vbProcedure="0">'[94]Job Technical Info'!$D$26</definedName>
    <definedName name="CsgSz3" localSheetId="15" hidden="0" function="0" vbProcedure="0">'[94]Job Technical Info'!$D$27</definedName>
    <definedName name="CsgSz4" localSheetId="15" hidden="0" function="0" vbProcedure="0">'[94]Job Technical Info'!$D$28</definedName>
    <definedName name="CsgThd1" localSheetId="15" hidden="0" function="0" vbProcedure="0">'[94]Job Technical Info'!$J$25</definedName>
    <definedName name="CsgThd2" localSheetId="15" hidden="0" function="0" vbProcedure="0">'[94]Job Technical Info'!$J$26</definedName>
    <definedName name="CsgThd3" localSheetId="15" hidden="0" function="0" vbProcedure="0">'[94]Job Technical Info'!$J$27</definedName>
    <definedName name="CsgThd4" localSheetId="15" hidden="0" function="0" vbProcedure="0">'[94]Job Technical Info'!$J$28</definedName>
    <definedName name="CsgWt" localSheetId="15" hidden="0" function="0" vbProcedure="0">[6]Sheet1!$H$1:$H$10</definedName>
    <definedName name="CsgWt1" localSheetId="15" hidden="0" function="0" vbProcedure="0">'[94]Job Technical Info'!$E$25</definedName>
    <definedName name="CsgWt2" localSheetId="15" hidden="0" function="0" vbProcedure="0">'[94]Job Technical Info'!$E$26</definedName>
    <definedName name="CsgWt3" localSheetId="15" hidden="0" function="0" vbProcedure="0">'[94]Job Technical Info'!$E$27</definedName>
    <definedName name="CsgWt4" localSheetId="15" hidden="0" function="0" vbProcedure="0">'[94]Job Technical Info'!$E$28</definedName>
    <definedName name="Csg_Bst" localSheetId="15" hidden="0" function="0" vbProcedure="0">'[109]Metric Conversions'!$B$43</definedName>
    <definedName name="Csg_Burstz" localSheetId="15" hidden="0" function="0" vbProcedure="0">'[109]Liner Job Info'!$H$14</definedName>
    <definedName name="Csg_Dft" localSheetId="15" hidden="0" function="0" vbProcedure="0">'[109]Liner Job Info'!$L$14</definedName>
    <definedName name="CSG_DPTH" localSheetId="15" hidden="0" function="0" vbProcedure="0">'[130]Metric Conversions'!$B$15</definedName>
    <definedName name="CSG_DPTHz" localSheetId="15" hidden="0" function="0" vbProcedure="0">'[109]Liner Job Info'!$P$14</definedName>
    <definedName name="CSG_Grd" localSheetId="15" hidden="0" function="0" vbProcedure="0">'[130]Liner Job Info'!$D$14</definedName>
    <definedName name="CSG_ID" localSheetId="15" hidden="0" function="0" vbProcedure="0">'[109]Liner Job Info'!$B$14</definedName>
    <definedName name="CSG_ID_Area" localSheetId="15" hidden="0" function="0" vbProcedure="0">[109]Test!$Z$39</definedName>
    <definedName name="CSG_MYS" localSheetId="15" hidden="0" function="0" vbProcedure="0">[131]DATA!$J$3:$J$22</definedName>
    <definedName name="CSG_OD" localSheetId="15" hidden="0" function="0" vbProcedure="0">'[130]Liner Job Info'!$A$14</definedName>
    <definedName name="CSG_Thread" localSheetId="15" hidden="0" function="0" vbProcedure="0">'[130]Liner Job Info'!$E$14</definedName>
    <definedName name="Csg_Wt" localSheetId="15" hidden="0" function="0" vbProcedure="0">'[130]Liner Job Info'!$C$14</definedName>
    <definedName name="CsShoeDepth" localSheetId="15" hidden="0" function="0" vbProcedure="0">'[94]Job Technical Info'!$F$40</definedName>
    <definedName name="CU.FT." localSheetId="15" hidden="0" function="0" vbProcedure="0">'[113]#REF'!$E$23</definedName>
    <definedName name="currency" localSheetId="15" hidden="0" function="0" vbProcedure="0">[56]data!#ref!</definedName>
    <definedName name="Customer" localSheetId="15" hidden="0" function="0" vbProcedure="0">'[94]Job Technical Info'!$C$12</definedName>
    <definedName name="customer1" localSheetId="15" hidden="0" function="0" vbProcedure="0">[132]Data!$A$1:$A$65536</definedName>
    <definedName name="Customer2" localSheetId="15" hidden="0" function="0" vbProcedure="0">[132]Data!$B$1:$B$65536</definedName>
    <definedName name="CustomerName" localSheetId="15" hidden="0" function="0" vbProcedure="0">'[144]job info sheet'!#ref!</definedName>
    <definedName name="customerrep" localSheetId="15" hidden="0" function="0" vbProcedure="0">'[113]#REF'!$E$6</definedName>
    <definedName name="Cyl_Yield" localSheetId="15" hidden="0" function="0" vbProcedure="0">'[48]liner job info'!#ref!</definedName>
    <definedName name="d" localSheetId="15" hidden="0" function="0" vbProcedure="0">'[2]run sheet'!#ref!</definedName>
    <definedName name="DAADA" localSheetId="15" hidden="0" function="0" vbProcedure="0">[117]!Calculate_Pipe</definedName>
    <definedName name="DAD" localSheetId="15" hidden="0" function="0" vbProcedure="0">'[146]tally checklist'!dad</definedName>
    <definedName name="DADAA" localSheetId="15" hidden="0" function="0" vbProcedure="0">'[146]tally checklist'!dadaa</definedName>
    <definedName name="DAEFF" localSheetId="15" hidden="0" function="0" vbProcedure="0">'[146]tally checklist'!daeff</definedName>
    <definedName name="DAPage" localSheetId="15" hidden="0" function="0" vbProcedure="0">'[94]Data Acq. Results'!$S$5</definedName>
    <definedName name="data1" localSheetId="15" hidden="0" function="0" vbProcedure="0">#ref!</definedName>
    <definedName name="DC" localSheetId="15" hidden="0" function="0" vbProcedure="0">'[44]7-30-04'!$GO$7457</definedName>
    <definedName name="dd" localSheetId="15" hidden="0" function="0" vbProcedure="0">null</definedName>
    <definedName name="dddd" localSheetId="15" hidden="0" function="0" vbProcedure="0">[148]试油成果记录!#ref!</definedName>
    <definedName name="decdhm" localSheetId="15" hidden="0" function="0" vbProcedure="0">'[133]Personal Expense Dec-95 (MH)'!$K$5</definedName>
    <definedName name="decdlr" localSheetId="15" hidden="0" function="0" vbProcedure="0">'[133]Personal Expense Dec-95 (MH)'!$H$5</definedName>
    <definedName name="decfrc" localSheetId="15" hidden="0" function="0" vbProcedure="0">'[133]Personal Expense Dec-95 (MH)'!$I$5</definedName>
    <definedName name="decpnd" localSheetId="15" hidden="0" function="0" vbProcedure="0">'[133]Personal Expense Dec-95 (MH)'!$G$5</definedName>
    <definedName name="decrl" localSheetId="15" hidden="0" function="0" vbProcedure="0">'[133]Personal Expense Dec-95 (MH)'!$J$5</definedName>
    <definedName name="decrup" localSheetId="15" hidden="0" function="0" vbProcedure="0">'[133]Personal Expense Dec-95 (MH)'!$L$5</definedName>
    <definedName name="decrupees" localSheetId="15" hidden="0" function="0" vbProcedure="0">'[133]Cash Expense December-95'!$H$6</definedName>
    <definedName name="deliveredto" localSheetId="15" hidden="0" function="0" vbProcedure="0">'[33]data '!#ref!</definedName>
    <definedName name="deliverto" localSheetId="15" hidden="0" function="0" vbProcedure="0">[56]data!#ref!</definedName>
    <definedName name="DENG" localSheetId="15" hidden="0" function="0" vbProcedure="0">[193]Reference!$B$2:$B$12</definedName>
    <definedName name="DEPTH_TAGGED_PREPACK" localSheetId="15" hidden="0" function="0" vbProcedure="0">'[113]#REF'!$F$80</definedName>
    <definedName name="DEQ" localSheetId="15" hidden="0" function="0" vbProcedure="0">'[146]tally checklist'!deq</definedName>
    <definedName name="Desired_Set_Down" localSheetId="15" hidden="0" function="0" vbProcedure="0">'[108]Packer Calculation Sheet'!$G$47</definedName>
    <definedName name="Dev" localSheetId="15" hidden="0" function="0" vbProcedure="0">'[109]Liner Job Info'!$D$30</definedName>
    <definedName name="DEVIATION" localSheetId="15" hidden="0" function="0" vbProcedure="0">'[113]#REF'!$F$24</definedName>
    <definedName name="dftg" localSheetId="15" hidden="0" function="0" vbProcedure="0">'[134]井口装置示意图-4'!$E$1:$E$65536</definedName>
    <definedName name="DiameterConversion" localSheetId="15" hidden="0" function="0" vbProcedure="0">[94]Lists!$AD$3</definedName>
    <definedName name="Diff_Across_Ball" localSheetId="15" hidden="0" function="0" vbProcedure="0">'[108]Tester Valve Calcs'!$F$30</definedName>
    <definedName name="Disp._Fluid_Type" localSheetId="15" hidden="0" function="0" vbProcedure="0">'[108]Pre-Job Info Sheet'!$D$37</definedName>
    <definedName name="Disp._Fluid_Weight" localSheetId="15" hidden="0" function="0" vbProcedure="0">'[108]Pre-Job Info Sheet'!$D$38</definedName>
    <definedName name="Displacement" localSheetId="15" hidden="0" function="0" vbProcedure="0">[109]DATA!$AJ$2:$AJ$12</definedName>
    <definedName name="DisplacementMethod" localSheetId="15" hidden="0" function="0" vbProcedure="0">[109]DATA!$AS$2:$AS$4</definedName>
    <definedName name="Disp_Fluid_Wt" localSheetId="15" hidden="0" function="0" vbProcedure="0">'[108]Job Calculation Sheet'!$D$30</definedName>
    <definedName name="District" localSheetId="15" hidden="0" function="0" vbProcedure="0">'[30]Liner Job Info'!$O$4</definedName>
    <definedName name="DistrictPh" localSheetId="15" hidden="0" function="0" vbProcedure="0">'[94]Job Technical Info'!$G$11</definedName>
    <definedName name="Districts" localSheetId="15" hidden="0" function="0" vbProcedure="0">[109]DATA!$A$6:$A$437</definedName>
    <definedName name="diverterlbs" localSheetId="15" hidden="0" function="0" vbProcedure="0">[5]WTR!$G$59</definedName>
    <definedName name="DIV_MIX_RATIO" localSheetId="15" hidden="0" function="0" vbProcedure="0">'[113]#REF'!$K$55</definedName>
    <definedName name="DL" localSheetId="15" hidden="0" function="0" vbProcedure="0">[107]Piston!$F$21</definedName>
    <definedName name="docNum" localSheetId="15" hidden="0" function="0" vbProcedure="0">[49]Revision_History!$G$6&amp;" "&amp;[49]Revision_History!$H$6</definedName>
    <definedName name="DocTitle" localSheetId="15" hidden="0" function="0" vbProcedure="0">'[94]Job Technical Info'!$C$2</definedName>
    <definedName name="Doc_Rev" localSheetId="15" hidden="0" function="0" vbProcedure="0">'[30]Liner Job Info'!$A$2</definedName>
    <definedName name="DP1_Cap" localSheetId="15" hidden="0" function="0" vbProcedure="0">'[109]Liner Job Info'!$G$22</definedName>
    <definedName name="DP1_conn" localSheetId="15" hidden="0" function="0" vbProcedure="0">'[130]Liner Job Info'!$J$22</definedName>
    <definedName name="DP1_Grd" localSheetId="15" hidden="0" function="0" vbProcedure="0">'[130]Liner Job Info'!$F$22</definedName>
    <definedName name="DP1_ID" localSheetId="15" hidden="0" function="0" vbProcedure="0">'[109]Liner Job Info'!$E$22</definedName>
    <definedName name="DP1_Leng" localSheetId="15" hidden="0" function="0" vbProcedure="0">'[130]Metric Conversions'!$B$20</definedName>
    <definedName name="DP1_Lengz" localSheetId="15" hidden="0" function="0" vbProcedure="0">'[109]Liner Job Info'!$I$22</definedName>
    <definedName name="DP1_MYS" localSheetId="15" hidden="0" function="0" vbProcedure="0">'[109]Liner Job Info'!$AD$31</definedName>
    <definedName name="DP1_OD" localSheetId="15" hidden="0" function="0" vbProcedure="0">'[130]Liner Job Info'!$C$22</definedName>
    <definedName name="DP1_Tens" localSheetId="15" hidden="0" function="0" vbProcedure="0">'[109]Liner Job Info'!$M$22</definedName>
    <definedName name="DP1_Volz" localSheetId="15" hidden="0" function="0" vbProcedure="0">'[109]Metric Conversions'!$C$70</definedName>
    <definedName name="DP1_Wt_inmud" localSheetId="15" hidden="0" function="0" vbProcedure="0">'[109]Weight Calculations'!$H$8</definedName>
    <definedName name="DP1_Wt_Per_Ft" localSheetId="15" hidden="0" function="0" vbProcedure="0">'[130]Liner Job Info'!$D$22</definedName>
    <definedName name="DP1_X_Csg_Volz" localSheetId="15" hidden="0" function="0" vbProcedure="0">'[109]Metric Conversions'!$C$85</definedName>
    <definedName name="DP2_Cap" localSheetId="15" hidden="0" function="0" vbProcedure="0">'[109]Liner Job Info'!$G$23</definedName>
    <definedName name="DP2_conn" localSheetId="15" hidden="0" function="0" vbProcedure="0">'[130]Liner Job Info'!$J$23</definedName>
    <definedName name="DP2_Cross_Sect" localSheetId="15" hidden="0" function="0" vbProcedure="0">'[48]liner job info'!#ref!</definedName>
    <definedName name="DP2_Grd" localSheetId="15" hidden="0" function="0" vbProcedure="0">'[130]Liner Job Info'!$F$23</definedName>
    <definedName name="DP2_ID" localSheetId="15" hidden="0" function="0" vbProcedure="0">'[109]Liner Job Info'!$E$23</definedName>
    <definedName name="DP2_Leng" localSheetId="15" hidden="0" function="0" vbProcedure="0">'[130]Metric Conversions'!$B$21</definedName>
    <definedName name="DP2_Lengz" localSheetId="15" hidden="0" function="0" vbProcedure="0">'[109]Liner Job Info'!$I$23</definedName>
    <definedName name="DP2_MYS" localSheetId="15" hidden="0" function="0" vbProcedure="0">'[109]Liner Job Info'!$AD$32</definedName>
    <definedName name="DP2_OD" localSheetId="15" hidden="0" function="0" vbProcedure="0">'[130]Liner Job Info'!$C$23</definedName>
    <definedName name="DP2_Tens" localSheetId="15" hidden="0" function="0" vbProcedure="0">'[109]Liner Job Info'!$M$23</definedName>
    <definedName name="DP2_Volz" localSheetId="15" hidden="0" function="0" vbProcedure="0">'[109]Metric Conversions'!$C$71</definedName>
    <definedName name="DP2_Wt_inmud" localSheetId="15" hidden="0" function="0" vbProcedure="0">'[109]Weight Calculations'!$H$9</definedName>
    <definedName name="DP2_Wt_Per_Ft" localSheetId="15" hidden="0" function="0" vbProcedure="0">'[130]Liner Job Info'!$D$23</definedName>
    <definedName name="DP2_X_Csg_Volz" localSheetId="15" hidden="0" function="0" vbProcedure="0">'[109]Metric Conversions'!$C$86</definedName>
    <definedName name="DP3_bbl_per_ft" localSheetId="15" hidden="0" function="0" vbProcedure="0">'[48]liner job info'!#ref!</definedName>
    <definedName name="DP3_Cap" localSheetId="15" hidden="0" function="0" vbProcedure="0">'[109]Liner Job Info'!$G$24</definedName>
    <definedName name="DP3_COnn" localSheetId="15" hidden="0" function="0" vbProcedure="0">'[130]Liner Job Info'!$J$24</definedName>
    <definedName name="DP3_Grd" localSheetId="15" hidden="0" function="0" vbProcedure="0">'[130]Liner Job Info'!$F$24</definedName>
    <definedName name="DP3_ID" localSheetId="15" hidden="0" function="0" vbProcedure="0">'[109]Liner Job Info'!$E$24</definedName>
    <definedName name="DP3_Leng" localSheetId="15" hidden="0" function="0" vbProcedure="0">'[130]Metric Conversions'!$B$22</definedName>
    <definedName name="DP3_Lengz" localSheetId="15" hidden="0" function="0" vbProcedure="0">'[109]Liner Job Info'!$I$24</definedName>
    <definedName name="DP3_MYS" localSheetId="15" hidden="0" function="0" vbProcedure="0">'[109]Liner Job Info'!$AD$33</definedName>
    <definedName name="DP3_OD" localSheetId="15" hidden="0" function="0" vbProcedure="0">'[130]Liner Job Info'!$C$24</definedName>
    <definedName name="DP3_Tens" localSheetId="15" hidden="0" function="0" vbProcedure="0">'[109]Liner Job Info'!$M$24</definedName>
    <definedName name="DP3_Volz" localSheetId="15" hidden="0" function="0" vbProcedure="0">'[109]Metric Conversions'!$C$72</definedName>
    <definedName name="DP3_Wt_inmud" localSheetId="15" hidden="0" function="0" vbProcedure="0">'[109]Weight Calculations'!$H$10</definedName>
    <definedName name="DP3_Wt_Per_Ft" localSheetId="15" hidden="0" function="0" vbProcedure="0">'[130]Liner Job Info'!$D$24</definedName>
    <definedName name="DP3_X_Csg_Volz" localSheetId="15" hidden="0" function="0" vbProcedure="0">'[109]Metric Conversions'!$C$87</definedName>
    <definedName name="DP4_Cap" localSheetId="15" hidden="0" function="0" vbProcedure="0">'[109]Liner Job Info'!$G$25</definedName>
    <definedName name="DP4_COnn" localSheetId="15" hidden="0" function="0" vbProcedure="0">'[130]Liner Job Info'!$J$25</definedName>
    <definedName name="DP4_Grd" localSheetId="15" hidden="0" function="0" vbProcedure="0">'[130]Liner Job Info'!$F$25</definedName>
    <definedName name="DP4_ID" localSheetId="15" hidden="0" function="0" vbProcedure="0">'[109]Liner Job Info'!$E$25</definedName>
    <definedName name="DP4_Leng" localSheetId="15" hidden="0" function="0" vbProcedure="0">'[130]Metric Conversions'!$B$23</definedName>
    <definedName name="DP4_Lengz" localSheetId="15" hidden="0" function="0" vbProcedure="0">'[109]Liner Job Info'!$I$25</definedName>
    <definedName name="DP4_MYS" localSheetId="15" hidden="0" function="0" vbProcedure="0">'[109]Liner Job Info'!$AD$34</definedName>
    <definedName name="DP4_OD" localSheetId="15" hidden="0" function="0" vbProcedure="0">'[130]Liner Job Info'!$C$25</definedName>
    <definedName name="DP4_Tens" localSheetId="15" hidden="0" function="0" vbProcedure="0">'[109]Liner Job Info'!$M$25</definedName>
    <definedName name="DP4_Volz" localSheetId="15" hidden="0" function="0" vbProcedure="0">'[109]Metric Conversions'!$C$73</definedName>
    <definedName name="DP4_Wt_inmud" localSheetId="15" hidden="0" function="0" vbProcedure="0">'[109]Weight Calculations'!$H$11</definedName>
    <definedName name="DP4_Wt_Per_Ft" localSheetId="15" hidden="0" function="0" vbProcedure="0">'[130]Liner Job Info'!$D$25</definedName>
    <definedName name="DP4_X_Csg_Volz" localSheetId="15" hidden="0" function="0" vbProcedure="0">'[109]Metric Conversions'!$C$88</definedName>
    <definedName name="DP5_bbl_per_ft" localSheetId="15" hidden="0" function="0" vbProcedure="0">'[109]Liner Job Info'!$AT$73</definedName>
    <definedName name="DP5_COnn" localSheetId="15" hidden="0" function="0" vbProcedure="0">'[130]Liner Job Info'!$J$26</definedName>
    <definedName name="DP5_Grd" localSheetId="15" hidden="0" function="0" vbProcedure="0">'[130]Liner Job Info'!$F$26</definedName>
    <definedName name="DP5_ID" localSheetId="15" hidden="0" function="0" vbProcedure="0">'[109]Liner Job Info'!$E$26</definedName>
    <definedName name="DP5_Leng" localSheetId="15" hidden="0" function="0" vbProcedure="0">'[130]Metric Conversions'!$B$24</definedName>
    <definedName name="DP5_Lengz" localSheetId="15" hidden="0" function="0" vbProcedure="0">'[109]Liner Job Info'!$I$26</definedName>
    <definedName name="DP5_MYS" localSheetId="15" hidden="0" function="0" vbProcedure="0">'[109]Liner Job Info'!$AD$35</definedName>
    <definedName name="DP5_OD" localSheetId="15" hidden="0" function="0" vbProcedure="0">'[130]Liner Job Info'!$C$26</definedName>
    <definedName name="DP5_Tens" localSheetId="15" hidden="0" function="0" vbProcedure="0">'[109]Liner Job Info'!$M$26</definedName>
    <definedName name="DP5_Volz" localSheetId="15" hidden="0" function="0" vbProcedure="0">'[109]Metric Conversions'!$C$74</definedName>
    <definedName name="DP5_Wt_inmud" localSheetId="15" hidden="0" function="0" vbProcedure="0">'[109]Weight Calculations'!$H$12</definedName>
    <definedName name="DP5_Wt_Per_Ft" localSheetId="15" hidden="0" function="0" vbProcedure="0">'[130]Liner Job Info'!$D$26</definedName>
    <definedName name="DP5_X_Csg_Volz" localSheetId="15" hidden="0" function="0" vbProcedure="0">'[109]Metric Conversions'!$C$89</definedName>
    <definedName name="dpdt" localSheetId="15" hidden="0" function="0" vbProcedure="0">'[136]WCT-Ft'!$Q$4:$X$18</definedName>
    <definedName name="DPi" localSheetId="15" hidden="0" function="0" vbProcedure="0">[107]Piston!$F$10</definedName>
    <definedName name="DPia" localSheetId="15" hidden="0" function="0" vbProcedure="0">[107]Balooning!$F$9</definedName>
    <definedName name="DPNumber_35" localSheetId="15" hidden="0" function="0" vbProcedure="0">'[137]DP Length'!$A$3:$A$1000</definedName>
    <definedName name="DPNumber_5" localSheetId="15" hidden="0" function="0" vbProcedure="0">'[137]DP Length'!$C$3:$C$1000</definedName>
    <definedName name="DPo" localSheetId="15" hidden="0" function="0" vbProcedure="0">[107]Piston!$F$11</definedName>
    <definedName name="DPoa" localSheetId="15" hidden="0" function="0" vbProcedure="0">[107]Balooning!$F$10</definedName>
    <definedName name="DPThread" localSheetId="15" hidden="0" function="0" vbProcedure="0">[109]DATA!$AA$44:$AA$94</definedName>
    <definedName name="DPTTL_HYD_LENTH" localSheetId="15" hidden="0" function="0" vbProcedure="0">'[109]Weight Calculations'!$F$46</definedName>
    <definedName name="DP_MYS" localSheetId="15" hidden="0" function="0" vbProcedure="0">[109]DATA!$AB$2:$AB$6</definedName>
    <definedName name="DP_Plus_Block" localSheetId="15" hidden="0" function="0" vbProcedure="0">'[109]Weight Calculations'!$H$15</definedName>
    <definedName name="DP_PSI" localSheetId="15" hidden="0" function="0" vbProcedure="0">'[109]Metric Conversions'!$B$49</definedName>
    <definedName name="DP_PSIz" localSheetId="15" hidden="0" function="0" vbProcedure="0">'[109]Liner Job Info'!$D$35</definedName>
    <definedName name="DP_SF" localSheetId="15" hidden="0" function="0" vbProcedure="0">'[109]Liner Job Info'!$R$27</definedName>
    <definedName name="drawblanks" localSheetId="15" hidden="0" function="0" vbProcedure="0">'[146]tally checklist'!drawblanks</definedName>
    <definedName name="drawlinerfirst" localSheetId="15" hidden="0" function="0" vbProcedure="0">'[146]tally checklist'!drawlinerfirst</definedName>
    <definedName name="drawlinersecond" localSheetId="15" hidden="0" function="0" vbProcedure="0">'[146]tally checklist'!drawlinersecond</definedName>
    <definedName name="drawmiscellaneous" localSheetId="15" hidden="0" function="0" vbProcedure="0">'[146]tally checklist'!drawmiscellaneous</definedName>
    <definedName name="drawproductionfirst" localSheetId="15" hidden="0" function="0" vbProcedure="0">'[146]tally checklist'!drawproductionfirst</definedName>
    <definedName name="drawproductionsecond" localSheetId="15" hidden="0" function="0" vbProcedure="0">'[146]tally checklist'!drawproductionsecond</definedName>
    <definedName name="drawquantum" localSheetId="15" hidden="0" function="0" vbProcedure="0">'[146]tally checklist'!drawquantum</definedName>
    <definedName name="drawscreens" localSheetId="15" hidden="0" function="0" vbProcedure="0">'[146]tally checklist'!drawscreens</definedName>
    <definedName name="drawshearsubs" localSheetId="15" hidden="0" function="0" vbProcedure="0">'[146]tally checklist'!drawshearsubs</definedName>
    <definedName name="drawsump" localSheetId="15" hidden="0" function="0" vbProcedure="0">'[146]tally checklist'!drawsump</definedName>
    <definedName name="draw_blanks" localSheetId="15" hidden="0" function="0" vbProcedure="0">'[146]tally checklist'!draw_blanks</definedName>
    <definedName name="draw_linerfirst" localSheetId="15" hidden="0" function="0" vbProcedure="0">'[146]tally checklist'!draw_linerfirst</definedName>
    <definedName name="draw_linersecond" localSheetId="15" hidden="0" function="0" vbProcedure="0">'[146]tally checklist'!draw_linersecond</definedName>
    <definedName name="draw_miscellaneous" localSheetId="15" hidden="0" function="0" vbProcedure="0">'[146]tally checklist'!draw_miscellaneous</definedName>
    <definedName name="draw_productionfirst" localSheetId="15" hidden="0" function="0" vbProcedure="0">'[146]tally checklist'!draw_productionfirst</definedName>
    <definedName name="draw_productionsecond" localSheetId="15" hidden="0" function="0" vbProcedure="0">'[146]tally checklist'!draw_productionsecond</definedName>
    <definedName name="draw_quantum" localSheetId="15" hidden="0" function="0" vbProcedure="0">'[146]tally checklist'!draw_quantum</definedName>
    <definedName name="draw_screens" localSheetId="15" hidden="0" function="0" vbProcedure="0">'[146]tally checklist'!draw_screens</definedName>
    <definedName name="draw_shearsubs" localSheetId="15" hidden="0" function="0" vbProcedure="0">'[146]tally checklist'!draw_shearsubs</definedName>
    <definedName name="draw_sump" localSheetId="15" hidden="0" function="0" vbProcedure="0">'[146]tally checklist'!draw_sump</definedName>
    <definedName name="DRILLER" localSheetId="15" hidden="0" function="0" vbProcedure="0">#ref!</definedName>
    <definedName name="Drillpipesize" localSheetId="15" hidden="0" function="0" vbProcedure="0">[109]DATA!$X$2:$X$10</definedName>
    <definedName name="Drillpipetype" localSheetId="15" hidden="0" function="0" vbProcedure="0">[109]DATA!$AA$2:$AA$6</definedName>
    <definedName name="Drillpipeweight" localSheetId="15" hidden="0" function="0" vbProcedure="0">[109]DATA!$Z$2:$Z$36</definedName>
    <definedName name="Druckbereich_MI" localSheetId="15" hidden="0" function="0" vbProcedure="0">'[138]Dev-Baker'!$A$1:$J$46</definedName>
    <definedName name="Druckbereich_S3" localSheetId="15" hidden="0" function="0" vbProcedure="0">'[165]run_s.xls'!#ref!</definedName>
    <definedName name="dtr" localSheetId="15" hidden="0" function="0" vbProcedure="0">'[115]Max-Torq'!$P$77</definedName>
    <definedName name="DWS" localSheetId="15" hidden="0" function="0" vbProcedure="0">'[111]DWS2023'!$A$4:$AD$257</definedName>
    <definedName name="Eff_Date" localSheetId="15" hidden="0" function="0" vbProcedure="0">'[94]Job Technical Info'!$L$3</definedName>
    <definedName name="EJYETYJEJ" localSheetId="15" hidden="0" function="0" vbProcedure="0">'[146]tally checklist'!ejyetyjej</definedName>
    <definedName name="Element_Rating" localSheetId="15" hidden="0" function="0" vbProcedure="0">'[109]Metric Conversions'!$B$57</definedName>
    <definedName name="Element_Ratingz" localSheetId="15" hidden="0" function="0" vbProcedure="0">'[109]Liner Job Info'!$P$41</definedName>
    <definedName name="equipmenttype" localSheetId="15" hidden="0" function="0" vbProcedure="0">[56]data!#ref!</definedName>
    <definedName name="error" localSheetId="15" hidden="0" function="0" vbProcedure="0">[106]Data!$F$10</definedName>
    <definedName name="ertert" localSheetId="15" hidden="0" function="0" vbProcedure="0">[171]试压!#ref!</definedName>
    <definedName name="ES_pricelist" localSheetId="15" hidden="0" function="0" vbProcedure="0">[139]Pricelist!$A$8:$B$18</definedName>
    <definedName name="Expected_Job_Date" localSheetId="15" hidden="0" function="0" vbProcedure="0">'[108]Pre-Job Info Sheet'!$D$5</definedName>
    <definedName name="Explosive_Type" localSheetId="15" hidden="0" function="0" vbProcedure="0">'[108]TCP-BHA'!$E$7</definedName>
    <definedName name="EXP_1" localSheetId="15" hidden="0" function="0" vbProcedure="0">INDEX([111]DRAW!$A$2:$B$13,MATCH([112]AUTO_DHWS!$AV$7,[111]DRAW!$A$2:$A$13,0),2)</definedName>
    <definedName name="EXT_LENGTH" localSheetId="15" hidden="0" function="0" vbProcedure="0">'[7]#ref'!#ref!</definedName>
    <definedName name="F" localSheetId="15" hidden="0" function="0" vbProcedure="0">[140]Parts!$A$1:$I$65536</definedName>
    <definedName name="fdg" localSheetId="15" hidden="0" function="0" vbProcedure="0">[119]钻井日报表!$G$7</definedName>
    <definedName name="februpees" localSheetId="15" hidden="0" function="0" vbProcedure="0">'[141]Cash Expense March-96'!$H$6</definedName>
    <definedName name="fe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5" hidden="0" function="0" vbProcedure="0">'[146]tally checklist'!fewfw</definedName>
    <definedName name="fff" localSheetId="15" hidden="0" function="0" vbProcedure="0">'[146]tally checklist'!fff</definedName>
    <definedName name="FJNDEF" localSheetId="15" hidden="0" function="0" vbProcedure="0">'[146]tally checklist'!fjndef</definedName>
    <definedName name="Floatequipment" localSheetId="15" hidden="0" function="0" vbProcedure="0">[109]DATA!$AM$2:$AM$9</definedName>
    <definedName name="FluidType" localSheetId="15" hidden="0" function="0" vbProcedure="0">'[94]Job Technical Info'!$F$42</definedName>
    <definedName name="FluidWt" localSheetId="15" hidden="0" function="0" vbProcedure="0">'[94]Job Technical Info'!$H$42</definedName>
    <definedName name="Form._Pressure" localSheetId="15" hidden="0" function="0" vbProcedure="0">'[108]Pre-Job Info Sheet'!$B$33</definedName>
    <definedName name="formation" localSheetId="15" hidden="0" function="0" vbProcedure="0">[56]data!#ref!</definedName>
    <definedName name="fracgrad" localSheetId="15" hidden="0" function="0" vbProcedure="0">[5]WTR!$L$38</definedName>
    <definedName name="fracpress" localSheetId="15" hidden="0" function="0" vbProcedure="0">'[113]#REF'!$L$25</definedName>
    <definedName name="frictionpressure" localSheetId="15" hidden="0" function="0" vbProcedure="0">[106]Data!$F$8</definedName>
    <definedName name="FRONT" localSheetId="15" hidden="0" function="0" vbProcedure="0">'[142]DAILY RPT'!$A$1:$Y$67</definedName>
    <definedName name="ftormeters" localSheetId="15" hidden="0" function="0" vbProcedure="0">'[109]Metric Conversions'!$B$14</definedName>
    <definedName name="Gamma_Quadrant" localSheetId="15" hidden="0" function="0" vbProcedure="0">[129]RSS!$N$139:$N$144</definedName>
    <definedName name="gasrate" localSheetId="15" hidden="0" function="0" vbProcedure="0">'[96]well test sheet'!#ref!</definedName>
    <definedName name="gas_cumm" localSheetId="15" hidden="0" function="0" vbProcedure="0">'[96]well test sheet'!#ref!</definedName>
    <definedName name="Gauge" localSheetId="15" hidden="0" function="0" vbProcedure="0">'[7]Drop-Down Items'!$D$74:$D$92</definedName>
    <definedName name="Gaugecancel" localSheetId="15" hidden="0" function="0" vbProcedure="0">[28]!Gaugecancel</definedName>
    <definedName name="gaugeconok" localSheetId="15" hidden="0" function="0" vbProcedure="0">[28]!gaugeconok</definedName>
    <definedName name="gaugeconok2" localSheetId="15" hidden="0" function="0" vbProcedure="0">[28]!gaugeconok2</definedName>
    <definedName name="gaugeok" localSheetId="15" hidden="0" function="0" vbProcedure="0">[28]!gaugeok</definedName>
    <definedName name="gaugeok2" localSheetId="15" hidden="0" function="0" vbProcedure="0">[28]!gaugeok2</definedName>
    <definedName name="gaugeselect" localSheetId="15" hidden="0" function="0" vbProcedure="0">[28]!gaugeselect</definedName>
    <definedName name="gaugeselect2" localSheetId="15" hidden="0" function="0" vbProcedure="0">[28]!gaugeselect2</definedName>
    <definedName name="gdsg" localSheetId="15" hidden="1" function="0" vbProcedure="0">#ref!</definedName>
    <definedName name="GGGR" localSheetId="15" hidden="0" function="0" vbProcedure="0">'[146]tally checklist'!gggr</definedName>
    <definedName name="GL" localSheetId="15" hidden="0" function="0" vbProcedure="0">'[189]offset data'!#ref!</definedName>
    <definedName name="GLM_1" localSheetId="15" hidden="0" function="0" vbProcedure="0">INDEX([111]DRAW!$A$2:$B$13,MATCH([112]AUTO_DHWS!$AV$3,[111]DRAW!$A$2:$A$13,0),2)</definedName>
    <definedName name="GLM_2" localSheetId="15" hidden="0" function="0" vbProcedure="0">INDEX([111]DRAW!$A$2:$B$13,MATCH([112]AUTO_DHWS!$AV$4,[111]DRAW!$A$2:$A$13,0),2)</definedName>
    <definedName name="GLM_3" localSheetId="15" hidden="0" function="0" vbProcedure="0">INDEX([111]DRAW!$A$2:$B$13,MATCH([112]AUTO_DHWS!$AV$5,[111]DRAW!$A$2:$A$13,0),2)</definedName>
    <definedName name="GLM_4" localSheetId="15" hidden="0" function="0" vbProcedure="0">INDEX([111]DRAW!$A$2:$B$13,MATCH([112]AUTO_DHWS!$AV$6,[111]DRAW!$A$2:$A$13,0),2)</definedName>
    <definedName name="Gmh" localSheetId="15" hidden="1" function="0" vbProcedure="0">{#N/A,#N/A,FALSE,"Sheet1"}</definedName>
    <definedName name="gor" localSheetId="15" hidden="0" function="0" vbProcedure="0">'[96]well test sheet'!#ref!</definedName>
    <definedName name="gpbreakerconc" localSheetId="15" hidden="0" function="0" vbProcedure="0">'[113]#REF'!$K$68</definedName>
    <definedName name="gpbreakertype" localSheetId="15" hidden="0" function="0" vbProcedure="0">'[113]#REF'!$K$67</definedName>
    <definedName name="gpcarriertype" localSheetId="15" hidden="0" function="0" vbProcedure="0">[5]WTR!$G$83</definedName>
    <definedName name="gpcarriervis" localSheetId="15" hidden="0" function="0" vbProcedure="0">'[113]#REF'!$K$66</definedName>
    <definedName name="gpcarriervol" localSheetId="15" hidden="0" function="0" vbProcedure="0">'[113]#REF'!$F$69</definedName>
    <definedName name="gpcarrierwt" localSheetId="15" hidden="0" function="0" vbProcedure="0">'[113]#REF'!$F$67</definedName>
    <definedName name="gpextlength" localSheetId="15" hidden="0" function="0" vbProcedure="0">'[113]#REF'!$J$15</definedName>
    <definedName name="gpextod" localSheetId="15" hidden="0" function="0" vbProcedure="0">'[113]#REF'!$F$15</definedName>
    <definedName name="gpgel" localSheetId="15" hidden="0" function="0" vbProcedure="0">'[113]#REF'!$K$65</definedName>
    <definedName name="gplbs" localSheetId="15" hidden="0" function="0" vbProcedure="0">'[113]#REF'!$F$64</definedName>
    <definedName name="gpmixratio" localSheetId="15" hidden="0" function="0" vbProcedure="0">[5]WTR!$M$81</definedName>
    <definedName name="gppumprate" localSheetId="15" hidden="0" function="0" vbProcedure="0">[5]WTR!$F$88</definedName>
    <definedName name="gpslurrydens" localSheetId="15" hidden="0" function="0" vbProcedure="0">'[113]#REF'!$F$70</definedName>
    <definedName name="GP_EXT_OD" localSheetId="15" hidden="0" function="0" vbProcedure="0">'[113]#REF'!$F$15</definedName>
    <definedName name="GP_MIX_RATIO" localSheetId="15" hidden="0" function="0" vbProcedure="0">'[113]#REF'!$K$64</definedName>
    <definedName name="GP_SLURRY_VOL" localSheetId="15" hidden="0" function="0" vbProcedure="0">'[113]#REF'!$F$69</definedName>
    <definedName name="GQGQ" localSheetId="15" hidden="0" function="0" vbProcedure="0">'[146]tally checklist'!gqgq</definedName>
    <definedName name="GQQ" localSheetId="15" hidden="0" function="0" vbProcedure="0">'[146]tally checklist'!gqq</definedName>
    <definedName name="gravelsize" localSheetId="15" hidden="0" function="0" vbProcedure="0">[5]WTR!$G$82</definedName>
    <definedName name="GRAVEL_IN_CSG." localSheetId="15" hidden="0" function="0" vbProcedure="0">'[113]#REF'!XEP1048377</definedName>
    <definedName name="GroupID" localSheetId="15" hidden="0" function="0" vbProcedure="0">[109]DATA!$Q$2:$Q$268</definedName>
    <definedName name="Group_ID" localSheetId="15" hidden="0" function="0" vbProcedure="0">[131]DATA!$Q$2:$Q$268</definedName>
    <definedName name="GRQ" localSheetId="15" hidden="0" function="0" vbProcedure="0">'[146]tally checklist'!grq</definedName>
    <definedName name="GUB24SECWELL" localSheetId="15" hidden="1" function="0" vbProcedure="0">[143]Sheet1!$A$181:$H$210</definedName>
    <definedName name="Gun_Size" localSheetId="15" hidden="0" function="0" vbProcedure="0">'[108]TCP-BHA'!$F$5</definedName>
    <definedName name="GWS" localSheetId="15" hidden="0" function="0" vbProcedure="0">'[146]tally checklist'!gws</definedName>
    <definedName name="h" localSheetId="15" hidden="0" function="0" vbProcedure="0">[144]Tally!$A$5:$H$1064</definedName>
    <definedName name="H2S" localSheetId="15" hidden="0" function="0" vbProcedure="0">'[94]Job Technical Info'!$L$41</definedName>
    <definedName name="Hangerfunction" localSheetId="15" hidden="0" function="0" vbProcedure="0">[109]DATA!$AH$2:$AH$9</definedName>
    <definedName name="HAUL_Thread" localSheetId="15" hidden="0" function="0" vbProcedure="0">[109]DATA!$BM$22:$BM$114</definedName>
    <definedName name="hesfluid" localSheetId="15" hidden="0" function="0" vbProcedure="0">[56]data!#ref!</definedName>
    <definedName name="hgh" localSheetId="15" hidden="1" function="0" vbProcedure="0">#ref!</definedName>
    <definedName name="HGR_OL_Packoff_In" localSheetId="15" hidden="0" function="0" vbProcedure="0">[109]Test!$M$36</definedName>
    <definedName name="hhp" localSheetId="15" hidden="0" function="0" vbProcedure="0">'[96]well test sheet'!#ref!</definedName>
    <definedName name="hj" localSheetId="15" hidden="0" function="0" vbProcedure="0">[194]bha!#ref!</definedName>
    <definedName name="HKWT" localSheetId="15" hidden="0" function="0" vbProcedure="0">[119]钻井日报表!$E$7</definedName>
    <definedName name="Hngr_Bst" localSheetId="15" hidden="0" function="0" vbProcedure="0">'[109]Metric Conversions'!$B$50</definedName>
    <definedName name="Hngr_Bstz" localSheetId="15" hidden="0" function="0" vbProcedure="0">'[109]Liner Job Info'!$D$39</definedName>
    <definedName name="Hngr_OL_PO_out" localSheetId="15" hidden="0" function="0" vbProcedure="0">[109]Test!$M$30</definedName>
    <definedName name="Hngr_Overload_Cmt_Setup" localSheetId="15" hidden="0" function="0" vbProcedure="0">[109]Test!$M$42</definedName>
    <definedName name="Hngr_Tens" localSheetId="15" hidden="0" function="0" vbProcedure="0">'[109]Liner Job Info'!$D$40</definedName>
    <definedName name="Hng_Cap" localSheetId="15" hidden="0" function="0" vbProcedure="0">'[109]Liner Job Info'!$D$41</definedName>
    <definedName name="holevol" localSheetId="15" hidden="0" function="0" vbProcedure="0">'[64]tool backload dt'!holevol</definedName>
    <definedName name="hpb" localSheetId="15" hidden="0" function="0" vbProcedure="0">'[96]well test sheet'!#ref!</definedName>
    <definedName name="HR_Turns" localSheetId="15" hidden="0" function="0" vbProcedure="0">'[109]Weight Calculations'!$Q$36</definedName>
    <definedName name="HTML_Control" localSheetId="15" hidden="1" function="0" vbProcedure="0">{"'Operator &amp; Well Info.'!$A$1:$F$16"}</definedName>
    <definedName name="hwdpdt" localSheetId="15" hidden="0" function="0" vbProcedure="0">'[136]WCT-Ft'!$Q$19:$X$24</definedName>
    <definedName name="Hyd._Pressure" localSheetId="15" hidden="0" function="0" vbProcedure="0">'[108]Job Calculation Sheet'!$H$28</definedName>
    <definedName name="Hyd_at_TV" localSheetId="15" hidden="0" function="0" vbProcedure="0">'[108]Tester Valve Calcs'!$F$21</definedName>
    <definedName name="Hyd_Effect_Force" localSheetId="15" hidden="0" function="0" vbProcedure="0">'[109]Weight Calculations'!$F$47</definedName>
    <definedName name="Hyd_force_element" localSheetId="15" hidden="0" function="0" vbProcedure="0">[109]Test!$M$17</definedName>
    <definedName name="HyfloSeatID" localSheetId="15" hidden="0" function="0" vbProcedure="0">[109]DATA!$AY$2:$AY$4</definedName>
    <definedName name="HyfloSeatNumber" localSheetId="15" hidden="0" function="0" vbProcedure="0">[109]DATA!$AZ$2:$AZ$5</definedName>
    <definedName name="HyfloSupplier" localSheetId="15" hidden="0" function="0" vbProcedure="0">[109]DATA!$BA$2:$BA$5</definedName>
    <definedName name="idlist" localSheetId="15" hidden="0" function="0" vbProcedure="0">[106]Data!$GD$2:$GE$237</definedName>
    <definedName name="IDUnit" localSheetId="15" hidden="0" function="0" vbProcedure="0">'[94]Job Technical Info'!$F$24</definedName>
    <definedName name="impdwg" localSheetId="15" hidden="0" function="0" vbProcedure="0">[28]!impdwg</definedName>
    <definedName name="impdwg_1" localSheetId="15" hidden="0" function="0" vbProcedure="0">DHWS!impdwg</definedName>
    <definedName name="impdwg_10" localSheetId="15" hidden="0" function="0" vbProcedure="0">DHWS!impdwg</definedName>
    <definedName name="impdwg_11" localSheetId="15" hidden="0" function="0" vbProcedure="0">DHWS!impdwg</definedName>
    <definedName name="impdwg_2" localSheetId="15" hidden="0" function="0" vbProcedure="0">DHWS!impdwg</definedName>
    <definedName name="impdwg_3" localSheetId="15" hidden="0" function="0" vbProcedure="0">DHWS!impdwg</definedName>
    <definedName name="impdwg_4" localSheetId="15" hidden="0" function="0" vbProcedure="0">DHWS!impdwg</definedName>
    <definedName name="impdwg_5" localSheetId="15" hidden="0" function="0" vbProcedure="0">DHWS!impdwg</definedName>
    <definedName name="impdwg_6" localSheetId="15" hidden="0" function="0" vbProcedure="0">DHWS!impdwg</definedName>
    <definedName name="impdwg_7" localSheetId="15" hidden="0" function="0" vbProcedure="0">DHWS!impdwg</definedName>
    <definedName name="impdwg_8" localSheetId="15" hidden="0" function="0" vbProcedure="0">DHWS!impdwg</definedName>
    <definedName name="impdwg_9" localSheetId="15" hidden="0" function="0" vbProcedure="0">DHWS!impdwg</definedName>
    <definedName name="Inc" localSheetId="15" hidden="0" function="0" vbProcedure="0">[119]钻井日报表!$G$8</definedName>
    <definedName name="InclinationData" localSheetId="15" hidden="0" function="0" vbProcedure="0">OFFSET([28]!Inclination,2,0,COUNT(#ref!),1)</definedName>
    <definedName name="incrementa"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5" hidden="0" function="0" vbProcedure="0">'[145]Job File Index'!$B$7</definedName>
    <definedName name="INFUSER_RATE" localSheetId="15" hidden="0" function="0" vbProcedure="0">'[113]#REF'!$F$71</definedName>
    <definedName name="INFUSER_RATE_PREPACK" localSheetId="15" hidden="0" function="0" vbProcedure="0">'[113]#REF'!$F$50</definedName>
    <definedName name="Insert_New_Page" localSheetId="15" hidden="0" function="0" vbProcedure="0">[44]!Insert_New_Page</definedName>
    <definedName name="Insert_New_Page_1" localSheetId="15" hidden="0" function="0" vbProcedure="0">[28]!Insert_New_Page</definedName>
    <definedName name="Insert_New_Page_10" localSheetId="15" hidden="0" function="0" vbProcedure="0">[28]!Insert_New_Page</definedName>
    <definedName name="Insert_New_Page_11" localSheetId="15" hidden="0" function="0" vbProcedure="0">[28]!Insert_New_Page</definedName>
    <definedName name="Insert_New_Page_2" localSheetId="15" hidden="0" function="0" vbProcedure="0">[28]!Insert_New_Page</definedName>
    <definedName name="Insert_New_Page_3" localSheetId="15" hidden="0" function="0" vbProcedure="0">[28]!Insert_New_Page</definedName>
    <definedName name="Insert_New_Page_4" localSheetId="15" hidden="0" function="0" vbProcedure="0">[28]!Insert_New_Page</definedName>
    <definedName name="Insert_New_Page_5" localSheetId="15" hidden="0" function="0" vbProcedure="0">[28]!Insert_New_Page</definedName>
    <definedName name="Insert_New_Page_6" localSheetId="15" hidden="0" function="0" vbProcedure="0">[28]!Insert_New_Page</definedName>
    <definedName name="Insert_New_Page_7" localSheetId="15" hidden="0" function="0" vbProcedure="0">[28]!Insert_New_Page</definedName>
    <definedName name="Insert_New_Page_8" localSheetId="15" hidden="0" function="0" vbProcedure="0">[28]!Insert_New_Page</definedName>
    <definedName name="Insert_New_Page_9" localSheetId="15" hidden="0" function="0" vbProcedure="0">[28]!Insert_New_Page</definedName>
    <definedName name="Inverse_Balloon_Area" localSheetId="15" hidden="0" function="0" vbProcedure="0">[109]Test!$M$19</definedName>
    <definedName name="isip" localSheetId="15" hidden="0" function="0" vbProcedure="0">[5]WTR!$G$41</definedName>
    <definedName name="Issue" localSheetId="15" hidden="0" function="0" vbProcedure="0">'[146]Title Page'!$Q$2:$Q$20</definedName>
    <definedName name="Item1" localSheetId="15" hidden="0" function="0" vbProcedure="0">INDEX(#ref!,0,MATCH('[59]ENG Input'!$A$12,Categories,0))</definedName>
    <definedName name="Item10" localSheetId="15" hidden="0" function="0" vbProcedure="0">INDEX(#ref!,0,MATCH('[59]ENG Input'!$A$128,Categories,0))</definedName>
    <definedName name="Item11" localSheetId="15" hidden="0" function="0" vbProcedure="0">INDEX(#ref!,0,MATCH('[59]ENG Input'!$A$139,Categories,0))</definedName>
    <definedName name="Item12" localSheetId="15" hidden="0" function="0" vbProcedure="0">INDEX(#ref!,0,MATCH('[59]ENG Input'!$A$155,Categories,0))</definedName>
    <definedName name="Item13" localSheetId="15" hidden="0" function="0" vbProcedure="0">INDEX(#ref!,0,MATCH('[59]ENG Input'!$A$171,Categories,0))</definedName>
    <definedName name="Item14" localSheetId="15" hidden="0" function="0" vbProcedure="0">INDEX(#ref!,0,MATCH('[59]ENG Input'!$A$182,Categories,0))</definedName>
    <definedName name="Item15" localSheetId="15" hidden="0" function="0" vbProcedure="0">INDEX(#ref!,0,MATCH('[59]ENG Input'!$A$193,Categories,0))</definedName>
    <definedName name="Item16" localSheetId="15" hidden="0" function="0" vbProcedure="0">INDEX(#ref!,0,MATCH('[59]ENG Input'!$A$204,Categories,0))</definedName>
    <definedName name="Item17" localSheetId="15" hidden="0" function="0" vbProcedure="0">INDEX(#ref!,0,MATCH('[59]ENG Input'!$A$215,Categories,0))</definedName>
    <definedName name="Item18" localSheetId="15" hidden="0" function="0" vbProcedure="0">INDEX(#ref!,0,MATCH('[59]ENG Input'!$A$226,Categories,0))</definedName>
    <definedName name="Item19" localSheetId="15" hidden="0" function="0" vbProcedure="0">INDEX(#ref!,0,MATCH('[59]ENG Input'!$A$237,Categories,0))</definedName>
    <definedName name="Item2" localSheetId="15" hidden="0" function="0" vbProcedure="0">INDEX(#ref!,0,MATCH('[59]ENG Input'!$A$32,Categories,0))</definedName>
    <definedName name="Item20" localSheetId="15" hidden="0" function="0" vbProcedure="0">INDEX(#ref!,0,MATCH('[59]ENG Input'!$A$248,Categories,0))</definedName>
    <definedName name="Item3" localSheetId="15" hidden="0" function="0" vbProcedure="0">INDEX(#ref!,0,MATCH('[59]ENG Input'!$A$48,Categories,0))</definedName>
    <definedName name="Item4" localSheetId="15" hidden="0" function="0" vbProcedure="0">INDEX(#ref!,0,MATCH('[59]ENG Input'!$A$59,Categories,0))</definedName>
    <definedName name="Item5" localSheetId="15" hidden="0" function="0" vbProcedure="0">INDEX(#ref!,0,MATCH('[59]ENG Input'!$A$73,Categories,0))</definedName>
    <definedName name="Item6" localSheetId="15" hidden="0" function="0" vbProcedure="0">INDEX(#ref!,0,MATCH('[59]ENG Input'!$A$84,Categories,0))</definedName>
    <definedName name="Item7" localSheetId="15" hidden="0" function="0" vbProcedure="0">INDEX(#ref!,0,MATCH('[59]ENG Input'!$A$95,Categories,0))</definedName>
    <definedName name="Item8" localSheetId="15" hidden="0" function="0" vbProcedure="0">INDEX(#ref!,0,MATCH('[59]ENG Input'!$A$106,Categories,0))</definedName>
    <definedName name="Item9" localSheetId="15" hidden="0" function="0" vbProcedure="0">INDEX(#ref!,0,MATCH('[59]ENG Input'!$A$117,Categories,0))</definedName>
    <definedName name="J" localSheetId="15" hidden="1" function="0" vbProcedure="0">#ref!</definedName>
    <definedName name="janrupees" localSheetId="15" hidden="0" function="0" vbProcedure="0">'[147]Cash Expense January-96'!$H$6</definedName>
    <definedName name="JEYJD" localSheetId="15" hidden="0" function="0" vbProcedure="0">'[146]tally checklist'!jeyjd</definedName>
    <definedName name="JK" localSheetId="15" hidden="0" function="0" vbProcedure="0">'[148]CSG13'!$B$5</definedName>
    <definedName name="JobCenterID" localSheetId="15" hidden="0" function="0" vbProcedure="0">'[94]Job Technical Info'!$C$10</definedName>
    <definedName name="JobEndDate" localSheetId="15" hidden="0" function="0" vbProcedure="0">'[144]job info sheet'!#ref!</definedName>
    <definedName name="JobNumber" localSheetId="15" hidden="0" function="0" vbProcedure="0">'[129]Front Page Info'!$C$4</definedName>
    <definedName name="jobpurpose1" localSheetId="15" hidden="0" function="0" vbProcedure="0">[132]Data!$L$1:$L$65536</definedName>
    <definedName name="JobType" localSheetId="15" hidden="0" function="0" vbProcedure="0">[6]Sheet1!$A$11:$A$16</definedName>
    <definedName name="Jobtype1" localSheetId="15" hidden="0" function="0" vbProcedure="0">[132]Data!$N$1:$N$65536</definedName>
    <definedName name="Job_date" localSheetId="15" hidden="0" function="0" vbProcedure="0">'[108]TCP-BHA'!$D$5</definedName>
    <definedName name="Job_Name" localSheetId="15" hidden="0" function="0" vbProcedure="0">'[30]Liner Job Info'!$E$5</definedName>
    <definedName name="Job_Type" localSheetId="15" hidden="0" function="0" vbProcedure="0">'[12]JCSI 12'!$AB$29:$AB$42</definedName>
    <definedName name="JointNumber" localSheetId="15" hidden="0" function="0" vbProcedure="0">[99]!JointNumber</definedName>
    <definedName name="JOYCE" localSheetId="15" hidden="1" function="0" vbProcedure="0">#ref!</definedName>
    <definedName name="JRJTRJT" localSheetId="15" hidden="0" function="0" vbProcedure="0">'[146]tally checklist'!jrjtrjt</definedName>
    <definedName name="JtCount" localSheetId="15" hidden="0" function="0" vbProcedure="0">'[79]casing talley'!#ref!</definedName>
    <definedName name="JTNFN" localSheetId="15" hidden="0" function="0" vbProcedure="0">'[146]tally checklist'!jtnfn</definedName>
    <definedName name="jun" localSheetId="15" hidden="1" function="0" vbProcedure="0">{#N/A,#N/A,FALSE,"Sheet1"}</definedName>
    <definedName name="June" localSheetId="15" hidden="1" function="0" vbProcedure="0">{#N/A,#N/A,FALSE,"Sheet1"}</definedName>
    <definedName name="June1" localSheetId="15" hidden="1" function="0" vbProcedure="0">{#N/A,#N/A,FALSE,"Sheet1"}</definedName>
    <definedName name="junk" localSheetId="15" hidden="0" function="0" vbProcedure="0">{#N/A,#N/A,FALSE,"Volume"}</definedName>
    <definedName name="junk1" localSheetId="15" hidden="0" function="0" vbProcedure="0">{#N/A,#N/A,FALSE,"Volume"}</definedName>
    <definedName name="junk2" localSheetId="15" hidden="0" function="0" vbProcedure="0">{#N/A,#N/A,FALSE,"Volume"}</definedName>
    <definedName name="junk3" localSheetId="15" hidden="0" function="0" vbProcedure="0">{#N/A,#N/A,FALSE,"Volume"}</definedName>
    <definedName name="junk4" localSheetId="15" hidden="0" function="0" vbProcedure="0">{#N/A,#N/A,FALSE,"Volume"}</definedName>
    <definedName name="k" localSheetId="15" hidden="1" function="0" vbProcedure="0">#ref!</definedName>
    <definedName name="Kill_Fluid_Type" localSheetId="15" hidden="0" function="0" vbProcedure="0">'[108]TCP-BHA'!$G$7</definedName>
    <definedName name="Kill_Fluid_Wt" localSheetId="15" hidden="0" function="0" vbProcedure="0">'[108]TCP-BHA'!$F$7</definedName>
    <definedName name="KK" localSheetId="15" hidden="0" function="0" vbProcedure="0">[28]!Macro1</definedName>
    <definedName name="KL" localSheetId="15" hidden="0" function="0" vbProcedure="0">[149]BHA!$C$4</definedName>
    <definedName name="KO" localSheetId="15" hidden="0" function="0" vbProcedure="0">'[148]CSG13'!$F$6</definedName>
    <definedName name="KRR" localSheetId="15" hidden="0" function="0" vbProcedure="0">'[146]tally checklist'!krr</definedName>
    <definedName name="KUYUKR" localSheetId="15" hidden="0" function="0" vbProcedure="0">'[146]tally checklist'!kuyukr</definedName>
    <definedName name="landoffshore" localSheetId="15" hidden="0" function="0" vbProcedure="0">[56]data!#ref!</definedName>
    <definedName name="LastCsgString" localSheetId="15" hidden="0" function="0" vbProcedure="0">[109]DATA!$AU$2:$AU$4</definedName>
    <definedName name="latlong" localSheetId="15" hidden="0" function="0" vbProcedure="0">'[126]Call Sheet'!$P$7</definedName>
    <definedName name="LC" localSheetId="15" hidden="0" function="0" vbProcedure="0">INDEX([111]DRAW!$J$13:$K$22,MATCH([112]AUTO_DHWS!$BC$4,[111]DRAW!$J$13:$J$22,0),2)</definedName>
    <definedName name="LCJobType" localSheetId="15" hidden="0" function="0" vbProcedure="0">'[94]Installation Results #1'!$C$306</definedName>
    <definedName name="LC_TYPE" localSheetId="15" hidden="0" function="0" vbProcedure="0">INDEX([111]DRAW!$P$68:$Q$70,MATCH([111]DRAW!$Q$67,[111]DRAW!$P$68:$P$70,0),2)</definedName>
    <definedName name="Lead_Slurry_in_12.25__OH" localSheetId="15" hidden="0" function="0" vbProcedure="0">'[150]Cmt Csg'!$C$6</definedName>
    <definedName name="lease" localSheetId="15" hidden="0" function="0" vbProcedure="0">[5]WTR!$I$6</definedName>
    <definedName name="Lease1" localSheetId="15" hidden="0" function="0" vbProcedure="0">'[108]TCP-BHA'!$A$7</definedName>
    <definedName name="Lengths" localSheetId="15"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5" hidden="0" function="0" vbProcedure="0">[125]Sheet2!$C$1:$C$5</definedName>
    <definedName name="Liner1_Burst" localSheetId="15" hidden="0" function="0" vbProcedure="0">'[109]Metric Conversions'!$B$45</definedName>
    <definedName name="Liner1_Burstz" localSheetId="15" hidden="0" function="0" vbProcedure="0">'[109]Liner Job Info'!$J$17</definedName>
    <definedName name="Liner1_Cap" localSheetId="15" hidden="0" function="0" vbProcedure="0">'[109]Liner Job Info'!$P$17</definedName>
    <definedName name="Liner1_Collapsez" localSheetId="15" hidden="0" function="0" vbProcedure="0">'[109]Liner Job Info'!$L$17</definedName>
    <definedName name="Liner1_ID" localSheetId="15" hidden="0" function="0" vbProcedure="0">'[109]Liner Job Info'!$D$17</definedName>
    <definedName name="Liner1_Length" localSheetId="15" hidden="0" function="0" vbProcedure="0">'[130]Metric Conversions'!$B$17</definedName>
    <definedName name="Liner1_Lengthz" localSheetId="15" hidden="0" function="0" vbProcedure="0">'[109]Liner Job Info'!$R$17</definedName>
    <definedName name="Liner1_OD" localSheetId="15" hidden="0" function="0" vbProcedure="0">'[130]Liner Job Info'!$C$17</definedName>
    <definedName name="Liner1_Thread" localSheetId="15" hidden="0" function="0" vbProcedure="0">'[130]Liner Job Info'!$H$17</definedName>
    <definedName name="Liner1_Wt_in_Mud" localSheetId="15" hidden="0" function="0" vbProcedure="0">'[109]Weight Calculations'!$H$16</definedName>
    <definedName name="Liner1_Wt_Per_Ft" localSheetId="15" hidden="0" function="0" vbProcedure="0">'[130]Liner Job Info'!$E$17</definedName>
    <definedName name="Liner2_Burst" localSheetId="15" hidden="0" function="0" vbProcedure="0">'[109]Metric Conversions'!$B$46</definedName>
    <definedName name="Liner2_Burstz" localSheetId="15" hidden="0" function="0" vbProcedure="0">'[109]Liner Job Info'!$J$18</definedName>
    <definedName name="Liner2_Cap" localSheetId="15" hidden="0" function="0" vbProcedure="0">'[109]Liner Job Info'!$P$18</definedName>
    <definedName name="Liner2_Collapsez" localSheetId="15" hidden="0" function="0" vbProcedure="0">'[109]Liner Job Info'!$L$18</definedName>
    <definedName name="Liner2_ID" localSheetId="15" hidden="0" function="0" vbProcedure="0">'[109]Liner Job Info'!$D$18</definedName>
    <definedName name="Liner2_Length" localSheetId="15" hidden="0" function="0" vbProcedure="0">'[130]Metric Conversions'!$B$18</definedName>
    <definedName name="Liner2_Lengthz" localSheetId="15" hidden="0" function="0" vbProcedure="0">'[109]Liner Job Info'!$R$18</definedName>
    <definedName name="Liner2_OD" localSheetId="15" hidden="0" function="0" vbProcedure="0">'[130]Liner Job Info'!$C$18</definedName>
    <definedName name="Liner2_Thread" localSheetId="15" hidden="0" function="0" vbProcedure="0">'[130]Liner Job Info'!$H$18</definedName>
    <definedName name="Liner2_Wt_in_Mud" localSheetId="15" hidden="0" function="0" vbProcedure="0">'[109]Weight Calculations'!$H$17</definedName>
    <definedName name="Liner2_Wt_Per_FT" localSheetId="15" hidden="0" function="0" vbProcedure="0">'[130]Liner Job Info'!$E$18</definedName>
    <definedName name="Linertype" localSheetId="15" hidden="0" function="0" vbProcedure="0">[109]DATA!$W$2:$W$12</definedName>
    <definedName name="Liner_I.D." localSheetId="15" hidden="0" function="0" vbProcedure="0">'[108]Job Calculation Sheet'!$F$14</definedName>
    <definedName name="Liner_ID_Area" localSheetId="15" hidden="0" function="0" vbProcedure="0">[109]Test!$V$40</definedName>
    <definedName name="Liner_Size" localSheetId="15" hidden="0" function="0" vbProcedure="0">'[108]Pre-Job Info Sheet'!$D$17</definedName>
    <definedName name="Liner_Top__MD" localSheetId="15" hidden="0" function="0" vbProcedure="0">'[108]Pre-Job Info Sheet'!$D$19</definedName>
    <definedName name="Liner_Weight" localSheetId="15" hidden="0" function="0" vbProcedure="0">'[108]Pre-Job Info Sheet'!$D$18</definedName>
    <definedName name="lkj" localSheetId="15" hidden="1" function="0" vbProcedure="0">#ref!</definedName>
    <definedName name="Lnr1_Grade" localSheetId="15" hidden="0" function="0" vbProcedure="0">'[130]Liner Job Info'!$F$17</definedName>
    <definedName name="Lnr1_Vol" localSheetId="15" hidden="0" function="0" vbProcedure="0">'[109]Metric Conversions'!$B$77</definedName>
    <definedName name="Lnr1_Volz" localSheetId="15" hidden="0" function="0" vbProcedure="0">'[109]Metric Conversions'!$C$77</definedName>
    <definedName name="Lnr1_X_OH_Volz" localSheetId="15" hidden="0" function="0" vbProcedure="0">'[109]Metric Conversions'!$C$82</definedName>
    <definedName name="Lnr2_Grade" localSheetId="15" hidden="0" function="0" vbProcedure="0">'[130]Liner Job Info'!$F$18</definedName>
    <definedName name="Lnr2_Vol" localSheetId="15" hidden="0" function="0" vbProcedure="0">'[109]Metric Conversions'!$B$78</definedName>
    <definedName name="Lnr2_Volz" localSheetId="15" hidden="0" function="0" vbProcedure="0">'[109]Metric Conversions'!$C$78</definedName>
    <definedName name="Lnr2_X_OH_Volz" localSheetId="15" hidden="0" function="0" vbProcedure="0">'[109]Metric Conversions'!$C$83</definedName>
    <definedName name="LnrDrift1" localSheetId="15" hidden="0" function="0" vbProcedure="0">'[94]Job Technical Info'!$G$29</definedName>
    <definedName name="LnrDrift2" localSheetId="15" hidden="0" function="0" vbProcedure="0">'[94]Job Technical Info'!$G$30</definedName>
    <definedName name="LnrGrd1" localSheetId="15" hidden="0" function="0" vbProcedure="0">'[94]Job Technical Info'!$H$29</definedName>
    <definedName name="LnrGrd2" localSheetId="15" hidden="0" function="0" vbProcedure="0">'[94]Job Technical Info'!$H$30</definedName>
    <definedName name="LnrID1" localSheetId="15" hidden="0" function="0" vbProcedure="0">'[94]Job Technical Info'!$F$29</definedName>
    <definedName name="LnrID2" localSheetId="15" hidden="0" function="0" vbProcedure="0">'[94]Job Technical Info'!$F$30</definedName>
    <definedName name="LnrSz1" localSheetId="15" hidden="0" function="0" vbProcedure="0">'[94]Job Technical Info'!$D$29</definedName>
    <definedName name="LnrSz2" localSheetId="15" hidden="0" function="0" vbProcedure="0">'[94]Job Technical Info'!$D$30</definedName>
    <definedName name="LnrThd1" localSheetId="15" hidden="0" function="0" vbProcedure="0">'[94]Job Technical Info'!$J$29</definedName>
    <definedName name="LnrThd2" localSheetId="15" hidden="0" function="0" vbProcedure="0">'[94]Job Technical Info'!$J$30</definedName>
    <definedName name="LnrWt1" localSheetId="15" hidden="0" function="0" vbProcedure="0">'[94]Job Technical Info'!$E$29</definedName>
    <definedName name="LnrWt2" localSheetId="15" hidden="0" function="0" vbProcedure="0">'[94]Job Technical Info'!$E$30</definedName>
    <definedName name="Lnr_Shoe_Depth" localSheetId="15" hidden="0" function="0" vbProcedure="0">'[130]Metric Conversions'!$B$29</definedName>
    <definedName name="Loaded" localSheetId="15" hidden="0" function="0" vbProcedure="0">'[108]Pre-Job Info Sheet'!$B$19</definedName>
    <definedName name="Location" localSheetId="15" hidden="0" function="0" vbProcedure="0">[63]auf_screen!#ref!</definedName>
    <definedName name="LOGGER" localSheetId="15" hidden="0" function="0" vbProcedure="0">[209]!Calculate_Pipe</definedName>
    <definedName name="loudout" localSheetId="15" hidden="1" function="0" vbProcedure="0">#ref!</definedName>
    <definedName name="LS" localSheetId="15" hidden="0" function="0" vbProcedure="0">'[196]amberjack a32ream'!#ref!</definedName>
    <definedName name="LSA" localSheetId="15" hidden="0" function="0" vbProcedure="0">[213]!Calculate_Pipe</definedName>
    <definedName name="LSD" localSheetId="15" hidden="0" function="0" vbProcedure="0">'[144]job info sheet'!#ref!</definedName>
    <definedName name="LTP" localSheetId="15" hidden="0" function="0" vbProcedure="0">INDEX([111]DRAW!$D$14:$E$15,MATCH([112]AUTO_DHWS!$BB$7,[111]DRAW!$D$14:$D$15,0),2)</definedName>
    <definedName name="M" localSheetId="15" hidden="1" function="0" vbProcedure="0">#ref!</definedName>
    <definedName name="Macro1" localSheetId="15" hidden="0" function="0" vbProcedure="0">[18]!Macro1</definedName>
    <definedName name="Macro2" localSheetId="15" hidden="0" function="0" vbProcedure="0">[28]!Macro2</definedName>
    <definedName name="Macro22" localSheetId="15" hidden="0" function="0" vbProcedure="0">[28]!Macro22</definedName>
    <definedName name="Macro22_1" localSheetId="15" hidden="0" function="0" vbProcedure="0">DHWS!Macro22</definedName>
    <definedName name="Macro22_10" localSheetId="15" hidden="0" function="0" vbProcedure="0">DHWS!Macro22</definedName>
    <definedName name="Macro22_11" localSheetId="15" hidden="0" function="0" vbProcedure="0">DHWS!Macro22</definedName>
    <definedName name="Macro22_2" localSheetId="15" hidden="0" function="0" vbProcedure="0">DHWS!Macro22</definedName>
    <definedName name="Macro22_3" localSheetId="15" hidden="0" function="0" vbProcedure="0">DHWS!Macro22</definedName>
    <definedName name="Macro22_4" localSheetId="15" hidden="0" function="0" vbProcedure="0">DHWS!Macro22</definedName>
    <definedName name="Macro22_5" localSheetId="15" hidden="0" function="0" vbProcedure="0">DHWS!Macro22</definedName>
    <definedName name="Macro22_6" localSheetId="15" hidden="0" function="0" vbProcedure="0">DHWS!Macro22</definedName>
    <definedName name="Macro22_7" localSheetId="15" hidden="0" function="0" vbProcedure="0">DHWS!Macro22</definedName>
    <definedName name="Macro22_8" localSheetId="15" hidden="0" function="0" vbProcedure="0">DHWS!Macro22</definedName>
    <definedName name="Macro22_9" localSheetId="15" hidden="0" function="0" vbProcedure="0">DHWS!Macro22</definedName>
    <definedName name="Macro233" localSheetId="15" hidden="0" function="0" vbProcedure="0">[28]!Macro1</definedName>
    <definedName name="Macro2_1" localSheetId="15" hidden="0" function="0" vbProcedure="0">DHWS!Macro2</definedName>
    <definedName name="Macro2_10" localSheetId="15" hidden="0" function="0" vbProcedure="0">DHWS!Macro2</definedName>
    <definedName name="Macro2_11" localSheetId="15" hidden="0" function="0" vbProcedure="0">DHWS!Macro2</definedName>
    <definedName name="Macro2_2" localSheetId="15" hidden="0" function="0" vbProcedure="0">DHWS!Macro2</definedName>
    <definedName name="Macro2_3" localSheetId="15" hidden="0" function="0" vbProcedure="0">DHWS!Macro2</definedName>
    <definedName name="Macro2_4" localSheetId="15" hidden="0" function="0" vbProcedure="0">DHWS!Macro2</definedName>
    <definedName name="Macro2_5" localSheetId="15" hidden="0" function="0" vbProcedure="0">DHWS!Macro2</definedName>
    <definedName name="Macro2_6" localSheetId="15" hidden="0" function="0" vbProcedure="0">DHWS!Macro2</definedName>
    <definedName name="Macro2_7" localSheetId="15" hidden="0" function="0" vbProcedure="0">DHWS!Macro2</definedName>
    <definedName name="Macro2_8" localSheetId="15" hidden="0" function="0" vbProcedure="0">DHWS!Macro2</definedName>
    <definedName name="Macro2_9" localSheetId="15" hidden="0" function="0" vbProcedure="0">DHWS!Macro2</definedName>
    <definedName name="Macro3" localSheetId="15" hidden="0" function="0" vbProcedure="0">[28]!Macro3</definedName>
    <definedName name="Macro3_1" localSheetId="15" hidden="0" function="0" vbProcedure="0">DHWS!Macro3</definedName>
    <definedName name="Macro3_10" localSheetId="15" hidden="0" function="0" vbProcedure="0">DHWS!Macro3</definedName>
    <definedName name="Macro3_11" localSheetId="15" hidden="0" function="0" vbProcedure="0">DHWS!Macro3</definedName>
    <definedName name="Macro3_2" localSheetId="15" hidden="0" function="0" vbProcedure="0">DHWS!Macro3</definedName>
    <definedName name="Macro3_3" localSheetId="15" hidden="0" function="0" vbProcedure="0">DHWS!Macro3</definedName>
    <definedName name="Macro3_4" localSheetId="15" hidden="0" function="0" vbProcedure="0">DHWS!Macro3</definedName>
    <definedName name="Macro3_5" localSheetId="15" hidden="0" function="0" vbProcedure="0">DHWS!Macro3</definedName>
    <definedName name="Macro3_6" localSheetId="15" hidden="0" function="0" vbProcedure="0">DHWS!Macro3</definedName>
    <definedName name="Macro3_7" localSheetId="15" hidden="0" function="0" vbProcedure="0">DHWS!Macro3</definedName>
    <definedName name="Macro3_8" localSheetId="15" hidden="0" function="0" vbProcedure="0">DHWS!Macro3</definedName>
    <definedName name="Macro3_9" localSheetId="15" hidden="0" function="0" vbProcedure="0">DHWS!Macro3</definedName>
    <definedName name="Make_Up_Torque_Of_Weak_Link" localSheetId="15" hidden="0" function="0" vbProcedure="0">'[109]Liner Job Info'!$P$50</definedName>
    <definedName name="MaPSDensity" localSheetId="15" hidden="0" function="0" vbProcedure="0">'[94]SetUp Tab'!$G$25</definedName>
    <definedName name="MaPSDiameter" localSheetId="15" hidden="0" function="0" vbProcedure="0">'[94]SetUp Tab'!$G$23</definedName>
    <definedName name="MaPSFlowRate" localSheetId="15" hidden="0" function="0" vbProcedure="0">'[94]SetUp Tab'!$G$26</definedName>
    <definedName name="MaPSLength" localSheetId="15" hidden="0" function="0" vbProcedure="0">'[94]SetUp Tab'!$E$23</definedName>
    <definedName name="MaPSMass" localSheetId="15" hidden="0" function="0" vbProcedure="0">[94]Lists!$BJ$3</definedName>
    <definedName name="MaPSPressure" localSheetId="15" hidden="0" function="0" vbProcedure="0">'[94]SetUp Tab'!$G$24</definedName>
    <definedName name="MaPSTemp" localSheetId="15" hidden="0" function="0" vbProcedure="0">'[94]SetUp Tab'!$E$26</definedName>
    <definedName name="MaPSWeight" localSheetId="15" hidden="0" function="0" vbProcedure="0">'[94]SetUp Tab'!$E$24</definedName>
    <definedName name="marrupees" localSheetId="15" hidden="0" function="0" vbProcedure="0">'[152]Cash Expsense March-96'!$H$6</definedName>
    <definedName name="Material" localSheetId="15" hidden="0" function="0" vbProcedure="0">[109]DATA!$I$3:$I$22</definedName>
    <definedName name="Max._Deviation" localSheetId="15" hidden="0" function="0" vbProcedure="0">'[108]Pre-Job Info Sheet'!$B$36</definedName>
    <definedName name="MaxDev" localSheetId="15" hidden="0" function="0" vbProcedure="0">'[94]Job Technical Info'!$F$41</definedName>
    <definedName name="Max_Bump_psi" localSheetId="15" hidden="0" function="0" vbProcedure="0">'[109]Metric Conversions'!$B$59</definedName>
    <definedName name="Max_Bump_psiz" localSheetId="15" hidden="0" function="0" vbProcedure="0">'[109]Metric Conversions'!$C$59</definedName>
    <definedName name="Max_Test_Cmt_Setup" localSheetId="15" hidden="0" function="0" vbProcedure="0">'[109]Metric Conversions'!$B$62</definedName>
    <definedName name="Max_Test_Cmt_Setupz" localSheetId="15" hidden="0" function="0" vbProcedure="0">'[109]Metric Conversions'!$C$62</definedName>
    <definedName name="Max_Test_Seals_In" localSheetId="15" hidden="0" function="0" vbProcedure="0">'[109]Metric Conversions'!$B$61</definedName>
    <definedName name="Max_Test_Seals_Inz" localSheetId="15" hidden="0" function="0" vbProcedure="0">'[109]Metric Conversions'!$C$61</definedName>
    <definedName name="Max_test_seals_out" localSheetId="15" hidden="0" function="0" vbProcedure="0">'[109]Metric Conversions'!$B$60</definedName>
    <definedName name="Max_test_seals_outz" localSheetId="15" hidden="0" function="0" vbProcedure="0">'[109]Metric Conversions'!$C$60</definedName>
    <definedName name="Max_Turns" localSheetId="15" hidden="0" function="0" vbProcedure="0">'[109]Weight Calculations'!$T$36</definedName>
    <definedName name="MDData" localSheetId="15" hidden="0" function="0" vbProcedure="0">OFFSET([28]!MDForInclination,2,0,COUNT(#ref!),1)</definedName>
    <definedName name="MeteringTime" localSheetId="15" hidden="0" function="0" vbProcedure="0">[109]DATA!$BG$2:$BG$42</definedName>
    <definedName name="Min._Ten_Sett_Tool_Assy" localSheetId="15" hidden="0" function="0" vbProcedure="0">'[109]Weight Calculations'!$S$60</definedName>
    <definedName name="Min_DP_Tens" localSheetId="15" hidden="0" function="0" vbProcedure="0">'[109]Weight Calculations'!$W$61</definedName>
    <definedName name="Min_Ft_Release_RH" localSheetId="15" hidden="0" function="0" vbProcedure="0">'[109]Metric Conversions'!$B$39</definedName>
    <definedName name="Min_Ft_Release_RHz" localSheetId="15" hidden="0" function="0" vbProcedure="0">'[109]Metric Conversions'!$C$39</definedName>
    <definedName name="mobile" localSheetId="15" hidden="0" function="0" vbProcedure="0">'[126]Call Sheet'!$R$5</definedName>
    <definedName name="Module1.draw_productionfirst" localSheetId="15" hidden="0" function="0" vbProcedure="0">'[146]tally checklist'!module1.draw_productionfirst</definedName>
    <definedName name="Module1.draw_productionsecond" localSheetId="15" hidden="0" function="0" vbProcedure="0">'[146]tally checklist'!module1.draw_productionsecond</definedName>
    <definedName name="Module1.impdwg" localSheetId="15" hidden="0" function="0" vbProcedure="0">[28]!Module1.impdwg</definedName>
    <definedName name="Module1.impdwg_1" localSheetId="15" hidden="0" function="0" vbProcedure="0">DHWS!Module1.impdwg</definedName>
    <definedName name="Module1.impdwg_10" localSheetId="15" hidden="0" function="0" vbProcedure="0">DHWS!Module1.impdwg</definedName>
    <definedName name="Module1.impdwg_11" localSheetId="15" hidden="0" function="0" vbProcedure="0">DHWS!Module1.impdwg</definedName>
    <definedName name="Module1.impdwg_2" localSheetId="15" hidden="0" function="0" vbProcedure="0">DHWS!Module1.impdwg</definedName>
    <definedName name="Module1.impdwg_3" localSheetId="15" hidden="0" function="0" vbProcedure="0">DHWS!Module1.impdwg</definedName>
    <definedName name="Module1.impdwg_4" localSheetId="15" hidden="0" function="0" vbProcedure="0">DHWS!Module1.impdwg</definedName>
    <definedName name="Module1.impdwg_5" localSheetId="15" hidden="0" function="0" vbProcedure="0">DHWS!Module1.impdwg</definedName>
    <definedName name="Module1.impdwg_6" localSheetId="15" hidden="0" function="0" vbProcedure="0">DHWS!Module1.impdwg</definedName>
    <definedName name="Module1.impdwg_7" localSheetId="15" hidden="0" function="0" vbProcedure="0">DHWS!Module1.impdwg</definedName>
    <definedName name="Module1.impdwg_8" localSheetId="15" hidden="0" function="0" vbProcedure="0">DHWS!Module1.impdwg</definedName>
    <definedName name="Module1.impdwg_9" localSheetId="15" hidden="0" function="0" vbProcedure="0">DHWS!Module1.impdwg</definedName>
    <definedName name="Module4.drawblanks" localSheetId="15" hidden="0" function="0" vbProcedure="0">'[146]tally checklist'!module4.drawblanks</definedName>
    <definedName name="Module4.drawlinerfirst" localSheetId="15" hidden="0" function="0" vbProcedure="0">'[146]tally checklist'!module4.drawlinerfirst</definedName>
    <definedName name="Module4.drawlinersecond" localSheetId="15" hidden="0" function="0" vbProcedure="0">'[146]tally checklist'!module4.drawlinersecond</definedName>
    <definedName name="Module4.drawmiscellaneous" localSheetId="15" hidden="0" function="0" vbProcedure="0">'[146]tally checklist'!module4.drawmiscellaneous</definedName>
    <definedName name="Module4.drawproductionfirst" localSheetId="15" hidden="0" function="0" vbProcedure="0">'[146]tally checklist'!module4.drawproductionfirst</definedName>
    <definedName name="Module4.drawproductionsecond" localSheetId="15" hidden="0" function="0" vbProcedure="0">'[146]tally checklist'!module4.drawproductionsecond</definedName>
    <definedName name="Module4.drawquantum" localSheetId="15" hidden="0" function="0" vbProcedure="0">'[146]tally checklist'!module4.drawquantum</definedName>
    <definedName name="Module4.drawscreens" localSheetId="15" hidden="0" function="0" vbProcedure="0">'[146]tally checklist'!module4.drawscreens</definedName>
    <definedName name="Module4.drawshearsubs" localSheetId="15" hidden="0" function="0" vbProcedure="0">'[146]tally checklist'!module4.drawshearsubs</definedName>
    <definedName name="Module4.drawsump" localSheetId="15" hidden="0" function="0" vbProcedure="0">'[146]tally checklist'!module4.drawsump</definedName>
    <definedName name="Module4.textfive" localSheetId="15" hidden="0" function="0" vbProcedure="0">'[146]tally checklist'!module4.textfive</definedName>
    <definedName name="Module4.textfivehalf" localSheetId="15" hidden="0" function="0" vbProcedure="0">'[146]tally checklist'!module4.textfivehalf</definedName>
    <definedName name="Module4.textninefiveeightfourfirst" localSheetId="15" hidden="0" function="0" vbProcedure="0">'[146]tally checklist'!module4.textninefiveeightfourfirst</definedName>
    <definedName name="Module4.textninefiveeightfoursecond" localSheetId="15" hidden="0" function="0" vbProcedure="0">'[146]tally checklist'!module4.textninefiveeightfoursecond</definedName>
    <definedName name="Module4.textninefiveeightsixfirst" localSheetId="15" hidden="0" function="0" vbProcedure="0">'[146]tally checklist'!module4.textninefiveeightsixfirst</definedName>
    <definedName name="Module4.textninefiveeightsixsecond" localSheetId="15" hidden="0" function="0" vbProcedure="0">'[146]tally checklist'!module4.textninefiveeightsixsecond</definedName>
    <definedName name="Module4.textsevenfiveeightfour" localSheetId="15" hidden="0" function="0" vbProcedure="0">'[146]tally checklist'!module4.textsevenfiveeightfour</definedName>
    <definedName name="Module4.textsevenfiveeightthree" localSheetId="15" hidden="0" function="0" vbProcedure="0">'[146]tally checklist'!module4.textsevenfiveeightthree</definedName>
    <definedName name="Module4.textsevenfour" localSheetId="15" hidden="0" function="0" vbProcedure="0">'[146]tally checklist'!module4.textsevenfour</definedName>
    <definedName name="Module4.textseventhree" localSheetId="15" hidden="0" function="0" vbProcedure="0">'[146]tally checklist'!module4.textseventhree</definedName>
    <definedName name="Month" localSheetId="15" hidden="0" function="0" vbProcedure="0">[63]auf_screen!#ref!</definedName>
    <definedName name="MorningReport" localSheetId="15" hidden="0" function="0" vbProcedure="0">'[218]morning report'!#ref!</definedName>
    <definedName name="mr" localSheetId="15" hidden="1" function="0" vbProcedure="0">{#N/A,#N/A,FALSE,"Sheet1"}</definedName>
    <definedName name="Mudtype" localSheetId="15" hidden="0" function="0" vbProcedure="0">[109]DATA!$N$2:$N$18</definedName>
    <definedName name="Mudwt" localSheetId="15" hidden="0" function="0" vbProcedure="0">"Dialog2_Edit Box 5"</definedName>
    <definedName name="Mud_Type" localSheetId="15" hidden="0" function="0" vbProcedure="0">'[7]Drop-Down Items'!$D$4:$D$14</definedName>
    <definedName name="Mud_Wt" localSheetId="15" hidden="0" function="0" vbProcedure="0">'[130]Metric Conversions'!$B$66</definedName>
    <definedName name="Mud_Wtz" localSheetId="15" hidden="0" function="0" vbProcedure="0">'[109]Liner Job Info'!$D$31</definedName>
    <definedName name="MULE_SHOE_DEPTH" localSheetId="15" hidden="0" function="0" vbProcedure="0">'[113]#REF'!$F$182</definedName>
    <definedName name="MW" localSheetId="15" hidden="0" function="0" vbProcedure="0">#ref!,#ref!,#ref!,#ref!,#ref!</definedName>
    <definedName name="MWD" localSheetId="15" hidden="0" function="0" vbProcedure="0">[6]Sheet1!$F$10:$F$12</definedName>
    <definedName name="m_choke" localSheetId="15" hidden="0" function="0" vbProcedure="0">'[96]well test sheet'!#ref!</definedName>
    <definedName name="n" localSheetId="15" hidden="0" function="0" vbProcedure="0">'[146]tally checklist'!n</definedName>
    <definedName name="N2_Precharge" localSheetId="15" hidden="0" function="0" vbProcedure="0">'[108]Tester Valve Calcs'!$F$16</definedName>
    <definedName name="N2_Press_DH" localSheetId="15" hidden="0" function="0" vbProcedure="0">'[108]Tester Valve Calcs'!$F$29</definedName>
    <definedName name="N2_Stroke" localSheetId="15" hidden="0" function="0" vbProcedure="0">'[108]Tester Valve Calcs'!$M$18</definedName>
    <definedName name="N2_Temp_DH" localSheetId="15" hidden="0" function="0" vbProcedure="0">'[108]Tester Valve Calcs'!$F$22</definedName>
    <definedName name="N2_Temp_Surf" localSheetId="15" hidden="0" function="0" vbProcedure="0">'[108]Tester Valve Calcs'!$F$17</definedName>
    <definedName name="N2_Vol_DH" localSheetId="15" hidden="0" function="0" vbProcedure="0">'[108]Tester Valve Calcs'!$F$25</definedName>
    <definedName name="N2_Vol_Surf" localSheetId="15" hidden="0" function="0" vbProcedure="0">'[108]Tester Valve Calcs'!$F$14</definedName>
    <definedName name="nb" localSheetId="15" hidden="0" function="0" vbProcedure="0">'[134]井口装置示意图-4'!$E$1:$E$65536</definedName>
    <definedName name="netperf" localSheetId="15" hidden="0" function="0" vbProcedure="0">[5]WTR!$G$33</definedName>
    <definedName name="NET_PERFS" localSheetId="15" hidden="0" function="0" vbProcedure="0">'[113]#REF'!$F$20</definedName>
    <definedName name="NewData" localSheetId="15" hidden="0" function="0" vbProcedure="0">'[132]New Contract'!$A$1:$G$65536</definedName>
    <definedName name="NewDes" localSheetId="15" hidden="0" function="0" vbProcedure="0">'[132]New Contract'!$A$1:$A$65536</definedName>
    <definedName name="newrisk" localSheetId="15" hidden="0" function="0" vbProcedure="0">[125]Sheet2!$D$1:$D$3</definedName>
    <definedName name="NextTD" localSheetId="15" hidden="0" function="0" vbProcedure="0">'[153]Lookahd EA'!$E$1:$N$3</definedName>
    <definedName name="ng"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5" hidden="0" function="0" vbProcedure="0">'[7]#ref'!#ref!</definedName>
    <definedName name="No" localSheetId="15" hidden="0" function="0" vbProcedure="0">'[154]BPR LOG'!$A$1:$A$1048576</definedName>
    <definedName name="NOofTools" localSheetId="15" hidden="0" function="0" vbProcedure="0">[109]DATA!$BP$2:$BP$12</definedName>
    <definedName name="O" localSheetId="15" hidden="0" function="0" vbProcedure="0">'[155]Report Long(Esso)'!$E$4</definedName>
    <definedName name="odcasing" localSheetId="15" hidden="0" function="0" vbProcedure="0">[106]Data!$J$16</definedName>
    <definedName name="ODSizes" localSheetId="15" hidden="0" function="0" vbProcedure="0">[94]Lists!$AF$3:$AF$42</definedName>
    <definedName name="ODUnit" localSheetId="15" hidden="0" function="0" vbProcedure="0">'[94]Job Technical Info'!$D$24</definedName>
    <definedName name="odworkstring" localSheetId="15" hidden="0" function="0" vbProcedure="0">[106]Data!$W$18</definedName>
    <definedName name="office" localSheetId="15" hidden="0" function="0" vbProcedure="0">'[126]Call Sheet'!$AH$5</definedName>
    <definedName name="Offshore_Block" localSheetId="15" hidden="0" function="0" vbProcedure="0">'[108]TCP-BHA'!$A$9</definedName>
    <definedName name="ogr" localSheetId="15" hidden="0" function="0" vbProcedure="0">'[156]Test Data'!$T$8:$T$16,'[156]Test Data'!$T$18:$T$122,'[156]Test Data'!$T$132:$T$247</definedName>
    <definedName name="OHoleID" localSheetId="15" hidden="0" function="0" vbProcedure="0">'[94]Job Technical Info'!$B$40</definedName>
    <definedName name="OHoleLength" localSheetId="15" hidden="0" function="0" vbProcedure="0">'[94]Job Technical Info'!$D$40</definedName>
    <definedName name="OH_Dia" localSheetId="15" hidden="0" function="0" vbProcedure="0">'[109]Liner Job Info'!$Q$14</definedName>
    <definedName name="oilrate" localSheetId="15" hidden="0" function="0" vbProcedure="0">'[96]well test sheet'!#ref!</definedName>
    <definedName name="oil_cumm" localSheetId="15" hidden="0" function="0" vbProcedure="0">'[96]well test sheet'!#ref!</definedName>
    <definedName name="omdo"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5" hidden="0" function="0" vbProcedure="0">'[157]Initial Tally'!$G$4</definedName>
    <definedName name="onefive" localSheetId="15" hidden="0" function="0" vbProcedure="0">[56]data!#ref!</definedName>
    <definedName name="OP_1" localSheetId="15" hidden="0" function="0" vbProcedure="0">[158]Data!$F$1:$F$3</definedName>
    <definedName name="Overbalance" localSheetId="15" hidden="0" function="0" vbProcedure="0">'[108]Pre-Job Info Sheet'!$D$34</definedName>
    <definedName name="Overlap" localSheetId="15" hidden="0" function="0" vbProcedure="0">'[109]Metric Conversions'!$B$16</definedName>
    <definedName name="Overlapz" localSheetId="15" hidden="0" function="0" vbProcedure="0">'[109]Liner Job Info'!$R$14</definedName>
    <definedName name="Overlap_Volz" localSheetId="15" hidden="0" function="0" vbProcedure="0">'[109]Metric Conversions'!$C$84</definedName>
    <definedName name="P" localSheetId="15" hidden="1" function="0" vbProcedure="0">{#N/A,#N/A,FALSE,"Drlg Param Run 1-1";#N/A,#N/A,FALSE,"DDR (3)";#N/A,#N/A,FALSE,"BHA AT (1)";#N/A,#N/A,FALSE,"Downlinkbha";#N/A,#N/A,FALSE,"Job Status Report"}</definedName>
    <definedName name="PACKER" localSheetId="15" hidden="0" function="0" vbProcedure="0">INDEX([111]DRAW!$A$2:$B$13,MATCH([112]AUTO_DHWS!$AV$8,[111]DRAW!$A$2:$A$13,0),2)</definedName>
    <definedName name="PackerDepth" localSheetId="15" hidden="0" function="0" vbProcedure="0">'[79]casing talley'!#ref!</definedName>
    <definedName name="PACKER_2" localSheetId="15" hidden="0" function="0" vbProcedure="0">INDEX([111]DRAW!$D$13:$E$14,MATCH([112]AUTO_DHWS!$AV$12,[111]DRAW!$D$13:$D$14,0),2)</definedName>
    <definedName name="Packer_Rotation" localSheetId="15" hidden="0" function="0" vbProcedure="0">'[109]Liner Job Info'!$P$40</definedName>
    <definedName name="Packer_Set_In" localSheetId="15" hidden="0" function="0" vbProcedure="0">'[108]Pre-Job Info Sheet'!$D$22</definedName>
    <definedName name="PackOff" localSheetId="15" hidden="0" function="0" vbProcedure="0">[109]DATA!$AP$2:$AP$6</definedName>
    <definedName name="PackoffXDP1_Pist_Area" localSheetId="15" hidden="0" function="0" vbProcedure="0">'[109]Liner Job Info'!$AF$2</definedName>
    <definedName name="PackoffXDP2_Pist_Area" localSheetId="15" hidden="0" function="0" vbProcedure="0">'[109]Liner Job Info'!$AF$3</definedName>
    <definedName name="PackoffXDP3_Pist_Area" localSheetId="15" hidden="0" function="0" vbProcedure="0">'[109]Liner Job Info'!$AG$28</definedName>
    <definedName name="PackoffXDP4_Pist_Area" localSheetId="15" hidden="0" function="0" vbProcedure="0">'[109]Liner Job Info'!$AG$29</definedName>
    <definedName name="PackoffXDP5_Pist_Area" localSheetId="15" hidden="0" function="0" vbProcedure="0">'[109]Liner Job Info'!$AG$30</definedName>
    <definedName name="Packoff_Pist_Area" localSheetId="15" hidden="0" function="0" vbProcedure="0">'[109]Liner Job Info'!$AG$31</definedName>
    <definedName name="Packoff_Stinger_OD" localSheetId="15" hidden="0" function="0" vbProcedure="0">'[109]Liner Job Info'!$P$42</definedName>
    <definedName name="Para3" localSheetId="15" hidden="1" function="0" vbProcedure="0">{#N/A,#N/A,FALSE,"Drlg Param Run 1-1";#N/A,#N/A,FALSE,"DDR (3)";#N/A,#N/A,FALSE,"BHA AT (1)";#N/A,#N/A,FALSE,"Downlinkbha";#N/A,#N/A,FALSE,"Job Status Report"}</definedName>
    <definedName name="Parish" localSheetId="15" hidden="0" function="0" vbProcedure="0">'[108]TCP-BHA'!$C$9</definedName>
    <definedName name="Parish_County" localSheetId="15" hidden="0" function="0" vbProcedure="0">'[108]Pre-Job Info Sheet'!$D$9</definedName>
    <definedName name="PBTD" localSheetId="15" hidden="0" function="0" vbProcedure="0">'[79]casing talley'!#ref!</definedName>
    <definedName name="Pckr_Body_Bst" localSheetId="15" hidden="0" function="0" vbProcedure="0">'[109]Metric Conversions'!$B$52</definedName>
    <definedName name="Pckr_Body_Bstz" localSheetId="15" hidden="0" function="0" vbProcedure="0">'[109]Liner Job Info'!$P$32</definedName>
    <definedName name="Pckr_Body_Collz" localSheetId="15" hidden="0" function="0" vbProcedure="0">'[109]Liner Job Info'!$P$33</definedName>
    <definedName name="Pckr_Body_Tens" localSheetId="15" hidden="0" function="0" vbProcedure="0">'[109]Liner Job Info'!$P$34</definedName>
    <definedName name="Pckr_Seal_Surf_OD" localSheetId="15" hidden="0" function="0" vbProcedure="0">'[109]Liner Job Info'!$P$31</definedName>
    <definedName name="Pckr_Sett_Force" localSheetId="15" hidden="0" function="0" vbProcedure="0">'[109]Liner Job Info'!$P$39</definedName>
    <definedName name="PDHG_2" localSheetId="15" hidden="0" function="0" vbProcedure="0">INDEX([111]DRAW!$A$2:$B$13,MATCH([112]AUTO_DHWS!$AV$13,[111]DRAW!$A$2:$A$13,0),2)</definedName>
    <definedName name="PD_SOFTWARE" localSheetId="15" hidden="0" function="0" vbProcedure="0">[129]RSS!$J$148:$J$152</definedName>
    <definedName name="PD_STAB" localSheetId="15" hidden="0" function="0" vbProcedure="0">[129]RSS!$R$131:$R$160</definedName>
    <definedName name="PEIGHT_TOTAL" localSheetId="15" hidden="0" function="0" vbProcedure="0">[241]index!#ref!</definedName>
    <definedName name="Perf._Interval" localSheetId="15" hidden="0" function="0" vbProcedure="0">'[108]Pre-Job Info Sheet'!$B$17</definedName>
    <definedName name="Perf._Interval_2" localSheetId="15" hidden="0" function="0" vbProcedure="0">'[108]Pre-Job Info Sheet'!$B$18</definedName>
    <definedName name="perfbottom" localSheetId="15" hidden="0" function="0" vbProcedure="0">[5]WTR!$I$32</definedName>
    <definedName name="PerfDepth" localSheetId="15" hidden="0" function="0" vbProcedure="0">'[79]casing talley'!#ref!</definedName>
    <definedName name="perftop" localSheetId="15" hidden="0" function="0" vbProcedure="0">[5]WTR!$G$32</definedName>
    <definedName name="PERF_BOTTOM" localSheetId="15" hidden="0" function="0" vbProcedure="0">'[113]#REF'!$H$19</definedName>
    <definedName name="PERF_SLURRY" localSheetId="15" hidden="0" function="0" vbProcedure="0">'[113]#REF'!$H$198</definedName>
    <definedName name="PERF_TOP" localSheetId="15" hidden="0" function="0" vbProcedure="0">'[113]#REF'!$F$19</definedName>
    <definedName name="PERF_VOL" localSheetId="15" hidden="0" function="0" vbProcedure="0">'[113]#REF'!$J$12</definedName>
    <definedName name="perm" localSheetId="15" hidden="0" function="0" vbProcedure="0">[106]Data!$G$56</definedName>
    <definedName name="perm1" localSheetId="15" hidden="0" function="0" vbProcedure="0">[106]Data!$G$57</definedName>
    <definedName name="Personnel1" localSheetId="15" hidden="0" function="0" vbProcedure="0">[132]Data!$P$1:$P$65536</definedName>
    <definedName name="PFIVE_TOTAL" localSheetId="15" hidden="0" function="0" vbProcedure="0">[241]index!#ref!</definedName>
    <definedName name="PFOUR_TOTAL" localSheetId="15" hidden="0" function="0" vbProcedure="0">[241]index!#ref!</definedName>
    <definedName name="Phasing" localSheetId="15" hidden="0" function="0" vbProcedure="0">'[108]Pre-Job Info Sheet'!$B$23</definedName>
    <definedName name="Phone" localSheetId="15" hidden="0" function="0" vbProcedure="0">'[117]Well Installation Drawing'!$K$11</definedName>
    <definedName name="pick1_958x475_system" localSheetId="15" hidden="0" function="0" vbProcedure="0">'[146]tally checklist'!pick1_958x475_system</definedName>
    <definedName name="pick1_958x6_system" localSheetId="15" hidden="0" function="0" vbProcedure="0">'[146]tally checklist'!pick1_958x6_system</definedName>
    <definedName name="pick1_production" localSheetId="15" hidden="0" function="0" vbProcedure="0">'[146]tally checklist'!pick1_production</definedName>
    <definedName name="pick2_958x475_system" localSheetId="15" hidden="0" function="0" vbProcedure="0">'[146]tally checklist'!pick2_958x475_system</definedName>
    <definedName name="pick2_958x6_system" localSheetId="15" hidden="0" function="0" vbProcedure="0">'[146]tally checklist'!pick2_958x6_system</definedName>
    <definedName name="pick2_production" localSheetId="15" hidden="0" function="0" vbProcedure="0">'[146]tally checklist'!pick2_production</definedName>
    <definedName name="pick_512_system" localSheetId="15" hidden="0" function="0" vbProcedure="0">'[146]tally checklist'!pick_512_system</definedName>
    <definedName name="pick_5_system" localSheetId="15" hidden="0" function="0" vbProcedure="0">'[146]tally checklist'!pick_5_system</definedName>
    <definedName name="pick_758x314_system" localSheetId="15" hidden="0" function="0" vbProcedure="0">'[146]tally checklist'!pick_758x314_system</definedName>
    <definedName name="pick_758x4_system" localSheetId="15" hidden="0" function="0" vbProcedure="0">'[146]tally checklist'!pick_758x4_system</definedName>
    <definedName name="pick_7x314_system" localSheetId="15" hidden="0" function="0" vbProcedure="0">'[146]tally checklist'!pick_7x314_system</definedName>
    <definedName name="pick_7x4_system" localSheetId="15" hidden="0" function="0" vbProcedure="0">'[146]tally checklist'!pick_7x4_system</definedName>
    <definedName name="pick_blanks" localSheetId="15" hidden="0" function="0" vbProcedure="0">'[146]tally checklist'!pick_blanks</definedName>
    <definedName name="pick_liner" localSheetId="15" hidden="0" function="0" vbProcedure="0">'[146]tally checklist'!pick_liner</definedName>
    <definedName name="pick_liner2" localSheetId="15" hidden="0" function="0" vbProcedure="0">'[146]tally checklist'!pick_liner2</definedName>
    <definedName name="pick_miscellaneous" localSheetId="15" hidden="0" function="0" vbProcedure="0">'[146]tally checklist'!pick_miscellaneous</definedName>
    <definedName name="pick_quantum" localSheetId="15" hidden="0" function="0" vbProcedure="0">'[146]tally checklist'!pick_quantum</definedName>
    <definedName name="pick_screens" localSheetId="15" hidden="0" function="0" vbProcedure="0">'[146]tally checklist'!pick_screens</definedName>
    <definedName name="pick_shearsubs" localSheetId="15" hidden="0" function="0" vbProcedure="0">'[146]tally checklist'!pick_shearsubs</definedName>
    <definedName name="pick_sump" localSheetId="15" hidden="0" function="0" vbProcedure="0">'[146]tally checklist'!pick_sump</definedName>
    <definedName name="PistArea_Packoff_to_DP_OD" localSheetId="15" hidden="0" function="0" vbProcedure="0">[109]Test!$M$16</definedName>
    <definedName name="Piston_Disp" localSheetId="15" hidden="0" function="0" vbProcedure="0">'[108]Tester Valve Calcs'!$M$16</definedName>
    <definedName name="Pist_Area_Csg_ID_to_DP1_OD" localSheetId="15" hidden="0" function="0" vbProcedure="0">[109]Test!$U$26</definedName>
    <definedName name="Pist_Area_Csg_ID_to_DP2_OD" localSheetId="15" hidden="0" function="0" vbProcedure="0">[109]Test!$U$27</definedName>
    <definedName name="Pist_Area_Csg_ID_to_DP3_OD" localSheetId="15" hidden="0" function="0" vbProcedure="0">[109]Test!$U$28</definedName>
    <definedName name="Pist_Area_Csg_ID_to_DP4_OD" localSheetId="15" hidden="0" function="0" vbProcedure="0">[109]Test!$U$29</definedName>
    <definedName name="Pist_Area_Csg_ID_to_DP5_OD" localSheetId="15" hidden="0" function="0" vbProcedure="0">[109]Test!$U$30</definedName>
    <definedName name="Pist_Area_from_CsgID_to_Packoff_OD" localSheetId="15" hidden="0" function="0" vbProcedure="0">[109]Test!$M$14</definedName>
    <definedName name="Pist_Area_PackoffOD_DP2_OD" localSheetId="15" hidden="0" function="0" vbProcedure="0">[109]Test!$Y$27</definedName>
    <definedName name="Pist_Area_PackoffOD_DP4_OD" localSheetId="15" hidden="0" function="0" vbProcedure="0">[109]Test!$Y$29</definedName>
    <definedName name="Pist_Area_PackoffOD_DP5_OD" localSheetId="15" hidden="0" function="0" vbProcedure="0">[109]Test!$Y$30</definedName>
    <definedName name="Pist_Area_PackoffOD_to_DP1_OD" localSheetId="15" hidden="0" function="0" vbProcedure="0">[109]Test!$Y$26</definedName>
    <definedName name="Pist_Area_PackoffOD_to_DP3_OD" localSheetId="15" hidden="0" function="0" vbProcedure="0">[109]Test!$Y$28</definedName>
    <definedName name="plotm" localSheetId="15" hidden="0" function="0" vbProcedure="0">'[64]tool backload dt'!plotm</definedName>
    <definedName name="PlugMethod" localSheetId="15" hidden="0" function="0" vbProcedure="0">[109]DATA!$BI$2:$BI$6</definedName>
    <definedName name="Plugs" localSheetId="15" hidden="0" function="0" vbProcedure="0">[109]DATA!$AL$2:$AL$13</definedName>
    <definedName name="Plug_Bmp_Hngr_Ovr_Ld" localSheetId="15" hidden="0" function="0" vbProcedure="0">[109]Test!$M$25</definedName>
    <definedName name="Plug_Bmp_psi_wo_DP" localSheetId="15" hidden="0" function="0" vbProcedure="0">[109]Test!$M$23</definedName>
    <definedName name="Plug_Bmp_psi_w_DP" localSheetId="15" hidden="0" function="0" vbProcedure="0">[109]Test!$M$24</definedName>
    <definedName name="Plug_Press_Rating" localSheetId="15" hidden="0" function="0" vbProcedure="0">'[109]Metric Conversions'!$B$51</definedName>
    <definedName name="Plug_Press_Ratingz" localSheetId="15" hidden="0" function="0" vbProcedure="0">'[109]Liner Job Info'!$D$43</definedName>
    <definedName name="Plug_Temp_Rating" localSheetId="15" hidden="0" function="0" vbProcedure="0">'[109]Liner Job Info'!$D$44</definedName>
    <definedName name="PNINE_TOTAL" localSheetId="15" hidden="0" function="0" vbProcedure="0">[241]index!#ref!</definedName>
    <definedName name="po" localSheetId="15" hidden="0" function="0" vbProcedure="0">[159]Drillers!$O$20</definedName>
    <definedName name="Ported_Sub" localSheetId="15" hidden="0" function="0" vbProcedure="0">'[108]TCP-BHA'!$H$30</definedName>
    <definedName name="Pos_of_Ball" localSheetId="15" hidden="0" function="0" vbProcedure="0">'[108]Tester Valve Calcs'!$F$12</definedName>
    <definedName name="PoundConversion" localSheetId="15" hidden="0" function="0" vbProcedure="0">[94]Lists!$AD$4</definedName>
    <definedName name="POWERV_TO" localSheetId="15" hidden="0" function="0" vbProcedure="0">[129]RSS!$A$206</definedName>
    <definedName name="ppgsggcc" localSheetId="15" hidden="0" function="0" vbProcedure="0">'[109]Metric Conversions'!$B$65</definedName>
    <definedName name="pregpstim" localSheetId="15" hidden="0" function="0" vbProcedure="0">[5]WTR!$G$48</definedName>
    <definedName name="PREPACK_MIX_RATIO" localSheetId="15" hidden="0" function="0" vbProcedure="0">'[113]#REF'!$K$44</definedName>
    <definedName name="pressure1" localSheetId="15" hidden="0" function="0" vbProcedure="0">[106]Data!$C$2</definedName>
    <definedName name="pressure10" localSheetId="15" hidden="0" function="0" vbProcedure="0">[106]Data!$C$11</definedName>
    <definedName name="pressure2" localSheetId="15" hidden="0" function="0" vbProcedure="0">[106]Data!$C$3</definedName>
    <definedName name="pressure3" localSheetId="15" hidden="0" function="0" vbProcedure="0">[106]Data!$C$4</definedName>
    <definedName name="pressure4" localSheetId="15" hidden="0" function="0" vbProcedure="0">[106]Data!$C$5</definedName>
    <definedName name="pressure5" localSheetId="15" hidden="0" function="0" vbProcedure="0">[106]Data!$C$6</definedName>
    <definedName name="pressure6" localSheetId="15" hidden="0" function="0" vbProcedure="0">[106]Data!$C$7</definedName>
    <definedName name="pressure7" localSheetId="15" hidden="0" function="0" vbProcedure="0">[106]Data!$C$8</definedName>
    <definedName name="pressure8" localSheetId="15" hidden="0" function="0" vbProcedure="0">[106]Data!$C$9</definedName>
    <definedName name="pressure9" localSheetId="15" hidden="0" function="0" vbProcedure="0">[106]Data!$C$10</definedName>
    <definedName name="pressurea" localSheetId="15" hidden="0" function="0" vbProcedure="0">[106]Data!$D$2</definedName>
    <definedName name="pressureb" localSheetId="15" hidden="0" function="0" vbProcedure="0">[106]Data!$D$3</definedName>
    <definedName name="pressurec" localSheetId="15" hidden="0" function="0" vbProcedure="0">[106]Data!$D$4</definedName>
    <definedName name="pressured" localSheetId="15" hidden="0" function="0" vbProcedure="0">[106]Data!$D$5</definedName>
    <definedName name="pressuree" localSheetId="15" hidden="0" function="0" vbProcedure="0">[106]Data!$D$6</definedName>
    <definedName name="pressuref" localSheetId="15" hidden="0" function="0" vbProcedure="0">[106]Data!$D$7</definedName>
    <definedName name="pressureg" localSheetId="15" hidden="0" function="0" vbProcedure="0">[106]Data!$D$8</definedName>
    <definedName name="pressureh" localSheetId="15" hidden="0" function="0" vbProcedure="0">[106]Data!$D$9</definedName>
    <definedName name="pressurei" localSheetId="15" hidden="0" function="0" vbProcedure="0">[106]Data!$D$10</definedName>
    <definedName name="pressurej" localSheetId="15" hidden="0" function="0" vbProcedure="0">[106]Data!$D$11</definedName>
    <definedName name="Pressures" localSheetId="15" hidden="0" function="0" vbProcedure="0">'[116]Kill Sheet - Horizontal'!$W$27,'[116]Kill Sheet - Horizontal'!$W$31,'[116]Kill Sheet - Horizontal'!$W$32</definedName>
    <definedName name="pricelist" localSheetId="15" hidden="0" function="0" vbProcedure="0">[139]Pricelist!$A$8:$B$11</definedName>
    <definedName name="print" localSheetId="15" hidden="0" function="0" vbProcedure="0">'[160]2003 SSWE LINE ITEMS'!$A$1:$V$302</definedName>
    <definedName name="PRODPKR" localSheetId="15" hidden="0" function="0" vbProcedure="0">INDEX([161]PKR!$A$2:$B$15,MATCH([161]INPUT!$H$37,[161]PKR!$A$2:$A$15,0),2)</definedName>
    <definedName name="production" localSheetId="15" hidden="0" function="0" vbProcedure="0">[162]WTR!$L$6</definedName>
    <definedName name="Production_History_by_Well" localSheetId="15" hidden="0" function="0" vbProcedure="0">'[250]neb-wells'!#ref!</definedName>
    <definedName name="profitcntr1" localSheetId="15" hidden="0" function="0" vbProcedure="0">[132]Data!$I$1:$I$65536</definedName>
    <definedName name="Project" localSheetId="15" hidden="0" function="0" vbProcedure="0">'[94]Job Technical Info'!$G$12</definedName>
    <definedName name="ProppantName" localSheetId="15" hidden="0" function="0" vbProcedure="0">'[94]Installation Results #1'!$B$326</definedName>
    <definedName name="PSEVEN_TOTAL" localSheetId="15" hidden="0" function="0" vbProcedure="0">[241]index!#ref!</definedName>
    <definedName name="PSI" localSheetId="15" hidden="0" function="0" vbProcedure="0">'[78]tester valve calcs'!#ref!</definedName>
    <definedName name="psia_array" localSheetId="15" hidden="0" function="0" vbProcedure="0">{"HMR","HMR-GT","ZI Probe","Spartek","Omega SP"}</definedName>
    <definedName name="psibarkpa" localSheetId="15" hidden="0" function="0" vbProcedure="0">'[109]Metric Conversions'!$B$42</definedName>
    <definedName name="psig_array" localSheetId="15" hidden="0" function="0" vbProcedure="0">{"RPG-3","RPG-4"}</definedName>
    <definedName name="PSIX_TOTAL" localSheetId="15" hidden="0" function="0" vbProcedure="0">[241]index!#ref!</definedName>
    <definedName name="psl" localSheetId="15" hidden="0" function="0" vbProcedure="0">[56]data!#ref!</definedName>
    <definedName name="Pstn_Force_Actual" localSheetId="15" hidden="0" function="0" vbProcedure="0">'[109]Weight Calculations'!$H$26</definedName>
    <definedName name="PS_pricelist" localSheetId="15" hidden="0" function="0" vbProcedure="0">[139]Pricelist!$A$22:$B$35</definedName>
    <definedName name="ptdtr" localSheetId="15" hidden="0" function="0" vbProcedure="0">'[115]Max-Torq'!$P$71</definedName>
    <definedName name="PTHREE_TOTAL" localSheetId="15" hidden="0" function="0" vbProcedure="0">[241]index!#ref!</definedName>
    <definedName name="PTWO_TOTAL" localSheetId="15" hidden="0" function="0" vbProcedure="0">[241]index!#ref!</definedName>
    <definedName name="PU_Dogs" localSheetId="15" hidden="0" function="0" vbProcedure="0">'[109]Metric Conversions'!$B$25</definedName>
    <definedName name="PU_Dogsz" localSheetId="15" hidden="0" function="0" vbProcedure="0">'[109]Liner Job Info'!$P$47</definedName>
    <definedName name="PU_Packoffz" localSheetId="15" hidden="0" function="0" vbProcedure="0">'[109]Liner Job Info'!$P$48</definedName>
    <definedName name="pv" localSheetId="15" hidden="0" function="0" vbProcedure="0">'[7]Drop-Down Items'!$R$7:$R$9</definedName>
    <definedName name="q" localSheetId="15" hidden="0" function="0" vbProcedure="0">'[88]Report Long(Esso)'!$E$2</definedName>
    <definedName name="QPNum" localSheetId="15" hidden="0" function="0" vbProcedure="0">'[94]Job Technical Info'!$K$11</definedName>
    <definedName name="qqq" localSheetId="15" hidden="1" function="0" vbProcedure="0">{#N/A,#N/A,FALSE,"Drlg Param Run 1-1";#N/A,#N/A,FALSE,"DDR (3)";#N/A,#N/A,FALSE,"BHA AT (1)";#N/A,#N/A,FALSE,"Downlinkbha";#N/A,#N/A,FALSE,"Job Status Report"}</definedName>
    <definedName name="quantum" localSheetId="15" hidden="0" function="0" vbProcedure="0">'[146]tally checklist'!quantum</definedName>
    <definedName name="Range1" localSheetId="15" hidden="0" function="0" vbProcedure="0">OFFSET([257]sheet1!$e$5, 1, 0,[257]sheet1!$e$2,1)</definedName>
    <definedName name="rate" localSheetId="15" hidden="0" function="0" vbProcedure="0">[106]Data!$F$7</definedName>
    <definedName name="rate1" localSheetId="15" hidden="0" function="0" vbProcedure="0">[106]Data!$A$2</definedName>
    <definedName name="rate10" localSheetId="15" hidden="0" function="0" vbProcedure="0">[106]Data!$A$11</definedName>
    <definedName name="rate2" localSheetId="15" hidden="0" function="0" vbProcedure="0">[106]Data!$A$3</definedName>
    <definedName name="rate3" localSheetId="15" hidden="0" function="0" vbProcedure="0">[106]Data!$A$4</definedName>
    <definedName name="rate4" localSheetId="15" hidden="0" function="0" vbProcedure="0">[106]Data!$A$5</definedName>
    <definedName name="rate5" localSheetId="15" hidden="0" function="0" vbProcedure="0">[106]Data!$A$6</definedName>
    <definedName name="rate6" localSheetId="15" hidden="0" function="0" vbProcedure="0">[106]Data!$A$7</definedName>
    <definedName name="rate7" localSheetId="15" hidden="0" function="0" vbProcedure="0">[106]Data!$A$8</definedName>
    <definedName name="rate8" localSheetId="15" hidden="0" function="0" vbProcedure="0">[106]Data!$A$9</definedName>
    <definedName name="rate9" localSheetId="15" hidden="0" function="0" vbProcedure="0">[106]Data!$A$10</definedName>
    <definedName name="raw_tally_lower" localSheetId="15" hidden="0" function="0" vbProcedure="0">'[164]2B Raw Rig Tally'!$B$13:$D$501</definedName>
    <definedName name="raw_tally_upper" localSheetId="15" hidden="0" function="0" vbProcedure="0">'[164]2B Raw Rig Tally'!$F$13:$H$501</definedName>
    <definedName name="Reasons" localSheetId="15" hidden="0" function="0" vbProcedure="0">'[146]Title Page'!$O$2:$O$23</definedName>
    <definedName name="Region" localSheetId="15" hidden="0" function="0" vbProcedure="0">'[94]SetUp Tab'!$D$15</definedName>
    <definedName name="Regions" localSheetId="15" hidden="0" function="0" vbProcedure="0">[18]Criteria!$B$2:$B$11</definedName>
    <definedName name="Rem_DP1_Tens" localSheetId="15" hidden="0" function="0" vbProcedure="0">'[109]Weight Calculations'!$W$53</definedName>
    <definedName name="Rem_DP2_Tens" localSheetId="15" hidden="0" function="0" vbProcedure="0">'[109]Weight Calculations'!$W$54</definedName>
    <definedName name="Rem_DP3_Tens" localSheetId="15" hidden="0" function="0" vbProcedure="0">'[109]Weight Calculations'!$W$55</definedName>
    <definedName name="Rem_DP4_Tens" localSheetId="15" hidden="0" function="0" vbProcedure="0">'[109]Weight Calculations'!$W$59</definedName>
    <definedName name="Rem_DP5_Tens" localSheetId="15" hidden="0" function="0" vbProcedure="0">'[109]Weight Calculations'!$W$60</definedName>
    <definedName name="Rentalequipment" localSheetId="15" hidden="0" function="0" vbProcedure="0">[109]DATA!$R$2:$R$79</definedName>
    <definedName name="Rental_Tool_ID" localSheetId="15" hidden="0" function="0" vbProcedure="0">[109]DATA!$S$2:$S$79</definedName>
    <definedName name="RESE" localSheetId="15" hidden="0" function="0" vbProcedure="0">'[146]tally checklist'!rese</definedName>
    <definedName name="reservoir15" localSheetId="15" hidden="0" function="0" vbProcedure="0">'[73]geological prognosis'!#ref!</definedName>
    <definedName name="reservoir16" localSheetId="15" hidden="0" function="0" vbProcedure="0">'[73]geological prognosis'!#ref!</definedName>
    <definedName name="reservoir17" localSheetId="15" hidden="0" function="0" vbProcedure="0">'[73]geological prognosis'!#ref!</definedName>
    <definedName name="reservoir18" localSheetId="15" hidden="0" function="0" vbProcedure="0">'[73]geological prognosis'!#ref!</definedName>
    <definedName name="reservoir19" localSheetId="15" hidden="0" function="0" vbProcedure="0">'[73]geological prognosis'!#ref!</definedName>
    <definedName name="reservoir20" localSheetId="15" hidden="0" function="0" vbProcedure="0">'[73]geological prognosis'!#ref!</definedName>
    <definedName name="reservoir21" localSheetId="15" hidden="0" function="0" vbProcedure="0">'[73]geological prognosis'!#ref!</definedName>
    <definedName name="reservoir22" localSheetId="15" hidden="0" function="0" vbProcedure="0">'[73]geological prognosis'!#ref!</definedName>
    <definedName name="reservoir23" localSheetId="15" hidden="0" function="0" vbProcedure="0">'[73]geological prognosis'!#ref!</definedName>
    <definedName name="reservoir24" localSheetId="15" hidden="0" function="0" vbProcedure="0">'[73]geological prognosis'!#ref!</definedName>
    <definedName name="reservoir25" localSheetId="15" hidden="0" function="0" vbProcedure="0">'[73]geological prognosis'!#ref!</definedName>
    <definedName name="reservoir26" localSheetId="15" hidden="0" function="0" vbProcedure="0">'[73]geological prognosis'!#ref!</definedName>
    <definedName name="reservoir27" localSheetId="15" hidden="0" function="0" vbProcedure="0">'[73]geological prognosis'!#ref!</definedName>
    <definedName name="reservoir28" localSheetId="15" hidden="0" function="0" vbProcedure="0">'[73]geological prognosis'!#ref!</definedName>
    <definedName name="reservoir29" localSheetId="15" hidden="0" function="0" vbProcedure="0">'[73]geological prognosis'!#ref!</definedName>
    <definedName name="resrevoir09" localSheetId="15" hidden="0" function="0" vbProcedure="0">'[73]geological prognosis'!#ref!</definedName>
    <definedName name="resrevoir10" localSheetId="15" hidden="0" function="0" vbProcedure="0">'[73]geological prognosis'!#ref!</definedName>
    <definedName name="resrevoir12" localSheetId="15" hidden="0" function="0" vbProcedure="0">'[73]geological prognosis'!#ref!</definedName>
    <definedName name="resrevoir13" localSheetId="15" hidden="0" function="0" vbProcedure="0">'[73]geological prognosis'!#ref!</definedName>
    <definedName name="resrevoir14" localSheetId="15" hidden="0" function="0" vbProcedure="0">'[73]geological prognosis'!#ref!</definedName>
    <definedName name="ret" localSheetId="15" hidden="0" function="0" vbProcedure="0">[119]钻井日报表!$G$3</definedName>
    <definedName name="Rev_XX" localSheetId="15" hidden="0" function="0" vbProcedure="0">'[94]Job Technical Info'!$L$4</definedName>
    <definedName name="rhstretchz" localSheetId="15" hidden="0" function="0" vbProcedure="0">'[109]Metric Conversions'!$C$38</definedName>
    <definedName name="RH_SHEAR" localSheetId="15" hidden="0" function="0" vbProcedure="0">'[109]Weight Calculations'!$H$21</definedName>
    <definedName name="RH_SHEAR_LNGTH" localSheetId="15" hidden="0" function="0" vbProcedure="0">'[109]Metric Conversions'!$B$37</definedName>
    <definedName name="RH_SHEAR_LNGTHz" localSheetId="15" hidden="0" function="0" vbProcedure="0">'[109]Metric Conversions'!$C$37</definedName>
    <definedName name="Rig" localSheetId="15" hidden="0" function="0" vbProcedure="0">'[130]Liner Job Info'!$E$8</definedName>
    <definedName name="rigcontractor1" localSheetId="15" hidden="0" function="0" vbProcedure="0">[132]Data!$G$1:$G$65536</definedName>
    <definedName name="Rigname1" localSheetId="15" hidden="0" function="0" vbProcedure="0">[132]Data!$E$1:$E$65536</definedName>
    <definedName name="RigPh" localSheetId="15" hidden="0" function="0" vbProcedure="0">'[94]Job Technical Info'!$G$17</definedName>
    <definedName name="Rig_Name" localSheetId="15" hidden="0" function="0" vbProcedure="0">'[108]Pre-Job Info Sheet'!$D$11</definedName>
    <definedName name="Rig_Output" localSheetId="15" hidden="0" function="0" vbProcedure="0">'[109]Displacement Cal.'!$G$7</definedName>
    <definedName name="RI_LC_Z2_ANSWERS_SCPacker1" localSheetId="15" hidden="0" function="0" vbProcedure="0">'[165]LowerCompletions - Risk Index'!$G$56</definedName>
    <definedName name="RI_LC_Z3_ANSWERS_SCPacker1" localSheetId="15" hidden="0" function="0" vbProcedure="0">'[165]LowerCompletions - Risk Index'!$G$69</definedName>
    <definedName name="RI_LC_Z4_ANSWERS_SCPacker1" localSheetId="15" hidden="0" function="0" vbProcedure="0">'[165]LowerCompletions - Risk Index'!$G$82</definedName>
    <definedName name="RI_LC_Z5_ANSWERS_SCPacker1" localSheetId="15" hidden="0" function="0" vbProcedure="0">'[165]LowerCompletions - Risk Index'!$G$95</definedName>
    <definedName name="Rotation" localSheetId="15" hidden="0" function="0" vbProcedure="0">[109]DATA!$AK$2:$AK$10</definedName>
    <definedName name="Rpt_Average_Header1" localSheetId="15" hidden="0" function="0" vbProcedure="0">#ref!</definedName>
    <definedName name="Rpt_Average_Header2" localSheetId="15" hidden="0" function="0" vbProcedure="0">#ref!</definedName>
    <definedName name="Rpt_Comments" localSheetId="15" hidden="0" function="0" vbProcedure="0">#ref!</definedName>
    <definedName name="Rpt_Logo_Left" localSheetId="15" hidden="0" function="0" vbProcedure="0">#ref!</definedName>
    <definedName name="Rpt_Logo_Right" localSheetId="15" hidden="0" function="0" vbProcedure="0">#ref!</definedName>
    <definedName name="rrr" localSheetId="15" hidden="1" function="0" vbProcedure="0">{#N/A,#N/A,FALSE,"Sheet1"}</definedName>
    <definedName name="RSS_TO_COMPLETE" localSheetId="15" hidden="0" function="0" vbProcedure="0">[129]RSS!$K$197</definedName>
    <definedName name="rtb" localSheetId="15" hidden="0" function="0" vbProcedure="0">'[115]Max-Torq'!$P$61</definedName>
    <definedName name="Runningtool" localSheetId="15" hidden="0" function="0" vbProcedure="0">[109]DATA!$AO$2:$AO$8</definedName>
    <definedName name="Rupees" localSheetId="15" hidden="0" function="0" vbProcedure="0">'[141]Cash Expense March-96'!$H$6</definedName>
    <definedName name="R_Group_ID" localSheetId="15" hidden="0" function="0" vbProcedure="0">[109]DATA!$T$2:$T$79</definedName>
    <definedName name="S" localSheetId="15" hidden="0" function="0" vbProcedure="0">'[2]run sheet'!#ref!</definedName>
    <definedName name="Salesequipment" localSheetId="15" hidden="0" function="0" vbProcedure="0">[109]DATA!$O$2:$O$268</definedName>
    <definedName name="Salesman" localSheetId="15" hidden="0" function="0" vbProcedure="0">'[108]Pre-Job Info Sheet'!$B$7</definedName>
    <definedName name="Sales_Explosive_Type" localSheetId="15" hidden="0" function="0" vbProcedure="0">'[108]Pre-Job Info Sheet'!$B$24</definedName>
    <definedName name="Sales_Gun_Size" localSheetId="15" hidden="0" function="0" vbProcedure="0">'[108]Pre-Job Info Sheet'!$B$21</definedName>
    <definedName name="Sales_Lease" localSheetId="15" hidden="0" function="0" vbProcedure="0">'[108]Pre-Job Info Sheet'!$D$8</definedName>
    <definedName name="Sales_SPF" localSheetId="15" hidden="0" function="0" vbProcedure="0">'[108]Pre-Job Info Sheet'!$B$22</definedName>
    <definedName name="Sales_Ticket_Number" localSheetId="15" hidden="0" function="0" vbProcedure="0">'[30]Liner Job Info'!$E$11</definedName>
    <definedName name="Sales_Underbalance" localSheetId="15" hidden="0" function="0" vbProcedure="0">'[108]Pre-Job Info Sheet'!$D$35</definedName>
    <definedName name="Sales_Well_Name" localSheetId="15" hidden="0" function="0" vbProcedure="0">'[108]Pre-Job Info Sheet'!$D$6</definedName>
    <definedName name="salinity" localSheetId="15" hidden="0" function="0" vbProcedure="0">'[96]well test sheet'!#ref!</definedName>
    <definedName name="SANDOUT_PRESSURE" localSheetId="15" hidden="0" function="0" vbProcedure="0">'[113]#REF'!$I$107</definedName>
    <definedName name="SAND_ABOVE_PERFS_PREPACK" localSheetId="15" hidden="0" function="0" vbProcedure="0">'[113]#REF'!$F$175</definedName>
    <definedName name="SAND_DIVERTER" localSheetId="15" hidden="0" function="0" vbProcedure="0">'[113]#REF'!$F$56</definedName>
    <definedName name="SAND_GP" localSheetId="15" hidden="0" function="0" vbProcedure="0">'[113]#REF'!$F$64</definedName>
    <definedName name="SAND_IN_CAS_BLNK" localSheetId="15" hidden="0" function="0" vbProcedure="0">'[7]#ref'!#ref!</definedName>
    <definedName name="SAND_IN_CAS_EXT" localSheetId="15" hidden="0" function="0" vbProcedure="0">'[7]#ref'!#ref!</definedName>
    <definedName name="SAND_IN_CAS_PREPACK" localSheetId="15" hidden="0" function="0" vbProcedure="0">'[113]#REF'!$F$81</definedName>
    <definedName name="SAND_IN_CAS_SCR" localSheetId="15" hidden="0" function="0" vbProcedure="0">'[7]#ref'!#ref!</definedName>
    <definedName name="SAND_IN_PERFS" localSheetId="15" hidden="0" function="0" vbProcedure="0">'[113]#REF'!$I$185</definedName>
    <definedName name="SAND_IN_PERFS_PP" localSheetId="15" hidden="0" function="0" vbProcedure="0">'[113]#REF'!$F$82</definedName>
    <definedName name="SAND_PASS_XO_PORT" localSheetId="15" hidden="0" function="0" vbProcedure="0">'[113]#REF'!$E$195</definedName>
    <definedName name="SAND_PERMEABILITY" localSheetId="15" hidden="0" function="0" vbProcedure="0">'[113]#REF'!$I$105</definedName>
    <definedName name="SAND_PLACED_GP" localSheetId="15" hidden="0" function="0" vbProcedure="0">'[113]#REF'!$F$95</definedName>
    <definedName name="SAND_PREPACK" localSheetId="15" hidden="0" function="0" vbProcedure="0">'[113]#REF'!$F$44</definedName>
    <definedName name="SAND_PUMPED_GP" localSheetId="15" hidden="0" function="0" vbProcedure="0">'[113]#REF'!$F$92</definedName>
    <definedName name="SAND_PUMPED_PREPACK" localSheetId="15" hidden="0" function="0" vbProcedure="0">'[113]#REF'!$F$78</definedName>
    <definedName name="SAND_REVOUT_GP" localSheetId="15" hidden="0" function="0" vbProcedure="0">'[113]#REF'!$F$93</definedName>
    <definedName name="SAND_REVOUT_PREPACK" localSheetId="15" hidden="0" function="0" vbProcedure="0">'[113]#REF'!$F$79</definedName>
    <definedName name="Save_Document" localSheetId="15" hidden="0" function="0" vbProcedure="0">[28]!Save_Document</definedName>
    <definedName name="Save_Document_1" localSheetId="15" hidden="0" function="0" vbProcedure="0">DHWS!Save_Document</definedName>
    <definedName name="Save_Document_10" localSheetId="15" hidden="0" function="0" vbProcedure="0">DHWS!Save_Document</definedName>
    <definedName name="Save_Document_11" localSheetId="15" hidden="0" function="0" vbProcedure="0">DHWS!Save_Document</definedName>
    <definedName name="Save_Document_2" localSheetId="15" hidden="0" function="0" vbProcedure="0">DHWS!Save_Document</definedName>
    <definedName name="Save_Document_3" localSheetId="15" hidden="0" function="0" vbProcedure="0">DHWS!Save_Document</definedName>
    <definedName name="Save_Document_4" localSheetId="15" hidden="0" function="0" vbProcedure="0">DHWS!Save_Document</definedName>
    <definedName name="Save_Document_5" localSheetId="15" hidden="0" function="0" vbProcedure="0">DHWS!Save_Document</definedName>
    <definedName name="Save_Document_6" localSheetId="15" hidden="0" function="0" vbProcedure="0">DHWS!Save_Document</definedName>
    <definedName name="Save_Document_7" localSheetId="15" hidden="0" function="0" vbProcedure="0">DHWS!Save_Document</definedName>
    <definedName name="Save_Document_8" localSheetId="15" hidden="0" function="0" vbProcedure="0">DHWS!Save_Document</definedName>
    <definedName name="Save_Document_9" localSheetId="15" hidden="0" function="0" vbProcedure="0">DHWS!Save_Document</definedName>
    <definedName name="SCB" localSheetId="15" hidden="0" function="0" vbProcedure="0">[129]RSS!$B$136:$B$144</definedName>
    <definedName name="Schemati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5" hidden="0" function="0" vbProcedure="0">'[113]#REF'!$H$14</definedName>
    <definedName name="screenidlist" localSheetId="15" hidden="0" function="0" vbProcedure="0">[106]Data!$E$79:$F$127</definedName>
    <definedName name="screenlength" localSheetId="15" hidden="0" function="0" vbProcedure="0">'[113]#REF'!$J$14</definedName>
    <definedName name="screenod" localSheetId="15" hidden="0" function="0" vbProcedure="0">'[113]#REF'!$F$14</definedName>
    <definedName name="screentype" localSheetId="15" hidden="0" function="0" vbProcedure="0">'[113]#REF'!$M$14</definedName>
    <definedName name="SCREEN_LENGTH" localSheetId="15" hidden="0" function="0" vbProcedure="0">'[113]#REF'!$J$13</definedName>
    <definedName name="SCREEN_OD" localSheetId="15" hidden="0" function="0" vbProcedure="0">'[113]#REF'!$F$14</definedName>
    <definedName name="sd" localSheetId="15" hidden="0" function="0" vbProcedure="0">null</definedName>
    <definedName name="se" localSheetId="15" hidden="0" function="0" vbProcedure="0">'[270]calculo de gas total'!#ref!</definedName>
    <definedName name="SeatID" localSheetId="15" hidden="0" function="0" vbProcedure="0">[109]DATA!$BC$2:$BC$6</definedName>
    <definedName name="SeatNumber" localSheetId="15" hidden="0" function="0" vbProcedure="0">[109]DATA!$BD$2:$BD$7</definedName>
    <definedName name="SeatShear" localSheetId="15" hidden="0" function="0" vbProcedure="0">[109]DATA!$BE$2:$BE$4</definedName>
    <definedName name="SeatType" localSheetId="15" hidden="0" function="0" vbProcedure="0">[109]DATA!$BB$2:$BB$4</definedName>
    <definedName name="sep_press" localSheetId="15" hidden="0" function="0" vbProcedure="0">'[96]well test sheet'!#ref!</definedName>
    <definedName name="sep_temp" localSheetId="15" hidden="0" function="0" vbProcedure="0">'[96]well test sheet'!#ref!</definedName>
    <definedName name="serialselect1" localSheetId="15" hidden="0" function="0" vbProcedure="0">[28]!serialselect1</definedName>
    <definedName name="serialselect2" localSheetId="15" hidden="0" function="0" vbProcedure="0">[28]!serialselect2</definedName>
    <definedName name="serialselect3" localSheetId="15" hidden="0" function="0" vbProcedure="0">[28]!serialselect3</definedName>
    <definedName name="serialselect4" localSheetId="15" hidden="0" function="0" vbProcedure="0">[28]!serialselect4</definedName>
    <definedName name="ServiceCenter" localSheetId="15" hidden="0" function="0" vbProcedure="0">'[117]Well Installation Drawing'!$L$13</definedName>
    <definedName name="SETTLEMENT_RATE" localSheetId="15" hidden="0" function="0" vbProcedure="0">'[113]#REF'!$I$120</definedName>
    <definedName name="Sett_Tool_Tens" localSheetId="15" hidden="0" function="0" vbProcedure="0">'[109]Liner Job Info'!$P$44</definedName>
    <definedName name="Shear_HR_Mech_Release" localSheetId="15" hidden="0" function="0" vbProcedure="0">'[109]Liner Job Info'!$P$49</definedName>
    <definedName name="SHER" localSheetId="15" hidden="0" function="0" vbProcedure="0">'[146]tally checklist'!sher</definedName>
    <definedName name="shippedvia" localSheetId="15" hidden="0" function="0" vbProcedure="0">'[33]data '!#ref!</definedName>
    <definedName name="shit" localSheetId="15" hidden="1" function="0" vbProcedure="0">{#N/A,#N/A,FALSE,"Sheet1"}</definedName>
    <definedName name="SHO" localSheetId="15" hidden="0" function="0" vbProcedure="0">[119]钻井日报表!$G$3</definedName>
    <definedName name="ShoeTrack_Vol" localSheetId="15" hidden="0" function="0" vbProcedure="0">'[109]Metric Conversions'!$B$76</definedName>
    <definedName name="ShoeTrack_Volz" localSheetId="15" hidden="0" function="0" vbProcedure="0">'[109]Metric Conversions'!$C$76</definedName>
    <definedName name="Shoe_Track_Length" localSheetId="15" hidden="0" function="0" vbProcedure="0">'[109]Metric Conversions'!$B$19</definedName>
    <definedName name="Shoe_Track_Lengthz" localSheetId="15" hidden="0" function="0" vbProcedure="0">'[109]Liner Job Info'!$D$19</definedName>
    <definedName name="Show_1" localSheetId="15" hidden="0" function="0" vbProcedure="0">[44]!Show_1</definedName>
    <definedName name="Show_1_1" localSheetId="15" hidden="0" function="0" vbProcedure="0">[28]!Show_1</definedName>
    <definedName name="Show_1_10" localSheetId="15" hidden="0" function="0" vbProcedure="0">[28]!Show_1</definedName>
    <definedName name="Show_1_11" localSheetId="15" hidden="0" function="0" vbProcedure="0">[28]!Show_1</definedName>
    <definedName name="Show_1_2" localSheetId="15" hidden="0" function="0" vbProcedure="0">[28]!Show_1</definedName>
    <definedName name="Show_1_3" localSheetId="15" hidden="0" function="0" vbProcedure="0">[28]!Show_1</definedName>
    <definedName name="Show_1_4" localSheetId="15" hidden="0" function="0" vbProcedure="0">[28]!Show_1</definedName>
    <definedName name="Show_1_5" localSheetId="15" hidden="0" function="0" vbProcedure="0">[28]!Show_1</definedName>
    <definedName name="Show_1_6" localSheetId="15" hidden="0" function="0" vbProcedure="0">[28]!Show_1</definedName>
    <definedName name="Show_1_7" localSheetId="15" hidden="0" function="0" vbProcedure="0">[28]!Show_1</definedName>
    <definedName name="Show_1_8" localSheetId="15" hidden="0" function="0" vbProcedure="0">[28]!Show_1</definedName>
    <definedName name="Show_1_9" localSheetId="15" hidden="0" function="0" vbProcedure="0">[28]!Show_1</definedName>
    <definedName name="Show_2" localSheetId="15" hidden="0" function="0" vbProcedure="0">[44]!Show_2</definedName>
    <definedName name="Show_2_1" localSheetId="15" hidden="0" function="0" vbProcedure="0">[28]!Show_2</definedName>
    <definedName name="Show_2_10" localSheetId="15" hidden="0" function="0" vbProcedure="0">[28]!Show_2</definedName>
    <definedName name="Show_2_11" localSheetId="15" hidden="0" function="0" vbProcedure="0">[28]!Show_2</definedName>
    <definedName name="Show_2_2" localSheetId="15" hidden="0" function="0" vbProcedure="0">[28]!Show_2</definedName>
    <definedName name="Show_2_3" localSheetId="15" hidden="0" function="0" vbProcedure="0">[28]!Show_2</definedName>
    <definedName name="Show_2_4" localSheetId="15" hidden="0" function="0" vbProcedure="0">[28]!Show_2</definedName>
    <definedName name="Show_2_5" localSheetId="15" hidden="0" function="0" vbProcedure="0">[28]!Show_2</definedName>
    <definedName name="Show_2_6" localSheetId="15" hidden="0" function="0" vbProcedure="0">[28]!Show_2</definedName>
    <definedName name="Show_2_7" localSheetId="15" hidden="0" function="0" vbProcedure="0">[28]!Show_2</definedName>
    <definedName name="Show_2_8" localSheetId="15" hidden="0" function="0" vbProcedure="0">[28]!Show_2</definedName>
    <definedName name="Show_2_9" localSheetId="15" hidden="0" function="0" vbProcedure="0">[28]!Show_2</definedName>
    <definedName name="Size" localSheetId="15" hidden="0" function="0" vbProcedure="0">#ref!</definedName>
    <definedName name="SJT_DEPTH" localSheetId="15" hidden="0" function="0" vbProcedure="0">'[113]#REF'!$F$22</definedName>
    <definedName name="SJ_DEPTH" localSheetId="15" hidden="0" function="0" vbProcedure="0">'[113]#REF'!$F$22</definedName>
    <definedName name="SL" localSheetId="15" hidden="0" function="0" vbProcedure="0">[149]BHA!$C$3</definedName>
    <definedName name="SleeveLength" localSheetId="15" hidden="0" function="0" vbProcedure="0">[109]DATA!$AV$2:$AV$4</definedName>
    <definedName name="SLURRY_DENSITY" localSheetId="15" hidden="0" function="0" vbProcedure="0">'[113]#REF'!$F$70</definedName>
    <definedName name="SLURRY_VOL_PREPACK" localSheetId="15" hidden="0" function="0" vbProcedure="0">'[113]#REF'!$F$48</definedName>
    <definedName name="soldto" localSheetId="15" hidden="0" function="0" vbProcedure="0">'[126]Call Sheet'!$AL$3</definedName>
    <definedName name="sort" localSheetId="15" hidden="1" function="0" vbProcedure="0">[166]Sheet1!$A$181:$H$210</definedName>
    <definedName name="SORT_AREA" localSheetId="15" hidden="0" function="0" vbProcedure="0">'[167]DI-ESTI'!$A$8:$R$489</definedName>
    <definedName name="Spacedout" localSheetId="15" hidden="1" function="0" vbProcedure="0">{#N/A,#N/A,FALSE,"Drlg Param Run 1-1";#N/A,#N/A,FALSE,"DDR (3)";#N/A,#N/A,FALSE,"BHA AT (1)";#N/A,#N/A,FALSE,"Downlinkbha";#N/A,#N/A,FALSE,"Job Status Report"}</definedName>
    <definedName name="SpacerType" localSheetId="15" hidden="0" function="0" vbProcedure="0">[109]DATA!$BK$2:$BK$7</definedName>
    <definedName name="Spiral_Type" localSheetId="15" hidden="0" function="0" vbProcedure="0">[109]DATA!$BM$2:$BM$5</definedName>
    <definedName name="ssdsd" localSheetId="15" hidden="0" function="0" vbProcedure="0">'[146]tally checklist'!ssdsd</definedName>
    <definedName name="SSID" localSheetId="15" hidden="0" function="0" vbProcedure="0">'[109]Liner Job Info'!$O$6</definedName>
    <definedName name="sss" localSheetId="15" hidden="1" function="0" vbProcedure="0">{#N/A,#N/A,FALSE,"Drlg Param Run 1-1";#N/A,#N/A,FALSE,"DDR (3)";#N/A,#N/A,FALSE,"BHA AT (1)";#N/A,#N/A,FALSE,"Downlinkbha";#N/A,#N/A,FALSE,"Job Status Report"}</definedName>
    <definedName name="stages" localSheetId="15" hidden="0" function="0" vbProcedure="0">[5]WTR!$G$52</definedName>
    <definedName name="Stage_Number" localSheetId="15" hidden="0" function="0" vbProcedure="0">'[108]Pre-Job Info Sheet'!$B$15</definedName>
    <definedName name="Start_Here" localSheetId="15" hidden="0" function="0" vbProcedure="0">'[168]9.625 TCP String'!$B$10</definedName>
    <definedName name="state" localSheetId="15" hidden="0" function="0" vbProcedure="0">'[40]CPS Call Sheet'!$AC$7</definedName>
    <definedName name="status" localSheetId="15" hidden="0" function="0" vbProcedure="0">'[154]BPR LOG'!$H$1:$H$1048576</definedName>
    <definedName name="Stretch_DP1_Lnr_Wt" localSheetId="15" hidden="0" function="0" vbProcedure="0">'[109]Metric Conversions'!$B$30</definedName>
    <definedName name="Stretch_DP1_Lnr_Wtz" localSheetId="15" hidden="0" function="0" vbProcedure="0">'[109]Metric Conversions'!$C$30</definedName>
    <definedName name="Stretch_DP2_Lnr_Wt" localSheetId="15" hidden="0" function="0" vbProcedure="0">'[109]Metric Conversions'!$B$31</definedName>
    <definedName name="Stretch_DP2_Lnr_Wtz" localSheetId="15" hidden="0" function="0" vbProcedure="0">'[109]Metric Conversions'!$C$31</definedName>
    <definedName name="Stretch_DP3_Lnr_Wt" localSheetId="15" hidden="0" function="0" vbProcedure="0">'[109]Metric Conversions'!$B$32</definedName>
    <definedName name="Stretch_DP3_Lnr_Wtz" localSheetId="15" hidden="0" function="0" vbProcedure="0">'[109]Metric Conversions'!$C$32</definedName>
    <definedName name="Stretch_DP4_Lnr_Wt" localSheetId="15" hidden="0" function="0" vbProcedure="0">'[109]Metric Conversions'!$B$33</definedName>
    <definedName name="Stretch_DP4_Lnr_Wtz" localSheetId="15" hidden="0" function="0" vbProcedure="0">'[109]Metric Conversions'!$C$33</definedName>
    <definedName name="Stretch_DP5_Lnr_Wt" localSheetId="15" hidden="0" function="0" vbProcedure="0">'[109]Metric Conversions'!$B$34</definedName>
    <definedName name="Stretch_DP5_Lnr_Wtz" localSheetId="15" hidden="0" function="0" vbProcedure="0">'[109]Metric Conversions'!$C$34</definedName>
    <definedName name="Stretch_TTL_Lnr_Wt" localSheetId="15" hidden="0" function="0" vbProcedure="0">'[109]Metric Conversions'!$B$36</definedName>
    <definedName name="Stretch_TTL_Lnr_Wtz" localSheetId="15" hidden="0" function="0" vbProcedure="0">'[109]Metric Conversions'!$C$36</definedName>
    <definedName name="SubSeaTVD_Column" localSheetId="15" hidden="0" function="0" vbProcedure="0">null</definedName>
    <definedName name="SubSeaTVD_Unit" localSheetId="15" hidden="0" function="0" vbProcedure="0">null</definedName>
    <definedName name="SUMP_DEPTH" localSheetId="15" hidden="0" function="0" vbProcedure="0">'[113]#REF'!$F$23</definedName>
    <definedName name="Surfaceequipment" localSheetId="15" hidden="0" function="0" vbProcedure="0">[109]DATA!$AQ$2:$AQ$11</definedName>
    <definedName name="surfacefracpressure" localSheetId="15" hidden="0" function="0" vbProcedure="0">[106]Data!$F$4</definedName>
    <definedName name="Surf_Equip_Tens" localSheetId="15" hidden="0" function="0" vbProcedure="0">'[109]Liner Job Info'!$P$46</definedName>
    <definedName name="Svy_Print_Area" localSheetId="15" hidden="0" function="0" vbProcedure="0">'[168]9.625 TCP String'!$B$12:$I$3772</definedName>
    <definedName name="SWELL_PKR" localSheetId="15" hidden="0" function="0" vbProcedure="0">INDEX([111]PKR!$F$2:$G$10,MATCH([111]PKR!$H$1,[111]PKR!$F$2:$F$10,0),2)</definedName>
    <definedName name="Tally" localSheetId="15" hidden="0" function="0" vbProcedure="0">[169]Tally!$A$5:$C$1004</definedName>
    <definedName name="Tally_2" localSheetId="15" hidden="0" function="0" vbProcedure="0">[169]Tally!$E$5:$G$1004</definedName>
    <definedName name="Tally_3" localSheetId="15" hidden="0" function="0" vbProcedure="0">[169]Tally!$I$5:$K$1004</definedName>
    <definedName name="Taper_String_Grade" localSheetId="15" hidden="0" function="0" vbProcedure="0">'[108]Pre-Job Info Sheet'!$D$31</definedName>
    <definedName name="Taper_String_Size" localSheetId="15" hidden="0" function="0" vbProcedure="0">'[108]Pre-Job Info Sheet'!$D$29</definedName>
    <definedName name="Taper_String_Type" localSheetId="15" hidden="0" function="0" vbProcedure="0">'[108]Pre-Job Info Sheet'!$D$28</definedName>
    <definedName name="Taper_String_Wt._Ft." localSheetId="15" hidden="0" function="0" vbProcedure="0">'[108]Pre-Job Info Sheet'!$D$30</definedName>
    <definedName name="targe"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5" hidden="0" function="0" vbProcedure="0">#ref!,#ref!</definedName>
    <definedName name="TbgDrift1" localSheetId="15" hidden="0" function="0" vbProcedure="0">'[94]Job Technical Info'!$G$35</definedName>
    <definedName name="TbgDrift2" localSheetId="15" hidden="0" function="0" vbProcedure="0">'[94]Job Technical Info'!$G$36</definedName>
    <definedName name="TbgDrift3" localSheetId="15" hidden="0" function="0" vbProcedure="0">'[94]Job Technical Info'!$G$37</definedName>
    <definedName name="TbgDrift4" localSheetId="15" hidden="0" function="0" vbProcedure="0">'[94]Job Technical Info'!$G$38</definedName>
    <definedName name="TbgGrade" localSheetId="15" hidden="0" function="0" vbProcedure="0">[170]MUT!$O$3:$O$4</definedName>
    <definedName name="TbgGrd1" localSheetId="15" hidden="0" function="0" vbProcedure="0">'[94]Job Technical Info'!$H$35</definedName>
    <definedName name="TbgGrd2" localSheetId="15" hidden="0" function="0" vbProcedure="0">'[94]Job Technical Info'!$H$36</definedName>
    <definedName name="TbgGrd3" localSheetId="15" hidden="0" function="0" vbProcedure="0">'[94]Job Technical Info'!$H$37</definedName>
    <definedName name="TbgGrd4" localSheetId="15" hidden="0" function="0" vbProcedure="0">'[94]Job Technical Info'!$H$38</definedName>
    <definedName name="TbgID1" localSheetId="15" hidden="0" function="0" vbProcedure="0">'[94]Job Technical Info'!$F$35</definedName>
    <definedName name="TbgID2" localSheetId="15" hidden="0" function="0" vbProcedure="0">'[94]Job Technical Info'!$F$36</definedName>
    <definedName name="TbgID3" localSheetId="15" hidden="0" function="0" vbProcedure="0">'[94]Job Technical Info'!$F$37</definedName>
    <definedName name="TbgID4" localSheetId="15" hidden="0" function="0" vbProcedure="0">'[94]Job Technical Info'!$F$38</definedName>
    <definedName name="TbgSz1" localSheetId="15" hidden="0" function="0" vbProcedure="0">'[94]Job Technical Info'!$D$35</definedName>
    <definedName name="TbgSz2" localSheetId="15" hidden="0" function="0" vbProcedure="0">'[94]Job Technical Info'!$D$36</definedName>
    <definedName name="TbgSz3" localSheetId="15" hidden="0" function="0" vbProcedure="0">'[94]Job Technical Info'!$D$37</definedName>
    <definedName name="TbgSz4" localSheetId="15" hidden="0" function="0" vbProcedure="0">'[94]Job Technical Info'!$D$38</definedName>
    <definedName name="TbgThd1" localSheetId="15" hidden="0" function="0" vbProcedure="0">'[94]Job Technical Info'!$J$35</definedName>
    <definedName name="TbgThd2" localSheetId="15" hidden="0" function="0" vbProcedure="0">'[94]Job Technical Info'!$J$36</definedName>
    <definedName name="TbgThd3" localSheetId="15" hidden="0" function="0" vbProcedure="0">'[94]Job Technical Info'!$J$37</definedName>
    <definedName name="TbgThd4" localSheetId="15" hidden="0" function="0" vbProcedure="0">'[94]Job Technical Info'!$J$38</definedName>
    <definedName name="TbgWt1" localSheetId="15" hidden="0" function="0" vbProcedure="0">'[94]Job Technical Info'!$E$35</definedName>
    <definedName name="TbgWt2" localSheetId="15" hidden="0" function="0" vbProcedure="0">'[94]Job Technical Info'!$E$36</definedName>
    <definedName name="TbgWt3" localSheetId="15" hidden="0" function="0" vbProcedure="0">'[94]Job Technical Info'!$E$37</definedName>
    <definedName name="TbgWt4" localSheetId="15" hidden="0" function="0" vbProcedure="0">'[94]Job Technical Info'!$E$38</definedName>
    <definedName name="TB_Ext_API_Coll" localSheetId="15" hidden="0" function="0" vbProcedure="0">'[109]Metric Conversions'!$B$55</definedName>
    <definedName name="TB_Ext_API_Collz" localSheetId="15" hidden="0" function="0" vbProcedure="0">'[109]Liner Job Info'!$P$37</definedName>
    <definedName name="TB_Ext_Bst" localSheetId="15" hidden="0" function="0" vbProcedure="0">'[109]Metric Conversions'!$B$54</definedName>
    <definedName name="TB_Ext_Bstz" localSheetId="15" hidden="0" function="0" vbProcedure="0">'[109]Liner Job Info'!$P$36</definedName>
    <definedName name="TB_EXT_ID" localSheetId="15" hidden="0" function="0" vbProcedure="0">'[109]Liner Job Info'!$P$35</definedName>
    <definedName name="TB_Ext_Yield_Collz" localSheetId="15" hidden="0" function="0" vbProcedure="0">'[109]Liner Job Info'!$P$38</definedName>
    <definedName name="TD_Depth_md" localSheetId="15" hidden="0" function="0" vbProcedure="0">'[73]well specification'!#ref!</definedName>
    <definedName name="TD_md" localSheetId="15" hidden="0" function="0" vbProcedure="0">'[73]well specification'!#ref!</definedName>
    <definedName name="tedtr" localSheetId="15" hidden="0" function="0" vbProcedure="0">'[115]Max-Torq'!$P$72</definedName>
    <definedName name="teks"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5" hidden="0" function="0" vbProcedure="0">'[115]Max-Torq'!$N$58</definedName>
    <definedName name="terry1" localSheetId="15" hidden="0" function="0" vbProcedure="0">{#N/A,#N/A,FALSE,"Volume"}</definedName>
    <definedName name="terry2" localSheetId="15" hidden="0" function="0" vbProcedure="0">{#N/A,#N/A,FALSE,"Volume"}</definedName>
    <definedName name="terry3" localSheetId="15" hidden="0" function="0" vbProcedure="0">{#N/A,#N/A,FALSE,"Volume"}</definedName>
    <definedName name="terry4" localSheetId="15" hidden="0" function="0" vbProcedure="0">{#N/A,#N/A,FALSE,"Volume"}</definedName>
    <definedName name="terry5" localSheetId="15" hidden="0" function="0" vbProcedure="0">{#N/A,#N/A,FALSE,"Volume"}</definedName>
    <definedName name="TEST" localSheetId="15" hidden="0" function="0" vbProcedure="0">#ref!</definedName>
    <definedName name="Test_po_out_1" localSheetId="15" hidden="0" function="0" vbProcedure="0">[109]Test!$M$28</definedName>
    <definedName name="Test_po_out_2" localSheetId="15" hidden="0" function="0" vbProcedure="0">[109]Test!$M$29</definedName>
    <definedName name="textfive" localSheetId="15" hidden="0" function="0" vbProcedure="0">'[146]tally checklist'!textfive</definedName>
    <definedName name="textfivehalf" localSheetId="15" hidden="0" function="0" vbProcedure="0">'[146]tally checklist'!textfivehalf</definedName>
    <definedName name="textninefiveeightfourfirst" localSheetId="15" hidden="0" function="0" vbProcedure="0">'[146]tally checklist'!textninefiveeightfourfirst</definedName>
    <definedName name="textninefiveeightfoursecond" localSheetId="15" hidden="0" function="0" vbProcedure="0">'[146]tally checklist'!textninefiveeightfoursecond</definedName>
    <definedName name="textninefiveeightsixfirst" localSheetId="15" hidden="0" function="0" vbProcedure="0">'[146]tally checklist'!textninefiveeightsixfirst</definedName>
    <definedName name="textninefiveeightsixsecond" localSheetId="15" hidden="0" function="0" vbProcedure="0">'[146]tally checklist'!textninefiveeightsixsecond</definedName>
    <definedName name="textsevenfiveeightfour" localSheetId="15" hidden="0" function="0" vbProcedure="0">'[146]tally checklist'!textsevenfiveeightfour</definedName>
    <definedName name="textsevenfiveeightthree" localSheetId="15" hidden="0" function="0" vbProcedure="0">'[146]tally checklist'!textsevenfiveeightthree</definedName>
    <definedName name="textsevenfour" localSheetId="15" hidden="0" function="0" vbProcedure="0">'[146]tally checklist'!textsevenfour</definedName>
    <definedName name="textseventhree" localSheetId="15" hidden="0" function="0" vbProcedure="0">'[146]tally checklist'!textseventhree</definedName>
    <definedName name="text_five" localSheetId="15" hidden="0" function="0" vbProcedure="0">'[146]tally checklist'!text_five</definedName>
    <definedName name="text_fivehalf" localSheetId="15" hidden="0" function="0" vbProcedure="0">'[146]tally checklist'!text_fivehalf</definedName>
    <definedName name="text_ninefiveeightfourfirst" localSheetId="15" hidden="0" function="0" vbProcedure="0">'[146]tally checklist'!text_ninefiveeightfourfirst</definedName>
    <definedName name="text_ninefiveeightfoursecond" localSheetId="15" hidden="0" function="0" vbProcedure="0">'[146]tally checklist'!text_ninefiveeightfoursecond</definedName>
    <definedName name="text_ninefiveeightsixfirst" localSheetId="15" hidden="0" function="0" vbProcedure="0">'[146]tally checklist'!text_ninefiveeightsixfirst</definedName>
    <definedName name="text_ninefiveeightsixsecond" localSheetId="15" hidden="0" function="0" vbProcedure="0">'[146]tally checklist'!text_ninefiveeightsixsecond</definedName>
    <definedName name="text_sevenfiveeightfour" localSheetId="15" hidden="0" function="0" vbProcedure="0">'[146]tally checklist'!text_sevenfiveeightfour</definedName>
    <definedName name="text_sevenfiveeightthree" localSheetId="15" hidden="0" function="0" vbProcedure="0">'[146]tally checklist'!text_sevenfiveeightthree</definedName>
    <definedName name="text_sevenfour" localSheetId="15" hidden="0" function="0" vbProcedure="0">'[146]tally checklist'!text_sevenfour</definedName>
    <definedName name="text_seventhree" localSheetId="15" hidden="0" function="0" vbProcedure="0">'[146]tally checklist'!text_seventhree</definedName>
    <definedName name="tgrade" localSheetId="15" hidden="0" function="0" vbProcedure="0">[157]Control!$D$9</definedName>
    <definedName name="TGW" localSheetId="15" hidden="0" function="0" vbProcedure="0">'[146]tally checklist'!tgw</definedName>
    <definedName name="ThreadCon" localSheetId="15" hidden="0" function="0" vbProcedure="0">[171]MUT!$R$3:$R$9</definedName>
    <definedName name="ticketdate" localSheetId="15" hidden="0" function="0" vbProcedure="0">'[126]Call Sheet'!$AH$1</definedName>
    <definedName name="tickettype" localSheetId="15" hidden="0" function="0" vbProcedure="0">[56]data!#ref!</definedName>
    <definedName name="time" localSheetId="15" hidden="0" function="0" vbProcedure="0">'[96]well test sheet'!#ref!</definedName>
    <definedName name="TLCENG" localSheetId="15" hidden="0" function="0" vbProcedure="0">[193]Reference!$D$2</definedName>
    <definedName name="TLDENG" localSheetId="15" hidden="0" function="0" vbProcedure="0">[193]Reference!$C$2</definedName>
    <definedName name="TLDOPS" localSheetId="15" hidden="0" function="0" vbProcedure="0">[193]Reference!$E$2:$E$3</definedName>
    <definedName name="TOL" localSheetId="15" hidden="0" function="0" vbProcedure="0">'[130]Metric Conversions'!$B$28</definedName>
    <definedName name="TOLz" localSheetId="15" hidden="0" function="0" vbProcedure="0">'[109]Liner Job Info'!$I$19</definedName>
    <definedName name="ToolMaterial" localSheetId="15" hidden="0" function="0" vbProcedure="0">[109]DATA!$BN$2:$BN$8</definedName>
    <definedName name="Tool_ID" localSheetId="15" hidden="0" function="0" vbProcedure="0">[109]DATA!$P$2:$P$268</definedName>
    <definedName name="TOPPKRIMG" localSheetId="15" hidden="0" function="0" vbProcedure="0">INDEX([172]PKR!$A$16:$B$17,MATCH([172]INPUT!$G$56,[172]PKR!$A$16:$A$17,0),2)</definedName>
    <definedName name="TOPPKRIMG_1" localSheetId="15" hidden="0" function="0" vbProcedure="0">INDEX([161]PKR!$A$16:$B$18,MATCH([161]INPUT!$G$56,[161]PKR!$A$16:$A$18,0),2)</definedName>
    <definedName name="Top_Drive_y_n" localSheetId="15" hidden="0" function="0" vbProcedure="0">'[48]liner job info'!#ref!</definedName>
    <definedName name="Top_Perf._TVD" localSheetId="15" hidden="0" function="0" vbProcedure="0">'[108]Pre-Job Info Sheet'!$B$30</definedName>
    <definedName name="Top_Perforation" localSheetId="15" hidden="0" function="0" vbProcedure="0">'[108]Pre-Job Info Sheet'!$B$28</definedName>
    <definedName name="Total_DP_Wt" localSheetId="15" hidden="0" function="0" vbProcedure="0">'[109]Weight Calculations'!$H$13</definedName>
    <definedName name="Total_Length_of_BHA" localSheetId="15" hidden="0" function="0" vbProcedure="0">'[108]TCP-BHA'!$H$47</definedName>
    <definedName name="TOT_ANN_CAP" localSheetId="15" hidden="0" function="0" vbProcedure="0">'[113]#REF'!$G$189</definedName>
    <definedName name="Tot_Bottoms_Upz" localSheetId="15" hidden="0" function="0" vbProcedure="0">'[109]Metric Conversions'!$C$90</definedName>
    <definedName name="TOT_CAP_HOLE" localSheetId="15" hidden="0" function="0" vbProcedure="0">'[113]#REF'!$G$190</definedName>
    <definedName name="Tot_DP_Vol" localSheetId="15" hidden="0" function="0" vbProcedure="0">'[109]Metric Conversions'!$B$75</definedName>
    <definedName name="Tot_DP_Volz" localSheetId="15" hidden="0" function="0" vbProcedure="0">'[109]Metric Conversions'!$C$75</definedName>
    <definedName name="Tot_Liner_Wt" localSheetId="15" hidden="0" function="0" vbProcedure="0">'[109]Weight Calculations'!$H$18</definedName>
    <definedName name="Tot_Lnr_Vol_to_LC" localSheetId="15" hidden="0" function="0" vbProcedure="0">'[109]Metric Conversions'!$B$79</definedName>
    <definedName name="Tot_Lnr_Vol_to_LCz" localSheetId="15" hidden="0" function="0" vbProcedure="0">'[109]Metric Conversions'!$C$79</definedName>
    <definedName name="TOT_SAND_2B_PUMPED" localSheetId="15" hidden="0" function="0" vbProcedure="0">'[7]#ref'!#ref!</definedName>
    <definedName name="TOT_SAND_COV_BLANK" localSheetId="15" hidden="0" function="0" vbProcedure="0">'[113]#REF'!$H$136</definedName>
    <definedName name="TOT_SAND_COV_SCREEN" localSheetId="15" hidden="0" function="0" vbProcedure="0">'[113]#REF'!$H$135</definedName>
    <definedName name="TOT_SAND_IN_PERFS" localSheetId="15" hidden="0" function="0" vbProcedure="0">'[113]#REF'!$F$137</definedName>
    <definedName name="TOT_SAND_PLACED" localSheetId="15" hidden="0" function="0" vbProcedure="0">'[113]#REF'!$F$131</definedName>
    <definedName name="TOT_SAND_REVOUT" localSheetId="15" hidden="0" function="0" vbProcedure="0">'[7]#ref'!#ref!</definedName>
    <definedName name="Tot_Vol_to_Bump_Plugs" localSheetId="15" hidden="0" function="0" vbProcedure="0">'[109]Metric Conversions'!$B$80</definedName>
    <definedName name="Tot_Vol_to_Bump_Plugsz" localSheetId="15" hidden="0" function="0" vbProcedure="0">'[109]Metric Conversions'!$C$80</definedName>
    <definedName name="Tot_Vol_to_Shoez" localSheetId="15" hidden="0" function="0" vbProcedure="0">'[109]Metric Conversions'!$C$81</definedName>
    <definedName name="tpermit" localSheetId="15" hidden="0" function="0" vbProcedure="0">[157]Control!$D$5</definedName>
    <definedName name="TQW" localSheetId="15" hidden="0" function="0" vbProcedure="0">'[146]tally checklist'!tqw</definedName>
    <definedName name="tr" localSheetId="15" hidden="0" function="0" vbProcedure="0">null</definedName>
    <definedName name="transport" localSheetId="15" hidden="0" function="0" vbProcedure="0">[56]data!#ref!</definedName>
    <definedName name="treatment" localSheetId="15" hidden="0" function="0" vbProcedure="0">[56]data!#ref!</definedName>
    <definedName name="try" localSheetId="15" hidden="0" function="0" vbProcedure="0">[173]Calculos!$K$3:$V$31</definedName>
    <definedName name="TR_Column" localSheetId="15" hidden="0" function="0" vbProcedure="0">null</definedName>
    <definedName name="TR_Unit" localSheetId="15" hidden="0" function="0" vbProcedure="0">null</definedName>
    <definedName name="tshoe" localSheetId="15" hidden="0" function="0" vbProcedure="0">[157]Drillers!$Q$20</definedName>
    <definedName name="tsize" localSheetId="15" hidden="0" function="0" vbProcedure="0">[157]Control!$D$7</definedName>
    <definedName name="TST" localSheetId="15" hidden="0" function="0" vbProcedure="0">'[30]Liner Job Info'!$O$5</definedName>
    <definedName name="tstickup" localSheetId="15" hidden="0" function="0" vbProcedure="0">[157]Drillers!$O$20</definedName>
    <definedName name="TS_pricelist" localSheetId="15" hidden="0" function="0" vbProcedure="0">[139]Pricelist!$A$57:$B$65</definedName>
    <definedName name="Tubing" localSheetId="15" hidden="0" function="0" vbProcedure="0">[174]Tubing!$B$7:$I$142</definedName>
    <definedName name="TubingAverage" localSheetId="15" hidden="0" function="0" vbProcedure="0">((SUM(NosOfTubing))-(MakeupLoss*COUNT(NosOfTubing)))/COUNT(NosOfTubing)</definedName>
    <definedName name="TubingOD" localSheetId="15" hidden="0" function="0" vbProcedure="0">[94]Lists!$AH$3:$AH$297</definedName>
    <definedName name="TubingSizes" localSheetId="15" hidden="0" function="0" vbProcedure="0">[94]Lists!$H$2:$H$14</definedName>
    <definedName name="tubingweight" localSheetId="15" hidden="0" function="0" vbProcedure="0">[86]!TubTable[id LIST (in)]</definedName>
    <definedName name="TVD_MID_PERF" localSheetId="15" hidden="0" function="0" vbProcedure="0">'[113]#REF'!$F$25</definedName>
    <definedName name="TV_TVD" localSheetId="15" hidden="0" function="0" vbProcedure="0">'[108]Tester Valve Calcs'!$F$20</definedName>
    <definedName name="TV_Vol" localSheetId="15" hidden="0" function="0" vbProcedure="0">'[108]Tester Valve Calcs'!$M$17</definedName>
    <definedName name="tweight" localSheetId="15" hidden="0" function="0" vbProcedure="0">[157]Control!$D$8</definedName>
    <definedName name="twell" localSheetId="15" hidden="0" function="0" vbProcedure="0">[157]Control!$D$4</definedName>
    <definedName name="twstes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5" hidden="0" function="0" vbProcedure="0">'[146]tally checklist'!tyjeje</definedName>
    <definedName name="TYPE" localSheetId="15" hidden="0" function="0" vbProcedure="0">'[61]7-30-04'!#ref!</definedName>
    <definedName name="TYPEOFPLUG" localSheetId="15" hidden="0" function="0" vbProcedure="0">'[175]DATA CALL OUT'!$C$1:$C$65536</definedName>
    <definedName name="T_ABOP" localSheetId="15" hidden="0" function="0" vbProcedure="0">'[94]Physical Barrier Check Form'!$B$15</definedName>
    <definedName name="T_BFluidColumn" localSheetId="15" hidden="0" function="0" vbProcedure="0">'[94]Physical Barrier Check Form'!$B$19</definedName>
    <definedName name="T_BHP" localSheetId="15" hidden="0" function="0" vbProcedure="0">'[94]Job Technical Info'!$A$42</definedName>
    <definedName name="T_BHT" localSheetId="15" hidden="0" function="0" vbProcedure="0">'[94]Job Technical Info'!$C$42</definedName>
    <definedName name="T_Casing1" localSheetId="15" hidden="0" function="0" vbProcedure="0">'[94]Job Technical Info'!$B$25</definedName>
    <definedName name="T_Casing2" localSheetId="15" hidden="0" function="0" vbProcedure="0">'[94]Job Technical Info'!$B$26</definedName>
    <definedName name="T_Casing3" localSheetId="15" hidden="0" function="0" vbProcedure="0">'[94]Job Technical Info'!$B$27</definedName>
    <definedName name="T_Casing4" localSheetId="15" hidden="0" function="0" vbProcedure="0">'[94]Job Technical Info'!$B$28</definedName>
    <definedName name="T_Ccasing" localSheetId="15" hidden="0" function="0" vbProcedure="0">'[94]Physical Barrier Check Form'!$B$23</definedName>
    <definedName name="T_CustomerProject" localSheetId="15" hidden="0" function="0" vbProcedure="0">[94]Schematic!$A$8</definedName>
    <definedName name="T_C_H" localSheetId="15" hidden="0" function="0" vbProcedure="0">'[50]12(762mm)套管'!#ref!</definedName>
    <definedName name="T_Description" localSheetId="15" hidden="0" function="0" vbProcedure="0">[94]Schematic!$D$31</definedName>
    <definedName name="T_District" localSheetId="15" hidden="0" function="0" vbProcedure="0">'[94]Physical Barrier Check Form'!$B$4</definedName>
    <definedName name="T_DProductionPacker" localSheetId="15" hidden="0" function="0" vbProcedure="0">'[94]Physical Barrier Check Form'!$B$27</definedName>
    <definedName name="T_Drift" localSheetId="15" hidden="0" function="0" vbProcedure="0">'[94]Job Technical Info'!$G$23</definedName>
    <definedName name="T_EBridgePlug" localSheetId="15" hidden="0" function="0" vbProcedure="0">'[94]Physical Barrier Check Form'!$B$31</definedName>
    <definedName name="T_FluidType" localSheetId="15" hidden="0" function="0" vbProcedure="0">'[94]Job Technical Info'!$E$42</definedName>
    <definedName name="T_FluidWeight" localSheetId="15" hidden="0" function="0" vbProcedure="0">'[94]Job Technical Info'!$G$42</definedName>
    <definedName name="T_FOtherBarriers" localSheetId="15" hidden="0" function="0" vbProcedure="0">'[94]Physical Barrier Check Form'!$B$35</definedName>
    <definedName name="T_Grade" localSheetId="15" hidden="0" function="0" vbProcedure="0">'[94]Job Technical Info'!$H$23</definedName>
    <definedName name="T_ID" localSheetId="15" hidden="0" function="0" vbProcedure="0">'[94]Job Technical Info'!$F$23</definedName>
    <definedName name="T_Length" localSheetId="15" hidden="0" function="0" vbProcedure="0">[94]Schematic!$M$31</definedName>
    <definedName name="T_Liner1" localSheetId="15" hidden="0" function="0" vbProcedure="0">'[94]Job Technical Info'!$B$29</definedName>
    <definedName name="T_Liner2" localSheetId="15" hidden="0" function="0" vbProcedure="0">'[94]Job Technical Info'!$B$30</definedName>
    <definedName name="T_MaxDev" localSheetId="15" hidden="0" function="0" vbProcedure="0">[94]Schematic!$M$10</definedName>
    <definedName name="T_No" localSheetId="15" hidden="0" function="0" vbProcedure="0">[94]Schematic!$C$31</definedName>
    <definedName name="T_Notes" localSheetId="15" hidden="0" function="0" vbProcedure="0">'[94]Physical Barrier Check Form'!$H$13</definedName>
    <definedName name="T_OD" localSheetId="15" hidden="0" function="0" vbProcedure="0">'[94]Job Technical Info'!$D$23</definedName>
    <definedName name="T_Thread" localSheetId="15" hidden="0" function="0" vbProcedure="0">'[94]Job Technical Info'!$J$23</definedName>
    <definedName name="T_Tubing1" localSheetId="15" hidden="0" function="0" vbProcedure="0">'[94]Job Technical Info'!$B$35</definedName>
    <definedName name="T_Tubing2" localSheetId="15" hidden="0" function="0" vbProcedure="0">'[94]Job Technical Info'!$B$36</definedName>
    <definedName name="T_Tubing3" localSheetId="15" hidden="0" function="0" vbProcedure="0">'[94]Job Technical Info'!$B$37</definedName>
    <definedName name="T_Tubing4" localSheetId="15" hidden="0" function="0" vbProcedure="0">'[94]Job Technical Info'!$B$38</definedName>
    <definedName name="T_Tubulars" localSheetId="15" hidden="0" function="0" vbProcedure="0">'[94]Job Technical Info'!$B$23</definedName>
    <definedName name="T_Weight" localSheetId="15" hidden="0" function="0" vbProcedure="0">'[94]Job Technical Info'!$E$23</definedName>
    <definedName name="T_Workstring1" localSheetId="15" hidden="0" function="0" vbProcedure="0">'[94]Job Technical Info'!$B$31</definedName>
    <definedName name="T_Workstring2" localSheetId="15" hidden="0" function="0" vbProcedure="0">'[94]Job Technical Info'!$B$32</definedName>
    <definedName name="T_Workstring3" localSheetId="15" hidden="0" function="0" vbProcedure="0">'[94]Job Technical Info'!$B$33</definedName>
    <definedName name="T_Workstring4" localSheetId="15" hidden="0" function="0" vbProcedure="0">'[94]Job Technical Info'!$B$34</definedName>
    <definedName name="U" localSheetId="15" hidden="0" function="0" vbProcedure="0">[176]Lists!$A$1:$A$3</definedName>
    <definedName name="Underbalance" localSheetId="15" hidden="0" function="0" vbProcedure="0">'[108]Job Calculation Sheet'!$H$34</definedName>
    <definedName name="UNI_AA_VERSION" localSheetId="15" hidden="1" function="0" vbProcedure="0">"322.2.0"</definedName>
    <definedName name="Used" localSheetId="15" hidden="0" function="0" vbProcedure="0">[109]DATA!$AR$2:$AR$3</definedName>
    <definedName name="Using_Hanger" localSheetId="15" hidden="0" function="0" vbProcedure="0">'[109]Liner Job Info'!$D$38</definedName>
    <definedName name="Using_Packer" localSheetId="15" hidden="0" function="0" vbProcedure="0">'[109]Liner Job Info'!$P$30</definedName>
    <definedName name="VALIDCURR" localSheetId="15" hidden="0" function="0" vbProcedure="0">[177]Currency!$A$1:$A$170</definedName>
    <definedName name="Vallist" localSheetId="15" hidden="0" function="0" vbProcedure="0">'[109]Casing Info'!$A$2:$A$34</definedName>
    <definedName name="vallist2" localSheetId="15" hidden="0" function="0" vbProcedure="0">#N/A</definedName>
    <definedName name="vbcode.draw_blanks" localSheetId="15" hidden="0" function="0" vbProcedure="0">'[146]tally checklist'!vbcode.draw_blanks</definedName>
    <definedName name="vbcode.draw_linerfirst" localSheetId="15" hidden="0" function="0" vbProcedure="0">'[146]tally checklist'!vbcode.draw_linerfirst</definedName>
    <definedName name="vbcode.draw_linersecond" localSheetId="15" hidden="0" function="0" vbProcedure="0">'[146]tally checklist'!vbcode.draw_linersecond</definedName>
    <definedName name="vbcode.draw_miscellaneous" localSheetId="15" hidden="0" function="0" vbProcedure="0">'[146]tally checklist'!vbcode.draw_miscellaneous</definedName>
    <definedName name="vbcode.draw_productionfirst" localSheetId="15" hidden="0" function="0" vbProcedure="0">'[146]tally checklist'!vbcode.draw_productionfirst</definedName>
    <definedName name="vbcode.draw_productionsecond" localSheetId="15" hidden="0" function="0" vbProcedure="0">'[146]tally checklist'!vbcode.draw_productionsecond</definedName>
    <definedName name="vbcode.draw_quantum" localSheetId="15" hidden="0" function="0" vbProcedure="0">'[146]tally checklist'!vbcode.draw_quantum</definedName>
    <definedName name="vbcode.draw_screens" localSheetId="15" hidden="0" function="0" vbProcedure="0">'[146]tally checklist'!vbcode.draw_screens</definedName>
    <definedName name="vbcode.draw_shearsubs" localSheetId="15" hidden="0" function="0" vbProcedure="0">'[146]tally checklist'!vbcode.draw_shearsubs</definedName>
    <definedName name="vbcode.draw_sump" localSheetId="15" hidden="0" function="0" vbProcedure="0">'[146]tally checklist'!vbcode.draw_sump</definedName>
    <definedName name="vbcode.text_five" localSheetId="15" hidden="0" function="0" vbProcedure="0">'[146]tally checklist'!vbcode.text_five</definedName>
    <definedName name="vbcode.text_fivehalf" localSheetId="15" hidden="0" function="0" vbProcedure="0">'[146]tally checklist'!vbcode.text_fivehalf</definedName>
    <definedName name="vbcode.text_ninefiveeightfourfirst" localSheetId="15" hidden="0" function="0" vbProcedure="0">'[146]tally checklist'!vbcode.text_ninefiveeightfourfirst</definedName>
    <definedName name="vbcode.text_ninefiveeightfoursecond" localSheetId="15" hidden="0" function="0" vbProcedure="0">'[146]tally checklist'!vbcode.text_ninefiveeightfoursecond</definedName>
    <definedName name="vbcode.text_ninefiveeightsixfirst" localSheetId="15" hidden="0" function="0" vbProcedure="0">'[146]tally checklist'!vbcode.text_ninefiveeightsixfirst</definedName>
    <definedName name="vbcode.text_ninefiveeightsixsecond" localSheetId="15" hidden="0" function="0" vbProcedure="0">'[146]tally checklist'!vbcode.text_ninefiveeightsixsecond</definedName>
    <definedName name="vbcode.text_sevenfiveeightfour" localSheetId="15" hidden="0" function="0" vbProcedure="0">'[146]tally checklist'!vbcode.text_sevenfiveeightfour</definedName>
    <definedName name="vbcode.text_sevenfiveeightthree" localSheetId="15" hidden="0" function="0" vbProcedure="0">'[146]tally checklist'!vbcode.text_sevenfiveeightthree</definedName>
    <definedName name="vbcode.text_sevenfour" localSheetId="15" hidden="0" function="0" vbProcedure="0">'[146]tally checklist'!vbcode.text_sevenfour</definedName>
    <definedName name="vbcode.text_seventhree" localSheetId="15" hidden="0" function="0" vbProcedure="0">'[146]tally checklist'!vbcode.text_seventhree</definedName>
    <definedName name="Verticaldepth" localSheetId="15" hidden="0" function="0" vbProcedure="0">'[129]Front Page Info'!$C$18</definedName>
    <definedName name="volume1" localSheetId="15" hidden="0" function="0" vbProcedure="0">{#N/A,#N/A,FALSE,"Volume"}</definedName>
    <definedName name="VOL_MULE_SHOE" localSheetId="15" hidden="0" function="0" vbProcedure="0">'[113]#REF'!$F$178</definedName>
    <definedName name="VS" localSheetId="15" hidden="0" function="0" vbProcedure="0">'[95]MACRO125 '!$F$6</definedName>
    <definedName name="vvv" localSheetId="15" hidden="0" function="0" vbProcedure="0">[119]钻井日报表!$E$7</definedName>
    <definedName name="vvvdf" localSheetId="15" hidden="0" function="0" vbProcedure="0">[119]钻井日报表!$G$8</definedName>
    <definedName name="w" localSheetId="15" hidden="0" function="0" vbProcedure="0">'[306]run sheet'!#ref!</definedName>
    <definedName name="WBJobRev" localSheetId="15" hidden="0" function="0" vbProcedure="0">'[94]Job Technical Info'!$C$11</definedName>
    <definedName name="Weak_DP" localSheetId="15" hidden="0" function="0" vbProcedure="0">'[109]Weight Calculations'!$V$63</definedName>
    <definedName name="Weak_link" localSheetId="15" hidden="0" function="0" vbProcedure="0">'[109]Weight Calculations'!$R$61</definedName>
    <definedName name="Week" localSheetId="15" hidden="0" function="0" vbProcedure="0">[18]Criteria!$A$2:$A$51</definedName>
    <definedName name="weight" localSheetId="15" hidden="0" function="0" vbProcedure="0">'[7]Drop-Down Items'!$M$7:$M$10</definedName>
    <definedName name="well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5" hidden="0" function="0" vbProcedure="0">[132]Data!$K$1:$K$65536</definedName>
    <definedName name="Welllocation1" localSheetId="15" hidden="0" function="0" vbProcedure="0">[132]Data!$M$1:$M$65536</definedName>
    <definedName name="WellMD" localSheetId="15" hidden="0" function="0" vbProcedure="0">'[94]Job Technical Info'!$H$41</definedName>
    <definedName name="WellNo" localSheetId="15" hidden="0" function="0" vbProcedure="0">'[30]Liner Job Info'!$E$6</definedName>
    <definedName name="Wells" localSheetId="15" hidden="0" function="0" vbProcedure="0">[307]welltest!#ref!</definedName>
    <definedName name="WellTVD" localSheetId="15" hidden="0" function="0" vbProcedure="0">'[94]Job Technical Info'!$J$41</definedName>
    <definedName name="welltype" localSheetId="15" hidden="0" function="0" vbProcedure="0">'[113]#REF'!$F$18</definedName>
    <definedName name="Welltype2" localSheetId="15" hidden="0" function="0" vbProcedure="0">[178]Data!$H$1:$H$65536</definedName>
    <definedName name="Well_Name" localSheetId="15" hidden="0" function="0" vbProcedure="0">'[108]TCP-BHA'!$C$7</definedName>
    <definedName name="Well_Number" localSheetId="15" hidden="0" function="0" vbProcedure="0">'[62]Liner Job Info'!$E$6</definedName>
    <definedName name="well_type" localSheetId="15" hidden="0" function="0" vbProcedure="0">'[7]Drop-Down Items'!$D$43:$D$48</definedName>
    <definedName name="Well_Type__Oil_Gas" localSheetId="15" hidden="0" function="0" vbProcedure="0">'[108]Pre-Job Info Sheet'!$B$31</definedName>
    <definedName name="WHP" localSheetId="15" hidden="0" function="0" vbProcedure="0">#ref!</definedName>
    <definedName name="wht" localSheetId="15" hidden="0" function="0" vbProcedure="0">'[96]well test sheet'!#ref!</definedName>
    <definedName name="wiperplugunity" localSheetId="15" hidden="0" function="0" vbProcedure="0">[109]Test!$G$18</definedName>
    <definedName name="WkstrDrift1" localSheetId="15" hidden="0" function="0" vbProcedure="0">'[94]Job Technical Info'!$G$31</definedName>
    <definedName name="WkstrDrift2" localSheetId="15" hidden="0" function="0" vbProcedure="0">'[94]Job Technical Info'!$G$32</definedName>
    <definedName name="WkstrDrift3" localSheetId="15" hidden="0" function="0" vbProcedure="0">'[94]Job Technical Info'!$G$33</definedName>
    <definedName name="WkstrDrift4" localSheetId="15" hidden="0" function="0" vbProcedure="0">'[94]Job Technical Info'!$G$34</definedName>
    <definedName name="WkstrGrd1" localSheetId="15" hidden="0" function="0" vbProcedure="0">'[94]Job Technical Info'!$H$31</definedName>
    <definedName name="WkstrGrd2" localSheetId="15" hidden="0" function="0" vbProcedure="0">'[94]Job Technical Info'!$H$32</definedName>
    <definedName name="WkstrGrd3" localSheetId="15" hidden="0" function="0" vbProcedure="0">'[94]Job Technical Info'!$H$33</definedName>
    <definedName name="WkstrGrd4" localSheetId="15" hidden="0" function="0" vbProcedure="0">'[94]Job Technical Info'!$H$34</definedName>
    <definedName name="WkstrID1" localSheetId="15" hidden="0" function="0" vbProcedure="0">'[94]Job Technical Info'!$F$31</definedName>
    <definedName name="WkstrID2" localSheetId="15" hidden="0" function="0" vbProcedure="0">'[94]Job Technical Info'!$F$32</definedName>
    <definedName name="WkstrID3" localSheetId="15" hidden="0" function="0" vbProcedure="0">'[94]Job Technical Info'!$F$33</definedName>
    <definedName name="WkstrID4" localSheetId="15" hidden="0" function="0" vbProcedure="0">'[94]Job Technical Info'!$F$34</definedName>
    <definedName name="WkstrSz1" localSheetId="15" hidden="0" function="0" vbProcedure="0">'[94]Job Technical Info'!$D$31</definedName>
    <definedName name="WkstrSz2" localSheetId="15" hidden="0" function="0" vbProcedure="0">'[94]Job Technical Info'!$D$32</definedName>
    <definedName name="WkstrSz3" localSheetId="15" hidden="0" function="0" vbProcedure="0">'[94]Job Technical Info'!$D$33</definedName>
    <definedName name="WkstrSz4" localSheetId="15" hidden="0" function="0" vbProcedure="0">'[94]Job Technical Info'!$D$34</definedName>
    <definedName name="WkstrThd1" localSheetId="15" hidden="0" function="0" vbProcedure="0">'[94]Job Technical Info'!$J$31</definedName>
    <definedName name="WkstrThd2" localSheetId="15" hidden="0" function="0" vbProcedure="0">'[94]Job Technical Info'!$J$32</definedName>
    <definedName name="WkstrThd3" localSheetId="15" hidden="0" function="0" vbProcedure="0">'[94]Job Technical Info'!$J$33</definedName>
    <definedName name="WkstrThd4" localSheetId="15" hidden="0" function="0" vbProcedure="0">'[94]Job Technical Info'!$J$34</definedName>
    <definedName name="WkstrWt1" localSheetId="15" hidden="0" function="0" vbProcedure="0">'[94]Job Technical Info'!$E$31</definedName>
    <definedName name="WkstrWt2" localSheetId="15" hidden="0" function="0" vbProcedure="0">'[94]Job Technical Info'!$E$32</definedName>
    <definedName name="WkstrWt3" localSheetId="15" hidden="0" function="0" vbProcedure="0">'[94]Job Technical Info'!$E$33</definedName>
    <definedName name="WkstrWt4" localSheetId="15" hidden="0" function="0" vbProcedure="0">'[94]Job Technical Info'!$E$34</definedName>
    <definedName name="workstringid" localSheetId="15" hidden="0" function="0" vbProcedure="0">'[113]#REF'!$H$12</definedName>
    <definedName name="workstringidref" localSheetId="15" hidden="0" function="0" vbProcedure="0">[106]Data!$GC$3</definedName>
    <definedName name="workstringlength" localSheetId="15" hidden="0" function="0" vbProcedure="0">'[113]#REF'!$J$12</definedName>
    <definedName name="workstringod" localSheetId="15" hidden="0" function="0" vbProcedure="0">'[113]#REF'!$F$12</definedName>
    <definedName name="workstringtable" localSheetId="15" hidden="0" function="0" vbProcedure="0">[86]!CasingTable[#data]</definedName>
    <definedName name="workstringwt" localSheetId="15" hidden="0" function="0" vbProcedure="0">'[113]#REF'!$M$12</definedName>
    <definedName name="Workstring_Grade" localSheetId="15" hidden="0" function="0" vbProcedure="0">'[108]Pre-Job Info Sheet'!$D$27</definedName>
    <definedName name="Workstring_ID" localSheetId="15" hidden="0" function="0" vbProcedure="0">'[108]Job Calculation Sheet'!$F$16</definedName>
    <definedName name="Workstring_Length" localSheetId="15" hidden="0" function="0" vbProcedure="0">'[108]TCP-BHA'!$G$12</definedName>
    <definedName name="Workstring_Size" localSheetId="15" hidden="0" function="0" vbProcedure="0">'[108]Pre-Job Info Sheet'!$D$25</definedName>
    <definedName name="Workstring_Type" localSheetId="15" hidden="0" function="0" vbProcedure="0">'[108]Pre-Job Info Sheet'!$D$24</definedName>
    <definedName name="Workstring_Wt._Ft." localSheetId="15" hidden="0" function="0" vbProcedure="0">'[108]Pre-Job Info Sheet'!$D$26</definedName>
    <definedName name="wrn.ASDF." localSheetId="15" hidden="1" function="0" vbProcedure="0">{#N/A,#N/A,FALSE,"SHEET 1";#N/A,#N/A,FALSE,"Sheet4"}</definedName>
    <definedName name="wrn.AT._.Reports." localSheetId="15" hidden="1" function="0" vbProcedure="0">{#N/A,#N/A,FALSE,"Drlg Param Run 1-1";#N/A,#N/A,FALSE,"DDR (3)";#N/A,#N/A,FALSE,"BHA AT (1)";#N/A,#N/A,FALSE,"Downlinkbha";#N/A,#N/A,FALSE,"Job Status Report"}</definedName>
    <definedName name="wrn.CD_MST." localSheetId="15" hidden="1" function="0" vbProcedure="0">{#N/A,#N/A,FALSE,"Sheet1"}</definedName>
    <definedName name="wrn.DST_TCP." localSheetId="15" hidden="1" function="0" vbProcedure="0">{#N/A,#N/A,FALSE,"INFO";#N/A,#N/A,FALSE,"PCT";#N/A,#N/A,FALSE,"DISCS";#N/A,#N/A,FALSE,"DISC TABLE";#N/A,#N/A,FALSE,"CUSHION";#N/A,#N/A,FALSE,"HYDRAULICS";#N/A,#N/A,FALSE,"MCCV";#N/A,#N/A,FALSE,"HDF";#N/A,#N/A,FALSE,"GUNS";#N/A,#N/A,FALSE,"GUNDATA"}</definedName>
    <definedName name="wrn.FULL._.DTL." localSheetId="15" hidden="1" function="0" vbProcedure="0">{"CF",#N/A,FALSE,"FULL COST";"MANUFACT",#N/A,FALSE,"FULL COST";"PAYNMENT",#N/A,FALSE,"FULL COST"}</definedName>
    <definedName name="wrn.FULLSUM." localSheetId="15" hidden="1" function="0" vbProcedure="0">{#N/A,#N/A,FALSE,"SUM-1";#N/A,#N/A,FALSE,"SUM-2";#N/A,#N/A,FALSE,"TENDER"}</definedName>
    <definedName name="wrn.ratios." localSheetId="15" hidden="1" function="0" vbProcedure="0">{"raatios",#N/A,FALSE,"A";"ratios",#N/A,FALSE,"B";"ratios",#N/A,FALSE,"C";"ratios",#N/A,FALSE,"D";"ratios",#N/A,FALSE,"F"}</definedName>
    <definedName name="wrn.SUMMARY." localSheetId="15" hidden="1" function="0" vbProcedure="0">{#N/A,#N/A,FALSE,"JUNK"}</definedName>
    <definedName name="wrn.VOLUME." localSheetId="15" hidden="0" function="0" vbProcedure="0">{#N/A,#N/A,FALSE,"Volume"}</definedName>
    <definedName name="wrn.volume.2" localSheetId="15" hidden="0" function="0" vbProcedure="0">{#N/A,#N/A,FALSE,"Volume"}</definedName>
    <definedName name="wrn.volume.2_1" localSheetId="15" hidden="0" function="0" vbProcedure="0">{#N/A,#N/A,FALSE,"Volume"}</definedName>
    <definedName name="wrn.volume.2_2" localSheetId="15" hidden="0" function="0" vbProcedure="0">{#N/A,#N/A,FALSE,"Volume"}</definedName>
    <definedName name="wrn.volume.2_3" localSheetId="15" hidden="0" function="0" vbProcedure="0">{#N/A,#N/A,FALSE,"Volume"}</definedName>
    <definedName name="wrn.volume.2_4" localSheetId="15" hidden="0" function="0" vbProcedure="0">{#N/A,#N/A,FALSE,"Volume"}</definedName>
    <definedName name="wrn.volume.2_5" localSheetId="15" hidden="0" function="0" vbProcedure="0">{#N/A,#N/A,FALSE,"Volume"}</definedName>
    <definedName name="wrn.volume.3" localSheetId="15" hidden="0" function="0" vbProcedure="0">{#N/A,#N/A,FALSE,"Volume"}</definedName>
    <definedName name="wrn.volume.3_1" localSheetId="15" hidden="0" function="0" vbProcedure="0">{#N/A,#N/A,FALSE,"Volume"}</definedName>
    <definedName name="wrn.volume.3_2" localSheetId="15" hidden="0" function="0" vbProcedure="0">{#N/A,#N/A,FALSE,"Volume"}</definedName>
    <definedName name="wrn.volume.3_3" localSheetId="15" hidden="0" function="0" vbProcedure="0">{#N/A,#N/A,FALSE,"Volume"}</definedName>
    <definedName name="wrn.volume.3_4" localSheetId="15" hidden="0" function="0" vbProcedure="0">{#N/A,#N/A,FALSE,"Volume"}</definedName>
    <definedName name="wrn.volume.3_5" localSheetId="15" hidden="0" function="0" vbProcedure="0">{#N/A,#N/A,FALSE,"Volume"}</definedName>
    <definedName name="wrn.VOLUME._1" localSheetId="15" hidden="0" function="0" vbProcedure="0">{#N/A,#N/A,FALSE,"Volume"}</definedName>
    <definedName name="wrn.VOLUME._2" localSheetId="15" hidden="0" function="0" vbProcedure="0">{#N/A,#N/A,FALSE,"Volume"}</definedName>
    <definedName name="wrn.VOLUME._3" localSheetId="15" hidden="0" function="0" vbProcedure="0">{#N/A,#N/A,FALSE,"Volume"}</definedName>
    <definedName name="wrn.VOLUME._4" localSheetId="15" hidden="0" function="0" vbProcedure="0">{#N/A,#N/A,FALSE,"Volume"}</definedName>
    <definedName name="wrn.VOLUME._5" localSheetId="15" hidden="0" function="0" vbProcedure="0">{#N/A,#N/A,FALSE,"Volume"}</definedName>
    <definedName name="WRN.VULUME" localSheetId="15" hidden="0" function="0" vbProcedure="0">{#N/A,#N/A,FALSE,"Volume"}</definedName>
    <definedName name="wrn.Wellplan."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5" hidden="1" function="0" vbProcedure="0">{#N/A,#N/A,FALSE,"SHEET 1";#N/A,#N/A,FALSE,"Sheet4"}</definedName>
    <definedName name="wscolumn" localSheetId="15" hidden="0" function="0" vbProcedure="0">[106]Data!$W$19</definedName>
    <definedName name="WS_ID" localSheetId="15" hidden="0" function="0" vbProcedure="0">'[113]#REF'!$H$12</definedName>
    <definedName name="WS_LENGTH" localSheetId="15" hidden="0" function="0" vbProcedure="0">'[113]#REF'!$J$12</definedName>
    <definedName name="WS_OD" localSheetId="15" hidden="0" function="0" vbProcedure="0">'[113]#REF'!$F$12</definedName>
    <definedName name="wt" localSheetId="15" hidden="0" function="0" vbProcedure="0">'[115]Max-Torq'!$P$64</definedName>
    <definedName name="wtcasing" localSheetId="15" hidden="0" function="0" vbProcedure="0">[106]Data!$J$19</definedName>
    <definedName name="wtr_cumm" localSheetId="15" hidden="0" function="0" vbProcedure="0">'[96]well test sheet'!#ref!</definedName>
    <definedName name="wtr_rate" localSheetId="15" hidden="0" function="0" vbProcedure="0">'[96]well test sheet'!#ref!</definedName>
    <definedName name="wtworkstring" localSheetId="15" hidden="0" function="0" vbProcedure="0">[106]Data!$W$21</definedName>
    <definedName name="Wtype" localSheetId="15" hidden="0" function="0" vbProcedure="0">'[109]Liner Job Info'!$E$9</definedName>
    <definedName name="Wt_Bouyant" localSheetId="15" hidden="0" function="0" vbProcedure="0">'[108]Packer Calculation Sheet'!$I$34</definedName>
    <definedName name="Wt_w_Cmt" localSheetId="15" hidden="0" function="0" vbProcedure="0">'[109]Liner Job Info'!$D$34</definedName>
    <definedName name="Wt_W_Pkr_Tst" localSheetId="15" hidden="0" function="0" vbProcedure="0">'[109]Liner Job Info'!$D$36</definedName>
    <definedName name="X" localSheetId="15" hidden="0" function="0" vbProcedure="0">#ref!</definedName>
    <definedName name="X5_TO" localSheetId="15" hidden="0" function="0" vbProcedure="0">[129]RSS!$C$197</definedName>
    <definedName name="XCEED_TO" localSheetId="15" hidden="0" function="0" vbProcedure="0">[129]RSS!$G$201</definedName>
    <definedName name="xoportdepth" localSheetId="15" hidden="0" function="0" vbProcedure="0">'[113]#REF'!$F$21</definedName>
    <definedName name="XO_DEPTH" localSheetId="15" hidden="0" function="0" vbProcedure="0">'[113]#REF'!$F$21</definedName>
    <definedName name="XO_PORT_DEPTH" localSheetId="15" hidden="0" function="0" vbProcedure="0">'[113]#REF'!$F$21</definedName>
    <definedName name="XTRA_TO" localSheetId="15" hidden="0" function="0" vbProcedure="0">[129]RSS!$E$201</definedName>
    <definedName name="xxx" localSheetId="15" hidden="1" function="0" vbProcedure="0">{#N/A,#N/A,FALSE,"Sheet1"}</definedName>
    <definedName name="Y" localSheetId="15" hidden="0" function="0" vbProcedure="0">'[310]#ref'!#ref!</definedName>
    <definedName name="YESNO" localSheetId="15" hidden="0" function="0" vbProcedure="0">[129]RSS!$E$139:$E$141</definedName>
    <definedName name="YES_NO" localSheetId="15" hidden="0" function="0" vbProcedure="0">[195]LIBRARY!$L$41:$L$42</definedName>
    <definedName name="YJEJD" localSheetId="15" hidden="0" function="0" vbProcedure="0">'[146]tally checklist'!yjejd</definedName>
    <definedName name="yp" localSheetId="15" hidden="0" function="0" vbProcedure="0">'[115]Max-Torq'!$N$59</definedName>
    <definedName name="ypa" localSheetId="15" hidden="0" function="0" vbProcedure="0">'[115]Max-Torq'!$P$63</definedName>
    <definedName name="ypdtr" localSheetId="15" hidden="0" function="0" vbProcedure="0">'[115]Max-Torq'!$P$70</definedName>
    <definedName name="yyyyyyyyyyyy" localSheetId="15" hidden="1" function="0" vbProcedure="0">{"raatios",#N/A,FALSE,"A";"ratios",#N/A,FALSE,"B";"ratios",#N/A,FALSE,"C";"ratios",#N/A,FALSE,"D";"ratios",#N/A,FALSE,"F"}</definedName>
    <definedName name="zone" localSheetId="15" hidden="0" function="0" vbProcedure="0">[5]WTR!$L$4</definedName>
    <definedName name="Zone1BHP" localSheetId="15" hidden="0" function="0" vbProcedure="0">'[94]Job Technical Info'!$G$49</definedName>
    <definedName name="Zone1BHT" localSheetId="15" hidden="0" function="0" vbProcedure="0">'[94]Job Technical Info'!$H$49</definedName>
    <definedName name="Zone1Bottom" localSheetId="15" hidden="0" function="0" vbProcedure="0">'[94]Job Technical Info'!$E$49</definedName>
    <definedName name="Zone1Dev" localSheetId="15" hidden="0" function="0" vbProcedure="0">'[94]Job Technical Info'!$F$49</definedName>
    <definedName name="Zone1FluidType" localSheetId="15" hidden="0" function="0" vbProcedure="0">'[94]Job Technical Info'!$I$49</definedName>
    <definedName name="Zone1FluidWt" localSheetId="15" hidden="0" function="0" vbProcedure="0">'[94]Job Technical Info'!$J$49</definedName>
    <definedName name="Zone1Name" localSheetId="15" hidden="0" function="0" vbProcedure="0">'[94]Job Technical Info'!$C$49</definedName>
    <definedName name="Zone1Top" localSheetId="15" hidden="0" function="0" vbProcedure="0">'[94]Job Technical Info'!$D$49</definedName>
    <definedName name="Zone2BHP" localSheetId="15" hidden="0" function="0" vbProcedure="0">'[94]Job Technical Info'!$G$50</definedName>
    <definedName name="Zone2BHT" localSheetId="15" hidden="0" function="0" vbProcedure="0">'[94]Job Technical Info'!$H$50</definedName>
    <definedName name="Zone2Bottom" localSheetId="15" hidden="0" function="0" vbProcedure="0">'[94]Job Technical Info'!$E$50</definedName>
    <definedName name="Zone2Dev" localSheetId="15" hidden="0" function="0" vbProcedure="0">'[94]Job Technical Info'!$F$50</definedName>
    <definedName name="Zone2FluidType" localSheetId="15" hidden="0" function="0" vbProcedure="0">'[94]Job Technical Info'!$I$50</definedName>
    <definedName name="Zone2FluidWt" localSheetId="15" hidden="0" function="0" vbProcedure="0">'[94]Job Technical Info'!$J$50</definedName>
    <definedName name="Zone2Name" localSheetId="15" hidden="0" function="0" vbProcedure="0">'[94]Job Technical Info'!$C$50</definedName>
    <definedName name="Zone2Top" localSheetId="15" hidden="0" function="0" vbProcedure="0">'[94]Job Technical Info'!$D$50</definedName>
    <definedName name="Zone3BHP" localSheetId="15" hidden="0" function="0" vbProcedure="0">'[94]Job Technical Info'!$G$51</definedName>
    <definedName name="Zone3BHT" localSheetId="15" hidden="0" function="0" vbProcedure="0">'[94]Job Technical Info'!$H$51</definedName>
    <definedName name="Zone3Bottom" localSheetId="15" hidden="0" function="0" vbProcedure="0">'[94]Job Technical Info'!$E$51</definedName>
    <definedName name="Zone3Dev" localSheetId="15" hidden="0" function="0" vbProcedure="0">'[94]Job Technical Info'!$F$51</definedName>
    <definedName name="Zone3FluidType" localSheetId="15" hidden="0" function="0" vbProcedure="0">'[94]Job Technical Info'!$I$51</definedName>
    <definedName name="Zone3FluidWt" localSheetId="15" hidden="0" function="0" vbProcedure="0">'[94]Job Technical Info'!$J$51</definedName>
    <definedName name="Zone3Name" localSheetId="15" hidden="0" function="0" vbProcedure="0">'[94]Job Technical Info'!$C$51</definedName>
    <definedName name="Zone3Top" localSheetId="15" hidden="0" function="0" vbProcedure="0">'[94]Job Technical Info'!$D$51</definedName>
    <definedName name="Zone4BHP" localSheetId="15" hidden="0" function="0" vbProcedure="0">'[94]Job Technical Info'!$G$52</definedName>
    <definedName name="Zone4BHT" localSheetId="15" hidden="0" function="0" vbProcedure="0">'[94]Job Technical Info'!$H$52</definedName>
    <definedName name="Zone4Bottom" localSheetId="15" hidden="0" function="0" vbProcedure="0">'[94]Job Technical Info'!$E$52</definedName>
    <definedName name="Zone4Dev" localSheetId="15" hidden="0" function="0" vbProcedure="0">'[94]Job Technical Info'!$F$52</definedName>
    <definedName name="Zone4FluidType" localSheetId="15" hidden="0" function="0" vbProcedure="0">'[94]Job Technical Info'!$I$52</definedName>
    <definedName name="Zone4FluidWt" localSheetId="15" hidden="0" function="0" vbProcedure="0">'[94]Job Technical Info'!$J$52</definedName>
    <definedName name="Zone4Name" localSheetId="15" hidden="0" function="0" vbProcedure="0">'[94]Job Technical Info'!$C$52</definedName>
    <definedName name="Zone4Top" localSheetId="15" hidden="0" function="0" vbProcedure="0">'[94]Job Technical Info'!$D$52</definedName>
    <definedName name="Zone5BHP" localSheetId="15" hidden="0" function="0" vbProcedure="0">'[94]Job Technical Info'!$G$53</definedName>
    <definedName name="Zone5BHT" localSheetId="15" hidden="0" function="0" vbProcedure="0">'[94]Job Technical Info'!$H$53</definedName>
    <definedName name="Zone5Bottom" localSheetId="15" hidden="0" function="0" vbProcedure="0">'[94]Job Technical Info'!$E$53</definedName>
    <definedName name="Zone5Dev" localSheetId="15" hidden="0" function="0" vbProcedure="0">'[94]Job Technical Info'!$F$53</definedName>
    <definedName name="Zone5FluidType" localSheetId="15" hidden="0" function="0" vbProcedure="0">'[94]Job Technical Info'!$I$53</definedName>
    <definedName name="Zone5FluidWt" localSheetId="15" hidden="0" function="0" vbProcedure="0">'[94]Job Technical Info'!$J$53</definedName>
    <definedName name="Zone5Name" localSheetId="15" hidden="0" function="0" vbProcedure="0">'[94]Job Technical Info'!$C$53</definedName>
    <definedName name="Zone5Top" localSheetId="15" hidden="0" function="0" vbProcedure="0">'[94]Job Technical Info'!$D$53</definedName>
    <definedName name="ZXP_Seal_Area" localSheetId="15" hidden="0" function="0" vbProcedure="0">[109]Test!$Z$38</definedName>
    <definedName name="Z_Fact_DH" localSheetId="15" hidden="0" function="0" vbProcedure="0">'[108]Tester Valve Calcs'!$F$23</definedName>
    <definedName name="Z_Fact_Surf" localSheetId="15" hidden="0" function="0" vbProcedure="0">'[108]Tester Valve Calcs'!$F$18</definedName>
    <definedName name="_A" localSheetId="15" hidden="0" function="0" vbProcedure="0">'[2]run sheet'!#ref!</definedName>
    <definedName name="_C" localSheetId="15" hidden="0" function="0" vbProcedure="0">'[2]run sheet'!#ref!</definedName>
    <definedName name="_D" localSheetId="15" hidden="0" function="0" vbProcedure="0">'[2]run sheet'!#ref!</definedName>
    <definedName name="_E" localSheetId="15" hidden="0" function="0" vbProcedure="0">'[2]run sheet'!#ref!</definedName>
    <definedName name="_f" localSheetId="15" hidden="0" function="0" vbProcedure="0">{#N/A,#N/A,FALSE,"Volume"}</definedName>
    <definedName name="_g" localSheetId="15" hidden="0" function="0" vbProcedure="0">{#N/A,#N/A,FALSE,"Volume"}</definedName>
    <definedName name="_h" localSheetId="15" hidden="0" function="0" vbProcedure="0">{#N/A,#N/A,FALSE,"Volume"}</definedName>
    <definedName name="_I" localSheetId="15" hidden="0" function="0" vbProcedure="0">'[2]run sheet'!#ref!</definedName>
    <definedName name="_L" localSheetId="15" hidden="0" function="0" vbProcedure="0">'[2]run sheet'!#ref!</definedName>
    <definedName name="_N" localSheetId="15" hidden="0" function="0" vbProcedure="0">'[2]run sheet'!#ref!</definedName>
    <definedName name="_q" localSheetId="15" hidden="0" function="0" vbProcedure="0">'[4]run sheet'!#ref!</definedName>
    <definedName name="_T" localSheetId="15" hidden="0" function="0" vbProcedure="0">{#N/A,#N/A,FALSE,"Volume"}</definedName>
    <definedName name="_Z" localSheetId="15" hidden="0" function="0" vbProcedure="0">'[2]run sheet'!#ref!</definedName>
    <definedName name="_" localSheetId="15" hidden="0" function="0" vbProcedure="0">[6]readings!#ref!</definedName>
    <definedName name="_1" localSheetId="15" hidden="0" function="0" vbProcedure="0">{#N/A,#N/A,FALSE,"Volume"}</definedName>
    <definedName name="_11Druckbereich" localSheetId="15" hidden="0" function="0" vbProcedure="0">[36]run_s!#ref!</definedName>
    <definedName name="_1234GRAPH_G" localSheetId="15" hidden="1" function="0" vbProcedure="0">#ref!</definedName>
    <definedName name="_1Module2__2__.gaugeconok2" localSheetId="15" hidden="0" function="0" vbProcedure="0">[28]!_1Module2__2__.gaugeconok2</definedName>
    <definedName name="_2" localSheetId="15" hidden="0" function="0" vbProcedure="0">{#N/A,#N/A,FALSE,"Volume"}</definedName>
    <definedName name="_2Module2__2__.gaugeok2" localSheetId="15" hidden="0" function="0" vbProcedure="0">[28]!_2Module2__2__.gaugeok2</definedName>
    <definedName name="_3Module2__2__.gaugeselect2" localSheetId="15" hidden="0" function="0" vbProcedure="0">[28]!_3Module2__2__.gaugeselect2</definedName>
    <definedName name="_4Module2__2__.serialselect3" localSheetId="15" hidden="0" function="0" vbProcedure="0">[28]!_4Module2__2__.serialselect3</definedName>
    <definedName name="_5" localSheetId="15" hidden="0" function="0" vbProcedure="0">{#N/A,#N/A,FALSE,"Volume"}</definedName>
    <definedName name="_5Module2__2__.serialselect4" localSheetId="15" hidden="0" function="0" vbProcedure="0">[28]!_5Module2__2__.serialselect4</definedName>
    <definedName name="_a" localSheetId="15" hidden="0" function="0" vbProcedure="0">{#N/A,#N/A,FALSE,"Volume"}</definedName>
    <definedName name="_a1" localSheetId="15" hidden="0" function="0" vbProcedure="0">{#N/A,#N/A,FALSE,"Volume"}</definedName>
    <definedName name="_a2" localSheetId="15" hidden="0" function="0" vbProcedure="0">{#N/A,#N/A,FALSE,"Volume"}</definedName>
    <definedName name="_a3" localSheetId="15" hidden="0" function="0" vbProcedure="0">{#N/A,#N/A,FALSE,"Volume"}</definedName>
    <definedName name="_A4" localSheetId="15" hidden="1" function="0" vbProcedure="0">#ref!</definedName>
    <definedName name="_aa" localSheetId="15" hidden="0" function="0" vbProcedure="0">{#N/A,#N/A,FALSE,"Volume"}</definedName>
    <definedName name="_aaa" localSheetId="15" hidden="0" function="0" vbProcedure="0">{#N/A,#N/A,FALSE,"Volume"}</definedName>
    <definedName name="_aaaaa" localSheetId="15" hidden="0" function="0" vbProcedure="0">{#N/A,#N/A,FALSE,"Volume"}</definedName>
    <definedName name="_aaaaaa" localSheetId="15" hidden="0" function="0" vbProcedure="0">{#N/A,#N/A,FALSE,"Volume"}</definedName>
    <definedName name="_ab" localSheetId="15" hidden="0" function="0" vbProcedure="0">{#N/A,#N/A,FALSE,"Volume"}</definedName>
    <definedName name="_ac" localSheetId="15" hidden="0" function="0" vbProcedure="0">{#N/A,#N/A,FALSE,"Volume"}</definedName>
    <definedName name="_acasdf" localSheetId="15" hidden="0" function="0" vbProcedure="0">{#N/A,#N/A,FALSE,"Volume"}</definedName>
    <definedName name="_acc" localSheetId="15" hidden="0" function="0" vbProcedure="0">{#N/A,#N/A,FALSE,"Volume"}</definedName>
    <definedName name="_ap1" localSheetId="15" hidden="0" function="0" vbProcedure="0">{#N/A,#N/A,FALSE,"Volume"}</definedName>
    <definedName name="_ap2" localSheetId="15" hidden="0" function="0" vbProcedure="0">{#N/A,#N/A,FALSE,"Volume"}</definedName>
    <definedName name="_ap3" localSheetId="15" hidden="0" function="0" vbProcedure="0">{#N/A,#N/A,FALSE,"Volume"}</definedName>
    <definedName name="_app1" localSheetId="15" hidden="0" function="0" vbProcedure="0">{#N/A,#N/A,FALSE,"Volume"}</definedName>
    <definedName name="_app2" localSheetId="15" hidden="0" function="0" vbProcedure="0">{#N/A,#N/A,FALSE,"Volume"}</definedName>
    <definedName name="_app3" localSheetId="15" hidden="0" function="0" vbProcedure="0">{#N/A,#N/A,FALSE,"Volume"}</definedName>
    <definedName name="_app4" localSheetId="15" hidden="0" function="0" vbProcedure="0">{#N/A,#N/A,FALSE,"Volume"}</definedName>
    <definedName name="_app5" localSheetId="15" hidden="0" function="0" vbProcedure="0">{#N/A,#N/A,FALSE,"Volume"}</definedName>
    <definedName name="_asdfas" localSheetId="15" hidden="0" function="0" vbProcedure="0">{#N/A,#N/A,FALSE,"Volume"}</definedName>
    <definedName name="_b" localSheetId="15" hidden="0" function="0" vbProcedure="0">{#N/A,#N/A,FALSE,"Volume"}</definedName>
    <definedName name="_b1" localSheetId="15" hidden="0" function="0" vbProcedure="0">{#N/A,#N/A,FALSE,"Volume"}</definedName>
    <definedName name="_b2" localSheetId="15" hidden="0" function="0" vbProcedure="0">{#N/A,#N/A,FALSE,"Volume"}</definedName>
    <definedName name="_b3" localSheetId="15" hidden="0" function="0" vbProcedure="0">{#N/A,#N/A,FALSE,"Volume"}</definedName>
    <definedName name="_b4" localSheetId="15" hidden="0" function="0" vbProcedure="0">{#N/A,#N/A,FALSE,"Volume"}</definedName>
    <definedName name="_b5" localSheetId="15" hidden="0" function="0" vbProcedure="0">{#N/A,#N/A,FALSE,"Volume"}</definedName>
    <definedName name="_bgn1" localSheetId="15" hidden="1" function="0" vbProcedure="0">{#N/A,#N/A,FALSE,"Sheet1"}</definedName>
    <definedName name="_c" localSheetId="15" hidden="0" function="0" vbProcedure="0">{#N/A,#N/A,FALSE,"Volume"}</definedName>
    <definedName name="_c1" localSheetId="15" hidden="0" function="0" vbProcedure="0">{#N/A,#N/A,FALSE,"Volume"}</definedName>
    <definedName name="_c2" localSheetId="15" hidden="0" function="0" vbProcedure="0">{#N/A,#N/A,FALSE,"Volume"}</definedName>
    <definedName name="_c3" localSheetId="15" hidden="0" function="0" vbProcedure="0">{#N/A,#N/A,FALSE,"Volume"}</definedName>
    <definedName name="_c4" localSheetId="15" hidden="0" function="0" vbProcedure="0">{#N/A,#N/A,FALSE,"Volume"}</definedName>
    <definedName name="_cd1" localSheetId="15" hidden="1" function="0" vbProcedure="0">{#N/A,#N/A,FALSE,"Sheet1"}</definedName>
    <definedName name="_cf1" localSheetId="15" hidden="1" function="0" vbProcedure="0">{#N/A,#N/A,FALSE,"Sheet1"}</definedName>
    <definedName name="_d" localSheetId="15" hidden="0" function="0" vbProcedure="0">{#N/A,#N/A,FALSE,"Volume"}</definedName>
    <definedName name="_d1" localSheetId="15" hidden="0" function="0" vbProcedure="0">{#N/A,#N/A,FALSE,"Volume"}</definedName>
    <definedName name="_d2_" localSheetId="15" hidden="0" function="0" vbProcedure="0">{#N/A,#N/A,FALSE,"Volume"}</definedName>
    <definedName name="_d3" localSheetId="15" hidden="0" function="0" vbProcedure="0">{#N/A,#N/A,FALSE,"Volume"}</definedName>
    <definedName name="_d4" localSheetId="15" hidden="0" function="0" vbProcedure="0">{#N/A,#N/A,FALSE,"Volume"}</definedName>
    <definedName name="_DAT16" localSheetId="15" hidden="0" function="0" vbProcedure="0">'[40]sap serv 06-02'!#ref!</definedName>
    <definedName name="_DAT17" localSheetId="15" hidden="0" function="0" vbProcedure="0">'[40]sap serv 06-02'!#ref!</definedName>
    <definedName name="_DAT19" localSheetId="15" hidden="0" function="0" vbProcedure="0">'[40]sap serv 06-02'!#ref!</definedName>
    <definedName name="_DAT20" localSheetId="15" hidden="0" function="0" vbProcedure="0">'[40]sap serv 06-02'!#ref!</definedName>
    <definedName name="_DAT25" localSheetId="15" hidden="0" function="0" vbProcedure="0">'[40]sap serv 06-02'!#ref!</definedName>
    <definedName name="_DAT26" localSheetId="15" hidden="0" function="0" vbProcedure="0">'[40]sap serv 06-02'!#ref!</definedName>
    <definedName name="_DAT27" localSheetId="15" hidden="0" function="0" vbProcedure="0">'[40]sap serv 06-02'!#ref!</definedName>
    <definedName name="_DAT28" localSheetId="15" hidden="0" function="0" vbProcedure="0">'[40]sap serv 06-02'!#ref!</definedName>
    <definedName name="_DAT29" localSheetId="15" hidden="0" function="0" vbProcedure="0">'[40]sap serv 06-02'!#ref!</definedName>
    <definedName name="_DAT31" localSheetId="15" hidden="0" function="0" vbProcedure="0">'[40]sap serv 06-02'!#ref!</definedName>
    <definedName name="_DAT32" localSheetId="15" hidden="0" function="0" vbProcedure="0">'[40]sap serv 06-02'!#ref!</definedName>
    <definedName name="_DAT34" localSheetId="15" hidden="0" function="0" vbProcedure="0">'[40]sap serv 06-02'!#ref!</definedName>
    <definedName name="_DAT35" localSheetId="15" hidden="0" function="0" vbProcedure="0">'[40]sap serv 06-02'!#ref!</definedName>
    <definedName name="_DAT36" localSheetId="15" hidden="0" function="0" vbProcedure="0">'[40]sap serv 06-02'!#ref!</definedName>
    <definedName name="_DAT40" localSheetId="15" hidden="0" function="0" vbProcedure="0">'[40]sap serv 06-02'!#ref!</definedName>
    <definedName name="_DAT41" localSheetId="15" hidden="0" function="0" vbProcedure="0">'[40]sap serv 06-02'!#ref!</definedName>
    <definedName name="_DAT42" localSheetId="15" hidden="0" function="0" vbProcedure="0">'[40]sap serv 06-02'!#ref!</definedName>
    <definedName name="_DAT44" localSheetId="15" hidden="0" function="0" vbProcedure="0">'[40]sap serv 06-02'!#ref!</definedName>
    <definedName name="_DAT45" localSheetId="15" hidden="0" function="0" vbProcedure="0">'[40]sap serv 06-02'!#ref!</definedName>
    <definedName name="_DAT46" localSheetId="15" hidden="0" function="0" vbProcedure="0">'[40]sap serv 06-02'!#ref!</definedName>
    <definedName name="_DAT47" localSheetId="15" hidden="0" function="0" vbProcedure="0">'[40]sap serv 06-02'!#ref!</definedName>
    <definedName name="_DAT48" localSheetId="15" hidden="0" function="0" vbProcedure="0">'[40]sap serv 06-02'!#ref!</definedName>
    <definedName name="_DAT49" localSheetId="15" hidden="0" function="0" vbProcedure="0">'[40]sap serv 06-02'!#ref!</definedName>
    <definedName name="_DAT50" localSheetId="15" hidden="0" function="0" vbProcedure="0">'[40]sap serv 06-02'!#ref!</definedName>
    <definedName name="_DAT52" localSheetId="15" hidden="0" function="0" vbProcedure="0">'[40]sap serv 06-02'!#ref!</definedName>
    <definedName name="_DAT53" localSheetId="15" hidden="0" function="0" vbProcedure="0">'[40]sap serv 06-02'!#ref!</definedName>
    <definedName name="_DAT54" localSheetId="15" hidden="0" function="0" vbProcedure="0">'[40]sap serv 06-02'!#ref!</definedName>
    <definedName name="_DAT56" localSheetId="15" hidden="0" function="0" vbProcedure="0">'[40]sap serv 06-02'!#ref!</definedName>
    <definedName name="_DAT57" localSheetId="15" hidden="0" function="0" vbProcedure="0">'[40]sap serv 06-02'!#ref!</definedName>
    <definedName name="_DAT62" localSheetId="15" hidden="0" function="0" vbProcedure="0">'[40]sap serv 06-02'!#ref!</definedName>
    <definedName name="_DAT63" localSheetId="15" hidden="0" function="0" vbProcedure="0">'[40]sap serv 06-02'!#ref!</definedName>
    <definedName name="_e" localSheetId="15" hidden="0" function="0" vbProcedure="0">{#N/A,#N/A,FALSE,"Volume"}</definedName>
    <definedName name="_e1" localSheetId="15" hidden="0" function="0" vbProcedure="0">{#N/A,#N/A,FALSE,"Volume"}</definedName>
    <definedName name="_e2" localSheetId="15" hidden="0" function="0" vbProcedure="0">{#N/A,#N/A,FALSE,"Volume"}</definedName>
    <definedName name="_e3" localSheetId="15" hidden="0" function="0" vbProcedure="0">{#N/A,#N/A,FALSE,"Volume"}</definedName>
    <definedName name="_e4" localSheetId="15" hidden="0" function="0" vbProcedure="0">{#N/A,#N/A,FALSE,"Volume"}</definedName>
    <definedName name="_f1" localSheetId="15" hidden="0" function="0" vbProcedure="0">{#N/A,#N/A,FALSE,"Volume"}</definedName>
    <definedName name="_f2" localSheetId="15" hidden="0" function="0" vbProcedure="0">{#N/A,#N/A,FALSE,"Volume"}</definedName>
    <definedName name="_f3" localSheetId="15" hidden="0" function="0" vbProcedure="0">{#N/A,#N/A,FALSE,"Volume"}</definedName>
    <definedName name="_f4" localSheetId="15" hidden="0" function="0" vbProcedure="0">{#N/A,#N/A,FALSE,"Volume"}</definedName>
    <definedName name="_f5" localSheetId="15" hidden="0" function="0" vbProcedure="0">{#N/A,#N/A,FALSE,"Volume"}</definedName>
    <definedName name="_f6" localSheetId="15" hidden="0" function="0" vbProcedure="0">{#N/A,#N/A,FALSE,"Volume"}</definedName>
    <definedName name="_f7" localSheetId="15" hidden="0" function="0" vbProcedure="0">{#N/A,#N/A,FALSE,"Volume"}</definedName>
    <definedName name="_Fill" localSheetId="15" hidden="1" function="0" vbProcedure="0">#ref!</definedName>
    <definedName name="_gmh1" localSheetId="15" hidden="1" function="0" vbProcedure="0">{#N/A,#N/A,FALSE,"Sheet1"}</definedName>
    <definedName name="_i" localSheetId="15" hidden="0" function="0" vbProcedure="0">{#N/A,#N/A,FALSE,"Volume"}</definedName>
    <definedName name="_Key1" localSheetId="15" hidden="1" function="0" vbProcedure="0">#ref!</definedName>
    <definedName name="_lyc7" localSheetId="15" hidden="0" function="0" vbProcedure="0">[119]钻井日报表!$G$5</definedName>
    <definedName name="_num15" localSheetId="15" hidden="0" function="0" vbProcedure="0">'[33]data '!#ref!</definedName>
    <definedName name="_Order2" localSheetId="15" hidden="1" function="0" vbProcedure="0">0</definedName>
    <definedName name="_P" localSheetId="15" hidden="0" function="0" vbProcedure="0">{#N/A,#N/A,FALSE,"Volume"}</definedName>
    <definedName name="_P1" localSheetId="15" hidden="0" function="0" vbProcedure="0">{#N/A,#N/A,FALSE,"Volume"}</definedName>
    <definedName name="_P2" localSheetId="15" hidden="0" function="0" vbProcedure="0">{#N/A,#N/A,FALSE,"Volume"}</definedName>
    <definedName name="_P3" localSheetId="15" hidden="0" function="0" vbProcedure="0">{#N/A,#N/A,FALSE,"Volume"}</definedName>
    <definedName name="_P4" localSheetId="15" hidden="0" function="0" vbProcedure="0">{#N/A,#N/A,FALSE,"Volume"}</definedName>
    <definedName name="_pap1" localSheetId="15" hidden="0" function="0" vbProcedure="0">{#N/A,#N/A,FALSE,"Volume"}</definedName>
    <definedName name="_pap2" localSheetId="15" hidden="0" function="0" vbProcedure="0">{#N/A,#N/A,FALSE,"Volume"}</definedName>
    <definedName name="_pap3" localSheetId="15" hidden="0" function="0" vbProcedure="0">{#N/A,#N/A,FALSE,"Volume"}</definedName>
    <definedName name="_pap4" localSheetId="15" hidden="0" function="0" vbProcedure="0">{#N/A,#N/A,FALSE,"Volume"}</definedName>
    <definedName name="_pap5" localSheetId="15" hidden="0" function="0" vbProcedure="0">{#N/A,#N/A,FALSE,"Volume"}</definedName>
    <definedName name="_r06" localSheetId="15" hidden="0" function="0" vbProcedure="0">[44]!AutoCAD</definedName>
    <definedName name="_Sort" localSheetId="15" hidden="1" function="0" vbProcedure="0">#ref!</definedName>
    <definedName name="_Table1_In1" localSheetId="15" hidden="1" function="0" vbProcedure="0">#ref!</definedName>
    <definedName name="_Table1_Out" localSheetId="15" hidden="1" function="0" vbProcedure="0">#ref!</definedName>
    <definedName name="_TST2" localSheetId="15" hidden="0" function="0" vbProcedure="0">'[109]Liner Job Info'!$O$7</definedName>
    <definedName name="_UA38" localSheetId="15" hidden="0" function="0" vbProcedure="0">[28]!_UA38</definedName>
    <definedName name="_wrn1" localSheetId="15" hidden="0" function="0" vbProcedure="0">{#N/A,#N/A,FALSE,"Volume"}</definedName>
    <definedName name="_x" localSheetId="15" hidden="0" function="0" vbProcedure="0">{#N/A,#N/A,FALSE,"Volume"}</definedName>
    <definedName name="_xa" localSheetId="15" hidden="0" function="0" vbProcedure="0">{#N/A,#N/A,FALSE,"Volume"}</definedName>
    <definedName name="_xb" localSheetId="15" hidden="0" function="0" vbProcedure="0">{#N/A,#N/A,FALSE,"Volume"}</definedName>
    <definedName name="_xc" localSheetId="15" hidden="0" function="0" vbProcedure="0">{#N/A,#N/A,FALSE,"Volume"}</definedName>
    <definedName name="_z" localSheetId="15" hidden="0" function="0" vbProcedure="0">{#N/A,#N/A,FALSE,"Volume"}</definedName>
    <definedName name="_z1" localSheetId="15" hidden="0" function="0" vbProcedure="0">{#N/A,#N/A,FALSE,"Volume"}</definedName>
    <definedName name="_z2" localSheetId="15" hidden="0" function="0" vbProcedure="0">{#N/A,#N/A,FALSE,"Volume"}</definedName>
    <definedName name="_z3" localSheetId="15" hidden="0" function="0" vbProcedure="0">{#N/A,#N/A,FALSE,"Volume"}</definedName>
    <definedName name="_z4" localSheetId="15" hidden="0" function="0" vbProcedure="0">{#N/A,#N/A,FALSE,"Volume"}</definedName>
    <definedName name="__" localSheetId="15" hidden="0" function="0" vbProcedure="0">'[113]#REF'!$E$29</definedName>
    <definedName name="__123Graph_A" localSheetId="15" hidden="1" function="0" vbProcedure="0">#ref!</definedName>
    <definedName name="__123Graph_B" localSheetId="15" hidden="1" function="0" vbProcedure="0">'[102]Minimum Curve Method'!$K$9:$K$152</definedName>
    <definedName name="__123Graph_C" localSheetId="15" hidden="1" function="0" vbProcedure="0">#ref!</definedName>
    <definedName name="__123Graph_D" localSheetId="15" hidden="1" function="0" vbProcedure="0">#ref!</definedName>
    <definedName name="__123Graph_E" localSheetId="15" hidden="1" function="0" vbProcedure="0">#ref!</definedName>
    <definedName name="__123Graph_F" localSheetId="15" hidden="1" function="0" vbProcedure="0">#ref!</definedName>
    <definedName name="__123Graph_X" localSheetId="15" hidden="1" function="0" vbProcedure="0">'[102]Minimum Curve Method'!$K$9:$K$152</definedName>
    <definedName name="__1Module2__2__.gaugeconok2" localSheetId="15" hidden="0" function="0" vbProcedure="0">[28]!__1Module2__2__.gaugeconok2</definedName>
    <definedName name="__2Module2__2__.gaugeok2" localSheetId="15" hidden="0" function="0" vbProcedure="0">[28]!__2Module2__2__.gaugeok2</definedName>
    <definedName name="__3Module2__2__.gaugeselect2" localSheetId="15" hidden="0" function="0" vbProcedure="0">[28]!__3Module2__2__.gaugeselect2</definedName>
    <definedName name="__4Module2__2__.serialselect3" localSheetId="15" hidden="0" function="0" vbProcedure="0">[28]!__4Module2__2__.serialselect3</definedName>
    <definedName name="__5Module2__2__.serialselect4" localSheetId="15" hidden="0" function="0" vbProcedure="0">[28]!__5Module2__2__.serialselect4</definedName>
    <definedName name="__A4" localSheetId="15" hidden="1" function="0" vbProcedure="0">#ref!</definedName>
    <definedName name="__bb2789" localSheetId="15" hidden="0" function="0" vbProcedure="0">[10]!Calculate_Pipe</definedName>
    <definedName name="__UA38" localSheetId="15" hidden="0" function="0" vbProcedure="0">[28]!__UA38</definedName>
    <definedName name="__wrn1" localSheetId="15" hidden="0" function="0" vbProcedure="0">{#N/A,#N/A,FALSE,"Volume"}</definedName>
    <definedName name="___A4" localSheetId="15" hidden="1" function="0" vbProcedure="0">#ref!</definedName>
    <definedName name="___bb2789" localSheetId="15" hidden="0" function="0" vbProcedure="0">[10]!Calculate_Pipe</definedName>
    <definedName name="___wrn1" localSheetId="15" hidden="0" function="0" vbProcedure="0">{#N/A,#N/A,FALSE,"Volume"}</definedName>
    <definedName name="____A4" localSheetId="15" hidden="1" function="0" vbProcedure="0">#ref!</definedName>
    <definedName name="____bb2789" localSheetId="15" hidden="0" function="0" vbProcedure="0">[10]!Calculate_Pipe</definedName>
    <definedName name="____wrn1" localSheetId="15" hidden="0" function="0" vbProcedure="0">{#N/A,#N/A,FALSE,"Volume"}</definedName>
    <definedName name="_____A4" localSheetId="15" hidden="1" function="0" vbProcedure="0">#ref!</definedName>
    <definedName name="_____wrn1" localSheetId="15" hidden="0" function="0" vbProcedure="0">{#N/A,#N/A,FALSE,"Volume"}</definedName>
    <definedName name="______A4" localSheetId="15" hidden="1" function="0" vbProcedure="0">#ref!</definedName>
    <definedName name="_______A4" localSheetId="15" hidden="1" function="0" vbProcedure="0">#ref!</definedName>
    <definedName name="_______wrn1" localSheetId="15" hidden="0" function="0" vbProcedure="0">{#N/A,#N/A,FALSE,"Volume"}</definedName>
    <definedName name="________A4" localSheetId="15" hidden="1" function="0" vbProcedure="0">#ref!</definedName>
    <definedName name="_________A4" localSheetId="15" hidden="1" function="0" vbProcedure="0">#ref!</definedName>
    <definedName name="_________wrn1" localSheetId="15" hidden="0" function="0" vbProcedure="0">{#N/A,#N/A,FALSE,"Volume"}</definedName>
    <definedName name="__________A4" localSheetId="15" hidden="1" function="0" vbProcedure="0">#ref!</definedName>
    <definedName name="___________A4" localSheetId="15" hidden="1" function="0" vbProcedure="0">#ref!</definedName>
    <definedName name="___________wrn1" localSheetId="15" hidden="0" function="0" vbProcedure="0">{#N/A,#N/A,FALSE,"Volume"}</definedName>
    <definedName name="____________A4" localSheetId="15" hidden="1" function="0" vbProcedure="0">#ref!</definedName>
    <definedName name="____________wrn1" localSheetId="15" hidden="0" function="0" vbProcedure="0">{#N/A,#N/A,FALSE,"Volume"}</definedName>
    <definedName name="_____________A4" localSheetId="15" hidden="1" function="0" vbProcedure="0">#ref!</definedName>
    <definedName name="______________A4" localSheetId="15" hidden="1" function="0" vbProcedure="0">#ref!</definedName>
    <definedName name="_______________A4" localSheetId="15" hidden="1" function="0" vbProcedure="0">#ref!</definedName>
    <definedName name="________________A4" localSheetId="15" hidden="1" function="0" vbProcedure="0">#ref!</definedName>
    <definedName name="________________bb2789" localSheetId="15" hidden="0" function="0" vbProcedure="0">[10]!Calculate_Pipe</definedName>
    <definedName name="_________________A4" localSheetId="15" hidden="1" function="0" vbProcedure="0">#ref!</definedName>
    <definedName name="_________________bb2789" localSheetId="15" hidden="0" function="0" vbProcedure="0">[10]!Calculate_Pipe</definedName>
    <definedName name="__________________A4" localSheetId="15" hidden="1" function="0" vbProcedure="0">#ref!</definedName>
    <definedName name="__________________bb2789" localSheetId="15" hidden="0" function="0" vbProcedure="0">[12]!Calculate_Pipe</definedName>
    <definedName name="___________________A4" localSheetId="15" hidden="1" function="0" vbProcedure="0">#ref!</definedName>
    <definedName name="____________________A4" localSheetId="15" hidden="1" function="0" vbProcedure="0">#ref!</definedName>
    <definedName name="_____________________A4" localSheetId="15" hidden="1" function="0" vbProcedure="0">#ref!</definedName>
    <definedName name="______________________A4" localSheetId="15" hidden="1" function="0" vbProcedure="0">#ref!</definedName>
    <definedName name="_______________________A4" localSheetId="15" hidden="1" function="0" vbProcedure="0">#ref!</definedName>
    <definedName name="________________________A4" localSheetId="15" hidden="1" function="0" vbProcedure="0">#ref!</definedName>
    <definedName name="_________________________A4" localSheetId="15" hidden="1" function="0" vbProcedure="0">#ref!</definedName>
    <definedName name="__________________________A4" localSheetId="15" hidden="1" function="0" vbProcedure="0">#ref!</definedName>
    <definedName name="____________________________A4" localSheetId="15" hidden="1" function="0" vbProcedure="0">#ref!</definedName>
    <definedName name="_____________________________A4" localSheetId="15" hidden="1" function="0" vbProcedure="0">#ref!</definedName>
    <definedName name="歼击机" localSheetId="15" hidden="0" function="0" vbProcedure="0">[119]钻井日报表!$E$7</definedName>
    <definedName name="起始日期" localSheetId="15" hidden="0" function="0" vbProcedure="0">[181]钻井日报表!$B$1</definedName>
    <definedName name="_xlnm.Print_Area" localSheetId="15">'DHWS'!$D$1:$AR$109</definedName>
  </definedNames>
  <calcPr calcId="124519" fullCalcOnLoad="1" refMode="A1" iterate="0" iterateCount="100" iterateDelta="0.0001"/>
</workbook>
</file>

<file path=xl/styles.xml><?xml version="1.0" encoding="utf-8"?>
<styleSheet xmlns="http://schemas.openxmlformats.org/spreadsheetml/2006/main">
  <numFmts count="21">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0000"/>
    <numFmt numFmtId="176" formatCode="0.000"/>
    <numFmt numFmtId="177" formatCode="0;[RED]0"/>
    <numFmt numFmtId="178" formatCode="0&quot; JTS&quot;"/>
    <numFmt numFmtId="179" formatCode="0.00;[RED]0.00"/>
    <numFmt numFmtId="180" formatCode="0;\-0;;@"/>
    <numFmt numFmtId="181" formatCode="0&quot; FT MD&quot;"/>
    <numFmt numFmtId="182" formatCode="0&quot; FT TVD&quot;"/>
    <numFmt numFmtId="183" formatCode="0&quot; DEG&quot;"/>
    <numFmt numFmtId="184" formatCode="dd-mmm-yy"/>
  </numFmts>
  <fonts count="196">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0"/>
      <sz val="14"/>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sz val="19"/>
    </font>
    <font>
      <name val="Calibri"/>
      <charset val="1"/>
      <family val="2"/>
      <b val="1"/>
      <sz val="19"/>
    </font>
    <font>
      <name val="Arial"/>
      <charset val="1"/>
      <family val="2"/>
      <sz val="24"/>
    </font>
    <font>
      <name val="Calibri"/>
      <charset val="1"/>
      <family val="2"/>
      <sz val="22"/>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11"/>
      <u val="single"/>
    </font>
    <font>
      <name val="Calibri"/>
      <charset val="1"/>
      <family val="2"/>
      <color theme="1"/>
      <sz val="19"/>
    </font>
    <font>
      <name val="Calibri"/>
      <charset val="1"/>
      <family val="2"/>
      <b val="1"/>
      <color theme="1"/>
      <sz val="19"/>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Calibri"/>
      <charset val="1"/>
      <family val="2"/>
      <b val="1"/>
      <color rgb="FFFFFFFF"/>
      <sz val="11"/>
    </font>
    <font>
      <name val="Calibri"/>
      <charset val="1"/>
      <family val="2"/>
      <b val="1"/>
      <color theme="1"/>
      <sz val="22"/>
    </font>
    <font>
      <name val="Arial"/>
      <charset val="1"/>
      <family val="2"/>
      <b val="1"/>
      <sz val="22"/>
    </font>
    <font>
      <name val="Calibri"/>
      <charset val="1"/>
      <family val="2"/>
      <i val="1"/>
      <color theme="1"/>
      <sz val="11"/>
    </font>
    <font>
      <name val="Arial Narrow"/>
      <charset val="1"/>
      <family val="2"/>
      <color rgb="FF800000"/>
      <sz val="10"/>
    </font>
    <font>
      <name val="Arial Narrow"/>
      <charset val="1"/>
      <family val="2"/>
      <b val="1"/>
      <color theme="0"/>
      <sz val="10"/>
    </font>
    <font>
      <name val="Arial Narrow"/>
      <charset val="1"/>
      <family val="2"/>
      <sz val="10"/>
    </font>
    <font>
      <name val="Arial Narrow"/>
      <charset val="1"/>
      <family val="2"/>
      <sz val="12"/>
    </font>
    <font>
      <name val="Arial Narrow"/>
      <charset val="1"/>
      <family val="2"/>
      <b val="1"/>
      <sz val="10"/>
    </font>
    <font>
      <name val="Arial Narrow"/>
      <charset val="1"/>
      <family val="2"/>
      <color rgb="FF000000"/>
      <sz val="10"/>
    </font>
    <font>
      <name val="Arial Nova Cond"/>
      <charset val="1"/>
      <family val="2"/>
      <color theme="1"/>
      <sz val="11"/>
    </font>
    <font>
      <name val="Arial Nova Cond"/>
      <charset val="1"/>
      <family val="2"/>
      <color theme="1"/>
      <sz val="10"/>
    </font>
    <font>
      <name val="Arial Nova Cond"/>
      <charset val="1"/>
      <family val="2"/>
      <color theme="1"/>
      <sz val="8"/>
    </font>
    <font>
      <name val="Arial Nova Cond"/>
      <charset val="1"/>
      <family val="2"/>
      <b val="1"/>
      <sz val="14"/>
    </font>
    <font>
      <name val="Arial Nova Cond"/>
      <charset val="1"/>
      <family val="2"/>
      <b val="1"/>
      <sz val="12"/>
    </font>
    <font>
      <name val="Arial Nova Cond"/>
      <charset val="1"/>
      <family val="2"/>
      <b val="1"/>
      <color theme="1"/>
      <sz val="12"/>
    </font>
    <font>
      <name val="Arial Nova Cond"/>
      <charset val="1"/>
      <family val="2"/>
      <b val="1"/>
      <color rgb="FF0070C0"/>
      <sz val="11"/>
    </font>
    <font>
      <name val="Arial"/>
      <charset val="1"/>
      <family val="2"/>
      <sz val="4"/>
    </font>
    <font>
      <name val="Arial Nova Cond"/>
      <charset val="1"/>
      <family val="2"/>
      <color rgb="FFC00000"/>
      <sz val="8"/>
    </font>
    <font>
      <name val="Arial"/>
      <charset val="1"/>
      <family val="2"/>
      <b val="1"/>
      <sz val="4"/>
    </font>
    <font>
      <name val="Arial"/>
      <charset val="1"/>
      <family val="2"/>
      <b val="1"/>
      <color rgb="FF000000"/>
      <sz val="4"/>
    </font>
    <font>
      <name val="Arial Nova Cond"/>
      <charset val="1"/>
      <family val="2"/>
      <color theme="1"/>
      <sz val="9"/>
    </font>
    <font>
      <name val="Arial Nova Cond"/>
      <charset val="1"/>
      <family val="2"/>
      <b val="1"/>
      <color rgb="FF0070C0"/>
      <sz val="9"/>
    </font>
    <font>
      <name val="Arial Nova Cond"/>
      <charset val="1"/>
      <family val="2"/>
      <b val="1"/>
      <color theme="1"/>
      <sz val="9"/>
    </font>
    <font>
      <name val="Arial Nova Cond"/>
      <charset val="1"/>
      <family val="2"/>
      <color theme="0" tint="-0.15"/>
      <sz val="8"/>
    </font>
    <font>
      <name val="Arial Nova Cond"/>
      <charset val="1"/>
      <family val="2"/>
      <b val="1"/>
      <sz val="9"/>
    </font>
    <font>
      <name val="Arial Nova Cond"/>
      <charset val="1"/>
      <family val="2"/>
      <b val="1"/>
      <color rgb="FF0070C0"/>
      <sz val="8"/>
    </font>
    <font>
      <name val="Arial Nova Cond"/>
      <charset val="1"/>
      <family val="2"/>
      <color theme="0"/>
      <sz val="2"/>
    </font>
    <font>
      <name val="Arial Nova Cond"/>
      <charset val="1"/>
      <family val="2"/>
      <sz val="9"/>
    </font>
    <font>
      <name val="Arial Nova Cond"/>
      <charset val="1"/>
      <family val="2"/>
      <b val="1"/>
      <color theme="1"/>
      <sz val="16"/>
    </font>
    <font>
      <name val="Arial Nova Cond"/>
      <charset val="1"/>
      <family val="2"/>
      <b val="1"/>
      <color theme="1"/>
      <sz val="20"/>
    </font>
    <font>
      <name val="Arial Nova Cond"/>
      <charset val="1"/>
      <family val="2"/>
      <b val="1"/>
      <color theme="1"/>
      <sz val="11"/>
    </font>
    <font>
      <name val="Arial Nova Cond"/>
      <charset val="1"/>
      <family val="2"/>
      <b val="1"/>
      <color theme="1"/>
      <sz val="10"/>
    </font>
    <font>
      <name val="Calibri"/>
      <charset val="1"/>
      <family val="2"/>
      <b val="1"/>
      <sz val="5.5"/>
    </font>
    <font>
      <name val="Arial Nova Cond"/>
      <charset val="1"/>
      <family val="2"/>
      <b val="1"/>
      <color theme="1"/>
      <sz val="9"/>
      <u val="single"/>
    </font>
    <font>
      <name val="Arial Nova Cond"/>
      <charset val="1"/>
      <family val="2"/>
      <color theme="0" tint="-0.25"/>
      <sz val="4"/>
    </font>
    <font>
      <name val="Arial Nova Cond"/>
      <family val="2"/>
      <b val="1"/>
      <color theme="1"/>
      <sz val="9"/>
    </font>
    <font>
      <name val="Calibri"/>
      <family val="0"/>
      <color rgb="FF000000"/>
      <sz val="8"/>
    </font>
    <font>
      <name val="Calibri"/>
      <family val="0"/>
      <b val="1"/>
      <color rgb="FF0070C0"/>
      <sz val="12"/>
    </font>
    <font>
      <name val="Arial Nova Cond"/>
      <family val="0"/>
      <i val="1"/>
      <color rgb="FF0070C0"/>
      <sz val="8"/>
    </font>
    <font>
      <name val="Calibri"/>
      <family val="0"/>
      <color rgb="FF000000"/>
      <sz val="10"/>
    </font>
    <font>
      <name val="Calibri"/>
      <family val="0"/>
      <color rgb="FF000000"/>
      <sz val="7"/>
    </font>
    <font>
      <name val="Calibri"/>
      <family val="0"/>
      <color theme="1"/>
      <sz val="8"/>
    </font>
    <font>
      <name val="Calibri"/>
      <family val="0"/>
      <b val="1"/>
      <color theme="1"/>
      <sz val="10"/>
    </font>
    <font>
      <name val="Calibri"/>
      <family val="0"/>
      <b val="1"/>
      <color theme="3"/>
      <sz val="10"/>
    </font>
    <font>
      <name val="Calibri"/>
      <family val="0"/>
      <b val="1"/>
      <color rgb="FFC00000"/>
      <sz val="10"/>
    </font>
    <font>
      <name val="Calibri"/>
      <family val="0"/>
      <b val="1"/>
      <color rgb="FF0070C0"/>
      <sz val="10"/>
    </font>
    <font>
      <name val="Calibri"/>
      <family val="0"/>
      <b val="1"/>
      <color rgb="FF007A37"/>
      <sz val="10"/>
    </font>
    <font>
      <name val="Calibri"/>
      <family val="0"/>
      <b val="1"/>
      <color rgb="FF00B050"/>
      <sz val="10"/>
    </font>
    <font>
      <name val="Calibri"/>
      <family val="0"/>
      <b val="1"/>
      <i val="1"/>
      <color theme="1"/>
      <sz val="11"/>
    </font>
  </fonts>
  <fills count="57">
    <fill>
      <patternFill/>
    </fill>
    <fill>
      <patternFill patternType="gray125"/>
    </fill>
    <fill>
      <patternFill patternType="solid">
        <fgColor theme="0"/>
        <bgColor rgb="FFF2F2F2"/>
      </patternFill>
    </fill>
    <fill>
      <patternFill patternType="darkGray">
        <fgColor theme="9" tint="0.3999"/>
        <bgColor rgb="FFBDCBBE"/>
      </patternFill>
    </fill>
    <fill>
      <patternFill patternType="solid">
        <fgColor rgb="FFFFFF00"/>
        <bgColor rgb="FFFFFF99"/>
      </patternFill>
    </fill>
    <fill>
      <patternFill patternType="solid">
        <fgColor theme="0" tint="-0.15"/>
        <bgColor rgb="FFDBDBDB"/>
      </patternFill>
    </fill>
    <fill>
      <patternFill patternType="solid">
        <fgColor rgb="FFFF0000"/>
        <bgColor rgb="FFBB0000"/>
      </patternFill>
    </fill>
    <fill>
      <patternFill patternType="solid">
        <fgColor theme="0" tint="-0.25"/>
        <bgColor rgb="FFC0C0C0"/>
      </patternFill>
    </fill>
    <fill>
      <patternFill patternType="solid">
        <fgColor theme="0" tint="-0.05"/>
        <bgColor rgb="FFE7E6E6"/>
      </patternFill>
    </fill>
    <fill>
      <patternFill patternType="solid">
        <fgColor theme="6" tint="0.5999"/>
        <bgColor rgb="FFD9D9D9"/>
      </patternFill>
    </fill>
    <fill>
      <patternFill patternType="solid">
        <fgColor rgb="FF333333"/>
        <bgColor rgb="FF333399"/>
      </patternFill>
    </fill>
    <fill>
      <patternFill patternType="darkGray">
        <fgColor rgb="FFF27B00"/>
        <bgColor rgb="FFFF0000"/>
      </patternFill>
    </fill>
    <fill>
      <patternFill patternType="darkGray">
        <fgColor rgb="FFFFFF00"/>
        <bgColor rgb="FFFFE699"/>
      </patternFill>
    </fill>
    <fill>
      <patternFill patternType="mediumGray">
        <fgColor rgb="FFFFFF00"/>
        <bgColor rgb="FFA9D477"/>
      </patternFill>
    </fill>
    <fill>
      <patternFill patternType="solid">
        <fgColor rgb="FFA9D477"/>
        <bgColor rgb="FFCACAB5"/>
      </patternFill>
    </fill>
    <fill>
      <patternFill patternType="darkGray">
        <fgColor rgb="FF009D1C"/>
        <bgColor rgb="FF365480"/>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rgb="FFDDBDD0"/>
        <bgColor rgb="FFDEB6D8"/>
      </patternFill>
    </fill>
    <fill>
      <patternFill patternType="solid">
        <fgColor rgb="FFB7BACF"/>
        <bgColor rgb="FFBFBFBF"/>
      </patternFill>
    </fill>
    <fill>
      <patternFill patternType="solid">
        <fgColor rgb="FFBED0E9"/>
        <bgColor rgb="FFBDD7ED"/>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DCBBE"/>
      </patternFill>
    </fill>
    <fill>
      <patternFill patternType="solid">
        <fgColor rgb="FFE3EBBA"/>
        <bgColor rgb="FFF0E7C4"/>
      </patternFill>
    </fill>
    <fill>
      <patternFill patternType="solid">
        <fgColor rgb="FFE2D7E1"/>
        <bgColor rgb="FFDBDBDB"/>
      </patternFill>
    </fill>
    <fill>
      <patternFill patternType="solid">
        <fgColor rgb="FFBDCBBE"/>
        <bgColor rgb="FFCACAB5"/>
      </patternFill>
    </fill>
    <fill>
      <patternFill patternType="darkGray">
        <fgColor rgb="FFF0E7C4"/>
        <bgColor rgb="FFE3EBBA"/>
      </patternFill>
    </fill>
    <fill>
      <patternFill patternType="solid">
        <fgColor theme="4" tint="0.5999"/>
        <bgColor rgb="FFBED0E9"/>
      </patternFill>
    </fill>
    <fill>
      <patternFill patternType="solid">
        <fgColor rgb="FFBEBCE9"/>
        <bgColor rgb="FFC3C7E6"/>
      </patternFill>
    </fill>
    <fill>
      <patternFill patternType="solid">
        <fgColor rgb="FF365480"/>
        <bgColor rgb="FF333399"/>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DD7ED"/>
        <bgColor rgb="FFBED0E9"/>
      </patternFill>
    </fill>
    <fill>
      <patternFill patternType="darkGray">
        <fgColor rgb="FFBDCBBE"/>
        <bgColor rgb="FFC0C0C0"/>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darkGray">
        <fgColor rgb="FFE0E1EF"/>
        <bgColor rgb="FFDBDBDB"/>
      </patternFill>
    </fill>
    <fill>
      <patternFill patternType="solid">
        <fgColor rgb="FFFFFF99"/>
        <bgColor rgb="FFFFE699"/>
      </patternFill>
    </fill>
    <fill>
      <patternFill patternType="solid">
        <fgColor theme="3" tint="0.3999"/>
        <bgColor rgb="FF808080"/>
      </patternFill>
    </fill>
    <fill>
      <patternFill patternType="darkGray">
        <fgColor theme="8" tint="0.7999000000000001"/>
        <bgColor rgb="FFDEEBF7"/>
      </patternFill>
    </fill>
    <fill>
      <patternFill patternType="solid">
        <fgColor rgb="FFFFE699"/>
        <bgColor rgb="FFF0E7C4"/>
      </patternFill>
    </fill>
    <fill>
      <patternFill patternType="solid">
        <fgColor rgb="FFBB0000"/>
        <bgColor rgb="FFFF0000"/>
      </patternFill>
    </fill>
    <fill>
      <patternFill patternType="solid">
        <fgColor theme="4" tint="0.7999000000000001"/>
        <bgColor rgb="FFE0E1EF"/>
      </patternFill>
    </fill>
  </fills>
  <borders count="158">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8A99AD"/>
      </bottom>
      <diagonal/>
    </border>
    <border>
      <left/>
      <right style="medium">
        <color rgb="FF333333"/>
      </right>
      <top style="thin">
        <color rgb="FF8A99AD"/>
      </top>
      <bottom style="thin">
        <color rgb="FF8A99AD"/>
      </bottom>
      <diagonal/>
    </border>
    <border>
      <left/>
      <right/>
      <top/>
      <bottom style="medium">
        <color rgb="FF333333"/>
      </bottom>
      <diagonal/>
    </border>
    <border>
      <left/>
      <right style="medium">
        <color rgb="FF333333"/>
      </right>
      <top style="thin">
        <color rgb="FF8A99AD"/>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medium"/>
      <bottom/>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style="thin"/>
      <right/>
      <top style="medium"/>
      <bottom/>
      <diagonal/>
    </border>
    <border>
      <left style="medium"/>
      <right style="double"/>
      <top style="medium"/>
      <bottom style="double"/>
      <diagonal/>
    </border>
    <border>
      <left style="double"/>
      <right style="double"/>
      <top style="medium"/>
      <bottom style="double"/>
      <diagonal/>
    </border>
    <border>
      <left style="double"/>
      <right/>
      <top style="medium"/>
      <bottom style="double"/>
      <diagonal/>
    </border>
    <border>
      <left/>
      <right/>
      <top style="medium"/>
      <bottom style="double"/>
      <diagonal/>
    </border>
    <border>
      <left/>
      <right style="medium"/>
      <top style="medium"/>
      <bottom style="double"/>
      <diagonal/>
    </border>
    <border>
      <left style="double"/>
      <right/>
      <top style="double"/>
      <bottom/>
      <diagonal/>
    </border>
    <border>
      <left/>
      <right/>
      <top style="double"/>
      <bottom/>
      <diagonal/>
    </border>
    <border>
      <left/>
      <right style="double"/>
      <top style="double"/>
      <bottom/>
      <diagonal/>
    </border>
    <border>
      <left style="double"/>
      <right style="medium"/>
      <top style="double"/>
      <bottom style="double"/>
      <diagonal/>
    </border>
    <border>
      <left style="double"/>
      <right/>
      <top/>
      <bottom/>
      <diagonal/>
    </border>
    <border>
      <left/>
      <right style="double"/>
      <top/>
      <bottom/>
      <diagonal/>
    </border>
    <border>
      <left style="double"/>
      <right style="thin"/>
      <top style="double"/>
      <bottom/>
      <diagonal/>
    </border>
    <border>
      <left style="thin"/>
      <right style="thin"/>
      <top style="double"/>
      <bottom/>
      <diagonal/>
    </border>
    <border>
      <left style="thin"/>
      <right style="thin"/>
      <top style="double"/>
      <bottom style="thin"/>
      <diagonal/>
    </border>
    <border>
      <left style="thin"/>
      <right/>
      <top style="double"/>
      <bottom style="thin"/>
      <diagonal/>
    </border>
    <border>
      <left/>
      <right style="thin"/>
      <top style="double"/>
      <bottom style="thin"/>
      <diagonal/>
    </border>
    <border>
      <left/>
      <right style="medium"/>
      <top style="double"/>
      <bottom/>
      <diagonal/>
    </border>
    <border>
      <left style="double"/>
      <right/>
      <top/>
      <bottom style="double"/>
      <diagonal/>
    </border>
    <border>
      <left/>
      <right/>
      <top/>
      <bottom style="double"/>
      <diagonal/>
    </border>
    <border>
      <left/>
      <right style="double"/>
      <top/>
      <bottom style="double"/>
      <diagonal/>
    </border>
    <border>
      <left style="double"/>
      <right style="thin"/>
      <top/>
      <bottom style="thin"/>
      <diagonal/>
    </border>
    <border>
      <left/>
      <right style="thin"/>
      <top style="thin"/>
      <bottom/>
      <diagonal/>
    </border>
    <border>
      <left style="thin"/>
      <right/>
      <top style="thin"/>
      <bottom/>
      <diagonal/>
    </border>
    <border>
      <left/>
      <right/>
      <top style="double"/>
      <bottom style="double"/>
      <diagonal/>
    </border>
    <border>
      <left style="double"/>
      <right style="thin"/>
      <top style="thin"/>
      <bottom/>
      <diagonal/>
    </border>
    <border>
      <left style="thin"/>
      <right/>
      <top/>
      <bottom/>
      <diagonal/>
    </border>
    <border>
      <left style="double"/>
      <right style="double"/>
      <top style="double"/>
      <bottom style="double"/>
      <diagonal/>
    </border>
    <border>
      <left style="double"/>
      <right style="thin"/>
      <top/>
      <bottom/>
      <diagonal/>
    </border>
    <border>
      <left style="thin"/>
      <right/>
      <top/>
      <bottom style="thin"/>
      <diagonal/>
    </border>
    <border>
      <left style="medium"/>
      <right style="thin"/>
      <top style="double"/>
      <bottom style="thin"/>
      <diagonal/>
    </border>
    <border>
      <left style="thin"/>
      <right style="double"/>
      <top style="double"/>
      <bottom style="thin"/>
      <diagonal/>
    </border>
    <border>
      <left/>
      <right style="thin"/>
      <top/>
      <bottom style="double"/>
      <diagonal/>
    </border>
    <border>
      <left style="thin"/>
      <right style="thin"/>
      <top/>
      <bottom style="double"/>
      <diagonal/>
    </border>
    <border>
      <left style="thin"/>
      <right style="medium"/>
      <top style="double"/>
      <bottom style="thin"/>
      <diagonal/>
    </border>
    <border>
      <left/>
      <right/>
      <top/>
      <bottom style="thin">
        <color rgb="FFF27B00"/>
      </bottom>
      <diagonal/>
    </border>
    <border>
      <left style="thin">
        <color rgb="FFF27B00"/>
      </left>
      <right/>
      <top style="thin">
        <color rgb="FFF27B00"/>
      </top>
      <bottom/>
      <diagonal/>
    </border>
    <border>
      <left/>
      <right style="thin">
        <color rgb="FFF27B00"/>
      </right>
      <top style="thin">
        <color rgb="FFF27B00"/>
      </top>
      <bottom/>
      <diagonal/>
    </border>
    <border>
      <left style="thin">
        <color rgb="FFF27B00"/>
      </left>
      <right/>
      <top/>
      <bottom style="thin">
        <color rgb="FFF27B00"/>
      </bottom>
      <diagonal/>
    </border>
    <border>
      <left/>
      <right style="thin">
        <color rgb="FFF27B00"/>
      </right>
      <top/>
      <bottom style="thin">
        <color rgb="FFF27B00"/>
      </bottom>
      <diagonal/>
    </border>
    <border>
      <left/>
      <right style="thin"/>
      <top style="medium"/>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8A99AD"/>
      </bottom>
      <diagonal/>
    </border>
    <border>
      <left/>
      <right/>
      <top style="thin">
        <color rgb="FF8A99AD"/>
      </top>
      <bottom/>
      <diagonal/>
    </border>
    <border>
      <left/>
      <right style="medium">
        <color rgb="FF333333"/>
      </right>
      <top style="thin">
        <color rgb="FF8A99AD"/>
      </top>
      <bottom/>
      <diagonal/>
    </border>
    <border>
      <left/>
      <right/>
      <top style="thin">
        <color rgb="FF8A99AD"/>
      </top>
      <bottom style="thin">
        <color rgb="FF8A99AD"/>
      </bottom>
      <diagonal/>
    </border>
    <border>
      <left/>
      <right/>
      <top style="thin">
        <color rgb="FF8A99AD"/>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right style="double"/>
      <top style="medium"/>
      <bottom/>
      <diagonal/>
    </border>
    <border>
      <left style="medium"/>
      <right/>
      <top/>
      <bottom style="double"/>
      <diagonal/>
    </border>
    <border>
      <left/>
      <right style="medium"/>
      <top/>
      <bottom style="double"/>
      <diagonal/>
    </border>
    <border>
      <left/>
      <right style="medium"/>
      <top style="double"/>
      <bottom style="double"/>
      <diagonal/>
    </border>
    <border>
      <left/>
      <right style="thin"/>
      <top style="double"/>
      <bottom/>
      <diagonal/>
    </border>
    <border>
      <left/>
      <right style="double"/>
      <top style="double"/>
      <bottom style="double"/>
      <diagonal/>
    </border>
    <border>
      <left/>
      <right/>
      <top style="double"/>
      <bottom style="thin"/>
      <diagonal/>
    </border>
    <border>
      <left/>
      <right style="double"/>
      <top style="double"/>
      <bottom style="thin"/>
      <diagonal/>
    </border>
    <border>
      <left/>
      <right style="medium"/>
      <top style="double"/>
      <bottom style="thin"/>
      <diagonal/>
    </border>
  </borders>
  <cellStyleXfs count="20">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1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242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11" fillId="0" borderId="6" applyAlignment="1" pivotButton="0" quotePrefix="0" xfId="0">
      <alignment horizontal="center" vertical="center" wrapText="1"/>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1" fontId="39" fillId="0" borderId="36" applyAlignment="1" pivotButton="0" quotePrefix="0" xfId="30">
      <alignment horizontal="left" vertical="top" shrinkToFit="1" indent="1"/>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38" fillId="0" borderId="0" applyAlignment="1" applyProtection="1" pivotButton="0" quotePrefix="0" xfId="30">
      <alignment horizontal="center" vertical="center"/>
      <protection locked="0" hidden="0"/>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40" fillId="0" borderId="11" applyAlignment="1" applyProtection="1" pivotButton="0" quotePrefix="0" xfId="30">
      <alignment horizontal="center" vertical="center" wrapText="1"/>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65" fillId="0" borderId="6" applyAlignment="1" applyProtection="1" pivotButton="0" quotePrefix="0" xfId="25">
      <alignment horizontal="center" vertical="center"/>
      <protection locked="1" hidden="1"/>
    </xf>
    <xf numFmtId="0" fontId="66" fillId="0" borderId="6" applyAlignment="1" applyProtection="1" pivotButton="0" quotePrefix="0" xfId="25">
      <alignment horizontal="center" vertical="center"/>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0" fillId="0" borderId="0" applyAlignment="1" pivotButton="0" quotePrefix="0" xfId="25">
      <alignment horizontal="general" vertical="center"/>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168" fontId="92" fillId="2" borderId="0" applyAlignment="1" pivotButton="0" quotePrefix="0" xfId="29">
      <alignment horizontal="left" vertical="center"/>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5" fillId="2" borderId="0" applyAlignment="1" pivotButton="0" quotePrefix="0" xfId="32">
      <alignment horizontal="general" vertical="bottom"/>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7" borderId="0" applyAlignment="1" pivotButton="0" quotePrefix="0" xfId="32">
      <alignment horizontal="general" vertical="bottom"/>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0" fontId="5" fillId="0" borderId="0" applyAlignment="1" applyProtection="1" pivotButton="0" quotePrefix="0" xfId="32">
      <alignment horizontal="general" vertical="bottom"/>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2" fontId="94" fillId="0" borderId="0" applyAlignment="1" applyProtection="1" pivotButton="0" quotePrefix="0" xfId="32">
      <alignment horizontal="center" vertical="center"/>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0" fontId="0" fillId="3" borderId="0" applyAlignment="1" pivotButton="0" quotePrefix="0" xfId="0">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0"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7"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32" fillId="4" borderId="0"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30" fillId="4" borderId="0" applyAlignment="1" pivotButton="0" quotePrefix="0" xfId="0">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1" fillId="4" borderId="0" applyAlignment="1" pivotButton="0" quotePrefix="0" xfId="27">
      <alignment horizontal="left"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40" fillId="4" borderId="0" applyAlignment="1" pivotButton="0" quotePrefix="0" xfId="24">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center"/>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30" fillId="0" borderId="0" applyAlignment="1" pivotButton="0" quotePrefix="0" xfId="0">
      <alignment horizontal="general"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133" fillId="0" borderId="0" applyAlignment="1" pivotButton="0" quotePrefix="0" xfId="24">
      <alignment horizontal="general" vertical="bottom"/>
    </xf>
    <xf numFmtId="0" fontId="41" fillId="0" borderId="0" applyAlignment="1" pivotButton="0" quotePrefix="0" xfId="24">
      <alignment horizontal="general"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162" fillId="0" borderId="105" applyAlignment="1" pivotButton="0" quotePrefix="0" xfId="0">
      <alignment horizontal="center" vertical="center"/>
    </xf>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176" fontId="167" fillId="0" borderId="0" applyAlignment="1" pivotButton="0" quotePrefix="0" xfId="0">
      <alignment horizontal="center" vertical="center"/>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0" fontId="167" fillId="0" borderId="0" applyAlignment="1" pivotButton="0" quotePrefix="0" xfId="0">
      <alignment horizontal="center"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120" pivotButton="0" quotePrefix="0" xfId="0"/>
    <xf numFmtId="0" fontId="0" fillId="0" borderId="12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11" fillId="0"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12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100" pivotButton="0" quotePrefix="0" xfId="0"/>
    <xf numFmtId="0" fontId="24" fillId="0" borderId="20" applyAlignment="1" pivotButton="0" quotePrefix="0" xfId="0">
      <alignment horizontal="center" vertical="center" wrapText="1"/>
    </xf>
    <xf numFmtId="0" fontId="0" fillId="0" borderId="124" pivotButton="0" quotePrefix="0" xfId="0"/>
    <xf numFmtId="0" fontId="0" fillId="0" borderId="12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84"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100" applyProtection="1" pivotButton="0" quotePrefix="0" xfId="0">
      <protection locked="0" hidden="0"/>
    </xf>
    <xf numFmtId="0" fontId="0" fillId="0" borderId="11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07"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5"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11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0" fillId="0" borderId="28" pivotButton="0" quotePrefix="0" xfId="0"/>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0" fillId="0" borderId="29" pivotButton="0" quotePrefix="0" xfId="0"/>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1" fontId="39" fillId="0" borderId="36" applyAlignment="1" pivotButton="0" quotePrefix="0" xfId="30">
      <alignment horizontal="left" vertical="top" shrinkToFit="1" indent="1"/>
    </xf>
    <xf numFmtId="0" fontId="0" fillId="0" borderId="36" pivotButton="0" quotePrefix="0" xfId="0"/>
    <xf numFmtId="0" fontId="38" fillId="0" borderId="0" applyAlignment="1" applyProtection="1" pivotButton="0" quotePrefix="0" xfId="30">
      <alignment horizontal="center" vertical="center"/>
      <protection locked="0" hidden="0"/>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0" fillId="0" borderId="32" applyProtection="1" pivotButton="0" quotePrefix="0" xfId="0">
      <protection locked="0" hidden="0"/>
    </xf>
    <xf numFmtId="0" fontId="0" fillId="0" borderId="74" applyProtection="1" pivotButton="0" quotePrefix="0" xfId="0">
      <protection locked="0" hidden="0"/>
    </xf>
    <xf numFmtId="0" fontId="40" fillId="0" borderId="11" applyAlignment="1" applyProtection="1" pivotButton="0" quotePrefix="0" xfId="30">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125"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5"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104" pivotButton="0" quotePrefix="0" xfId="0"/>
    <xf numFmtId="0" fontId="0" fillId="0" borderId="5" applyAlignment="1" pivotButton="0" quotePrefix="0" xfId="0">
      <alignment horizontal="center" vertical="bottom" wrapText="1"/>
    </xf>
    <xf numFmtId="0" fontId="0" fillId="0" borderId="118"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4"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127"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130"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131"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135"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136" pivotButton="0" quotePrefix="0" xfId="0"/>
    <xf numFmtId="0" fontId="0" fillId="0" borderId="132" pivotButton="0" quotePrefix="0" xfId="0"/>
    <xf numFmtId="0" fontId="32" fillId="0" borderId="62" applyAlignment="1" applyProtection="1" pivotButton="0" quotePrefix="0" xfId="0">
      <alignment horizontal="center" vertical="center"/>
      <protection locked="0" hidden="0"/>
    </xf>
    <xf numFmtId="0" fontId="0" fillId="0" borderId="139"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41" applyProtection="1" pivotButton="0" quotePrefix="0" xfId="0">
      <protection locked="0" hidden="0"/>
    </xf>
    <xf numFmtId="0" fontId="56" fillId="8" borderId="64" applyAlignment="1" pivotButton="0" quotePrefix="0" xfId="0">
      <alignment horizontal="center" vertical="bottom"/>
    </xf>
    <xf numFmtId="0" fontId="0" fillId="0" borderId="143" pivotButton="0" quotePrefix="0" xfId="0"/>
    <xf numFmtId="0" fontId="56" fillId="8" borderId="65" applyAlignment="1" pivotButton="0" quotePrefix="0" xfId="0">
      <alignment horizontal="center" vertical="bottom"/>
    </xf>
    <xf numFmtId="0" fontId="0" fillId="0" borderId="144" pivotButton="0" quotePrefix="0" xfId="0"/>
    <xf numFmtId="0" fontId="0" fillId="0" borderId="133"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46"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45" applyProtection="1" pivotButton="0" quotePrefix="0" xfId="0">
      <protection locked="0" hidden="0"/>
    </xf>
    <xf numFmtId="0" fontId="0" fillId="0" borderId="57" pivotButton="0" quotePrefix="0" xfId="0"/>
    <xf numFmtId="0" fontId="0" fillId="0" borderId="148" applyProtection="1" pivotButton="0" quotePrefix="0" xfId="0">
      <protection locked="0" hidden="0"/>
    </xf>
    <xf numFmtId="0" fontId="0" fillId="0" borderId="57" applyProtection="1" pivotButton="0" quotePrefix="0" xfId="0">
      <protection locked="0" hidden="0"/>
    </xf>
    <xf numFmtId="0" fontId="0" fillId="0" borderId="146"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5">
      <alignment horizontal="center" vertical="center"/>
      <protection locked="1" hidden="1"/>
    </xf>
    <xf numFmtId="0" fontId="0" fillId="0" borderId="71" applyProtection="1" pivotButton="0" quotePrefix="0" xfId="0">
      <protection locked="1" hidden="1"/>
    </xf>
    <xf numFmtId="0" fontId="0" fillId="0" borderId="100" applyProtection="1" pivotButton="0" quotePrefix="0" xfId="0">
      <protection locked="1" hidden="1"/>
    </xf>
    <xf numFmtId="0" fontId="0" fillId="0" borderId="76" applyProtection="1" pivotButton="0" quotePrefix="0" xfId="0">
      <protection locked="1" hidden="1"/>
    </xf>
    <xf numFmtId="0" fontId="66" fillId="0" borderId="6" applyAlignment="1" applyProtection="1" pivotButton="0" quotePrefix="0" xfId="25">
      <alignment horizontal="center" vertical="center"/>
      <protection locked="1" hidden="1"/>
    </xf>
    <xf numFmtId="0" fontId="0" fillId="0" borderId="44" applyProtection="1" pivotButton="0" quotePrefix="0" xfId="0">
      <protection locked="1" hidden="1"/>
    </xf>
    <xf numFmtId="0" fontId="0" fillId="0" borderId="104" applyProtection="1" pivotButton="0" quotePrefix="0" xfId="0">
      <protection locked="1" hidden="1"/>
    </xf>
    <xf numFmtId="0" fontId="0" fillId="0" borderId="0" applyProtection="1" pivotButton="0" quotePrefix="0" xfId="0">
      <protection locked="1" hidden="1"/>
    </xf>
    <xf numFmtId="0" fontId="0" fillId="0" borderId="75" applyProtection="1" pivotButton="0" quotePrefix="0" xfId="0">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0" fillId="0" borderId="107"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pivotButton="0" quotePrefix="0" xfId="25">
      <alignment horizontal="general" vertical="center"/>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0" fillId="0" borderId="29" applyProtection="1" pivotButton="0" quotePrefix="0" xfId="0">
      <protection locked="0" hidden="0"/>
    </xf>
    <xf numFmtId="0" fontId="0" fillId="0" borderId="28" applyProtection="1" pivotButton="0" quotePrefix="0" xfId="0">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5" fillId="2"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5" fillId="7" borderId="0"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0" borderId="0" applyAlignment="1" applyProtection="1" pivotButton="0" quotePrefix="0" xfId="32">
      <alignment horizontal="general" vertical="bottom"/>
      <protection locked="0" hidden="0"/>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0" fillId="0" borderId="76" pivotButton="0" quotePrefix="0" xfId="0"/>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0" fillId="4" borderId="0" applyAlignment="1" pivotButton="0" quotePrefix="0" xfId="0">
      <alignment horizontal="general"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137"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30" fillId="4" borderId="0" applyAlignment="1" pivotButton="0" quotePrefix="0" xfId="0">
      <alignment horizontal="general" vertical="center"/>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40" fillId="4" borderId="0" applyAlignment="1" pivotButton="0" quotePrefix="0" xfId="24">
      <alignment horizontal="general" vertical="center"/>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30" fillId="0" borderId="0" applyAlignment="1" pivotButton="0" quotePrefix="0" xfId="0">
      <alignment horizontal="general" vertical="center"/>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bottom"/>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41" fillId="0" borderId="0" applyAlignment="1" pivotButton="0" quotePrefix="0" xfId="24">
      <alignment horizontal="general" vertical="bottom"/>
    </xf>
    <xf numFmtId="0" fontId="133" fillId="0" borderId="0" applyAlignment="1" pivotButton="0" quotePrefix="0" xfId="24">
      <alignment horizontal="general"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0" fillId="0" borderId="52" pivotButton="0" quotePrefix="0" xfId="0"/>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0" fillId="0" borderId="149" pivotButton="0" quotePrefix="0" xfId="0"/>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0" fillId="0" borderId="89" pivotButton="0" quotePrefix="0" xfId="0"/>
    <xf numFmtId="0" fontId="0" fillId="0" borderId="96" pivotButton="0" quotePrefix="0" xfId="0"/>
    <xf numFmtId="0" fontId="0" fillId="0" borderId="97" pivotButton="0" quotePrefix="0" xfId="0"/>
    <xf numFmtId="0" fontId="0" fillId="0" borderId="98" pivotButton="0" quotePrefix="0" xfId="0"/>
    <xf numFmtId="0" fontId="0" fillId="0" borderId="151" pivotButton="0" quotePrefix="0" xfId="0"/>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0" fillId="0" borderId="102" pivotButton="0" quotePrefix="0" xfId="0"/>
    <xf numFmtId="0" fontId="0" fillId="0" borderId="152" pivotButton="0" quotePrefix="0" xfId="0"/>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0" fillId="0" borderId="153" pivotButton="0" quotePrefix="0" xfId="0"/>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0" fillId="0" borderId="94" pivotButton="0" quotePrefix="0" xfId="0"/>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0" fillId="0" borderId="107" pivotButton="0" quotePrefix="0" xfId="0"/>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0" fillId="0" borderId="150" pivotButton="0" quotePrefix="0" xfId="0"/>
    <xf numFmtId="0" fontId="162" fillId="0" borderId="105" applyAlignment="1" pivotButton="0" quotePrefix="0" xfId="0">
      <alignment horizontal="center" vertical="center"/>
    </xf>
    <xf numFmtId="0" fontId="0" fillId="0" borderId="154" pivotButton="0" quotePrefix="0" xfId="0"/>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0" fillId="0" borderId="155" pivotButton="0" quotePrefix="0" xfId="0"/>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0" fontId="0" fillId="0" borderId="156" pivotButton="0" quotePrefix="0" xfId="0"/>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0" fillId="0" borderId="110" pivotButton="0" quotePrefix="0" xfId="0"/>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0" fillId="0" borderId="157" pivotButton="0" quotePrefix="0" xfId="0"/>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cellXfs>
  <cellStyles count="20">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0" xfId="9"/>
    <cellStyle name="Normal 12" xfId="10"/>
    <cellStyle name="Normal 19 2" xfId="11"/>
    <cellStyle name="Normal 2" xfId="12"/>
    <cellStyle name="Normal 2 2" xfId="13"/>
    <cellStyle name="Normal 2 2 2" xfId="14"/>
    <cellStyle name="Normal 2 3 2" xfId="15"/>
    <cellStyle name="Normal 3" xfId="16"/>
    <cellStyle name="Normal 3 2 2" xfId="17"/>
    <cellStyle name="Normal 3 4" xfId="18"/>
    <cellStyle name="Normal_Sheet1" xfId="19"/>
  </cellStyles>
  <dxfs count="19">
    <dxf>
      <fill>
        <patternFill>
          <bgColor rgb="FF000000"/>
        </patternFill>
      </fill>
      <border>
        <left style="thin"/>
        <right style="thin"/>
        <top/>
        <bottom/>
        <diagonal/>
      </border>
    </dxf>
    <dxf>
      <fill>
        <patternFill>
          <bgColor rgb="FF000000"/>
        </patternFill>
      </fill>
      <border>
        <left style="thin"/>
        <right style="thin"/>
        <top/>
        <bottom/>
        <diagonal/>
      </border>
    </dxf>
    <dxf>
      <fill>
        <patternFill>
          <bgColor rgb="FFC0C0C0"/>
        </patternFill>
      </fill>
      <border>
        <left style="thin"/>
        <right style="thin"/>
        <top/>
        <bottom/>
        <diagonal/>
      </border>
    </dxf>
    <dxf>
      <font>
        <color rgb="FFFFFFFF"/>
      </font>
    </dxf>
    <dxf>
      <font>
        <b val="1"/>
      </font>
      <fill>
        <patternFill/>
      </fill>
      <border>
        <left style="thin"/>
        <right/>
        <top style="thin"/>
        <bottom style="thin"/>
        <diagonal/>
      </border>
    </dxf>
    <dxf>
      <border>
        <left style="thin"/>
        <right style="thin"/>
        <top/>
        <bottom/>
        <diagonal/>
      </border>
    </dxf>
    <dxf>
      <font/>
      <fill>
        <patternFill>
          <bgColor theme="0" tint="-0.05"/>
        </patternFill>
      </fill>
      <border>
        <left/>
        <right/>
        <top style="thin"/>
        <bottom style="thin"/>
        <diagonal/>
      </border>
    </dxf>
    <dxf>
      <fill>
        <patternFill>
          <bgColor theme="1"/>
        </patternFill>
      </fill>
      <border>
        <left/>
        <right/>
        <top style="thin"/>
        <bottom style="thin"/>
        <diagonal/>
      </border>
    </dxf>
    <dxf>
      <border>
        <left/>
        <right/>
        <top style="thin"/>
        <bottom/>
        <diagonal/>
      </border>
    </dxf>
    <dxf>
      <fill>
        <patternFill>
          <bgColor rgb="FFC0C0C0"/>
        </patternFill>
      </fill>
      <border>
        <left style="thin"/>
        <right style="thin"/>
        <top/>
        <bottom/>
        <diagonal/>
      </border>
    </dxf>
    <dxf>
      <fill>
        <patternFill>
          <bgColor rgb="FFC0C0C0"/>
        </patternFill>
      </fill>
      <border>
        <left style="thin"/>
        <right style="thin"/>
        <top/>
        <bottom/>
        <diagonal/>
      </border>
    </dxf>
    <dxf>
      <border>
        <left/>
        <right style="thin"/>
        <top/>
        <bottom/>
        <diagonal/>
      </border>
    </dxf>
    <dxf>
      <fill>
        <patternFill>
          <bgColor rgb="FFFF0000"/>
        </patternFill>
      </fill>
    </dxf>
    <dxf>
      <font>
        <b val="1"/>
        <color rgb="FF0070C0"/>
      </font>
      <fill>
        <patternFill/>
      </fill>
    </dxf>
    <dxf>
      <font>
        <b val="1"/>
        <color rgb="FF0070C0"/>
      </font>
      <fill>
        <patternFill/>
      </fill>
    </dxf>
    <dxf>
      <font>
        <b val="1"/>
        <color rgb="FF000000"/>
      </font>
      <fill>
        <patternFill>
          <bgColor theme="2"/>
        </patternFill>
      </fill>
    </dxf>
    <dxf>
      <font>
        <b val="1"/>
        <color rgb="FF000000"/>
      </font>
      <fill>
        <patternFill>
          <bgColor theme="2"/>
        </patternFill>
      </fill>
    </dxf>
    <dxf>
      <font>
        <color rgb="FF000000"/>
      </font>
      <fill>
        <patternFill>
          <bgColor theme="0" tint="-0.05"/>
        </patternFill>
      </fill>
    </dxf>
    <dxf>
      <font>
        <color rgb="FF000000"/>
      </font>
      <fill>
        <patternFill/>
      </fill>
    </dxf>
  </dxfs>
  <colors>
    <indexedColors>
      <rgbColor rgb="FF000000"/>
      <rgbColor rgb="FFFFFFFF"/>
      <rgbColor rgb="FFFF0000"/>
      <rgbColor rgb="FFC5E0E5"/>
      <rgbColor rgb="FF0000FF"/>
      <rgbColor rgb="FFFFFF00"/>
      <rgbColor rgb="FFE3C7DB"/>
      <rgbColor rgb="FFBEDED8"/>
      <rgbColor rgb="FFBB0000"/>
      <rgbColor rgb="FF009D1C"/>
      <rgbColor rgb="FFE3EBBA"/>
      <rgbColor rgb="FFBFBFBF"/>
      <rgbColor rgb="FFE3CCEA"/>
      <rgbColor rgb="FFBED0E9"/>
      <rgbColor rgb="FFC0C0C0"/>
      <rgbColor rgb="FF808080"/>
      <rgbColor rgb="FFB7BACF"/>
      <rgbColor rgb="FFD4C6C7"/>
      <rgbColor rgb="FFF2F2F2"/>
      <rgbColor rgb="FFDEEBF7"/>
      <rgbColor rgb="FFE2D7E1"/>
      <rgbColor rgb="FFDDBDD0"/>
      <rgbColor rgb="FF006FC0"/>
      <rgbColor rgb="FFC3C7E6"/>
      <rgbColor rgb="FFF0E7C4"/>
      <rgbColor rgb="FFE9CACD"/>
      <rgbColor rgb="FFFFE699"/>
      <rgbColor rgb="FFC0E2DA"/>
      <rgbColor rgb="FFD8D6CC"/>
      <rgbColor rgb="FFDBDBDB"/>
      <rgbColor rgb="FFCFCCDD"/>
      <rgbColor rgb="FFE7E6E6"/>
      <rgbColor rgb="FFBDD7ED"/>
      <rgbColor rgb="FFE2F0D9"/>
      <rgbColor rgb="FFC4EACB"/>
      <rgbColor rgb="FFFFFF99"/>
      <rgbColor rgb="FFB4C7E7"/>
      <rgbColor rgb="FFDEB6D8"/>
      <rgbColor rgb="FFCDB5CD"/>
      <rgbColor rgb="FFF8CBAD"/>
      <rgbColor rgb="FFC7BACE"/>
      <rgbColor rgb="FFBDCBBE"/>
      <rgbColor rgb="FFA9D477"/>
      <rgbColor rgb="FFE2CCC2"/>
      <rgbColor rgb="FFCACAB5"/>
      <rgbColor rgb="FFF27B00"/>
      <rgbColor rgb="FF365480"/>
      <rgbColor rgb="FF8A99AD"/>
      <rgbColor rgb="FFD9D9D9"/>
      <rgbColor rgb="FFBEBCE9"/>
      <rgbColor rgb="FFE0E1EF"/>
      <rgbColor rgb="FFD4D4BD"/>
      <rgbColor rgb="FFE4C7CE"/>
      <rgbColor rgb="FFCBC8CE"/>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externalLink" Target="/xl/externalLinks/externalLink1.xml" Id="rId17" /><Relationship Type="http://schemas.openxmlformats.org/officeDocument/2006/relationships/externalLink" Target="/xl/externalLinks/externalLink2.xml" Id="rId18" /><Relationship Type="http://schemas.openxmlformats.org/officeDocument/2006/relationships/externalLink" Target="/xl/externalLinks/externalLink3.xml" Id="rId19" /><Relationship Type="http://schemas.openxmlformats.org/officeDocument/2006/relationships/externalLink" Target="/xl/externalLinks/externalLink4.xml" Id="rId20" /><Relationship Type="http://schemas.openxmlformats.org/officeDocument/2006/relationships/externalLink" Target="/xl/externalLinks/externalLink5.xml" Id="rId21" /><Relationship Type="http://schemas.openxmlformats.org/officeDocument/2006/relationships/externalLink" Target="/xl/externalLinks/externalLink6.xml" Id="rId22" /><Relationship Type="http://schemas.openxmlformats.org/officeDocument/2006/relationships/externalLink" Target="/xl/externalLinks/externalLink7.xml" Id="rId23" /><Relationship Type="http://schemas.openxmlformats.org/officeDocument/2006/relationships/externalLink" Target="/xl/externalLinks/externalLink8.xml" Id="rId24" /><Relationship Type="http://schemas.openxmlformats.org/officeDocument/2006/relationships/externalLink" Target="/xl/externalLinks/externalLink9.xml" Id="rId25" /><Relationship Type="http://schemas.openxmlformats.org/officeDocument/2006/relationships/externalLink" Target="/xl/externalLinks/externalLink10.xml" Id="rId26" /><Relationship Type="http://schemas.openxmlformats.org/officeDocument/2006/relationships/externalLink" Target="/xl/externalLinks/externalLink11.xml" Id="rId27" /><Relationship Type="http://schemas.openxmlformats.org/officeDocument/2006/relationships/externalLink" Target="/xl/externalLinks/externalLink12.xml" Id="rId28" /><Relationship Type="http://schemas.openxmlformats.org/officeDocument/2006/relationships/externalLink" Target="/xl/externalLinks/externalLink13.xml" Id="rId29" /><Relationship Type="http://schemas.openxmlformats.org/officeDocument/2006/relationships/externalLink" Target="/xl/externalLinks/externalLink14.xml" Id="rId30" /><Relationship Type="http://schemas.openxmlformats.org/officeDocument/2006/relationships/externalLink" Target="/xl/externalLinks/externalLink15.xml" Id="rId31" /><Relationship Type="http://schemas.openxmlformats.org/officeDocument/2006/relationships/externalLink" Target="/xl/externalLinks/externalLink16.xml" Id="rId32" /><Relationship Type="http://schemas.openxmlformats.org/officeDocument/2006/relationships/externalLink" Target="/xl/externalLinks/externalLink17.xml" Id="rId33" /><Relationship Type="http://schemas.openxmlformats.org/officeDocument/2006/relationships/externalLink" Target="/xl/externalLinks/externalLink18.xml" Id="rId34" /><Relationship Type="http://schemas.openxmlformats.org/officeDocument/2006/relationships/externalLink" Target="/xl/externalLinks/externalLink19.xml" Id="rId35" /><Relationship Type="http://schemas.openxmlformats.org/officeDocument/2006/relationships/externalLink" Target="/xl/externalLinks/externalLink20.xml" Id="rId36" /><Relationship Type="http://schemas.openxmlformats.org/officeDocument/2006/relationships/externalLink" Target="/xl/externalLinks/externalLink21.xml" Id="rId37" /><Relationship Type="http://schemas.openxmlformats.org/officeDocument/2006/relationships/externalLink" Target="/xl/externalLinks/externalLink22.xml" Id="rId38" /><Relationship Type="http://schemas.openxmlformats.org/officeDocument/2006/relationships/externalLink" Target="/xl/externalLinks/externalLink23.xml" Id="rId39" /><Relationship Type="http://schemas.openxmlformats.org/officeDocument/2006/relationships/externalLink" Target="/xl/externalLinks/externalLink24.xml" Id="rId40" /><Relationship Type="http://schemas.openxmlformats.org/officeDocument/2006/relationships/externalLink" Target="/xl/externalLinks/externalLink25.xml" Id="rId41" /><Relationship Type="http://schemas.openxmlformats.org/officeDocument/2006/relationships/externalLink" Target="/xl/externalLinks/externalLink26.xml" Id="rId42" /><Relationship Type="http://schemas.openxmlformats.org/officeDocument/2006/relationships/externalLink" Target="/xl/externalLinks/externalLink27.xml" Id="rId43" /><Relationship Type="http://schemas.openxmlformats.org/officeDocument/2006/relationships/externalLink" Target="/xl/externalLinks/externalLink28.xml" Id="rId44" /><Relationship Type="http://schemas.openxmlformats.org/officeDocument/2006/relationships/externalLink" Target="/xl/externalLinks/externalLink29.xml" Id="rId45" /><Relationship Type="http://schemas.openxmlformats.org/officeDocument/2006/relationships/externalLink" Target="/xl/externalLinks/externalLink30.xml" Id="rId46" /><Relationship Type="http://schemas.openxmlformats.org/officeDocument/2006/relationships/externalLink" Target="/xl/externalLinks/externalLink31.xml" Id="rId47" /><Relationship Type="http://schemas.openxmlformats.org/officeDocument/2006/relationships/externalLink" Target="/xl/externalLinks/externalLink32.xml" Id="rId48" /><Relationship Type="http://schemas.openxmlformats.org/officeDocument/2006/relationships/externalLink" Target="/xl/externalLinks/externalLink33.xml" Id="rId49" /><Relationship Type="http://schemas.openxmlformats.org/officeDocument/2006/relationships/externalLink" Target="/xl/externalLinks/externalLink34.xml" Id="rId50" /><Relationship Type="http://schemas.openxmlformats.org/officeDocument/2006/relationships/externalLink" Target="/xl/externalLinks/externalLink35.xml" Id="rId51" /><Relationship Type="http://schemas.openxmlformats.org/officeDocument/2006/relationships/externalLink" Target="/xl/externalLinks/externalLink36.xml" Id="rId52" /><Relationship Type="http://schemas.openxmlformats.org/officeDocument/2006/relationships/externalLink" Target="/xl/externalLinks/externalLink37.xml" Id="rId53" /><Relationship Type="http://schemas.openxmlformats.org/officeDocument/2006/relationships/externalLink" Target="/xl/externalLinks/externalLink38.xml" Id="rId54" /><Relationship Type="http://schemas.openxmlformats.org/officeDocument/2006/relationships/externalLink" Target="/xl/externalLinks/externalLink39.xml" Id="rId55" /><Relationship Type="http://schemas.openxmlformats.org/officeDocument/2006/relationships/externalLink" Target="/xl/externalLinks/externalLink40.xml" Id="rId56" /><Relationship Type="http://schemas.openxmlformats.org/officeDocument/2006/relationships/externalLink" Target="/xl/externalLinks/externalLink41.xml" Id="rId57" /><Relationship Type="http://schemas.openxmlformats.org/officeDocument/2006/relationships/externalLink" Target="/xl/externalLinks/externalLink42.xml" Id="rId58" /><Relationship Type="http://schemas.openxmlformats.org/officeDocument/2006/relationships/externalLink" Target="/xl/externalLinks/externalLink43.xml" Id="rId59" /><Relationship Type="http://schemas.openxmlformats.org/officeDocument/2006/relationships/externalLink" Target="/xl/externalLinks/externalLink44.xml" Id="rId60" /><Relationship Type="http://schemas.openxmlformats.org/officeDocument/2006/relationships/externalLink" Target="/xl/externalLinks/externalLink45.xml" Id="rId61" /><Relationship Type="http://schemas.openxmlformats.org/officeDocument/2006/relationships/externalLink" Target="/xl/externalLinks/externalLink46.xml" Id="rId62" /><Relationship Type="http://schemas.openxmlformats.org/officeDocument/2006/relationships/externalLink" Target="/xl/externalLinks/externalLink47.xml" Id="rId63" /><Relationship Type="http://schemas.openxmlformats.org/officeDocument/2006/relationships/externalLink" Target="/xl/externalLinks/externalLink48.xml" Id="rId64" /><Relationship Type="http://schemas.openxmlformats.org/officeDocument/2006/relationships/externalLink" Target="/xl/externalLinks/externalLink49.xml" Id="rId65" /><Relationship Type="http://schemas.openxmlformats.org/officeDocument/2006/relationships/externalLink" Target="/xl/externalLinks/externalLink50.xml" Id="rId66" /><Relationship Type="http://schemas.openxmlformats.org/officeDocument/2006/relationships/externalLink" Target="/xl/externalLinks/externalLink51.xml" Id="rId67" /><Relationship Type="http://schemas.openxmlformats.org/officeDocument/2006/relationships/externalLink" Target="/xl/externalLinks/externalLink52.xml" Id="rId68" /><Relationship Type="http://schemas.openxmlformats.org/officeDocument/2006/relationships/externalLink" Target="/xl/externalLinks/externalLink53.xml" Id="rId69" /><Relationship Type="http://schemas.openxmlformats.org/officeDocument/2006/relationships/externalLink" Target="/xl/externalLinks/externalLink54.xml" Id="rId70" /><Relationship Type="http://schemas.openxmlformats.org/officeDocument/2006/relationships/externalLink" Target="/xl/externalLinks/externalLink55.xml" Id="rId71" /><Relationship Type="http://schemas.openxmlformats.org/officeDocument/2006/relationships/externalLink" Target="/xl/externalLinks/externalLink56.xml" Id="rId72" /><Relationship Type="http://schemas.openxmlformats.org/officeDocument/2006/relationships/externalLink" Target="/xl/externalLinks/externalLink57.xml" Id="rId73" /><Relationship Type="http://schemas.openxmlformats.org/officeDocument/2006/relationships/externalLink" Target="/xl/externalLinks/externalLink58.xml" Id="rId74" /><Relationship Type="http://schemas.openxmlformats.org/officeDocument/2006/relationships/externalLink" Target="/xl/externalLinks/externalLink59.xml" Id="rId75" /><Relationship Type="http://schemas.openxmlformats.org/officeDocument/2006/relationships/externalLink" Target="/xl/externalLinks/externalLink60.xml" Id="rId76" /><Relationship Type="http://schemas.openxmlformats.org/officeDocument/2006/relationships/externalLink" Target="/xl/externalLinks/externalLink61.xml" Id="rId77" /><Relationship Type="http://schemas.openxmlformats.org/officeDocument/2006/relationships/externalLink" Target="/xl/externalLinks/externalLink62.xml" Id="rId78" /><Relationship Type="http://schemas.openxmlformats.org/officeDocument/2006/relationships/externalLink" Target="/xl/externalLinks/externalLink63.xml" Id="rId79" /><Relationship Type="http://schemas.openxmlformats.org/officeDocument/2006/relationships/externalLink" Target="/xl/externalLinks/externalLink64.xml" Id="rId80" /><Relationship Type="http://schemas.openxmlformats.org/officeDocument/2006/relationships/externalLink" Target="/xl/externalLinks/externalLink65.xml" Id="rId81" /><Relationship Type="http://schemas.openxmlformats.org/officeDocument/2006/relationships/externalLink" Target="/xl/externalLinks/externalLink66.xml" Id="rId82" /><Relationship Type="http://schemas.openxmlformats.org/officeDocument/2006/relationships/externalLink" Target="/xl/externalLinks/externalLink67.xml" Id="rId83" /><Relationship Type="http://schemas.openxmlformats.org/officeDocument/2006/relationships/externalLink" Target="/xl/externalLinks/externalLink68.xml" Id="rId84" /><Relationship Type="http://schemas.openxmlformats.org/officeDocument/2006/relationships/externalLink" Target="/xl/externalLinks/externalLink69.xml" Id="rId85" /><Relationship Type="http://schemas.openxmlformats.org/officeDocument/2006/relationships/externalLink" Target="/xl/externalLinks/externalLink70.xml" Id="rId86" /><Relationship Type="http://schemas.openxmlformats.org/officeDocument/2006/relationships/externalLink" Target="/xl/externalLinks/externalLink71.xml" Id="rId87" /><Relationship Type="http://schemas.openxmlformats.org/officeDocument/2006/relationships/externalLink" Target="/xl/externalLinks/externalLink72.xml" Id="rId88" /><Relationship Type="http://schemas.openxmlformats.org/officeDocument/2006/relationships/externalLink" Target="/xl/externalLinks/externalLink73.xml" Id="rId89" /><Relationship Type="http://schemas.openxmlformats.org/officeDocument/2006/relationships/externalLink" Target="/xl/externalLinks/externalLink74.xml" Id="rId90" /><Relationship Type="http://schemas.openxmlformats.org/officeDocument/2006/relationships/externalLink" Target="/xl/externalLinks/externalLink75.xml" Id="rId91" /><Relationship Type="http://schemas.openxmlformats.org/officeDocument/2006/relationships/externalLink" Target="/xl/externalLinks/externalLink76.xml" Id="rId92" /><Relationship Type="http://schemas.openxmlformats.org/officeDocument/2006/relationships/externalLink" Target="/xl/externalLinks/externalLink77.xml" Id="rId93" /><Relationship Type="http://schemas.openxmlformats.org/officeDocument/2006/relationships/externalLink" Target="/xl/externalLinks/externalLink78.xml" Id="rId94" /><Relationship Type="http://schemas.openxmlformats.org/officeDocument/2006/relationships/externalLink" Target="/xl/externalLinks/externalLink79.xml" Id="rId95" /><Relationship Type="http://schemas.openxmlformats.org/officeDocument/2006/relationships/externalLink" Target="/xl/externalLinks/externalLink80.xml" Id="rId96" /><Relationship Type="http://schemas.openxmlformats.org/officeDocument/2006/relationships/externalLink" Target="/xl/externalLinks/externalLink81.xml" Id="rId97" /><Relationship Type="http://schemas.openxmlformats.org/officeDocument/2006/relationships/externalLink" Target="/xl/externalLinks/externalLink82.xml" Id="rId98" /><Relationship Type="http://schemas.openxmlformats.org/officeDocument/2006/relationships/externalLink" Target="/xl/externalLinks/externalLink83.xml" Id="rId99" /><Relationship Type="http://schemas.openxmlformats.org/officeDocument/2006/relationships/externalLink" Target="/xl/externalLinks/externalLink84.xml" Id="rId100" /><Relationship Type="http://schemas.openxmlformats.org/officeDocument/2006/relationships/externalLink" Target="/xl/externalLinks/externalLink85.xml" Id="rId101" /><Relationship Type="http://schemas.openxmlformats.org/officeDocument/2006/relationships/externalLink" Target="/xl/externalLinks/externalLink86.xml" Id="rId102" /><Relationship Type="http://schemas.openxmlformats.org/officeDocument/2006/relationships/externalLink" Target="/xl/externalLinks/externalLink87.xml" Id="rId103" /><Relationship Type="http://schemas.openxmlformats.org/officeDocument/2006/relationships/externalLink" Target="/xl/externalLinks/externalLink88.xml" Id="rId104" /><Relationship Type="http://schemas.openxmlformats.org/officeDocument/2006/relationships/externalLink" Target="/xl/externalLinks/externalLink89.xml" Id="rId105" /><Relationship Type="http://schemas.openxmlformats.org/officeDocument/2006/relationships/externalLink" Target="/xl/externalLinks/externalLink90.xml" Id="rId106" /><Relationship Type="http://schemas.openxmlformats.org/officeDocument/2006/relationships/externalLink" Target="/xl/externalLinks/externalLink91.xml" Id="rId107" /><Relationship Type="http://schemas.openxmlformats.org/officeDocument/2006/relationships/externalLink" Target="/xl/externalLinks/externalLink92.xml" Id="rId108" /><Relationship Type="http://schemas.openxmlformats.org/officeDocument/2006/relationships/externalLink" Target="/xl/externalLinks/externalLink93.xml" Id="rId109" /><Relationship Type="http://schemas.openxmlformats.org/officeDocument/2006/relationships/externalLink" Target="/xl/externalLinks/externalLink94.xml" Id="rId110" /><Relationship Type="http://schemas.openxmlformats.org/officeDocument/2006/relationships/externalLink" Target="/xl/externalLinks/externalLink95.xml" Id="rId111" /><Relationship Type="http://schemas.openxmlformats.org/officeDocument/2006/relationships/externalLink" Target="/xl/externalLinks/externalLink96.xml" Id="rId112" /><Relationship Type="http://schemas.openxmlformats.org/officeDocument/2006/relationships/externalLink" Target="/xl/externalLinks/externalLink97.xml" Id="rId113" /><Relationship Type="http://schemas.openxmlformats.org/officeDocument/2006/relationships/externalLink" Target="/xl/externalLinks/externalLink98.xml" Id="rId114" /><Relationship Type="http://schemas.openxmlformats.org/officeDocument/2006/relationships/externalLink" Target="/xl/externalLinks/externalLink99.xml" Id="rId115" /><Relationship Type="http://schemas.openxmlformats.org/officeDocument/2006/relationships/externalLink" Target="/xl/externalLinks/externalLink100.xml" Id="rId116" /><Relationship Type="http://schemas.openxmlformats.org/officeDocument/2006/relationships/externalLink" Target="/xl/externalLinks/externalLink101.xml" Id="rId117" /><Relationship Type="http://schemas.openxmlformats.org/officeDocument/2006/relationships/externalLink" Target="/xl/externalLinks/externalLink102.xml" Id="rId118" /><Relationship Type="http://schemas.openxmlformats.org/officeDocument/2006/relationships/externalLink" Target="/xl/externalLinks/externalLink103.xml" Id="rId119" /><Relationship Type="http://schemas.openxmlformats.org/officeDocument/2006/relationships/externalLink" Target="/xl/externalLinks/externalLink104.xml" Id="rId120" /><Relationship Type="http://schemas.openxmlformats.org/officeDocument/2006/relationships/externalLink" Target="/xl/externalLinks/externalLink105.xml" Id="rId121" /><Relationship Type="http://schemas.openxmlformats.org/officeDocument/2006/relationships/externalLink" Target="/xl/externalLinks/externalLink106.xml" Id="rId122" /><Relationship Type="http://schemas.openxmlformats.org/officeDocument/2006/relationships/externalLink" Target="/xl/externalLinks/externalLink107.xml" Id="rId123" /><Relationship Type="http://schemas.openxmlformats.org/officeDocument/2006/relationships/externalLink" Target="/xl/externalLinks/externalLink108.xml" Id="rId124" /><Relationship Type="http://schemas.openxmlformats.org/officeDocument/2006/relationships/externalLink" Target="/xl/externalLinks/externalLink109.xml" Id="rId125" /><Relationship Type="http://schemas.openxmlformats.org/officeDocument/2006/relationships/externalLink" Target="/xl/externalLinks/externalLink110.xml" Id="rId126" /><Relationship Type="http://schemas.openxmlformats.org/officeDocument/2006/relationships/externalLink" Target="/xl/externalLinks/externalLink111.xml" Id="rId127" /><Relationship Type="http://schemas.openxmlformats.org/officeDocument/2006/relationships/externalLink" Target="/xl/externalLinks/externalLink112.xml" Id="rId128" /><Relationship Type="http://schemas.openxmlformats.org/officeDocument/2006/relationships/externalLink" Target="/xl/externalLinks/externalLink113.xml" Id="rId129" /><Relationship Type="http://schemas.openxmlformats.org/officeDocument/2006/relationships/externalLink" Target="/xl/externalLinks/externalLink114.xml" Id="rId130" /><Relationship Type="http://schemas.openxmlformats.org/officeDocument/2006/relationships/externalLink" Target="/xl/externalLinks/externalLink115.xml" Id="rId131" /><Relationship Type="http://schemas.openxmlformats.org/officeDocument/2006/relationships/externalLink" Target="/xl/externalLinks/externalLink116.xml" Id="rId132" /><Relationship Type="http://schemas.openxmlformats.org/officeDocument/2006/relationships/externalLink" Target="/xl/externalLinks/externalLink117.xml" Id="rId133" /><Relationship Type="http://schemas.openxmlformats.org/officeDocument/2006/relationships/externalLink" Target="/xl/externalLinks/externalLink118.xml" Id="rId134" /><Relationship Type="http://schemas.openxmlformats.org/officeDocument/2006/relationships/externalLink" Target="/xl/externalLinks/externalLink119.xml" Id="rId135" /><Relationship Type="http://schemas.openxmlformats.org/officeDocument/2006/relationships/externalLink" Target="/xl/externalLinks/externalLink120.xml" Id="rId136" /><Relationship Type="http://schemas.openxmlformats.org/officeDocument/2006/relationships/externalLink" Target="/xl/externalLinks/externalLink121.xml" Id="rId137" /><Relationship Type="http://schemas.openxmlformats.org/officeDocument/2006/relationships/externalLink" Target="/xl/externalLinks/externalLink122.xml" Id="rId138" /><Relationship Type="http://schemas.openxmlformats.org/officeDocument/2006/relationships/externalLink" Target="/xl/externalLinks/externalLink123.xml" Id="rId139" /><Relationship Type="http://schemas.openxmlformats.org/officeDocument/2006/relationships/externalLink" Target="/xl/externalLinks/externalLink124.xml" Id="rId140" /><Relationship Type="http://schemas.openxmlformats.org/officeDocument/2006/relationships/externalLink" Target="/xl/externalLinks/externalLink125.xml" Id="rId141" /><Relationship Type="http://schemas.openxmlformats.org/officeDocument/2006/relationships/externalLink" Target="/xl/externalLinks/externalLink126.xml" Id="rId142" /><Relationship Type="http://schemas.openxmlformats.org/officeDocument/2006/relationships/externalLink" Target="/xl/externalLinks/externalLink127.xml" Id="rId143" /><Relationship Type="http://schemas.openxmlformats.org/officeDocument/2006/relationships/externalLink" Target="/xl/externalLinks/externalLink128.xml" Id="rId144" /><Relationship Type="http://schemas.openxmlformats.org/officeDocument/2006/relationships/externalLink" Target="/xl/externalLinks/externalLink129.xml" Id="rId145" /><Relationship Type="http://schemas.openxmlformats.org/officeDocument/2006/relationships/externalLink" Target="/xl/externalLinks/externalLink130.xml" Id="rId146" /><Relationship Type="http://schemas.openxmlformats.org/officeDocument/2006/relationships/externalLink" Target="/xl/externalLinks/externalLink131.xml" Id="rId147" /><Relationship Type="http://schemas.openxmlformats.org/officeDocument/2006/relationships/externalLink" Target="/xl/externalLinks/externalLink132.xml" Id="rId148" /><Relationship Type="http://schemas.openxmlformats.org/officeDocument/2006/relationships/externalLink" Target="/xl/externalLinks/externalLink133.xml" Id="rId149" /><Relationship Type="http://schemas.openxmlformats.org/officeDocument/2006/relationships/externalLink" Target="/xl/externalLinks/externalLink134.xml" Id="rId150" /><Relationship Type="http://schemas.openxmlformats.org/officeDocument/2006/relationships/externalLink" Target="/xl/externalLinks/externalLink135.xml" Id="rId151" /><Relationship Type="http://schemas.openxmlformats.org/officeDocument/2006/relationships/externalLink" Target="/xl/externalLinks/externalLink136.xml" Id="rId152" /><Relationship Type="http://schemas.openxmlformats.org/officeDocument/2006/relationships/externalLink" Target="/xl/externalLinks/externalLink137.xml" Id="rId153" /><Relationship Type="http://schemas.openxmlformats.org/officeDocument/2006/relationships/externalLink" Target="/xl/externalLinks/externalLink138.xml" Id="rId154" /><Relationship Type="http://schemas.openxmlformats.org/officeDocument/2006/relationships/externalLink" Target="/xl/externalLinks/externalLink139.xml" Id="rId155" /><Relationship Type="http://schemas.openxmlformats.org/officeDocument/2006/relationships/externalLink" Target="/xl/externalLinks/externalLink140.xml" Id="rId156" /><Relationship Type="http://schemas.openxmlformats.org/officeDocument/2006/relationships/externalLink" Target="/xl/externalLinks/externalLink141.xml" Id="rId157" /><Relationship Type="http://schemas.openxmlformats.org/officeDocument/2006/relationships/externalLink" Target="/xl/externalLinks/externalLink142.xml" Id="rId158" /><Relationship Type="http://schemas.openxmlformats.org/officeDocument/2006/relationships/externalLink" Target="/xl/externalLinks/externalLink143.xml" Id="rId159" /><Relationship Type="http://schemas.openxmlformats.org/officeDocument/2006/relationships/externalLink" Target="/xl/externalLinks/externalLink144.xml" Id="rId160" /><Relationship Type="http://schemas.openxmlformats.org/officeDocument/2006/relationships/externalLink" Target="/xl/externalLinks/externalLink145.xml" Id="rId161" /><Relationship Type="http://schemas.openxmlformats.org/officeDocument/2006/relationships/externalLink" Target="/xl/externalLinks/externalLink146.xml" Id="rId162" /><Relationship Type="http://schemas.openxmlformats.org/officeDocument/2006/relationships/externalLink" Target="/xl/externalLinks/externalLink147.xml" Id="rId163" /><Relationship Type="http://schemas.openxmlformats.org/officeDocument/2006/relationships/externalLink" Target="/xl/externalLinks/externalLink148.xml" Id="rId164" /><Relationship Type="http://schemas.openxmlformats.org/officeDocument/2006/relationships/externalLink" Target="/xl/externalLinks/externalLink149.xml" Id="rId165" /><Relationship Type="http://schemas.openxmlformats.org/officeDocument/2006/relationships/externalLink" Target="/xl/externalLinks/externalLink150.xml" Id="rId166" /><Relationship Type="http://schemas.openxmlformats.org/officeDocument/2006/relationships/externalLink" Target="/xl/externalLinks/externalLink151.xml" Id="rId167" /><Relationship Type="http://schemas.openxmlformats.org/officeDocument/2006/relationships/externalLink" Target="/xl/externalLinks/externalLink152.xml" Id="rId168" /><Relationship Type="http://schemas.openxmlformats.org/officeDocument/2006/relationships/externalLink" Target="/xl/externalLinks/externalLink153.xml" Id="rId169" /><Relationship Type="http://schemas.openxmlformats.org/officeDocument/2006/relationships/externalLink" Target="/xl/externalLinks/externalLink154.xml" Id="rId170" /><Relationship Type="http://schemas.openxmlformats.org/officeDocument/2006/relationships/externalLink" Target="/xl/externalLinks/externalLink155.xml" Id="rId171" /><Relationship Type="http://schemas.openxmlformats.org/officeDocument/2006/relationships/externalLink" Target="/xl/externalLinks/externalLink156.xml" Id="rId172" /><Relationship Type="http://schemas.openxmlformats.org/officeDocument/2006/relationships/externalLink" Target="/xl/externalLinks/externalLink157.xml" Id="rId173" /><Relationship Type="http://schemas.openxmlformats.org/officeDocument/2006/relationships/externalLink" Target="/xl/externalLinks/externalLink158.xml" Id="rId174" /><Relationship Type="http://schemas.openxmlformats.org/officeDocument/2006/relationships/externalLink" Target="/xl/externalLinks/externalLink159.xml" Id="rId175" /><Relationship Type="http://schemas.openxmlformats.org/officeDocument/2006/relationships/externalLink" Target="/xl/externalLinks/externalLink160.xml" Id="rId176" /><Relationship Type="http://schemas.openxmlformats.org/officeDocument/2006/relationships/externalLink" Target="/xl/externalLinks/externalLink161.xml" Id="rId177" /><Relationship Type="http://schemas.openxmlformats.org/officeDocument/2006/relationships/externalLink" Target="/xl/externalLinks/externalLink162.xml" Id="rId178" /><Relationship Type="http://schemas.openxmlformats.org/officeDocument/2006/relationships/externalLink" Target="/xl/externalLinks/externalLink163.xml" Id="rId179" /><Relationship Type="http://schemas.openxmlformats.org/officeDocument/2006/relationships/externalLink" Target="/xl/externalLinks/externalLink164.xml" Id="rId180" /><Relationship Type="http://schemas.openxmlformats.org/officeDocument/2006/relationships/externalLink" Target="/xl/externalLinks/externalLink165.xml" Id="rId181" /><Relationship Type="http://schemas.openxmlformats.org/officeDocument/2006/relationships/externalLink" Target="/xl/externalLinks/externalLink166.xml" Id="rId182" /><Relationship Type="http://schemas.openxmlformats.org/officeDocument/2006/relationships/externalLink" Target="/xl/externalLinks/externalLink167.xml" Id="rId183" /><Relationship Type="http://schemas.openxmlformats.org/officeDocument/2006/relationships/externalLink" Target="/xl/externalLinks/externalLink168.xml" Id="rId184" /><Relationship Type="http://schemas.openxmlformats.org/officeDocument/2006/relationships/externalLink" Target="/xl/externalLinks/externalLink169.xml" Id="rId185" /><Relationship Type="http://schemas.openxmlformats.org/officeDocument/2006/relationships/externalLink" Target="/xl/externalLinks/externalLink170.xml" Id="rId186" /><Relationship Type="http://schemas.openxmlformats.org/officeDocument/2006/relationships/externalLink" Target="/xl/externalLinks/externalLink171.xml" Id="rId187" /><Relationship Type="http://schemas.openxmlformats.org/officeDocument/2006/relationships/externalLink" Target="/xl/externalLinks/externalLink172.xml" Id="rId188" /><Relationship Type="http://schemas.openxmlformats.org/officeDocument/2006/relationships/externalLink" Target="/xl/externalLinks/externalLink173.xml" Id="rId189" /><Relationship Type="http://schemas.openxmlformats.org/officeDocument/2006/relationships/externalLink" Target="/xl/externalLinks/externalLink174.xml" Id="rId190" /><Relationship Type="http://schemas.openxmlformats.org/officeDocument/2006/relationships/externalLink" Target="/xl/externalLinks/externalLink175.xml" Id="rId191" /><Relationship Type="http://schemas.openxmlformats.org/officeDocument/2006/relationships/externalLink" Target="/xl/externalLinks/externalLink176.xml" Id="rId192" /><Relationship Type="http://schemas.openxmlformats.org/officeDocument/2006/relationships/externalLink" Target="/xl/externalLinks/externalLink177.xml" Id="rId193" /><Relationship Type="http://schemas.openxmlformats.org/officeDocument/2006/relationships/externalLink" Target="/xl/externalLinks/externalLink178.xml" Id="rId194" /><Relationship Type="http://schemas.openxmlformats.org/officeDocument/2006/relationships/externalLink" Target="/xl/externalLinks/externalLink179.xml" Id="rId195" /><Relationship Type="http://schemas.openxmlformats.org/officeDocument/2006/relationships/externalLink" Target="/xl/externalLinks/externalLink180.xml" Id="rId196" /><Relationship Type="http://schemas.openxmlformats.org/officeDocument/2006/relationships/externalLink" Target="/xl/externalLinks/externalLink181.xml" Id="rId197" /><Relationship Type="http://schemas.openxmlformats.org/officeDocument/2006/relationships/externalLink" Target="/xl/externalLinks/externalLink182.xml" Id="rId198" /><Relationship Type="http://schemas.openxmlformats.org/officeDocument/2006/relationships/externalLink" Target="/xl/externalLinks/externalLink183.xml" Id="rId199" /><Relationship Type="http://schemas.openxmlformats.org/officeDocument/2006/relationships/externalLink" Target="/xl/externalLinks/externalLink184.xml" Id="rId200" /><Relationship Type="http://schemas.openxmlformats.org/officeDocument/2006/relationships/externalLink" Target="/xl/externalLinks/externalLink185.xml" Id="rId201" /><Relationship Type="http://schemas.openxmlformats.org/officeDocument/2006/relationships/externalLink" Target="/xl/externalLinks/externalLink186.xml" Id="rId202" /><Relationship Type="http://schemas.openxmlformats.org/officeDocument/2006/relationships/externalLink" Target="/xl/externalLinks/externalLink187.xml" Id="rId203" /><Relationship Type="http://schemas.openxmlformats.org/officeDocument/2006/relationships/externalLink" Target="/xl/externalLinks/externalLink188.xml" Id="rId204" /><Relationship Type="http://schemas.openxmlformats.org/officeDocument/2006/relationships/externalLink" Target="/xl/externalLinks/externalLink189.xml" Id="rId205" /><Relationship Type="http://schemas.openxmlformats.org/officeDocument/2006/relationships/externalLink" Target="/xl/externalLinks/externalLink190.xml" Id="rId206" /><Relationship Type="http://schemas.openxmlformats.org/officeDocument/2006/relationships/externalLink" Target="/xl/externalLinks/externalLink191.xml" Id="rId207" /><Relationship Type="http://schemas.openxmlformats.org/officeDocument/2006/relationships/externalLink" Target="/xl/externalLinks/externalLink192.xml" Id="rId208" /><Relationship Type="http://schemas.openxmlformats.org/officeDocument/2006/relationships/externalLink" Target="/xl/externalLinks/externalLink193.xml" Id="rId209" /><Relationship Type="http://schemas.openxmlformats.org/officeDocument/2006/relationships/externalLink" Target="/xl/externalLinks/externalLink194.xml" Id="rId210" /><Relationship Type="http://schemas.openxmlformats.org/officeDocument/2006/relationships/externalLink" Target="/xl/externalLinks/externalLink195.xml" Id="rId211" /><Relationship Type="http://schemas.openxmlformats.org/officeDocument/2006/relationships/externalLink" Target="/xl/externalLinks/externalLink196.xml" Id="rId212" /><Relationship Type="http://schemas.openxmlformats.org/officeDocument/2006/relationships/externalLink" Target="/xl/externalLinks/externalLink197.xml" Id="rId213" /><Relationship Type="http://schemas.openxmlformats.org/officeDocument/2006/relationships/styles" Target="styles.xml" Id="rId214" /><Relationship Type="http://schemas.openxmlformats.org/officeDocument/2006/relationships/theme" Target="theme/theme1.xml" Id="rId215" /><Relationship Type="http://schemas.microsoft.com/office/2006/relationships/vbaProject" Target="vbaProject.bin" Id="rId216"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 Type="http://schemas.openxmlformats.org/officeDocument/2006/relationships/image" Target="/xl/media/image8.jpeg" Id="rId8" /><Relationship Type="http://schemas.openxmlformats.org/officeDocument/2006/relationships/image" Target="/xl/media/image9.jpeg" Id="rId9" /></Relationships>
</file>

<file path=xl/drawings/_rels/drawing2.xml.rels><Relationships xmlns="http://schemas.openxmlformats.org/package/2006/relationships"><Relationship Type="http://schemas.openxmlformats.org/officeDocument/2006/relationships/image" Target="/xl/media/image10.png" Id="rId1" /><Relationship Type="http://schemas.openxmlformats.org/officeDocument/2006/relationships/image" Target="/xl/media/image11.png" Id="rId2" /></Relationships>
</file>

<file path=xl/drawings/_rels/drawing3.xml.rels><Relationships xmlns="http://schemas.openxmlformats.org/package/2006/relationships"><Relationship Type="http://schemas.openxmlformats.org/officeDocument/2006/relationships/image" Target="/xl/media/image12.jpeg" Id="rId1" /></Relationships>
</file>

<file path=xl/drawings/_rels/drawing4.xml.rels><Relationships xmlns="http://schemas.openxmlformats.org/package/2006/relationships"><Relationship Type="http://schemas.openxmlformats.org/officeDocument/2006/relationships/image" Target="/xl/media/image13.png" Id="rId1" /></Relationships>
</file>

<file path=xl/drawings/_rels/drawing5.xml.rels><Relationships xmlns="http://schemas.openxmlformats.org/package/2006/relationships"><Relationship Type="http://schemas.openxmlformats.org/officeDocument/2006/relationships/image" Target="/xl/media/image14.jpeg" Id="rId1" /><Relationship Type="http://schemas.openxmlformats.org/officeDocument/2006/relationships/image" Target="/xl/media/image15.png" Id="rId2" /><Relationship Type="http://schemas.openxmlformats.org/officeDocument/2006/relationships/image" Target="/xl/media/image16.png" Id="rId3" /></Relationships>
</file>

<file path=xl/drawings/_rels/drawing6.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7.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png" Id="rId2" /></Relationships>
</file>

<file path=xl/drawings/_rels/drawing8.xml.rels><Relationships xmlns="http://schemas.openxmlformats.org/package/2006/relationships"><Relationship Type="http://schemas.openxmlformats.org/officeDocument/2006/relationships/image" Target="/xl/media/image21.jpeg" Id="rId1" /><Relationship Type="http://schemas.openxmlformats.org/officeDocument/2006/relationships/image" Target="/xl/media/image22.png" Id="rId2" /></Relationships>
</file>

<file path=xl/drawings/_rels/drawing9.xml.rels><Relationships xmlns="http://schemas.openxmlformats.org/package/2006/relationships"><Relationship Type="http://schemas.openxmlformats.org/officeDocument/2006/relationships/image" Target="/xl/media/image23.png" Id="rId1" /><Relationship Type="http://schemas.openxmlformats.org/officeDocument/2006/relationships/image" Target="/xl/media/image24.png" Id="rId2" /><Relationship Type="http://schemas.openxmlformats.org/officeDocument/2006/relationships/image" Target="/xl/media/image25.png" Id="rId3" /><Relationship Type="http://schemas.openxmlformats.org/officeDocument/2006/relationships/image" Target="/xl/media/image26.png" Id="rId4" /><Relationship Type="http://schemas.openxmlformats.org/officeDocument/2006/relationships/image" Target="/xl/media/image27.png" Id="rId5" /><Relationship Type="http://schemas.openxmlformats.org/officeDocument/2006/relationships/image" Target="/xl/media/image28.png" Id="rId6" /><Relationship Type="http://schemas.openxmlformats.org/officeDocument/2006/relationships/image" Target="/xl/media/image29.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8" name="Picture 9"/>
        <cNvPicPr/>
      </nvPicPr>
      <blipFill>
        <a:blip r:embed="rId8"/>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9" name="Picture 10"/>
        <cNvPicPr/>
      </nvPicPr>
      <blipFill>
        <a:blip r:embed="rId9"/>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10"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11"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581760</colOff>
      <row>0</row>
      <rowOff>748800</rowOff>
    </to>
    <pic>
      <nvPicPr>
        <cNvPr id="12" name="Picture 1"/>
        <cNvPicPr/>
      </nvPicPr>
      <blipFill>
        <a:blip r:embed="rId1"/>
        <a:stretch>
          <a:fillRect/>
        </a:stretch>
      </blipFill>
      <spPr>
        <a:xfrm>
          <a:off x="35280" y="46800"/>
          <a:ext cx="1675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7</row>
      <rowOff>10440</rowOff>
    </to>
    <pic>
      <nvPicPr>
        <cNvPr id="13" name="Picture 1"/>
        <cNvPicPr/>
      </nvPicPr>
      <blipFill>
        <a:blip r:embed="rId1"/>
        <a:stretch>
          <a:fillRect/>
        </a:stretch>
      </blipFill>
      <spPr>
        <a:xfrm>
          <a:off x="13295160" y="66600"/>
          <a:ext cx="802800" cy="11250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285480</colOff>
      <row>11</row>
      <rowOff>55440</rowOff>
    </to>
    <pic>
      <nvPicPr>
        <cNvPr id="14" name="Picture 3"/>
        <cNvPicPr/>
      </nvPicPr>
      <blipFill>
        <a:blip r:embed="rId1"/>
        <a:stretch>
          <a:fillRect/>
        </a:stretch>
      </blipFill>
      <spPr>
        <a:xfrm>
          <a:off x="10098360" y="1779840"/>
          <a:ext cx="3015360" cy="165708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5"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6"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7"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8"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9"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20"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21"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2"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3"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4" name="Graphic 2" descr="Bar graph with downward trend with solid fill"/>
        <cNvPicPr/>
      </nvPicPr>
      <blipFill>
        <a:blip r:embed="rId2"/>
        <a:stretch>
          <a:fillRect/>
        </a:stretch>
      </blipFill>
      <spPr>
        <a:xfrm>
          <a:off x="24223680" y="2646396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5" name="Graphic 3" descr="Bar graph with upward trend with solid fill"/>
        <cNvPicPr/>
      </nvPicPr>
      <blipFill>
        <a:blip r:embed="rId3"/>
        <a:stretch>
          <a:fillRect/>
        </a:stretch>
      </blipFill>
      <spPr>
        <a:xfrm>
          <a:off x="24094440" y="2574601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6" name="Graphic 4" descr="Baseball with solid fill"/>
        <cNvPicPr/>
      </nvPicPr>
      <blipFill>
        <a:blip r:embed="rId4"/>
        <a:stretch>
          <a:fillRect/>
        </a:stretch>
      </blipFill>
      <spPr>
        <a:xfrm>
          <a:off x="24223680" y="2596752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7" name="Graphic 5" descr="Baseball with solid fill"/>
        <cNvPicPr/>
      </nvPicPr>
      <blipFill>
        <a:blip r:embed="rId5"/>
        <a:stretch>
          <a:fillRect/>
        </a:stretch>
      </blipFill>
      <spPr>
        <a:xfrm>
          <a:off x="24223680" y="2622088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8" name="Graphic 6" descr="Baseball with solid fill"/>
        <cNvPicPr/>
      </nvPicPr>
      <blipFill>
        <a:blip r:embed="rId6"/>
        <a:stretch>
          <a:fillRect/>
        </a:stretch>
      </blipFill>
      <spPr>
        <a:xfrm>
          <a:off x="24223680" y="2674954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9" name="Graphic 7" descr="Baseball with solid fill"/>
        <cNvPicPr/>
      </nvPicPr>
      <blipFill>
        <a:blip r:embed="rId7"/>
        <a:stretch>
          <a:fillRect/>
        </a:stretch>
      </blipFill>
      <spPr>
        <a:xfrm>
          <a:off x="24223680" y="2687004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3.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4.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5.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6.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88.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89.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0.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1.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92.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_rels/externalLink19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94.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95.xml.rels><Relationships xmlns="http://schemas.openxmlformats.org/package/2006/relationships"><Relationship Type="http://schemas.openxmlformats.org/officeDocument/2006/relationships/externalLinkPath" Target="../../../../personal/mahmoud_ahmed2_weatherford_com/Documents/Desktop/GLM,%20TSH,AD-89,BB-1436%20,MAY,26%20,%20%20OP407GREBB30/DSL/COMP_BB1436_OP30728CBB30_V0.xlsm" TargetMode="External" Id="rId1" /></Relationships>
</file>

<file path=xl/externalLinks/_rels/externalLink196.xml.rels><Relationships xmlns="http://schemas.openxmlformats.org/package/2006/relationships"><Relationship Type="http://schemas.openxmlformats.org/officeDocument/2006/relationships/externalLinkPath" Target="../../../../personal/mahmoud_ahmed2_weatherford_com/Documents/Desktop/GLM,%20TSH,AD-89,BB-1436%20,MAY,26%20,%20%20OP407GREBB30/DSL/BB1436%20Downhole%20Well%20Status%20(1).xlsx" TargetMode="External" Id="rId1" /></Relationships>
</file>

<file path=xl/externalLinks/_rels/externalLink197.xml.rels><Relationships xmlns="http://schemas.openxmlformats.org/package/2006/relationships"><Relationship Type="http://schemas.openxmlformats.org/officeDocument/2006/relationships/externalLinkPath" Target="../../../../C:/Users/E208947/AppData/Local/Microsoft/Windows/INetCache/Content.Outlook/GBDHQDA6/EOJR_BB1436_%20OP30728CBB30.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PKR"/>
      <sheetName val="CC33"/>
      <sheetName val="DWS"/>
      <sheetName val="MAT_COST"/>
      <sheetName val="CONTRACT_NO"/>
      <sheetName val="HELPER"/>
      <sheetName val="RECORD"/>
      <sheetName val="RECAP"/>
      <sheetName val="DRAW1"/>
      <sheetName val="LIBRARY"/>
      <sheetName val="DL"/>
      <sheetName val="INPUT"/>
      <sheetName val="Cover"/>
      <sheetName val="Outline"/>
      <sheetName val="Control"/>
      <sheetName val="Auto_DHWS"/>
      <sheetName val="Drift"/>
      <sheetName val="Drift Method"/>
      <sheetName val="Drift BHA (example)"/>
      <sheetName val="Lower"/>
      <sheetName val="LC_Meta"/>
      <sheetName val="LC_Ap"/>
      <sheetName val="Upper"/>
      <sheetName val="UC_Meta"/>
      <sheetName val="Brine"/>
      <sheetName val="UC_Ap"/>
      <sheetName val="LEL Input"/>
      <sheetName val="DRAW_LIB"/>
      <sheetName val="E-PROFILE"/>
      <sheetName val="CP"/>
      <sheetName val="E-PROFILE LIBRARY"/>
      <sheetName val="COMP_BB1436_OP30728CBB30_V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Table 1"/>
    </sheetNames>
    <sheetDataSet>
      <sheetData sheetId="0">
        <row r="72">
          <cell r="F72">
            <v>3</v>
          </cell>
        </row>
      </sheetData>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DATA (2)"/>
      <sheetName val="FINAL TALLY  (2)"/>
      <sheetName val="COVER PAGE"/>
      <sheetName val="FINAL TALLY "/>
      <sheetName val="JOB ORDER "/>
      <sheetName val="JOB LOG"/>
      <sheetName val="Tally"/>
      <sheetName val="Drawing"/>
      <sheetName val="4.5in TBG TSH BLUE"/>
    </sheetNames>
    <sheetDataSet>
      <sheetData sheetId="0"/>
      <sheetData sheetId="1"/>
      <sheetData sheetId="2"/>
      <sheetData sheetId="3">
        <row r="14">
          <cell r="G14">
            <v>11538.89</v>
          </cell>
        </row>
      </sheetData>
      <sheetData sheetId="4"/>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0.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9"/>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B16" activeCellId="0" sqref="A11:S58"/>
    </sheetView>
  </sheetViews>
  <sheetFormatPr baseColWidth="8" defaultColWidth="9.22265625" defaultRowHeight="14.25" customHeight="0" zeroHeight="0" outlineLevelRow="0"/>
  <cols>
    <col width="21.22" customWidth="1" style="1157" min="1" max="1"/>
    <col width="14.22" customWidth="1" style="1157" min="2" max="2"/>
    <col width="15.22" customWidth="1" style="1157" min="3" max="3"/>
    <col width="33.78" customWidth="1" style="1157" min="4" max="4"/>
    <col width="21.22" customWidth="1" style="1157" min="5" max="6"/>
    <col width="34.11" customWidth="1" style="1157" min="7" max="7"/>
    <col width="16.22" customWidth="1" style="1157" min="8" max="8"/>
    <col width="22.78" customWidth="1" style="1157" min="9" max="9"/>
    <col width="9.220000000000001" customWidth="1" style="1157" min="10" max="16384"/>
  </cols>
  <sheetData>
    <row r="1" ht="18" customHeight="1" s="1158">
      <c r="A1" s="1159" t="n"/>
      <c r="B1" s="1160" t="n"/>
      <c r="C1" s="1161" t="inlineStr">
        <is>
          <t>COMPLETION ASSEMBLY INSTALLATION / CONSUMPTION RECORD SHEET</t>
        </is>
      </c>
      <c r="D1" s="1162" t="n"/>
      <c r="E1" s="1162" t="n"/>
      <c r="F1" s="1162" t="n"/>
      <c r="G1" s="1163" t="n"/>
      <c r="H1" s="1164" t="n"/>
      <c r="I1" s="1163" t="n"/>
    </row>
    <row r="2" ht="15" customHeight="1" s="1158">
      <c r="A2" s="1165" t="inlineStr">
        <is>
          <t>CUSTOMER :</t>
        </is>
      </c>
      <c r="B2" s="1166" t="n"/>
      <c r="C2" s="1167" t="inlineStr">
        <is>
          <t>ADNOC ONSHORE</t>
        </is>
      </c>
      <c r="D2" s="1168" t="n"/>
      <c r="E2" s="1169" t="inlineStr">
        <is>
          <t>FIELD :</t>
        </is>
      </c>
      <c r="F2" s="1170" t="inlineStr">
        <is>
          <t>AD-141</t>
        </is>
      </c>
      <c r="G2" s="1171" t="n"/>
      <c r="H2" s="1171" t="n"/>
      <c r="I2" s="1172" t="n"/>
    </row>
    <row r="3" ht="14.25" customHeight="1" s="1158">
      <c r="A3" s="1173" t="inlineStr">
        <is>
          <t>WORK ORDER NUMBER</t>
        </is>
      </c>
      <c r="B3" s="1168" t="n"/>
      <c r="C3" s="1167" t="inlineStr">
        <is>
          <t>4700014396</t>
        </is>
      </c>
      <c r="D3" s="1168" t="n"/>
      <c r="E3" s="1174" t="inlineStr">
        <is>
          <t>CONTRACT NUMBER</t>
        </is>
      </c>
      <c r="F3" s="1175" t="inlineStr">
        <is>
          <t>FTASM 1706-B</t>
        </is>
      </c>
      <c r="G3" s="1171" t="n"/>
      <c r="H3" s="1171" t="n"/>
      <c r="I3" s="1172" t="n"/>
    </row>
    <row r="4" ht="14.25" customHeight="1" s="1158">
      <c r="A4" s="1176" t="inlineStr">
        <is>
          <t>Installation :</t>
        </is>
      </c>
      <c r="B4" s="1168" t="n"/>
      <c r="C4" s="1177" t="inlineStr">
        <is>
          <t>04-Jul-26</t>
        </is>
      </c>
      <c r="D4" s="1168" t="n"/>
      <c r="E4" s="1178" t="inlineStr">
        <is>
          <t>Reported By :</t>
        </is>
      </c>
      <c r="F4" s="1179" t="inlineStr">
        <is>
          <t xml:space="preserve">DRILLING SUPERVISOR </t>
        </is>
      </c>
      <c r="G4" s="1171" t="n"/>
      <c r="H4" s="1171" t="n"/>
      <c r="I4" s="1172" t="n"/>
    </row>
    <row r="5" ht="25.5" customHeight="1" s="1158">
      <c r="A5" s="1176" t="inlineStr">
        <is>
          <t>Date :</t>
        </is>
      </c>
      <c r="B5" s="1168" t="n"/>
      <c r="C5" s="1177" t="inlineStr">
        <is>
          <t>30-Jul-26</t>
        </is>
      </c>
      <c r="D5" s="1168" t="n"/>
      <c r="E5" s="1178" t="inlineStr">
        <is>
          <t>Production Commitment No. :</t>
        </is>
      </c>
      <c r="F5" s="1180" t="inlineStr">
        <is>
          <t>4200577342</t>
        </is>
      </c>
      <c r="G5" s="1171" t="n"/>
      <c r="H5" s="1171" t="n"/>
      <c r="I5" s="1172" t="n"/>
    </row>
    <row r="6" ht="25.5" customHeight="1" s="1158">
      <c r="A6" s="1176" t="inlineStr">
        <is>
          <t>Client's Representative Name:</t>
        </is>
      </c>
      <c r="B6" s="1168" t="n"/>
      <c r="C6" s="1181" t="n"/>
      <c r="D6" s="1168" t="n"/>
      <c r="E6" s="1178" t="inlineStr">
        <is>
          <t>Weatherford's
Representative Name:</t>
        </is>
      </c>
      <c r="F6" s="1182" t="inlineStr">
        <is>
          <t>Mahmoud Ali</t>
        </is>
      </c>
      <c r="G6" s="1171" t="n"/>
      <c r="H6" s="1171" t="n"/>
      <c r="I6" s="1172" t="n"/>
    </row>
    <row r="7" ht="52.5" customHeight="1" s="1158">
      <c r="A7" s="1183" t="inlineStr">
        <is>
          <t>Client's Representative Sign.:</t>
        </is>
      </c>
      <c r="B7" s="1184" t="n"/>
      <c r="C7" s="1185" t="n"/>
      <c r="D7" s="1184" t="n"/>
      <c r="E7" s="1186" t="inlineStr">
        <is>
          <t>Weatherford's
Representative Sign.:</t>
        </is>
      </c>
      <c r="F7" s="1187" t="n">
        <v>0</v>
      </c>
      <c r="G7" s="1188" t="n"/>
      <c r="H7" s="1188" t="n"/>
      <c r="I7" s="1189" t="n"/>
    </row>
    <row r="8" ht="15" customHeight="1" s="1158">
      <c r="A8" s="1190" t="n"/>
      <c r="B8" s="1191" t="n"/>
      <c r="C8" s="1191" t="n"/>
      <c r="D8" s="1191" t="n"/>
      <c r="E8" s="1192" t="inlineStr">
        <is>
          <t xml:space="preserve">*THE FOLLOWING ASSEMBLIES ARE TO BE SHIPPED TO : </t>
        </is>
      </c>
      <c r="F8" s="1193" t="n"/>
      <c r="G8" s="1193" t="n"/>
      <c r="H8" s="1194" t="n"/>
      <c r="I8" s="1195" t="inlineStr">
        <is>
          <t>AD-141</t>
        </is>
      </c>
    </row>
    <row r="9" ht="15" customHeight="1" s="1158">
      <c r="A9" s="1196" t="n"/>
      <c r="B9" s="1197" t="n"/>
      <c r="C9" s="1197" t="n"/>
      <c r="D9" s="1197" t="n"/>
      <c r="E9" s="1198" t="inlineStr">
        <is>
          <t xml:space="preserve">*THE FOLLOWING ASSEMBLIES HAVE BEEN RUN IN : </t>
        </is>
      </c>
      <c r="F9" s="1188" t="n"/>
      <c r="G9" s="1188" t="n"/>
      <c r="H9" s="1184" t="n"/>
      <c r="I9" s="1195" t="inlineStr">
        <is>
          <t>BB-1933</t>
        </is>
      </c>
    </row>
    <row r="10" ht="25.5" customHeight="1" s="1158">
      <c r="A10" s="1199" t="inlineStr">
        <is>
          <t>PC LINE ITEM NO.</t>
        </is>
      </c>
      <c r="B10" s="1199" t="inlineStr">
        <is>
          <t>MATERIAL REQUISITION</t>
        </is>
      </c>
      <c r="C10" s="1199" t="inlineStr">
        <is>
          <t>SAP MATERIAL NUMBER</t>
        </is>
      </c>
      <c r="D10" s="1200" t="inlineStr">
        <is>
          <t>ADNOC DESCRIPTION</t>
        </is>
      </c>
      <c r="E10" s="1200" t="inlineStr">
        <is>
          <t>WEATHERFORD
Part No:</t>
        </is>
      </c>
      <c r="F10" s="1200" t="inlineStr">
        <is>
          <t>Serial Number</t>
        </is>
      </c>
      <c r="G10" s="1200" t="inlineStr">
        <is>
          <t>DESCRIPTION</t>
        </is>
      </c>
      <c r="H10" s="1200" t="inlineStr">
        <is>
          <t>QUANTITY</t>
        </is>
      </c>
      <c r="I10" s="1201" t="inlineStr">
        <is>
          <t>COMMENTS</t>
        </is>
      </c>
    </row>
    <row r="11" ht="44.25" customFormat="1" customHeight="1" s="1202">
      <c r="A11" s="1203" t="n">
        <v>1</v>
      </c>
      <c r="B11" s="1203" t="inlineStr">
        <is>
          <t>N/A</t>
        </is>
      </c>
      <c r="C11" s="1204" t="inlineStr">
        <is>
          <t>N/A</t>
        </is>
      </c>
      <c r="D11" s="1203" t="inlineStr">
        <is>
          <t>Running and Installation</t>
        </is>
      </c>
      <c r="E11" s="1205" t="inlineStr">
        <is>
          <t>362754</t>
        </is>
      </c>
      <c r="F11" s="1205" t="inlineStr">
        <is>
          <t>N/A</t>
        </is>
      </c>
      <c r="G11" s="1203" t="inlineStr">
        <is>
          <t>Running and Installation</t>
        </is>
      </c>
      <c r="H11" s="1205" t="n">
        <v>1</v>
      </c>
      <c r="I11" s="1205" t="inlineStr">
        <is>
          <t>SUCCESSFULLY RIH</t>
        </is>
      </c>
    </row>
    <row r="12" ht="44.25" customFormat="1" customHeight="1" s="1202">
      <c r="A12" s="1203" t="n">
        <v>2</v>
      </c>
      <c r="B12" s="1203" t="inlineStr">
        <is>
          <t>N/A</t>
        </is>
      </c>
      <c r="C12" s="1204" t="inlineStr">
        <is>
          <t>N/A</t>
        </is>
      </c>
      <c r="D12" s="1203" t="inlineStr">
        <is>
          <t>TOOLBOX, OFFSHORE - WELLSITE</t>
        </is>
      </c>
      <c r="E12" s="1205" t="inlineStr">
        <is>
          <t>3027199</t>
        </is>
      </c>
      <c r="F12" s="1205" t="inlineStr">
        <is>
          <t>RZ060-012</t>
        </is>
      </c>
      <c r="G12" s="1203" t="inlineStr">
        <is>
          <t>TOOLBOX, OFFSHORE - WELLSITE</t>
        </is>
      </c>
      <c r="H12" s="1205" t="n">
        <v>1</v>
      </c>
      <c r="I12" s="1205" t="inlineStr">
        <is>
          <t>SUCCESSFULLY RIH</t>
        </is>
      </c>
    </row>
    <row r="13" ht="44.25" customFormat="1" customHeight="1" s="1202">
      <c r="A13" s="1203" t="n">
        <v>3</v>
      </c>
      <c r="B13" s="1203" t="inlineStr">
        <is>
          <t>N/A</t>
        </is>
      </c>
      <c r="C13" s="1204" t="inlineStr">
        <is>
          <t>N/A</t>
        </is>
      </c>
      <c r="D13" s="1203" t="inlineStr">
        <is>
          <t>PUMP, HYDRAULIC</t>
        </is>
      </c>
      <c r="E13" s="1205" t="inlineStr">
        <is>
          <t>300340</t>
        </is>
      </c>
      <c r="F13" s="1205" t="inlineStr">
        <is>
          <t>3254409</t>
        </is>
      </c>
      <c r="G13" s="1203" t="inlineStr">
        <is>
          <t>PUMP, HYDRAULIC</t>
        </is>
      </c>
      <c r="H13" s="1205" t="n">
        <v>1</v>
      </c>
      <c r="I13" s="1205" t="inlineStr">
        <is>
          <t>SUCCESSFULLY RIH</t>
        </is>
      </c>
    </row>
    <row r="14" ht="44.25" customFormat="1" customHeight="1" s="1202">
      <c r="A14" s="1206" t="n"/>
      <c r="B14" s="1206" t="n"/>
      <c r="C14" s="1206" t="n"/>
      <c r="D14" s="1206" t="n"/>
      <c r="E14" s="1206" t="n"/>
      <c r="F14" s="1206" t="n"/>
      <c r="G14" s="1206" t="n"/>
      <c r="H14" s="1206" t="n"/>
      <c r="I14" s="1206" t="n"/>
    </row>
    <row r="15" ht="44.25" customHeight="1" s="1158">
      <c r="A15" s="1206" t="n"/>
      <c r="B15" s="1206" t="n"/>
      <c r="C15" s="1206" t="n"/>
      <c r="D15" s="1206" t="n"/>
      <c r="E15" s="1206" t="n"/>
      <c r="F15" s="1206" t="n"/>
      <c r="G15" s="1206" t="n"/>
      <c r="H15" s="1206" t="n"/>
      <c r="I15" s="1206" t="n"/>
    </row>
    <row r="16" ht="44.25" customHeight="1" s="1158">
      <c r="A16" s="1203" t="n"/>
      <c r="B16" s="1203" t="n"/>
      <c r="C16" s="1204" t="n"/>
      <c r="D16" s="1203" t="n"/>
      <c r="E16" s="1205" t="n"/>
      <c r="F16" s="1205" t="n"/>
      <c r="G16" s="1203" t="n"/>
      <c r="H16" s="1205" t="n"/>
      <c r="I16" s="1205" t="n"/>
    </row>
    <row r="17" ht="44.25" customHeight="1" s="1158">
      <c r="A17" s="1203" t="n"/>
      <c r="B17" s="1203" t="n"/>
      <c r="C17" s="1204" t="n"/>
      <c r="D17" s="1203" t="n"/>
      <c r="E17" s="1205" t="n"/>
      <c r="F17" s="1205" t="n"/>
      <c r="G17" s="1203" t="n"/>
      <c r="H17" s="1205" t="n"/>
      <c r="I17" s="1205" t="n"/>
    </row>
    <row r="18" ht="36" customHeight="1" s="1158">
      <c r="A18" s="1203" t="n"/>
      <c r="B18" s="1206" t="n"/>
      <c r="C18" s="1206" t="n"/>
      <c r="D18" s="1206" t="n"/>
      <c r="E18" s="1206" t="n"/>
      <c r="F18" s="1206" t="n"/>
      <c r="G18" s="1206" t="n"/>
      <c r="H18" s="1206" t="n"/>
      <c r="I18" s="1206" t="n"/>
    </row>
    <row r="19" ht="44.25" customHeight="1" s="1158">
      <c r="A19" s="1203" t="n"/>
      <c r="B19" s="1206" t="n"/>
      <c r="C19" s="1206" t="n"/>
      <c r="D19" s="1206" t="n"/>
      <c r="E19" s="1206" t="n"/>
      <c r="F19" s="1206" t="n"/>
      <c r="G19" s="1206" t="n"/>
      <c r="H19" s="1206" t="n"/>
      <c r="I19" s="1206" t="n"/>
    </row>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H4" activeCellId="1" sqref="A11:S58 H4"/>
    </sheetView>
  </sheetViews>
  <sheetFormatPr baseColWidth="8" defaultColWidth="8.59765625" defaultRowHeight="14.25" customHeight="0" zeroHeight="0" outlineLevelRow="0"/>
  <cols>
    <col width="22.11" customWidth="1" style="1207" min="1" max="1"/>
    <col width="30.11" customWidth="1" style="1207" min="2" max="2"/>
    <col width="4.22" customWidth="1" style="1207" min="3" max="3"/>
    <col width="24" customWidth="1" style="1207" min="4" max="4"/>
    <col width="29.44" customWidth="1" style="1207" min="5" max="5"/>
    <col width="4.22" customWidth="1" style="1208" min="6" max="6"/>
    <col width="12.89" customWidth="1" style="1207" min="7" max="7"/>
    <col width="22.44" customWidth="1" style="1207" min="8" max="8"/>
    <col width="14.11" customWidth="1" style="1207" min="9" max="9"/>
  </cols>
  <sheetData>
    <row r="1" ht="17.35" customHeight="1" s="1158">
      <c r="A1" s="1209" t="inlineStr">
        <is>
          <t>Master Data Imput</t>
        </is>
      </c>
    </row>
    <row r="3" ht="39" customFormat="1" customHeight="1" s="1210">
      <c r="A3" s="1211" t="inlineStr">
        <is>
          <t>Customer Name</t>
        </is>
      </c>
      <c r="B3" s="1212">
        <f>'MS2'!$C$2</f>
        <v/>
      </c>
      <c r="D3" s="1211" t="inlineStr">
        <is>
          <t>Job Type</t>
        </is>
      </c>
      <c r="E3" s="1213" t="inlineStr">
        <is>
          <t>3-1/2" Single Oil Producer, Alloy-28 Tubing,</t>
        </is>
      </c>
      <c r="F3" s="1214" t="n"/>
      <c r="G3" s="1215" t="inlineStr">
        <is>
          <t>Lead Engineer</t>
        </is>
      </c>
      <c r="H3" s="1216">
        <f>'MS2'!$F$6</f>
        <v/>
      </c>
      <c r="I3" s="1217" t="inlineStr">
        <is>
          <t>Field Supervisor</t>
        </is>
      </c>
    </row>
    <row r="4" ht="24" customHeight="1" s="1158">
      <c r="A4" s="1218" t="inlineStr">
        <is>
          <t>ADNOC Rep.</t>
        </is>
      </c>
      <c r="B4" s="1219" t="inlineStr">
        <is>
          <t>ISSA</t>
        </is>
      </c>
      <c r="D4" s="1218" t="inlineStr">
        <is>
          <t>Work Description</t>
        </is>
      </c>
      <c r="E4" s="1213" t="inlineStr">
        <is>
          <t>RIH COMPLETION</t>
        </is>
      </c>
      <c r="G4" s="1220" t="inlineStr">
        <is>
          <t>Crew 1</t>
        </is>
      </c>
      <c r="H4" s="1212" t="inlineStr">
        <is>
          <t>ALI</t>
        </is>
      </c>
      <c r="I4" s="1221" t="inlineStr">
        <is>
          <t>TRSV Engineer</t>
        </is>
      </c>
    </row>
    <row r="5" ht="14.25" customHeight="1" s="1158">
      <c r="A5" s="1220" t="inlineStr">
        <is>
          <t>ADNOC Rep. Phone</t>
        </is>
      </c>
      <c r="B5" s="1222" t="n">
        <v>971508126221</v>
      </c>
      <c r="D5" s="1220" t="inlineStr">
        <is>
          <t>Field</t>
        </is>
      </c>
      <c r="E5" s="1223" t="n"/>
      <c r="G5" s="1218" t="inlineStr">
        <is>
          <t>Crew 2</t>
        </is>
      </c>
      <c r="H5" s="1216" t="inlineStr">
        <is>
          <t>AHMED</t>
        </is>
      </c>
      <c r="I5" s="1221" t="n"/>
    </row>
    <row r="6" ht="14.25" customHeight="1" s="1158">
      <c r="A6" s="1220" t="n"/>
      <c r="B6" s="1222" t="n"/>
      <c r="D6" s="1220" t="n"/>
      <c r="E6" s="1223" t="n"/>
      <c r="G6" s="1218" t="inlineStr">
        <is>
          <t>Crew 3</t>
        </is>
      </c>
      <c r="H6" s="1212" t="inlineStr">
        <is>
          <t>AHMED</t>
        </is>
      </c>
      <c r="I6" s="1221" t="n"/>
    </row>
    <row r="7" ht="14.25" customHeight="1" s="1158">
      <c r="A7" s="1218" t="n"/>
      <c r="B7" s="1224" t="n"/>
      <c r="D7" s="1220" t="n"/>
      <c r="E7" s="1223" t="n"/>
      <c r="G7" s="1218" t="inlineStr">
        <is>
          <t>Crew 4</t>
        </is>
      </c>
      <c r="H7" s="1216" t="n"/>
      <c r="I7" s="1221" t="n"/>
    </row>
    <row r="8" ht="14.25" customHeight="1" s="1158">
      <c r="A8" s="1220" t="inlineStr">
        <is>
          <t>ADNOC Rep. Phone</t>
        </is>
      </c>
      <c r="B8" s="1222" t="n">
        <v>971508126221</v>
      </c>
      <c r="D8" s="1220" t="inlineStr">
        <is>
          <t>Field</t>
        </is>
      </c>
      <c r="E8" s="1223" t="inlineStr">
        <is>
          <t>BAB</t>
        </is>
      </c>
      <c r="G8" s="1218" t="inlineStr">
        <is>
          <t>Crew 5</t>
        </is>
      </c>
      <c r="H8" s="1212" t="n"/>
      <c r="I8" s="1221" t="n"/>
    </row>
    <row r="9" ht="14.25" customHeight="1" s="1158">
      <c r="A9" s="1220" t="inlineStr">
        <is>
          <t>ADNOC Rep. Phone</t>
        </is>
      </c>
      <c r="B9" s="1222" t="n">
        <v>971508126221</v>
      </c>
      <c r="D9" s="1220" t="inlineStr">
        <is>
          <t>Field</t>
        </is>
      </c>
      <c r="E9" s="1223" t="inlineStr">
        <is>
          <t>BAB</t>
        </is>
      </c>
      <c r="G9" s="1218" t="inlineStr">
        <is>
          <t>Crew 6</t>
        </is>
      </c>
      <c r="H9" s="1216" t="n"/>
      <c r="I9" s="1221" t="n"/>
    </row>
    <row r="10" ht="14.25" customHeight="1" s="1158">
      <c r="A10" s="1218" t="inlineStr">
        <is>
          <t>Contract #</t>
        </is>
      </c>
      <c r="B10" s="1224">
        <f>'MS2'!$C$3</f>
        <v/>
      </c>
      <c r="D10" s="1218" t="inlineStr">
        <is>
          <t>Well</t>
        </is>
      </c>
      <c r="E10" s="1225">
        <f>'MS2'!I9</f>
        <v/>
      </c>
      <c r="G10" s="1220" t="n"/>
      <c r="H10" s="1212" t="n"/>
      <c r="I10" s="1221" t="n"/>
    </row>
    <row r="11" ht="14.25" customHeight="1" s="1158">
      <c r="A11" s="1226" t="inlineStr">
        <is>
          <t>Customer RO #:</t>
        </is>
      </c>
      <c r="B11" s="1227">
        <f>'MS2'!$F$5</f>
        <v/>
      </c>
      <c r="D11" s="1220" t="inlineStr">
        <is>
          <t>RIG</t>
        </is>
      </c>
      <c r="E11" s="1228">
        <f>'MS2'!I8</f>
        <v/>
      </c>
      <c r="G11" s="1218" t="n"/>
      <c r="H11" s="1219" t="n"/>
      <c r="I11" s="1221" t="n"/>
    </row>
    <row r="12" ht="14.25" customHeight="1" s="1158">
      <c r="A12" s="1220" t="inlineStr">
        <is>
          <t>Number of Days in RO</t>
        </is>
      </c>
      <c r="B12" s="1229" t="n">
        <v>11</v>
      </c>
      <c r="D12" s="1218" t="inlineStr">
        <is>
          <t>Date and time for Arrival</t>
        </is>
      </c>
      <c r="E12" s="1230">
        <f t="array" ref="E12:F12">'MS2'!C4:D4</f>
        <v/>
      </c>
      <c r="F12" s="1208" t="n">
        <v>0</v>
      </c>
      <c r="G12" s="1220" t="n"/>
      <c r="H12" s="1212" t="n"/>
      <c r="I12" s="1221" t="n"/>
    </row>
    <row r="13" ht="14.25" customHeight="1" s="1158">
      <c r="D13" s="1220" t="inlineStr">
        <is>
          <t>Date and time for Job Start</t>
        </is>
      </c>
      <c r="E13" s="1230">
        <f>E12</f>
        <v/>
      </c>
      <c r="G13" s="1218" t="n"/>
      <c r="H13" s="1219" t="n"/>
      <c r="I13" s="1217" t="n"/>
    </row>
    <row r="14" ht="14.25" customHeight="1" s="1158">
      <c r="A14" s="1220" t="inlineStr">
        <is>
          <t>Customer (Contractor) #</t>
        </is>
      </c>
      <c r="B14" s="1229" t="n"/>
      <c r="D14" s="1218" t="inlineStr">
        <is>
          <t>Date and time for Job End</t>
        </is>
      </c>
      <c r="E14" s="1230">
        <f t="array" ref="E14:F14">'MS2'!C5:D5</f>
        <v/>
      </c>
      <c r="F14" s="1208" t="n">
        <v>0</v>
      </c>
      <c r="G14" s="1220" t="n"/>
      <c r="H14" s="1212" t="n"/>
      <c r="I14" s="1221" t="n"/>
    </row>
    <row r="15" ht="14.25" customHeight="1" s="1158">
      <c r="A15" s="1220" t="inlineStr">
        <is>
          <t>Service DT</t>
        </is>
      </c>
      <c r="B15" s="1229">
        <f t="array" ref="B15:C15">'MS2'!H1:I1</f>
        <v/>
      </c>
      <c r="C15" s="1207" t="n">
        <v>0</v>
      </c>
      <c r="D15" s="1220" t="inlineStr">
        <is>
          <t>Date and time for Leave</t>
        </is>
      </c>
      <c r="E15" s="1230">
        <f>E14</f>
        <v/>
      </c>
      <c r="G15" s="1218" t="n"/>
      <c r="H15" s="1219" t="n"/>
      <c r="I15" s="1217" t="n"/>
    </row>
    <row r="16" ht="14.25" customHeight="1" s="1158">
      <c r="A16" s="1220" t="inlineStr">
        <is>
          <t>WPTS #</t>
        </is>
      </c>
      <c r="B16" s="1229" t="n"/>
      <c r="D16" s="1218" t="inlineStr">
        <is>
          <t>Total Time Hrs</t>
        </is>
      </c>
      <c r="E16" s="1225" t="n">
        <v>90</v>
      </c>
      <c r="G16" s="1220" t="n"/>
      <c r="H16" s="1212" t="n"/>
      <c r="I16" s="1221" t="n"/>
    </row>
    <row r="17" ht="14.25" customHeight="1" s="1158">
      <c r="D17" s="1220" t="inlineStr">
        <is>
          <t>Operational Time Hrs</t>
        </is>
      </c>
      <c r="E17" s="1228" t="n">
        <v>87</v>
      </c>
      <c r="G17" s="1218" t="n"/>
      <c r="H17" s="1231" t="n"/>
      <c r="I17" s="1232" t="n"/>
    </row>
    <row r="18" ht="14.25" customHeight="1" s="1158">
      <c r="A18" s="1220" t="inlineStr">
        <is>
          <t>Company</t>
        </is>
      </c>
      <c r="B18" s="1229" t="inlineStr">
        <is>
          <t>Weatherford Bin Hamoodah L.L.C</t>
        </is>
      </c>
      <c r="D18" s="1218" t="inlineStr">
        <is>
          <t>Lost Time (NPT)</t>
        </is>
      </c>
      <c r="E18" s="1225" t="n">
        <v>0</v>
      </c>
      <c r="G18" s="1220" t="n"/>
      <c r="H18" s="1212" t="n"/>
      <c r="I18" s="1221" t="n"/>
    </row>
    <row r="19" ht="14.25" customHeight="1" s="1158">
      <c r="A19" s="1218" t="inlineStr">
        <is>
          <t>WFT Contact Name</t>
        </is>
      </c>
      <c r="B19" s="1225" t="inlineStr">
        <is>
          <t>Mohamed Massood</t>
        </is>
      </c>
      <c r="D19" s="1220" t="inlineStr">
        <is>
          <t>Runs</t>
        </is>
      </c>
      <c r="E19" s="1228" t="n">
        <v>1</v>
      </c>
      <c r="G19" s="1218" t="n"/>
      <c r="H19" s="1231" t="n"/>
      <c r="I19" s="1232" t="n"/>
    </row>
    <row r="20" ht="14.25" customHeight="1" s="1158">
      <c r="A20" s="1220" t="inlineStr">
        <is>
          <t>WFT Contact Phone #</t>
        </is>
      </c>
      <c r="B20" s="1233" t="n">
        <v>971547926323</v>
      </c>
      <c r="D20" s="1218" t="inlineStr">
        <is>
          <t>Miss Runs</t>
        </is>
      </c>
      <c r="E20" s="1225" t="n">
        <v>0</v>
      </c>
    </row>
    <row r="21" ht="14.25" customHeight="1" s="1158">
      <c r="A21" s="1218" t="inlineStr">
        <is>
          <t>WFT Supervisor</t>
        </is>
      </c>
      <c r="B21" s="1216" t="inlineStr">
        <is>
          <t xml:space="preserve">Mahmoud Ali </t>
        </is>
      </c>
    </row>
    <row r="22" ht="14.25" customHeight="1" s="1158">
      <c r="A22" s="1220" t="inlineStr">
        <is>
          <t>WFT Supervisor Phone #</t>
        </is>
      </c>
      <c r="B22" s="1234" t="n">
        <v>971567203838</v>
      </c>
    </row>
    <row r="23" ht="14.25" customHeight="1" s="1158">
      <c r="D23" s="1220" t="inlineStr">
        <is>
          <t>Backload Sent</t>
        </is>
      </c>
      <c r="E23" s="1235">
        <f>E15</f>
        <v/>
      </c>
    </row>
    <row r="24" ht="14.25" customHeight="1" s="1158">
      <c r="A24" s="1218" t="inlineStr">
        <is>
          <t>PO Asociated</t>
        </is>
      </c>
      <c r="B24" s="1224" t="inlineStr">
        <is>
          <t>Q-74878</t>
        </is>
      </c>
      <c r="D24" s="1218" t="inlineStr">
        <is>
          <t>Documents Signed Date</t>
        </is>
      </c>
      <c r="E24" s="1235">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00" zoomScaleNormal="100" zoomScalePageLayoutView="100" workbookViewId="0">
      <selection pane="topLeft" activeCell="A11" activeCellId="0" sqref="A11:S58"/>
    </sheetView>
  </sheetViews>
  <sheetFormatPr baseColWidth="8" defaultColWidth="9.11328125" defaultRowHeight="12" customHeight="0" zeroHeight="0" outlineLevelRow="0"/>
  <cols>
    <col width="4.55" customWidth="1" style="1236" min="1" max="1"/>
    <col width="5" customWidth="1" style="1236" min="2" max="2"/>
    <col width="3.45" customWidth="1" style="1236" min="3" max="3"/>
    <col width="9.66" customWidth="1" style="1236" min="4" max="4"/>
    <col width="5.44" customWidth="1" style="1236" min="5" max="5"/>
    <col width="8.890000000000001" customWidth="1" style="1236" min="6" max="12"/>
    <col width="7.33" customWidth="1" style="1236" min="13" max="13"/>
    <col width="2.67" customWidth="1" style="1236" min="14" max="14"/>
    <col width="3.45" customWidth="1" style="1236" min="15" max="15"/>
    <col width="6" customWidth="1" style="1236" min="16" max="16"/>
    <col width="6.34" customWidth="1" style="1236" min="17" max="17"/>
    <col width="6.56" customWidth="1" style="1236" min="18" max="18"/>
    <col width="31.33" customWidth="1" style="1236" min="19" max="19"/>
    <col width="9.109999999999999" customWidth="1" style="1236" min="20" max="131"/>
    <col width="7.33" customWidth="1" style="1236" min="132" max="132"/>
    <col width="5" customWidth="1" style="1236" min="133" max="133"/>
    <col width="5.44" customWidth="1" style="1236" min="134" max="134"/>
    <col width="9.66" customWidth="1" style="1236" min="135" max="135"/>
    <col width="5.44" customWidth="1" style="1236" min="136" max="136"/>
    <col width="2" customWidth="1" style="1236" min="137" max="137"/>
    <col width="7.55" customWidth="1" style="1236" min="138" max="138"/>
    <col width="8.67" customWidth="1" style="1236" min="139" max="139"/>
    <col width="4.67" customWidth="1" style="1236" min="140" max="140"/>
    <col width="8.67" customWidth="1" style="1236" min="141" max="141"/>
    <col width="6" customWidth="1" style="1236" min="142" max="142"/>
    <col width="6.34" customWidth="1" style="1236" min="143" max="143"/>
    <col width="8.67" customWidth="1" style="1236" min="144" max="144"/>
    <col width="3.45" customWidth="1" style="1236" min="145" max="145"/>
    <col width="3" customWidth="1" style="1236" min="146" max="146"/>
    <col width="4.33" customWidth="1" style="1236" min="147" max="147"/>
    <col width="5.56" customWidth="1" style="1236" min="148" max="148"/>
    <col width="4.67" customWidth="1" style="1236" min="149" max="149"/>
    <col width="15.45" customWidth="1" style="1236" min="150" max="150"/>
    <col width="9.109999999999999" customWidth="1" style="1236" min="151" max="154"/>
    <col width="10.44" customWidth="1" style="1236" min="155" max="155"/>
    <col width="18" customWidth="1" style="1236" min="156" max="156"/>
    <col width="9.109999999999999" customWidth="1" style="1236" min="157" max="387"/>
    <col width="7.33" customWidth="1" style="1236" min="388" max="388"/>
    <col width="5" customWidth="1" style="1236" min="389" max="389"/>
    <col width="5.44" customWidth="1" style="1236" min="390" max="390"/>
    <col width="9.66" customWidth="1" style="1236" min="391" max="391"/>
    <col width="5.44" customWidth="1" style="1236" min="392" max="392"/>
    <col width="2" customWidth="1" style="1236" min="393" max="393"/>
    <col width="7.55" customWidth="1" style="1236" min="394" max="394"/>
    <col width="8.67" customWidth="1" style="1236" min="395" max="395"/>
    <col width="4.67" customWidth="1" style="1236" min="396" max="396"/>
    <col width="8.67" customWidth="1" style="1236" min="397" max="397"/>
    <col width="6" customWidth="1" style="1236" min="398" max="398"/>
    <col width="6.34" customWidth="1" style="1236" min="399" max="399"/>
    <col width="8.67" customWidth="1" style="1236" min="400" max="400"/>
    <col width="3.45" customWidth="1" style="1236" min="401" max="401"/>
    <col width="3" customWidth="1" style="1236" min="402" max="402"/>
    <col width="4.33" customWidth="1" style="1236" min="403" max="403"/>
    <col width="5.56" customWidth="1" style="1236" min="404" max="404"/>
    <col width="4.67" customWidth="1" style="1236" min="405" max="405"/>
    <col width="15.45" customWidth="1" style="1236" min="406" max="406"/>
    <col width="9.109999999999999" customWidth="1" style="1236" min="407" max="410"/>
    <col width="10.44" customWidth="1" style="1236" min="411" max="411"/>
    <col width="18" customWidth="1" style="1236" min="412" max="412"/>
    <col width="9.109999999999999" customWidth="1" style="1236" min="413" max="643"/>
    <col width="7.33" customWidth="1" style="1236" min="644" max="644"/>
    <col width="5" customWidth="1" style="1236" min="645" max="645"/>
    <col width="5.44" customWidth="1" style="1236" min="646" max="646"/>
    <col width="9.66" customWidth="1" style="1236" min="647" max="647"/>
    <col width="5.44" customWidth="1" style="1236" min="648" max="648"/>
    <col width="2" customWidth="1" style="1236" min="649" max="649"/>
    <col width="7.55" customWidth="1" style="1236" min="650" max="650"/>
    <col width="8.67" customWidth="1" style="1236" min="651" max="651"/>
    <col width="4.67" customWidth="1" style="1236" min="652" max="652"/>
    <col width="8.67" customWidth="1" style="1236" min="653" max="653"/>
    <col width="6" customWidth="1" style="1236" min="654" max="654"/>
    <col width="6.34" customWidth="1" style="1236" min="655" max="655"/>
    <col width="8.67" customWidth="1" style="1236" min="656" max="656"/>
    <col width="3.45" customWidth="1" style="1236" min="657" max="657"/>
    <col width="3" customWidth="1" style="1236" min="658" max="658"/>
    <col width="4.33" customWidth="1" style="1236" min="659" max="659"/>
    <col width="5.56" customWidth="1" style="1236" min="660" max="660"/>
    <col width="4.67" customWidth="1" style="1236" min="661" max="661"/>
    <col width="15.45" customWidth="1" style="1236" min="662" max="662"/>
    <col width="9.109999999999999" customWidth="1" style="1236" min="663" max="666"/>
    <col width="10.44" customWidth="1" style="1236" min="667" max="667"/>
    <col width="18" customWidth="1" style="1236" min="668" max="668"/>
    <col width="9.109999999999999" customWidth="1" style="1236" min="669" max="899"/>
    <col width="7.33" customWidth="1" style="1236" min="900" max="900"/>
    <col width="5" customWidth="1" style="1236" min="901" max="901"/>
    <col width="5.44" customWidth="1" style="1236" min="902" max="902"/>
    <col width="9.66" customWidth="1" style="1236" min="903" max="903"/>
    <col width="5.44" customWidth="1" style="1236" min="904" max="904"/>
    <col width="2" customWidth="1" style="1236" min="905" max="905"/>
    <col width="7.55" customWidth="1" style="1236" min="906" max="906"/>
    <col width="8.67" customWidth="1" style="1236" min="907" max="907"/>
    <col width="4.67" customWidth="1" style="1236" min="908" max="908"/>
    <col width="8.67" customWidth="1" style="1236" min="909" max="909"/>
    <col width="6" customWidth="1" style="1236" min="910" max="910"/>
    <col width="6.34" customWidth="1" style="1236" min="911" max="911"/>
    <col width="8.67" customWidth="1" style="1236" min="912" max="912"/>
    <col width="3.45" customWidth="1" style="1236" min="913" max="913"/>
    <col width="3" customWidth="1" style="1236" min="914" max="914"/>
    <col width="4.33" customWidth="1" style="1236" min="915" max="915"/>
    <col width="5.56" customWidth="1" style="1236" min="916" max="916"/>
    <col width="4.67" customWidth="1" style="1236" min="917" max="917"/>
    <col width="15.45" customWidth="1" style="1236" min="918" max="918"/>
    <col width="9.109999999999999" customWidth="1" style="1236" min="919" max="922"/>
    <col width="10.44" customWidth="1" style="1236" min="923" max="923"/>
    <col width="18" customWidth="1" style="1236" min="924" max="924"/>
    <col width="9.109999999999999" customWidth="1" style="1236" min="925" max="1155"/>
    <col width="7.33" customWidth="1" style="1236" min="1156" max="1156"/>
    <col width="5" customWidth="1" style="1236" min="1157" max="1157"/>
    <col width="5.44" customWidth="1" style="1236" min="1158" max="1158"/>
    <col width="9.66" customWidth="1" style="1236" min="1159" max="1159"/>
    <col width="5.44" customWidth="1" style="1236" min="1160" max="1160"/>
    <col width="2" customWidth="1" style="1236" min="1161" max="1161"/>
    <col width="7.55" customWidth="1" style="1236" min="1162" max="1162"/>
    <col width="8.67" customWidth="1" style="1236" min="1163" max="1163"/>
    <col width="4.67" customWidth="1" style="1236" min="1164" max="1164"/>
    <col width="8.67" customWidth="1" style="1236" min="1165" max="1165"/>
    <col width="6" customWidth="1" style="1236" min="1166" max="1166"/>
    <col width="6.34" customWidth="1" style="1236" min="1167" max="1167"/>
    <col width="8.67" customWidth="1" style="1236" min="1168" max="1168"/>
    <col width="3.45" customWidth="1" style="1236" min="1169" max="1169"/>
    <col width="3" customWidth="1" style="1236" min="1170" max="1170"/>
    <col width="4.33" customWidth="1" style="1236" min="1171" max="1171"/>
    <col width="5.56" customWidth="1" style="1236" min="1172" max="1172"/>
    <col width="4.67" customWidth="1" style="1236" min="1173" max="1173"/>
    <col width="15.45" customWidth="1" style="1236" min="1174" max="1174"/>
    <col width="9.109999999999999" customWidth="1" style="1236" min="1175" max="1178"/>
    <col width="10.44" customWidth="1" style="1236" min="1179" max="1179"/>
    <col width="18" customWidth="1" style="1236" min="1180" max="1180"/>
    <col width="9.109999999999999" customWidth="1" style="1236" min="1181" max="1411"/>
    <col width="7.33" customWidth="1" style="1236" min="1412" max="1412"/>
    <col width="5" customWidth="1" style="1236" min="1413" max="1413"/>
    <col width="5.44" customWidth="1" style="1236" min="1414" max="1414"/>
    <col width="9.66" customWidth="1" style="1236" min="1415" max="1415"/>
    <col width="5.44" customWidth="1" style="1236" min="1416" max="1416"/>
    <col width="2" customWidth="1" style="1236" min="1417" max="1417"/>
    <col width="7.55" customWidth="1" style="1236" min="1418" max="1418"/>
    <col width="8.67" customWidth="1" style="1236" min="1419" max="1419"/>
    <col width="4.67" customWidth="1" style="1236" min="1420" max="1420"/>
    <col width="8.67" customWidth="1" style="1236" min="1421" max="1421"/>
    <col width="6" customWidth="1" style="1236" min="1422" max="1422"/>
    <col width="6.34" customWidth="1" style="1236" min="1423" max="1423"/>
    <col width="8.67" customWidth="1" style="1236" min="1424" max="1424"/>
    <col width="3.45" customWidth="1" style="1236" min="1425" max="1425"/>
    <col width="3" customWidth="1" style="1236" min="1426" max="1426"/>
    <col width="4.33" customWidth="1" style="1236" min="1427" max="1427"/>
    <col width="5.56" customWidth="1" style="1236" min="1428" max="1428"/>
    <col width="4.67" customWidth="1" style="1236" min="1429" max="1429"/>
    <col width="15.45" customWidth="1" style="1236" min="1430" max="1430"/>
    <col width="9.109999999999999" customWidth="1" style="1236" min="1431" max="1434"/>
    <col width="10.44" customWidth="1" style="1236" min="1435" max="1435"/>
    <col width="18" customWidth="1" style="1236" min="1436" max="1436"/>
    <col width="9.109999999999999" customWidth="1" style="1236" min="1437" max="1667"/>
    <col width="7.33" customWidth="1" style="1236" min="1668" max="1668"/>
    <col width="5" customWidth="1" style="1236" min="1669" max="1669"/>
    <col width="5.44" customWidth="1" style="1236" min="1670" max="1670"/>
    <col width="9.66" customWidth="1" style="1236" min="1671" max="1671"/>
    <col width="5.44" customWidth="1" style="1236" min="1672" max="1672"/>
    <col width="2" customWidth="1" style="1236" min="1673" max="1673"/>
    <col width="7.55" customWidth="1" style="1236" min="1674" max="1674"/>
    <col width="8.67" customWidth="1" style="1236" min="1675" max="1675"/>
    <col width="4.67" customWidth="1" style="1236" min="1676" max="1676"/>
    <col width="8.67" customWidth="1" style="1236" min="1677" max="1677"/>
    <col width="6" customWidth="1" style="1236" min="1678" max="1678"/>
    <col width="6.34" customWidth="1" style="1236" min="1679" max="1679"/>
    <col width="8.67" customWidth="1" style="1236" min="1680" max="1680"/>
    <col width="3.45" customWidth="1" style="1236" min="1681" max="1681"/>
    <col width="3" customWidth="1" style="1236" min="1682" max="1682"/>
    <col width="4.33" customWidth="1" style="1236" min="1683" max="1683"/>
    <col width="5.56" customWidth="1" style="1236" min="1684" max="1684"/>
    <col width="4.67" customWidth="1" style="1236" min="1685" max="1685"/>
    <col width="15.45" customWidth="1" style="1236" min="1686" max="1686"/>
    <col width="9.109999999999999" customWidth="1" style="1236" min="1687" max="1690"/>
    <col width="10.44" customWidth="1" style="1236" min="1691" max="1691"/>
    <col width="18" customWidth="1" style="1236" min="1692" max="1692"/>
    <col width="9.109999999999999" customWidth="1" style="1236" min="1693" max="1923"/>
    <col width="7.33" customWidth="1" style="1236" min="1924" max="1924"/>
    <col width="5" customWidth="1" style="1236" min="1925" max="1925"/>
    <col width="5.44" customWidth="1" style="1236" min="1926" max="1926"/>
    <col width="9.66" customWidth="1" style="1236" min="1927" max="1927"/>
    <col width="5.44" customWidth="1" style="1236" min="1928" max="1928"/>
    <col width="2" customWidth="1" style="1236" min="1929" max="1929"/>
    <col width="7.55" customWidth="1" style="1236" min="1930" max="1930"/>
    <col width="8.67" customWidth="1" style="1236" min="1931" max="1931"/>
    <col width="4.67" customWidth="1" style="1236" min="1932" max="1932"/>
    <col width="8.67" customWidth="1" style="1236" min="1933" max="1933"/>
    <col width="6" customWidth="1" style="1236" min="1934" max="1934"/>
    <col width="6.34" customWidth="1" style="1236" min="1935" max="1935"/>
    <col width="8.67" customWidth="1" style="1236" min="1936" max="1936"/>
    <col width="3.45" customWidth="1" style="1236" min="1937" max="1937"/>
    <col width="3" customWidth="1" style="1236" min="1938" max="1938"/>
    <col width="4.33" customWidth="1" style="1236" min="1939" max="1939"/>
    <col width="5.56" customWidth="1" style="1236" min="1940" max="1940"/>
    <col width="4.67" customWidth="1" style="1236" min="1941" max="1941"/>
    <col width="15.45" customWidth="1" style="1236" min="1942" max="1942"/>
    <col width="9.109999999999999" customWidth="1" style="1236" min="1943" max="1946"/>
    <col width="10.44" customWidth="1" style="1236" min="1947" max="1947"/>
    <col width="18" customWidth="1" style="1236" min="1948" max="1948"/>
    <col width="9.109999999999999" customWidth="1" style="1236" min="1949" max="2179"/>
    <col width="7.33" customWidth="1" style="1236" min="2180" max="2180"/>
    <col width="5" customWidth="1" style="1236" min="2181" max="2181"/>
    <col width="5.44" customWidth="1" style="1236" min="2182" max="2182"/>
    <col width="9.66" customWidth="1" style="1236" min="2183" max="2183"/>
    <col width="5.44" customWidth="1" style="1236" min="2184" max="2184"/>
    <col width="2" customWidth="1" style="1236" min="2185" max="2185"/>
    <col width="7.55" customWidth="1" style="1236" min="2186" max="2186"/>
    <col width="8.67" customWidth="1" style="1236" min="2187" max="2187"/>
    <col width="4.67" customWidth="1" style="1236" min="2188" max="2188"/>
    <col width="8.67" customWidth="1" style="1236" min="2189" max="2189"/>
    <col width="6" customWidth="1" style="1236" min="2190" max="2190"/>
    <col width="6.34" customWidth="1" style="1236" min="2191" max="2191"/>
    <col width="8.67" customWidth="1" style="1236" min="2192" max="2192"/>
    <col width="3.45" customWidth="1" style="1236" min="2193" max="2193"/>
    <col width="3" customWidth="1" style="1236" min="2194" max="2194"/>
    <col width="4.33" customWidth="1" style="1236" min="2195" max="2195"/>
    <col width="5.56" customWidth="1" style="1236" min="2196" max="2196"/>
    <col width="4.67" customWidth="1" style="1236" min="2197" max="2197"/>
    <col width="15.45" customWidth="1" style="1236" min="2198" max="2198"/>
    <col width="9.109999999999999" customWidth="1" style="1236" min="2199" max="2202"/>
    <col width="10.44" customWidth="1" style="1236" min="2203" max="2203"/>
    <col width="18" customWidth="1" style="1236" min="2204" max="2204"/>
    <col width="9.109999999999999" customWidth="1" style="1236" min="2205" max="2435"/>
    <col width="7.33" customWidth="1" style="1236" min="2436" max="2436"/>
    <col width="5" customWidth="1" style="1236" min="2437" max="2437"/>
    <col width="5.44" customWidth="1" style="1236" min="2438" max="2438"/>
    <col width="9.66" customWidth="1" style="1236" min="2439" max="2439"/>
    <col width="5.44" customWidth="1" style="1236" min="2440" max="2440"/>
    <col width="2" customWidth="1" style="1236" min="2441" max="2441"/>
    <col width="7.55" customWidth="1" style="1236" min="2442" max="2442"/>
    <col width="8.67" customWidth="1" style="1236" min="2443" max="2443"/>
    <col width="4.67" customWidth="1" style="1236" min="2444" max="2444"/>
    <col width="8.67" customWidth="1" style="1236" min="2445" max="2445"/>
    <col width="6" customWidth="1" style="1236" min="2446" max="2446"/>
    <col width="6.34" customWidth="1" style="1236" min="2447" max="2447"/>
    <col width="8.67" customWidth="1" style="1236" min="2448" max="2448"/>
    <col width="3.45" customWidth="1" style="1236" min="2449" max="2449"/>
    <col width="3" customWidth="1" style="1236" min="2450" max="2450"/>
    <col width="4.33" customWidth="1" style="1236" min="2451" max="2451"/>
    <col width="5.56" customWidth="1" style="1236" min="2452" max="2452"/>
    <col width="4.67" customWidth="1" style="1236" min="2453" max="2453"/>
    <col width="15.45" customWidth="1" style="1236" min="2454" max="2454"/>
    <col width="9.109999999999999" customWidth="1" style="1236" min="2455" max="2458"/>
    <col width="10.44" customWidth="1" style="1236" min="2459" max="2459"/>
    <col width="18" customWidth="1" style="1236" min="2460" max="2460"/>
    <col width="9.109999999999999" customWidth="1" style="1236" min="2461" max="2691"/>
    <col width="7.33" customWidth="1" style="1236" min="2692" max="2692"/>
    <col width="5" customWidth="1" style="1236" min="2693" max="2693"/>
    <col width="5.44" customWidth="1" style="1236" min="2694" max="2694"/>
    <col width="9.66" customWidth="1" style="1236" min="2695" max="2695"/>
    <col width="5.44" customWidth="1" style="1236" min="2696" max="2696"/>
    <col width="2" customWidth="1" style="1236" min="2697" max="2697"/>
    <col width="7.55" customWidth="1" style="1236" min="2698" max="2698"/>
    <col width="8.67" customWidth="1" style="1236" min="2699" max="2699"/>
    <col width="4.67" customWidth="1" style="1236" min="2700" max="2700"/>
    <col width="8.67" customWidth="1" style="1236" min="2701" max="2701"/>
    <col width="6" customWidth="1" style="1236" min="2702" max="2702"/>
    <col width="6.34" customWidth="1" style="1236" min="2703" max="2703"/>
    <col width="8.67" customWidth="1" style="1236" min="2704" max="2704"/>
    <col width="3.45" customWidth="1" style="1236" min="2705" max="2705"/>
    <col width="3" customWidth="1" style="1236" min="2706" max="2706"/>
    <col width="4.33" customWidth="1" style="1236" min="2707" max="2707"/>
    <col width="5.56" customWidth="1" style="1236" min="2708" max="2708"/>
    <col width="4.67" customWidth="1" style="1236" min="2709" max="2709"/>
    <col width="15.45" customWidth="1" style="1236" min="2710" max="2710"/>
    <col width="9.109999999999999" customWidth="1" style="1236" min="2711" max="2714"/>
    <col width="10.44" customWidth="1" style="1236" min="2715" max="2715"/>
    <col width="18" customWidth="1" style="1236" min="2716" max="2716"/>
    <col width="9.109999999999999" customWidth="1" style="1236" min="2717" max="2947"/>
    <col width="7.33" customWidth="1" style="1236" min="2948" max="2948"/>
    <col width="5" customWidth="1" style="1236" min="2949" max="2949"/>
    <col width="5.44" customWidth="1" style="1236" min="2950" max="2950"/>
    <col width="9.66" customWidth="1" style="1236" min="2951" max="2951"/>
    <col width="5.44" customWidth="1" style="1236" min="2952" max="2952"/>
    <col width="2" customWidth="1" style="1236" min="2953" max="2953"/>
    <col width="7.55" customWidth="1" style="1236" min="2954" max="2954"/>
    <col width="8.67" customWidth="1" style="1236" min="2955" max="2955"/>
    <col width="4.67" customWidth="1" style="1236" min="2956" max="2956"/>
    <col width="8.67" customWidth="1" style="1236" min="2957" max="2957"/>
    <col width="6" customWidth="1" style="1236" min="2958" max="2958"/>
    <col width="6.34" customWidth="1" style="1236" min="2959" max="2959"/>
    <col width="8.67" customWidth="1" style="1236" min="2960" max="2960"/>
    <col width="3.45" customWidth="1" style="1236" min="2961" max="2961"/>
    <col width="3" customWidth="1" style="1236" min="2962" max="2962"/>
    <col width="4.33" customWidth="1" style="1236" min="2963" max="2963"/>
    <col width="5.56" customWidth="1" style="1236" min="2964" max="2964"/>
    <col width="4.67" customWidth="1" style="1236" min="2965" max="2965"/>
    <col width="15.45" customWidth="1" style="1236" min="2966" max="2966"/>
    <col width="9.109999999999999" customWidth="1" style="1236" min="2967" max="2970"/>
    <col width="10.44" customWidth="1" style="1236" min="2971" max="2971"/>
    <col width="18" customWidth="1" style="1236" min="2972" max="2972"/>
    <col width="9.109999999999999" customWidth="1" style="1236" min="2973" max="3203"/>
    <col width="7.33" customWidth="1" style="1236" min="3204" max="3204"/>
    <col width="5" customWidth="1" style="1236" min="3205" max="3205"/>
    <col width="5.44" customWidth="1" style="1236" min="3206" max="3206"/>
    <col width="9.66" customWidth="1" style="1236" min="3207" max="3207"/>
    <col width="5.44" customWidth="1" style="1236" min="3208" max="3208"/>
    <col width="2" customWidth="1" style="1236" min="3209" max="3209"/>
    <col width="7.55" customWidth="1" style="1236" min="3210" max="3210"/>
    <col width="8.67" customWidth="1" style="1236" min="3211" max="3211"/>
    <col width="4.67" customWidth="1" style="1236" min="3212" max="3212"/>
    <col width="8.67" customWidth="1" style="1236" min="3213" max="3213"/>
    <col width="6" customWidth="1" style="1236" min="3214" max="3214"/>
    <col width="6.34" customWidth="1" style="1236" min="3215" max="3215"/>
    <col width="8.67" customWidth="1" style="1236" min="3216" max="3216"/>
    <col width="3.45" customWidth="1" style="1236" min="3217" max="3217"/>
    <col width="3" customWidth="1" style="1236" min="3218" max="3218"/>
    <col width="4.33" customWidth="1" style="1236" min="3219" max="3219"/>
    <col width="5.56" customWidth="1" style="1236" min="3220" max="3220"/>
    <col width="4.67" customWidth="1" style="1236" min="3221" max="3221"/>
    <col width="15.45" customWidth="1" style="1236" min="3222" max="3222"/>
    <col width="9.109999999999999" customWidth="1" style="1236" min="3223" max="3226"/>
    <col width="10.44" customWidth="1" style="1236" min="3227" max="3227"/>
    <col width="18" customWidth="1" style="1236" min="3228" max="3228"/>
    <col width="9.109999999999999" customWidth="1" style="1236" min="3229" max="3459"/>
    <col width="7.33" customWidth="1" style="1236" min="3460" max="3460"/>
    <col width="5" customWidth="1" style="1236" min="3461" max="3461"/>
    <col width="5.44" customWidth="1" style="1236" min="3462" max="3462"/>
    <col width="9.66" customWidth="1" style="1236" min="3463" max="3463"/>
    <col width="5.44" customWidth="1" style="1236" min="3464" max="3464"/>
    <col width="2" customWidth="1" style="1236" min="3465" max="3465"/>
    <col width="7.55" customWidth="1" style="1236" min="3466" max="3466"/>
    <col width="8.67" customWidth="1" style="1236" min="3467" max="3467"/>
    <col width="4.67" customWidth="1" style="1236" min="3468" max="3468"/>
    <col width="8.67" customWidth="1" style="1236" min="3469" max="3469"/>
    <col width="6" customWidth="1" style="1236" min="3470" max="3470"/>
    <col width="6.34" customWidth="1" style="1236" min="3471" max="3471"/>
    <col width="8.67" customWidth="1" style="1236" min="3472" max="3472"/>
    <col width="3.45" customWidth="1" style="1236" min="3473" max="3473"/>
    <col width="3" customWidth="1" style="1236" min="3474" max="3474"/>
    <col width="4.33" customWidth="1" style="1236" min="3475" max="3475"/>
    <col width="5.56" customWidth="1" style="1236" min="3476" max="3476"/>
    <col width="4.67" customWidth="1" style="1236" min="3477" max="3477"/>
    <col width="15.45" customWidth="1" style="1236" min="3478" max="3478"/>
    <col width="9.109999999999999" customWidth="1" style="1236" min="3479" max="3482"/>
    <col width="10.44" customWidth="1" style="1236" min="3483" max="3483"/>
    <col width="18" customWidth="1" style="1236" min="3484" max="3484"/>
    <col width="9.109999999999999" customWidth="1" style="1236" min="3485" max="3715"/>
    <col width="7.33" customWidth="1" style="1236" min="3716" max="3716"/>
    <col width="5" customWidth="1" style="1236" min="3717" max="3717"/>
    <col width="5.44" customWidth="1" style="1236" min="3718" max="3718"/>
    <col width="9.66" customWidth="1" style="1236" min="3719" max="3719"/>
    <col width="5.44" customWidth="1" style="1236" min="3720" max="3720"/>
    <col width="2" customWidth="1" style="1236" min="3721" max="3721"/>
    <col width="7.55" customWidth="1" style="1236" min="3722" max="3722"/>
    <col width="8.67" customWidth="1" style="1236" min="3723" max="3723"/>
    <col width="4.67" customWidth="1" style="1236" min="3724" max="3724"/>
    <col width="8.67" customWidth="1" style="1236" min="3725" max="3725"/>
    <col width="6" customWidth="1" style="1236" min="3726" max="3726"/>
    <col width="6.34" customWidth="1" style="1236" min="3727" max="3727"/>
    <col width="8.67" customWidth="1" style="1236" min="3728" max="3728"/>
    <col width="3.45" customWidth="1" style="1236" min="3729" max="3729"/>
    <col width="3" customWidth="1" style="1236" min="3730" max="3730"/>
    <col width="4.33" customWidth="1" style="1236" min="3731" max="3731"/>
    <col width="5.56" customWidth="1" style="1236" min="3732" max="3732"/>
    <col width="4.67" customWidth="1" style="1236" min="3733" max="3733"/>
    <col width="15.45" customWidth="1" style="1236" min="3734" max="3734"/>
    <col width="9.109999999999999" customWidth="1" style="1236" min="3735" max="3738"/>
    <col width="10.44" customWidth="1" style="1236" min="3739" max="3739"/>
    <col width="18" customWidth="1" style="1236" min="3740" max="3740"/>
    <col width="9.109999999999999" customWidth="1" style="1236" min="3741" max="3971"/>
    <col width="7.33" customWidth="1" style="1236" min="3972" max="3972"/>
    <col width="5" customWidth="1" style="1236" min="3973" max="3973"/>
    <col width="5.44" customWidth="1" style="1236" min="3974" max="3974"/>
    <col width="9.66" customWidth="1" style="1236" min="3975" max="3975"/>
    <col width="5.44" customWidth="1" style="1236" min="3976" max="3976"/>
    <col width="2" customWidth="1" style="1236" min="3977" max="3977"/>
    <col width="7.55" customWidth="1" style="1236" min="3978" max="3978"/>
    <col width="8.67" customWidth="1" style="1236" min="3979" max="3979"/>
    <col width="4.67" customWidth="1" style="1236" min="3980" max="3980"/>
    <col width="8.67" customWidth="1" style="1236" min="3981" max="3981"/>
    <col width="6" customWidth="1" style="1236" min="3982" max="3982"/>
    <col width="6.34" customWidth="1" style="1236" min="3983" max="3983"/>
    <col width="8.67" customWidth="1" style="1236" min="3984" max="3984"/>
    <col width="3.45" customWidth="1" style="1236" min="3985" max="3985"/>
    <col width="3" customWidth="1" style="1236" min="3986" max="3986"/>
    <col width="4.33" customWidth="1" style="1236" min="3987" max="3987"/>
    <col width="5.56" customWidth="1" style="1236" min="3988" max="3988"/>
    <col width="4.67" customWidth="1" style="1236" min="3989" max="3989"/>
    <col width="15.45" customWidth="1" style="1236" min="3990" max="3990"/>
    <col width="9.109999999999999" customWidth="1" style="1236" min="3991" max="3994"/>
    <col width="10.44" customWidth="1" style="1236" min="3995" max="3995"/>
    <col width="18" customWidth="1" style="1236" min="3996" max="3996"/>
    <col width="9.109999999999999" customWidth="1" style="1236" min="3997" max="4227"/>
    <col width="7.33" customWidth="1" style="1236" min="4228" max="4228"/>
    <col width="5" customWidth="1" style="1236" min="4229" max="4229"/>
    <col width="5.44" customWidth="1" style="1236" min="4230" max="4230"/>
    <col width="9.66" customWidth="1" style="1236" min="4231" max="4231"/>
    <col width="5.44" customWidth="1" style="1236" min="4232" max="4232"/>
    <col width="2" customWidth="1" style="1236" min="4233" max="4233"/>
    <col width="7.55" customWidth="1" style="1236" min="4234" max="4234"/>
    <col width="8.67" customWidth="1" style="1236" min="4235" max="4235"/>
    <col width="4.67" customWidth="1" style="1236" min="4236" max="4236"/>
    <col width="8.67" customWidth="1" style="1236" min="4237" max="4237"/>
    <col width="6" customWidth="1" style="1236" min="4238" max="4238"/>
    <col width="6.34" customWidth="1" style="1236" min="4239" max="4239"/>
    <col width="8.67" customWidth="1" style="1236" min="4240" max="4240"/>
    <col width="3.45" customWidth="1" style="1236" min="4241" max="4241"/>
    <col width="3" customWidth="1" style="1236" min="4242" max="4242"/>
    <col width="4.33" customWidth="1" style="1236" min="4243" max="4243"/>
    <col width="5.56" customWidth="1" style="1236" min="4244" max="4244"/>
    <col width="4.67" customWidth="1" style="1236" min="4245" max="4245"/>
    <col width="15.45" customWidth="1" style="1236" min="4246" max="4246"/>
    <col width="9.109999999999999" customWidth="1" style="1236" min="4247" max="4250"/>
    <col width="10.44" customWidth="1" style="1236" min="4251" max="4251"/>
    <col width="18" customWidth="1" style="1236" min="4252" max="4252"/>
    <col width="9.109999999999999" customWidth="1" style="1236" min="4253" max="4483"/>
    <col width="7.33" customWidth="1" style="1236" min="4484" max="4484"/>
    <col width="5" customWidth="1" style="1236" min="4485" max="4485"/>
    <col width="5.44" customWidth="1" style="1236" min="4486" max="4486"/>
    <col width="9.66" customWidth="1" style="1236" min="4487" max="4487"/>
    <col width="5.44" customWidth="1" style="1236" min="4488" max="4488"/>
    <col width="2" customWidth="1" style="1236" min="4489" max="4489"/>
    <col width="7.55" customWidth="1" style="1236" min="4490" max="4490"/>
    <col width="8.67" customWidth="1" style="1236" min="4491" max="4491"/>
    <col width="4.67" customWidth="1" style="1236" min="4492" max="4492"/>
    <col width="8.67" customWidth="1" style="1236" min="4493" max="4493"/>
    <col width="6" customWidth="1" style="1236" min="4494" max="4494"/>
    <col width="6.34" customWidth="1" style="1236" min="4495" max="4495"/>
    <col width="8.67" customWidth="1" style="1236" min="4496" max="4496"/>
    <col width="3.45" customWidth="1" style="1236" min="4497" max="4497"/>
    <col width="3" customWidth="1" style="1236" min="4498" max="4498"/>
    <col width="4.33" customWidth="1" style="1236" min="4499" max="4499"/>
    <col width="5.56" customWidth="1" style="1236" min="4500" max="4500"/>
    <col width="4.67" customWidth="1" style="1236" min="4501" max="4501"/>
    <col width="15.45" customWidth="1" style="1236" min="4502" max="4502"/>
    <col width="9.109999999999999" customWidth="1" style="1236" min="4503" max="4506"/>
    <col width="10.44" customWidth="1" style="1236" min="4507" max="4507"/>
    <col width="18" customWidth="1" style="1236" min="4508" max="4508"/>
    <col width="9.109999999999999" customWidth="1" style="1236" min="4509" max="4739"/>
    <col width="7.33" customWidth="1" style="1236" min="4740" max="4740"/>
    <col width="5" customWidth="1" style="1236" min="4741" max="4741"/>
    <col width="5.44" customWidth="1" style="1236" min="4742" max="4742"/>
    <col width="9.66" customWidth="1" style="1236" min="4743" max="4743"/>
    <col width="5.44" customWidth="1" style="1236" min="4744" max="4744"/>
    <col width="2" customWidth="1" style="1236" min="4745" max="4745"/>
    <col width="7.55" customWidth="1" style="1236" min="4746" max="4746"/>
    <col width="8.67" customWidth="1" style="1236" min="4747" max="4747"/>
    <col width="4.67" customWidth="1" style="1236" min="4748" max="4748"/>
    <col width="8.67" customWidth="1" style="1236" min="4749" max="4749"/>
    <col width="6" customWidth="1" style="1236" min="4750" max="4750"/>
    <col width="6.34" customWidth="1" style="1236" min="4751" max="4751"/>
    <col width="8.67" customWidth="1" style="1236" min="4752" max="4752"/>
    <col width="3.45" customWidth="1" style="1236" min="4753" max="4753"/>
    <col width="3" customWidth="1" style="1236" min="4754" max="4754"/>
    <col width="4.33" customWidth="1" style="1236" min="4755" max="4755"/>
    <col width="5.56" customWidth="1" style="1236" min="4756" max="4756"/>
    <col width="4.67" customWidth="1" style="1236" min="4757" max="4757"/>
    <col width="15.45" customWidth="1" style="1236" min="4758" max="4758"/>
    <col width="9.109999999999999" customWidth="1" style="1236" min="4759" max="4762"/>
    <col width="10.44" customWidth="1" style="1236" min="4763" max="4763"/>
    <col width="18" customWidth="1" style="1236" min="4764" max="4764"/>
    <col width="9.109999999999999" customWidth="1" style="1236" min="4765" max="4995"/>
    <col width="7.33" customWidth="1" style="1236" min="4996" max="4996"/>
    <col width="5" customWidth="1" style="1236" min="4997" max="4997"/>
    <col width="5.44" customWidth="1" style="1236" min="4998" max="4998"/>
    <col width="9.66" customWidth="1" style="1236" min="4999" max="4999"/>
    <col width="5.44" customWidth="1" style="1236" min="5000" max="5000"/>
    <col width="2" customWidth="1" style="1236" min="5001" max="5001"/>
    <col width="7.55" customWidth="1" style="1236" min="5002" max="5002"/>
    <col width="8.67" customWidth="1" style="1236" min="5003" max="5003"/>
    <col width="4.67" customWidth="1" style="1236" min="5004" max="5004"/>
    <col width="8.67" customWidth="1" style="1236" min="5005" max="5005"/>
    <col width="6" customWidth="1" style="1236" min="5006" max="5006"/>
    <col width="6.34" customWidth="1" style="1236" min="5007" max="5007"/>
    <col width="8.67" customWidth="1" style="1236" min="5008" max="5008"/>
    <col width="3.45" customWidth="1" style="1236" min="5009" max="5009"/>
    <col width="3" customWidth="1" style="1236" min="5010" max="5010"/>
    <col width="4.33" customWidth="1" style="1236" min="5011" max="5011"/>
    <col width="5.56" customWidth="1" style="1236" min="5012" max="5012"/>
    <col width="4.67" customWidth="1" style="1236" min="5013" max="5013"/>
    <col width="15.45" customWidth="1" style="1236" min="5014" max="5014"/>
    <col width="9.109999999999999" customWidth="1" style="1236" min="5015" max="5018"/>
    <col width="10.44" customWidth="1" style="1236" min="5019" max="5019"/>
    <col width="18" customWidth="1" style="1236" min="5020" max="5020"/>
    <col width="9.109999999999999" customWidth="1" style="1236" min="5021" max="5251"/>
    <col width="7.33" customWidth="1" style="1236" min="5252" max="5252"/>
    <col width="5" customWidth="1" style="1236" min="5253" max="5253"/>
    <col width="5.44" customWidth="1" style="1236" min="5254" max="5254"/>
    <col width="9.66" customWidth="1" style="1236" min="5255" max="5255"/>
    <col width="5.44" customWidth="1" style="1236" min="5256" max="5256"/>
    <col width="2" customWidth="1" style="1236" min="5257" max="5257"/>
    <col width="7.55" customWidth="1" style="1236" min="5258" max="5258"/>
    <col width="8.67" customWidth="1" style="1236" min="5259" max="5259"/>
    <col width="4.67" customWidth="1" style="1236" min="5260" max="5260"/>
    <col width="8.67" customWidth="1" style="1236" min="5261" max="5261"/>
    <col width="6" customWidth="1" style="1236" min="5262" max="5262"/>
    <col width="6.34" customWidth="1" style="1236" min="5263" max="5263"/>
    <col width="8.67" customWidth="1" style="1236" min="5264" max="5264"/>
    <col width="3.45" customWidth="1" style="1236" min="5265" max="5265"/>
    <col width="3" customWidth="1" style="1236" min="5266" max="5266"/>
    <col width="4.33" customWidth="1" style="1236" min="5267" max="5267"/>
    <col width="5.56" customWidth="1" style="1236" min="5268" max="5268"/>
    <col width="4.67" customWidth="1" style="1236" min="5269" max="5269"/>
    <col width="15.45" customWidth="1" style="1236" min="5270" max="5270"/>
    <col width="9.109999999999999" customWidth="1" style="1236" min="5271" max="5274"/>
    <col width="10.44" customWidth="1" style="1236" min="5275" max="5275"/>
    <col width="18" customWidth="1" style="1236" min="5276" max="5276"/>
    <col width="9.109999999999999" customWidth="1" style="1236" min="5277" max="5507"/>
    <col width="7.33" customWidth="1" style="1236" min="5508" max="5508"/>
    <col width="5" customWidth="1" style="1236" min="5509" max="5509"/>
    <col width="5.44" customWidth="1" style="1236" min="5510" max="5510"/>
    <col width="9.66" customWidth="1" style="1236" min="5511" max="5511"/>
    <col width="5.44" customWidth="1" style="1236" min="5512" max="5512"/>
    <col width="2" customWidth="1" style="1236" min="5513" max="5513"/>
    <col width="7.55" customWidth="1" style="1236" min="5514" max="5514"/>
    <col width="8.67" customWidth="1" style="1236" min="5515" max="5515"/>
    <col width="4.67" customWidth="1" style="1236" min="5516" max="5516"/>
    <col width="8.67" customWidth="1" style="1236" min="5517" max="5517"/>
    <col width="6" customWidth="1" style="1236" min="5518" max="5518"/>
    <col width="6.34" customWidth="1" style="1236" min="5519" max="5519"/>
    <col width="8.67" customWidth="1" style="1236" min="5520" max="5520"/>
    <col width="3.45" customWidth="1" style="1236" min="5521" max="5521"/>
    <col width="3" customWidth="1" style="1236" min="5522" max="5522"/>
    <col width="4.33" customWidth="1" style="1236" min="5523" max="5523"/>
    <col width="5.56" customWidth="1" style="1236" min="5524" max="5524"/>
    <col width="4.67" customWidth="1" style="1236" min="5525" max="5525"/>
    <col width="15.45" customWidth="1" style="1236" min="5526" max="5526"/>
    <col width="9.109999999999999" customWidth="1" style="1236" min="5527" max="5530"/>
    <col width="10.44" customWidth="1" style="1236" min="5531" max="5531"/>
    <col width="18" customWidth="1" style="1236" min="5532" max="5532"/>
    <col width="9.109999999999999" customWidth="1" style="1236" min="5533" max="5763"/>
    <col width="7.33" customWidth="1" style="1236" min="5764" max="5764"/>
    <col width="5" customWidth="1" style="1236" min="5765" max="5765"/>
    <col width="5.44" customWidth="1" style="1236" min="5766" max="5766"/>
    <col width="9.66" customWidth="1" style="1236" min="5767" max="5767"/>
    <col width="5.44" customWidth="1" style="1236" min="5768" max="5768"/>
    <col width="2" customWidth="1" style="1236" min="5769" max="5769"/>
    <col width="7.55" customWidth="1" style="1236" min="5770" max="5770"/>
    <col width="8.67" customWidth="1" style="1236" min="5771" max="5771"/>
    <col width="4.67" customWidth="1" style="1236" min="5772" max="5772"/>
    <col width="8.67" customWidth="1" style="1236" min="5773" max="5773"/>
    <col width="6" customWidth="1" style="1236" min="5774" max="5774"/>
    <col width="6.34" customWidth="1" style="1236" min="5775" max="5775"/>
    <col width="8.67" customWidth="1" style="1236" min="5776" max="5776"/>
    <col width="3.45" customWidth="1" style="1236" min="5777" max="5777"/>
    <col width="3" customWidth="1" style="1236" min="5778" max="5778"/>
    <col width="4.33" customWidth="1" style="1236" min="5779" max="5779"/>
    <col width="5.56" customWidth="1" style="1236" min="5780" max="5780"/>
    <col width="4.67" customWidth="1" style="1236" min="5781" max="5781"/>
    <col width="15.45" customWidth="1" style="1236" min="5782" max="5782"/>
    <col width="9.109999999999999" customWidth="1" style="1236" min="5783" max="5786"/>
    <col width="10.44" customWidth="1" style="1236" min="5787" max="5787"/>
    <col width="18" customWidth="1" style="1236" min="5788" max="5788"/>
    <col width="9.109999999999999" customWidth="1" style="1236" min="5789" max="6019"/>
    <col width="7.33" customWidth="1" style="1236" min="6020" max="6020"/>
    <col width="5" customWidth="1" style="1236" min="6021" max="6021"/>
    <col width="5.44" customWidth="1" style="1236" min="6022" max="6022"/>
    <col width="9.66" customWidth="1" style="1236" min="6023" max="6023"/>
    <col width="5.44" customWidth="1" style="1236" min="6024" max="6024"/>
    <col width="2" customWidth="1" style="1236" min="6025" max="6025"/>
    <col width="7.55" customWidth="1" style="1236" min="6026" max="6026"/>
    <col width="8.67" customWidth="1" style="1236" min="6027" max="6027"/>
    <col width="4.67" customWidth="1" style="1236" min="6028" max="6028"/>
    <col width="8.67" customWidth="1" style="1236" min="6029" max="6029"/>
    <col width="6" customWidth="1" style="1236" min="6030" max="6030"/>
    <col width="6.34" customWidth="1" style="1236" min="6031" max="6031"/>
    <col width="8.67" customWidth="1" style="1236" min="6032" max="6032"/>
    <col width="3.45" customWidth="1" style="1236" min="6033" max="6033"/>
    <col width="3" customWidth="1" style="1236" min="6034" max="6034"/>
    <col width="4.33" customWidth="1" style="1236" min="6035" max="6035"/>
    <col width="5.56" customWidth="1" style="1236" min="6036" max="6036"/>
    <col width="4.67" customWidth="1" style="1236" min="6037" max="6037"/>
    <col width="15.45" customWidth="1" style="1236" min="6038" max="6038"/>
    <col width="9.109999999999999" customWidth="1" style="1236" min="6039" max="6042"/>
    <col width="10.44" customWidth="1" style="1236" min="6043" max="6043"/>
    <col width="18" customWidth="1" style="1236" min="6044" max="6044"/>
    <col width="9.109999999999999" customWidth="1" style="1236" min="6045" max="6275"/>
    <col width="7.33" customWidth="1" style="1236" min="6276" max="6276"/>
    <col width="5" customWidth="1" style="1236" min="6277" max="6277"/>
    <col width="5.44" customWidth="1" style="1236" min="6278" max="6278"/>
    <col width="9.66" customWidth="1" style="1236" min="6279" max="6279"/>
    <col width="5.44" customWidth="1" style="1236" min="6280" max="6280"/>
    <col width="2" customWidth="1" style="1236" min="6281" max="6281"/>
    <col width="7.55" customWidth="1" style="1236" min="6282" max="6282"/>
    <col width="8.67" customWidth="1" style="1236" min="6283" max="6283"/>
    <col width="4.67" customWidth="1" style="1236" min="6284" max="6284"/>
    <col width="8.67" customWidth="1" style="1236" min="6285" max="6285"/>
    <col width="6" customWidth="1" style="1236" min="6286" max="6286"/>
    <col width="6.34" customWidth="1" style="1236" min="6287" max="6287"/>
    <col width="8.67" customWidth="1" style="1236" min="6288" max="6288"/>
    <col width="3.45" customWidth="1" style="1236" min="6289" max="6289"/>
    <col width="3" customWidth="1" style="1236" min="6290" max="6290"/>
    <col width="4.33" customWidth="1" style="1236" min="6291" max="6291"/>
    <col width="5.56" customWidth="1" style="1236" min="6292" max="6292"/>
    <col width="4.67" customWidth="1" style="1236" min="6293" max="6293"/>
    <col width="15.45" customWidth="1" style="1236" min="6294" max="6294"/>
    <col width="9.109999999999999" customWidth="1" style="1236" min="6295" max="6298"/>
    <col width="10.44" customWidth="1" style="1236" min="6299" max="6299"/>
    <col width="18" customWidth="1" style="1236" min="6300" max="6300"/>
    <col width="9.109999999999999" customWidth="1" style="1236" min="6301" max="6531"/>
    <col width="7.33" customWidth="1" style="1236" min="6532" max="6532"/>
    <col width="5" customWidth="1" style="1236" min="6533" max="6533"/>
    <col width="5.44" customWidth="1" style="1236" min="6534" max="6534"/>
    <col width="9.66" customWidth="1" style="1236" min="6535" max="6535"/>
    <col width="5.44" customWidth="1" style="1236" min="6536" max="6536"/>
    <col width="2" customWidth="1" style="1236" min="6537" max="6537"/>
    <col width="7.55" customWidth="1" style="1236" min="6538" max="6538"/>
    <col width="8.67" customWidth="1" style="1236" min="6539" max="6539"/>
    <col width="4.67" customWidth="1" style="1236" min="6540" max="6540"/>
    <col width="8.67" customWidth="1" style="1236" min="6541" max="6541"/>
    <col width="6" customWidth="1" style="1236" min="6542" max="6542"/>
    <col width="6.34" customWidth="1" style="1236" min="6543" max="6543"/>
    <col width="8.67" customWidth="1" style="1236" min="6544" max="6544"/>
    <col width="3.45" customWidth="1" style="1236" min="6545" max="6545"/>
    <col width="3" customWidth="1" style="1236" min="6546" max="6546"/>
    <col width="4.33" customWidth="1" style="1236" min="6547" max="6547"/>
    <col width="5.56" customWidth="1" style="1236" min="6548" max="6548"/>
    <col width="4.67" customWidth="1" style="1236" min="6549" max="6549"/>
    <col width="15.45" customWidth="1" style="1236" min="6550" max="6550"/>
    <col width="9.109999999999999" customWidth="1" style="1236" min="6551" max="6554"/>
    <col width="10.44" customWidth="1" style="1236" min="6555" max="6555"/>
    <col width="18" customWidth="1" style="1236" min="6556" max="6556"/>
    <col width="9.109999999999999" customWidth="1" style="1236" min="6557" max="6787"/>
    <col width="7.33" customWidth="1" style="1236" min="6788" max="6788"/>
    <col width="5" customWidth="1" style="1236" min="6789" max="6789"/>
    <col width="5.44" customWidth="1" style="1236" min="6790" max="6790"/>
    <col width="9.66" customWidth="1" style="1236" min="6791" max="6791"/>
    <col width="5.44" customWidth="1" style="1236" min="6792" max="6792"/>
    <col width="2" customWidth="1" style="1236" min="6793" max="6793"/>
    <col width="7.55" customWidth="1" style="1236" min="6794" max="6794"/>
    <col width="8.67" customWidth="1" style="1236" min="6795" max="6795"/>
    <col width="4.67" customWidth="1" style="1236" min="6796" max="6796"/>
    <col width="8.67" customWidth="1" style="1236" min="6797" max="6797"/>
    <col width="6" customWidth="1" style="1236" min="6798" max="6798"/>
    <col width="6.34" customWidth="1" style="1236" min="6799" max="6799"/>
    <col width="8.67" customWidth="1" style="1236" min="6800" max="6800"/>
    <col width="3.45" customWidth="1" style="1236" min="6801" max="6801"/>
    <col width="3" customWidth="1" style="1236" min="6802" max="6802"/>
    <col width="4.33" customWidth="1" style="1236" min="6803" max="6803"/>
    <col width="5.56" customWidth="1" style="1236" min="6804" max="6804"/>
    <col width="4.67" customWidth="1" style="1236" min="6805" max="6805"/>
    <col width="15.45" customWidth="1" style="1236" min="6806" max="6806"/>
    <col width="9.109999999999999" customWidth="1" style="1236" min="6807" max="6810"/>
    <col width="10.44" customWidth="1" style="1236" min="6811" max="6811"/>
    <col width="18" customWidth="1" style="1236" min="6812" max="6812"/>
    <col width="9.109999999999999" customWidth="1" style="1236" min="6813" max="7043"/>
    <col width="7.33" customWidth="1" style="1236" min="7044" max="7044"/>
    <col width="5" customWidth="1" style="1236" min="7045" max="7045"/>
    <col width="5.44" customWidth="1" style="1236" min="7046" max="7046"/>
    <col width="9.66" customWidth="1" style="1236" min="7047" max="7047"/>
    <col width="5.44" customWidth="1" style="1236" min="7048" max="7048"/>
    <col width="2" customWidth="1" style="1236" min="7049" max="7049"/>
    <col width="7.55" customWidth="1" style="1236" min="7050" max="7050"/>
    <col width="8.67" customWidth="1" style="1236" min="7051" max="7051"/>
    <col width="4.67" customWidth="1" style="1236" min="7052" max="7052"/>
    <col width="8.67" customWidth="1" style="1236" min="7053" max="7053"/>
    <col width="6" customWidth="1" style="1236" min="7054" max="7054"/>
    <col width="6.34" customWidth="1" style="1236" min="7055" max="7055"/>
    <col width="8.67" customWidth="1" style="1236" min="7056" max="7056"/>
    <col width="3.45" customWidth="1" style="1236" min="7057" max="7057"/>
    <col width="3" customWidth="1" style="1236" min="7058" max="7058"/>
    <col width="4.33" customWidth="1" style="1236" min="7059" max="7059"/>
    <col width="5.56" customWidth="1" style="1236" min="7060" max="7060"/>
    <col width="4.67" customWidth="1" style="1236" min="7061" max="7061"/>
    <col width="15.45" customWidth="1" style="1236" min="7062" max="7062"/>
    <col width="9.109999999999999" customWidth="1" style="1236" min="7063" max="7066"/>
    <col width="10.44" customWidth="1" style="1236" min="7067" max="7067"/>
    <col width="18" customWidth="1" style="1236" min="7068" max="7068"/>
    <col width="9.109999999999999" customWidth="1" style="1236" min="7069" max="7299"/>
    <col width="7.33" customWidth="1" style="1236" min="7300" max="7300"/>
    <col width="5" customWidth="1" style="1236" min="7301" max="7301"/>
    <col width="5.44" customWidth="1" style="1236" min="7302" max="7302"/>
    <col width="9.66" customWidth="1" style="1236" min="7303" max="7303"/>
    <col width="5.44" customWidth="1" style="1236" min="7304" max="7304"/>
    <col width="2" customWidth="1" style="1236" min="7305" max="7305"/>
    <col width="7.55" customWidth="1" style="1236" min="7306" max="7306"/>
    <col width="8.67" customWidth="1" style="1236" min="7307" max="7307"/>
    <col width="4.67" customWidth="1" style="1236" min="7308" max="7308"/>
    <col width="8.67" customWidth="1" style="1236" min="7309" max="7309"/>
    <col width="6" customWidth="1" style="1236" min="7310" max="7310"/>
    <col width="6.34" customWidth="1" style="1236" min="7311" max="7311"/>
    <col width="8.67" customWidth="1" style="1236" min="7312" max="7312"/>
    <col width="3.45" customWidth="1" style="1236" min="7313" max="7313"/>
    <col width="3" customWidth="1" style="1236" min="7314" max="7314"/>
    <col width="4.33" customWidth="1" style="1236" min="7315" max="7315"/>
    <col width="5.56" customWidth="1" style="1236" min="7316" max="7316"/>
    <col width="4.67" customWidth="1" style="1236" min="7317" max="7317"/>
    <col width="15.45" customWidth="1" style="1236" min="7318" max="7318"/>
    <col width="9.109999999999999" customWidth="1" style="1236" min="7319" max="7322"/>
    <col width="10.44" customWidth="1" style="1236" min="7323" max="7323"/>
    <col width="18" customWidth="1" style="1236" min="7324" max="7324"/>
    <col width="9.109999999999999" customWidth="1" style="1236" min="7325" max="7555"/>
    <col width="7.33" customWidth="1" style="1236" min="7556" max="7556"/>
    <col width="5" customWidth="1" style="1236" min="7557" max="7557"/>
    <col width="5.44" customWidth="1" style="1236" min="7558" max="7558"/>
    <col width="9.66" customWidth="1" style="1236" min="7559" max="7559"/>
    <col width="5.44" customWidth="1" style="1236" min="7560" max="7560"/>
    <col width="2" customWidth="1" style="1236" min="7561" max="7561"/>
    <col width="7.55" customWidth="1" style="1236" min="7562" max="7562"/>
    <col width="8.67" customWidth="1" style="1236" min="7563" max="7563"/>
    <col width="4.67" customWidth="1" style="1236" min="7564" max="7564"/>
    <col width="8.67" customWidth="1" style="1236" min="7565" max="7565"/>
    <col width="6" customWidth="1" style="1236" min="7566" max="7566"/>
    <col width="6.34" customWidth="1" style="1236" min="7567" max="7567"/>
    <col width="8.67" customWidth="1" style="1236" min="7568" max="7568"/>
    <col width="3.45" customWidth="1" style="1236" min="7569" max="7569"/>
    <col width="3" customWidth="1" style="1236" min="7570" max="7570"/>
    <col width="4.33" customWidth="1" style="1236" min="7571" max="7571"/>
    <col width="5.56" customWidth="1" style="1236" min="7572" max="7572"/>
    <col width="4.67" customWidth="1" style="1236" min="7573" max="7573"/>
    <col width="15.45" customWidth="1" style="1236" min="7574" max="7574"/>
    <col width="9.109999999999999" customWidth="1" style="1236" min="7575" max="7578"/>
    <col width="10.44" customWidth="1" style="1236" min="7579" max="7579"/>
    <col width="18" customWidth="1" style="1236" min="7580" max="7580"/>
    <col width="9.109999999999999" customWidth="1" style="1236" min="7581" max="7811"/>
    <col width="7.33" customWidth="1" style="1236" min="7812" max="7812"/>
    <col width="5" customWidth="1" style="1236" min="7813" max="7813"/>
    <col width="5.44" customWidth="1" style="1236" min="7814" max="7814"/>
    <col width="9.66" customWidth="1" style="1236" min="7815" max="7815"/>
    <col width="5.44" customWidth="1" style="1236" min="7816" max="7816"/>
    <col width="2" customWidth="1" style="1236" min="7817" max="7817"/>
    <col width="7.55" customWidth="1" style="1236" min="7818" max="7818"/>
    <col width="8.67" customWidth="1" style="1236" min="7819" max="7819"/>
    <col width="4.67" customWidth="1" style="1236" min="7820" max="7820"/>
    <col width="8.67" customWidth="1" style="1236" min="7821" max="7821"/>
    <col width="6" customWidth="1" style="1236" min="7822" max="7822"/>
    <col width="6.34" customWidth="1" style="1236" min="7823" max="7823"/>
    <col width="8.67" customWidth="1" style="1236" min="7824" max="7824"/>
    <col width="3.45" customWidth="1" style="1236" min="7825" max="7825"/>
    <col width="3" customWidth="1" style="1236" min="7826" max="7826"/>
    <col width="4.33" customWidth="1" style="1236" min="7827" max="7827"/>
    <col width="5.56" customWidth="1" style="1236" min="7828" max="7828"/>
    <col width="4.67" customWidth="1" style="1236" min="7829" max="7829"/>
    <col width="15.45" customWidth="1" style="1236" min="7830" max="7830"/>
    <col width="9.109999999999999" customWidth="1" style="1236" min="7831" max="7834"/>
    <col width="10.44" customWidth="1" style="1236" min="7835" max="7835"/>
    <col width="18" customWidth="1" style="1236" min="7836" max="7836"/>
    <col width="9.109999999999999" customWidth="1" style="1236" min="7837" max="8067"/>
    <col width="7.33" customWidth="1" style="1236" min="8068" max="8068"/>
    <col width="5" customWidth="1" style="1236" min="8069" max="8069"/>
    <col width="5.44" customWidth="1" style="1236" min="8070" max="8070"/>
    <col width="9.66" customWidth="1" style="1236" min="8071" max="8071"/>
    <col width="5.44" customWidth="1" style="1236" min="8072" max="8072"/>
    <col width="2" customWidth="1" style="1236" min="8073" max="8073"/>
    <col width="7.55" customWidth="1" style="1236" min="8074" max="8074"/>
    <col width="8.67" customWidth="1" style="1236" min="8075" max="8075"/>
    <col width="4.67" customWidth="1" style="1236" min="8076" max="8076"/>
    <col width="8.67" customWidth="1" style="1236" min="8077" max="8077"/>
    <col width="6" customWidth="1" style="1236" min="8078" max="8078"/>
    <col width="6.34" customWidth="1" style="1236" min="8079" max="8079"/>
    <col width="8.67" customWidth="1" style="1236" min="8080" max="8080"/>
    <col width="3.45" customWidth="1" style="1236" min="8081" max="8081"/>
    <col width="3" customWidth="1" style="1236" min="8082" max="8082"/>
    <col width="4.33" customWidth="1" style="1236" min="8083" max="8083"/>
    <col width="5.56" customWidth="1" style="1236" min="8084" max="8084"/>
    <col width="4.67" customWidth="1" style="1236" min="8085" max="8085"/>
    <col width="15.45" customWidth="1" style="1236" min="8086" max="8086"/>
    <col width="9.109999999999999" customWidth="1" style="1236" min="8087" max="8090"/>
    <col width="10.44" customWidth="1" style="1236" min="8091" max="8091"/>
    <col width="18" customWidth="1" style="1236" min="8092" max="8092"/>
    <col width="9.109999999999999" customWidth="1" style="1236" min="8093" max="8323"/>
    <col width="7.33" customWidth="1" style="1236" min="8324" max="8324"/>
    <col width="5" customWidth="1" style="1236" min="8325" max="8325"/>
    <col width="5.44" customWidth="1" style="1236" min="8326" max="8326"/>
    <col width="9.66" customWidth="1" style="1236" min="8327" max="8327"/>
    <col width="5.44" customWidth="1" style="1236" min="8328" max="8328"/>
    <col width="2" customWidth="1" style="1236" min="8329" max="8329"/>
    <col width="7.55" customWidth="1" style="1236" min="8330" max="8330"/>
    <col width="8.67" customWidth="1" style="1236" min="8331" max="8331"/>
    <col width="4.67" customWidth="1" style="1236" min="8332" max="8332"/>
    <col width="8.67" customWidth="1" style="1236" min="8333" max="8333"/>
    <col width="6" customWidth="1" style="1236" min="8334" max="8334"/>
    <col width="6.34" customWidth="1" style="1236" min="8335" max="8335"/>
    <col width="8.67" customWidth="1" style="1236" min="8336" max="8336"/>
    <col width="3.45" customWidth="1" style="1236" min="8337" max="8337"/>
    <col width="3" customWidth="1" style="1236" min="8338" max="8338"/>
    <col width="4.33" customWidth="1" style="1236" min="8339" max="8339"/>
    <col width="5.56" customWidth="1" style="1236" min="8340" max="8340"/>
    <col width="4.67" customWidth="1" style="1236" min="8341" max="8341"/>
    <col width="15.45" customWidth="1" style="1236" min="8342" max="8342"/>
    <col width="9.109999999999999" customWidth="1" style="1236" min="8343" max="8346"/>
    <col width="10.44" customWidth="1" style="1236" min="8347" max="8347"/>
    <col width="18" customWidth="1" style="1236" min="8348" max="8348"/>
    <col width="9.109999999999999" customWidth="1" style="1236" min="8349" max="8579"/>
    <col width="7.33" customWidth="1" style="1236" min="8580" max="8580"/>
    <col width="5" customWidth="1" style="1236" min="8581" max="8581"/>
    <col width="5.44" customWidth="1" style="1236" min="8582" max="8582"/>
    <col width="9.66" customWidth="1" style="1236" min="8583" max="8583"/>
    <col width="5.44" customWidth="1" style="1236" min="8584" max="8584"/>
    <col width="2" customWidth="1" style="1236" min="8585" max="8585"/>
    <col width="7.55" customWidth="1" style="1236" min="8586" max="8586"/>
    <col width="8.67" customWidth="1" style="1236" min="8587" max="8587"/>
    <col width="4.67" customWidth="1" style="1236" min="8588" max="8588"/>
    <col width="8.67" customWidth="1" style="1236" min="8589" max="8589"/>
    <col width="6" customWidth="1" style="1236" min="8590" max="8590"/>
    <col width="6.34" customWidth="1" style="1236" min="8591" max="8591"/>
    <col width="8.67" customWidth="1" style="1236" min="8592" max="8592"/>
    <col width="3.45" customWidth="1" style="1236" min="8593" max="8593"/>
    <col width="3" customWidth="1" style="1236" min="8594" max="8594"/>
    <col width="4.33" customWidth="1" style="1236" min="8595" max="8595"/>
    <col width="5.56" customWidth="1" style="1236" min="8596" max="8596"/>
    <col width="4.67" customWidth="1" style="1236" min="8597" max="8597"/>
    <col width="15.45" customWidth="1" style="1236" min="8598" max="8598"/>
    <col width="9.109999999999999" customWidth="1" style="1236" min="8599" max="8602"/>
    <col width="10.44" customWidth="1" style="1236" min="8603" max="8603"/>
    <col width="18" customWidth="1" style="1236" min="8604" max="8604"/>
    <col width="9.109999999999999" customWidth="1" style="1236" min="8605" max="8835"/>
    <col width="7.33" customWidth="1" style="1236" min="8836" max="8836"/>
    <col width="5" customWidth="1" style="1236" min="8837" max="8837"/>
    <col width="5.44" customWidth="1" style="1236" min="8838" max="8838"/>
    <col width="9.66" customWidth="1" style="1236" min="8839" max="8839"/>
    <col width="5.44" customWidth="1" style="1236" min="8840" max="8840"/>
    <col width="2" customWidth="1" style="1236" min="8841" max="8841"/>
    <col width="7.55" customWidth="1" style="1236" min="8842" max="8842"/>
    <col width="8.67" customWidth="1" style="1236" min="8843" max="8843"/>
    <col width="4.67" customWidth="1" style="1236" min="8844" max="8844"/>
    <col width="8.67" customWidth="1" style="1236" min="8845" max="8845"/>
    <col width="6" customWidth="1" style="1236" min="8846" max="8846"/>
    <col width="6.34" customWidth="1" style="1236" min="8847" max="8847"/>
    <col width="8.67" customWidth="1" style="1236" min="8848" max="8848"/>
    <col width="3.45" customWidth="1" style="1236" min="8849" max="8849"/>
    <col width="3" customWidth="1" style="1236" min="8850" max="8850"/>
    <col width="4.33" customWidth="1" style="1236" min="8851" max="8851"/>
    <col width="5.56" customWidth="1" style="1236" min="8852" max="8852"/>
    <col width="4.67" customWidth="1" style="1236" min="8853" max="8853"/>
    <col width="15.45" customWidth="1" style="1236" min="8854" max="8854"/>
    <col width="9.109999999999999" customWidth="1" style="1236" min="8855" max="8858"/>
    <col width="10.44" customWidth="1" style="1236" min="8859" max="8859"/>
    <col width="18" customWidth="1" style="1236" min="8860" max="8860"/>
    <col width="9.109999999999999" customWidth="1" style="1236" min="8861" max="9091"/>
    <col width="7.33" customWidth="1" style="1236" min="9092" max="9092"/>
    <col width="5" customWidth="1" style="1236" min="9093" max="9093"/>
    <col width="5.44" customWidth="1" style="1236" min="9094" max="9094"/>
    <col width="9.66" customWidth="1" style="1236" min="9095" max="9095"/>
    <col width="5.44" customWidth="1" style="1236" min="9096" max="9096"/>
    <col width="2" customWidth="1" style="1236" min="9097" max="9097"/>
    <col width="7.55" customWidth="1" style="1236" min="9098" max="9098"/>
    <col width="8.67" customWidth="1" style="1236" min="9099" max="9099"/>
    <col width="4.67" customWidth="1" style="1236" min="9100" max="9100"/>
    <col width="8.67" customWidth="1" style="1236" min="9101" max="9101"/>
    <col width="6" customWidth="1" style="1236" min="9102" max="9102"/>
    <col width="6.34" customWidth="1" style="1236" min="9103" max="9103"/>
    <col width="8.67" customWidth="1" style="1236" min="9104" max="9104"/>
    <col width="3.45" customWidth="1" style="1236" min="9105" max="9105"/>
    <col width="3" customWidth="1" style="1236" min="9106" max="9106"/>
    <col width="4.33" customWidth="1" style="1236" min="9107" max="9107"/>
    <col width="5.56" customWidth="1" style="1236" min="9108" max="9108"/>
    <col width="4.67" customWidth="1" style="1236" min="9109" max="9109"/>
    <col width="15.45" customWidth="1" style="1236" min="9110" max="9110"/>
    <col width="9.109999999999999" customWidth="1" style="1236" min="9111" max="9114"/>
    <col width="10.44" customWidth="1" style="1236" min="9115" max="9115"/>
    <col width="18" customWidth="1" style="1236" min="9116" max="9116"/>
    <col width="9.109999999999999" customWidth="1" style="1236" min="9117" max="9347"/>
    <col width="7.33" customWidth="1" style="1236" min="9348" max="9348"/>
    <col width="5" customWidth="1" style="1236" min="9349" max="9349"/>
    <col width="5.44" customWidth="1" style="1236" min="9350" max="9350"/>
    <col width="9.66" customWidth="1" style="1236" min="9351" max="9351"/>
    <col width="5.44" customWidth="1" style="1236" min="9352" max="9352"/>
    <col width="2" customWidth="1" style="1236" min="9353" max="9353"/>
    <col width="7.55" customWidth="1" style="1236" min="9354" max="9354"/>
    <col width="8.67" customWidth="1" style="1236" min="9355" max="9355"/>
    <col width="4.67" customWidth="1" style="1236" min="9356" max="9356"/>
    <col width="8.67" customWidth="1" style="1236" min="9357" max="9357"/>
    <col width="6" customWidth="1" style="1236" min="9358" max="9358"/>
    <col width="6.34" customWidth="1" style="1236" min="9359" max="9359"/>
    <col width="8.67" customWidth="1" style="1236" min="9360" max="9360"/>
    <col width="3.45" customWidth="1" style="1236" min="9361" max="9361"/>
    <col width="3" customWidth="1" style="1236" min="9362" max="9362"/>
    <col width="4.33" customWidth="1" style="1236" min="9363" max="9363"/>
    <col width="5.56" customWidth="1" style="1236" min="9364" max="9364"/>
    <col width="4.67" customWidth="1" style="1236" min="9365" max="9365"/>
    <col width="15.45" customWidth="1" style="1236" min="9366" max="9366"/>
    <col width="9.109999999999999" customWidth="1" style="1236" min="9367" max="9370"/>
    <col width="10.44" customWidth="1" style="1236" min="9371" max="9371"/>
    <col width="18" customWidth="1" style="1236" min="9372" max="9372"/>
    <col width="9.109999999999999" customWidth="1" style="1236" min="9373" max="9603"/>
    <col width="7.33" customWidth="1" style="1236" min="9604" max="9604"/>
    <col width="5" customWidth="1" style="1236" min="9605" max="9605"/>
    <col width="5.44" customWidth="1" style="1236" min="9606" max="9606"/>
    <col width="9.66" customWidth="1" style="1236" min="9607" max="9607"/>
    <col width="5.44" customWidth="1" style="1236" min="9608" max="9608"/>
    <col width="2" customWidth="1" style="1236" min="9609" max="9609"/>
    <col width="7.55" customWidth="1" style="1236" min="9610" max="9610"/>
    <col width="8.67" customWidth="1" style="1236" min="9611" max="9611"/>
    <col width="4.67" customWidth="1" style="1236" min="9612" max="9612"/>
    <col width="8.67" customWidth="1" style="1236" min="9613" max="9613"/>
    <col width="6" customWidth="1" style="1236" min="9614" max="9614"/>
    <col width="6.34" customWidth="1" style="1236" min="9615" max="9615"/>
    <col width="8.67" customWidth="1" style="1236" min="9616" max="9616"/>
    <col width="3.45" customWidth="1" style="1236" min="9617" max="9617"/>
    <col width="3" customWidth="1" style="1236" min="9618" max="9618"/>
    <col width="4.33" customWidth="1" style="1236" min="9619" max="9619"/>
    <col width="5.56" customWidth="1" style="1236" min="9620" max="9620"/>
    <col width="4.67" customWidth="1" style="1236" min="9621" max="9621"/>
    <col width="15.45" customWidth="1" style="1236" min="9622" max="9622"/>
    <col width="9.109999999999999" customWidth="1" style="1236" min="9623" max="9626"/>
    <col width="10.44" customWidth="1" style="1236" min="9627" max="9627"/>
    <col width="18" customWidth="1" style="1236" min="9628" max="9628"/>
    <col width="9.109999999999999" customWidth="1" style="1236" min="9629" max="9859"/>
    <col width="7.33" customWidth="1" style="1236" min="9860" max="9860"/>
    <col width="5" customWidth="1" style="1236" min="9861" max="9861"/>
    <col width="5.44" customWidth="1" style="1236" min="9862" max="9862"/>
    <col width="9.66" customWidth="1" style="1236" min="9863" max="9863"/>
    <col width="5.44" customWidth="1" style="1236" min="9864" max="9864"/>
    <col width="2" customWidth="1" style="1236" min="9865" max="9865"/>
    <col width="7.55" customWidth="1" style="1236" min="9866" max="9866"/>
    <col width="8.67" customWidth="1" style="1236" min="9867" max="9867"/>
    <col width="4.67" customWidth="1" style="1236" min="9868" max="9868"/>
    <col width="8.67" customWidth="1" style="1236" min="9869" max="9869"/>
    <col width="6" customWidth="1" style="1236" min="9870" max="9870"/>
    <col width="6.34" customWidth="1" style="1236" min="9871" max="9871"/>
    <col width="8.67" customWidth="1" style="1236" min="9872" max="9872"/>
    <col width="3.45" customWidth="1" style="1236" min="9873" max="9873"/>
    <col width="3" customWidth="1" style="1236" min="9874" max="9874"/>
    <col width="4.33" customWidth="1" style="1236" min="9875" max="9875"/>
    <col width="5.56" customWidth="1" style="1236" min="9876" max="9876"/>
    <col width="4.67" customWidth="1" style="1236" min="9877" max="9877"/>
    <col width="15.45" customWidth="1" style="1236" min="9878" max="9878"/>
    <col width="9.109999999999999" customWidth="1" style="1236" min="9879" max="9882"/>
    <col width="10.44" customWidth="1" style="1236" min="9883" max="9883"/>
    <col width="18" customWidth="1" style="1236" min="9884" max="9884"/>
    <col width="9.109999999999999" customWidth="1" style="1236" min="9885" max="10115"/>
    <col width="7.33" customWidth="1" style="1236" min="10116" max="10116"/>
    <col width="5" customWidth="1" style="1236" min="10117" max="10117"/>
    <col width="5.44" customWidth="1" style="1236" min="10118" max="10118"/>
    <col width="9.66" customWidth="1" style="1236" min="10119" max="10119"/>
    <col width="5.44" customWidth="1" style="1236" min="10120" max="10120"/>
    <col width="2" customWidth="1" style="1236" min="10121" max="10121"/>
    <col width="7.55" customWidth="1" style="1236" min="10122" max="10122"/>
    <col width="8.67" customWidth="1" style="1236" min="10123" max="10123"/>
    <col width="4.67" customWidth="1" style="1236" min="10124" max="10124"/>
    <col width="8.67" customWidth="1" style="1236" min="10125" max="10125"/>
    <col width="6" customWidth="1" style="1236" min="10126" max="10126"/>
    <col width="6.34" customWidth="1" style="1236" min="10127" max="10127"/>
    <col width="8.67" customWidth="1" style="1236" min="10128" max="10128"/>
    <col width="3.45" customWidth="1" style="1236" min="10129" max="10129"/>
    <col width="3" customWidth="1" style="1236" min="10130" max="10130"/>
    <col width="4.33" customWidth="1" style="1236" min="10131" max="10131"/>
    <col width="5.56" customWidth="1" style="1236" min="10132" max="10132"/>
    <col width="4.67" customWidth="1" style="1236" min="10133" max="10133"/>
    <col width="15.45" customWidth="1" style="1236" min="10134" max="10134"/>
    <col width="9.109999999999999" customWidth="1" style="1236" min="10135" max="10138"/>
    <col width="10.44" customWidth="1" style="1236" min="10139" max="10139"/>
    <col width="18" customWidth="1" style="1236" min="10140" max="10140"/>
    <col width="9.109999999999999" customWidth="1" style="1236" min="10141" max="10371"/>
    <col width="7.33" customWidth="1" style="1236" min="10372" max="10372"/>
    <col width="5" customWidth="1" style="1236" min="10373" max="10373"/>
    <col width="5.44" customWidth="1" style="1236" min="10374" max="10374"/>
    <col width="9.66" customWidth="1" style="1236" min="10375" max="10375"/>
    <col width="5.44" customWidth="1" style="1236" min="10376" max="10376"/>
    <col width="2" customWidth="1" style="1236" min="10377" max="10377"/>
    <col width="7.55" customWidth="1" style="1236" min="10378" max="10378"/>
    <col width="8.67" customWidth="1" style="1236" min="10379" max="10379"/>
    <col width="4.67" customWidth="1" style="1236" min="10380" max="10380"/>
    <col width="8.67" customWidth="1" style="1236" min="10381" max="10381"/>
    <col width="6" customWidth="1" style="1236" min="10382" max="10382"/>
    <col width="6.34" customWidth="1" style="1236" min="10383" max="10383"/>
    <col width="8.67" customWidth="1" style="1236" min="10384" max="10384"/>
    <col width="3.45" customWidth="1" style="1236" min="10385" max="10385"/>
    <col width="3" customWidth="1" style="1236" min="10386" max="10386"/>
    <col width="4.33" customWidth="1" style="1236" min="10387" max="10387"/>
    <col width="5.56" customWidth="1" style="1236" min="10388" max="10388"/>
    <col width="4.67" customWidth="1" style="1236" min="10389" max="10389"/>
    <col width="15.45" customWidth="1" style="1236" min="10390" max="10390"/>
    <col width="9.109999999999999" customWidth="1" style="1236" min="10391" max="10394"/>
    <col width="10.44" customWidth="1" style="1236" min="10395" max="10395"/>
    <col width="18" customWidth="1" style="1236" min="10396" max="10396"/>
    <col width="9.109999999999999" customWidth="1" style="1236" min="10397" max="10627"/>
    <col width="7.33" customWidth="1" style="1236" min="10628" max="10628"/>
    <col width="5" customWidth="1" style="1236" min="10629" max="10629"/>
    <col width="5.44" customWidth="1" style="1236" min="10630" max="10630"/>
    <col width="9.66" customWidth="1" style="1236" min="10631" max="10631"/>
    <col width="5.44" customWidth="1" style="1236" min="10632" max="10632"/>
    <col width="2" customWidth="1" style="1236" min="10633" max="10633"/>
    <col width="7.55" customWidth="1" style="1236" min="10634" max="10634"/>
    <col width="8.67" customWidth="1" style="1236" min="10635" max="10635"/>
    <col width="4.67" customWidth="1" style="1236" min="10636" max="10636"/>
    <col width="8.67" customWidth="1" style="1236" min="10637" max="10637"/>
    <col width="6" customWidth="1" style="1236" min="10638" max="10638"/>
    <col width="6.34" customWidth="1" style="1236" min="10639" max="10639"/>
    <col width="8.67" customWidth="1" style="1236" min="10640" max="10640"/>
    <col width="3.45" customWidth="1" style="1236" min="10641" max="10641"/>
    <col width="3" customWidth="1" style="1236" min="10642" max="10642"/>
    <col width="4.33" customWidth="1" style="1236" min="10643" max="10643"/>
    <col width="5.56" customWidth="1" style="1236" min="10644" max="10644"/>
    <col width="4.67" customWidth="1" style="1236" min="10645" max="10645"/>
    <col width="15.45" customWidth="1" style="1236" min="10646" max="10646"/>
    <col width="9.109999999999999" customWidth="1" style="1236" min="10647" max="10650"/>
    <col width="10.44" customWidth="1" style="1236" min="10651" max="10651"/>
    <col width="18" customWidth="1" style="1236" min="10652" max="10652"/>
    <col width="9.109999999999999" customWidth="1" style="1236" min="10653" max="10883"/>
    <col width="7.33" customWidth="1" style="1236" min="10884" max="10884"/>
    <col width="5" customWidth="1" style="1236" min="10885" max="10885"/>
    <col width="5.44" customWidth="1" style="1236" min="10886" max="10886"/>
    <col width="9.66" customWidth="1" style="1236" min="10887" max="10887"/>
    <col width="5.44" customWidth="1" style="1236" min="10888" max="10888"/>
    <col width="2" customWidth="1" style="1236" min="10889" max="10889"/>
    <col width="7.55" customWidth="1" style="1236" min="10890" max="10890"/>
    <col width="8.67" customWidth="1" style="1236" min="10891" max="10891"/>
    <col width="4.67" customWidth="1" style="1236" min="10892" max="10892"/>
    <col width="8.67" customWidth="1" style="1236" min="10893" max="10893"/>
    <col width="6" customWidth="1" style="1236" min="10894" max="10894"/>
    <col width="6.34" customWidth="1" style="1236" min="10895" max="10895"/>
    <col width="8.67" customWidth="1" style="1236" min="10896" max="10896"/>
    <col width="3.45" customWidth="1" style="1236" min="10897" max="10897"/>
    <col width="3" customWidth="1" style="1236" min="10898" max="10898"/>
    <col width="4.33" customWidth="1" style="1236" min="10899" max="10899"/>
    <col width="5.56" customWidth="1" style="1236" min="10900" max="10900"/>
    <col width="4.67" customWidth="1" style="1236" min="10901" max="10901"/>
    <col width="15.45" customWidth="1" style="1236" min="10902" max="10902"/>
    <col width="9.109999999999999" customWidth="1" style="1236" min="10903" max="10906"/>
    <col width="10.44" customWidth="1" style="1236" min="10907" max="10907"/>
    <col width="18" customWidth="1" style="1236" min="10908" max="10908"/>
    <col width="9.109999999999999" customWidth="1" style="1236" min="10909" max="11139"/>
    <col width="7.33" customWidth="1" style="1236" min="11140" max="11140"/>
    <col width="5" customWidth="1" style="1236" min="11141" max="11141"/>
    <col width="5.44" customWidth="1" style="1236" min="11142" max="11142"/>
    <col width="9.66" customWidth="1" style="1236" min="11143" max="11143"/>
    <col width="5.44" customWidth="1" style="1236" min="11144" max="11144"/>
    <col width="2" customWidth="1" style="1236" min="11145" max="11145"/>
    <col width="7.55" customWidth="1" style="1236" min="11146" max="11146"/>
    <col width="8.67" customWidth="1" style="1236" min="11147" max="11147"/>
    <col width="4.67" customWidth="1" style="1236" min="11148" max="11148"/>
    <col width="8.67" customWidth="1" style="1236" min="11149" max="11149"/>
    <col width="6" customWidth="1" style="1236" min="11150" max="11150"/>
    <col width="6.34" customWidth="1" style="1236" min="11151" max="11151"/>
    <col width="8.67" customWidth="1" style="1236" min="11152" max="11152"/>
    <col width="3.45" customWidth="1" style="1236" min="11153" max="11153"/>
    <col width="3" customWidth="1" style="1236" min="11154" max="11154"/>
    <col width="4.33" customWidth="1" style="1236" min="11155" max="11155"/>
    <col width="5.56" customWidth="1" style="1236" min="11156" max="11156"/>
    <col width="4.67" customWidth="1" style="1236" min="11157" max="11157"/>
    <col width="15.45" customWidth="1" style="1236" min="11158" max="11158"/>
    <col width="9.109999999999999" customWidth="1" style="1236" min="11159" max="11162"/>
    <col width="10.44" customWidth="1" style="1236" min="11163" max="11163"/>
    <col width="18" customWidth="1" style="1236" min="11164" max="11164"/>
    <col width="9.109999999999999" customWidth="1" style="1236" min="11165" max="11395"/>
    <col width="7.33" customWidth="1" style="1236" min="11396" max="11396"/>
    <col width="5" customWidth="1" style="1236" min="11397" max="11397"/>
    <col width="5.44" customWidth="1" style="1236" min="11398" max="11398"/>
    <col width="9.66" customWidth="1" style="1236" min="11399" max="11399"/>
    <col width="5.44" customWidth="1" style="1236" min="11400" max="11400"/>
    <col width="2" customWidth="1" style="1236" min="11401" max="11401"/>
    <col width="7.55" customWidth="1" style="1236" min="11402" max="11402"/>
    <col width="8.67" customWidth="1" style="1236" min="11403" max="11403"/>
    <col width="4.67" customWidth="1" style="1236" min="11404" max="11404"/>
    <col width="8.67" customWidth="1" style="1236" min="11405" max="11405"/>
    <col width="6" customWidth="1" style="1236" min="11406" max="11406"/>
    <col width="6.34" customWidth="1" style="1236" min="11407" max="11407"/>
    <col width="8.67" customWidth="1" style="1236" min="11408" max="11408"/>
    <col width="3.45" customWidth="1" style="1236" min="11409" max="11409"/>
    <col width="3" customWidth="1" style="1236" min="11410" max="11410"/>
    <col width="4.33" customWidth="1" style="1236" min="11411" max="11411"/>
    <col width="5.56" customWidth="1" style="1236" min="11412" max="11412"/>
    <col width="4.67" customWidth="1" style="1236" min="11413" max="11413"/>
    <col width="15.45" customWidth="1" style="1236" min="11414" max="11414"/>
    <col width="9.109999999999999" customWidth="1" style="1236" min="11415" max="11418"/>
    <col width="10.44" customWidth="1" style="1236" min="11419" max="11419"/>
    <col width="18" customWidth="1" style="1236" min="11420" max="11420"/>
    <col width="9.109999999999999" customWidth="1" style="1236" min="11421" max="11651"/>
    <col width="7.33" customWidth="1" style="1236" min="11652" max="11652"/>
    <col width="5" customWidth="1" style="1236" min="11653" max="11653"/>
    <col width="5.44" customWidth="1" style="1236" min="11654" max="11654"/>
    <col width="9.66" customWidth="1" style="1236" min="11655" max="11655"/>
    <col width="5.44" customWidth="1" style="1236" min="11656" max="11656"/>
    <col width="2" customWidth="1" style="1236" min="11657" max="11657"/>
    <col width="7.55" customWidth="1" style="1236" min="11658" max="11658"/>
    <col width="8.67" customWidth="1" style="1236" min="11659" max="11659"/>
    <col width="4.67" customWidth="1" style="1236" min="11660" max="11660"/>
    <col width="8.67" customWidth="1" style="1236" min="11661" max="11661"/>
    <col width="6" customWidth="1" style="1236" min="11662" max="11662"/>
    <col width="6.34" customWidth="1" style="1236" min="11663" max="11663"/>
    <col width="8.67" customWidth="1" style="1236" min="11664" max="11664"/>
    <col width="3.45" customWidth="1" style="1236" min="11665" max="11665"/>
    <col width="3" customWidth="1" style="1236" min="11666" max="11666"/>
    <col width="4.33" customWidth="1" style="1236" min="11667" max="11667"/>
    <col width="5.56" customWidth="1" style="1236" min="11668" max="11668"/>
    <col width="4.67" customWidth="1" style="1236" min="11669" max="11669"/>
    <col width="15.45" customWidth="1" style="1236" min="11670" max="11670"/>
    <col width="9.109999999999999" customWidth="1" style="1236" min="11671" max="11674"/>
    <col width="10.44" customWidth="1" style="1236" min="11675" max="11675"/>
    <col width="18" customWidth="1" style="1236" min="11676" max="11676"/>
    <col width="9.109999999999999" customWidth="1" style="1236" min="11677" max="11907"/>
    <col width="7.33" customWidth="1" style="1236" min="11908" max="11908"/>
    <col width="5" customWidth="1" style="1236" min="11909" max="11909"/>
    <col width="5.44" customWidth="1" style="1236" min="11910" max="11910"/>
    <col width="9.66" customWidth="1" style="1236" min="11911" max="11911"/>
    <col width="5.44" customWidth="1" style="1236" min="11912" max="11912"/>
    <col width="2" customWidth="1" style="1236" min="11913" max="11913"/>
    <col width="7.55" customWidth="1" style="1236" min="11914" max="11914"/>
    <col width="8.67" customWidth="1" style="1236" min="11915" max="11915"/>
    <col width="4.67" customWidth="1" style="1236" min="11916" max="11916"/>
    <col width="8.67" customWidth="1" style="1236" min="11917" max="11917"/>
    <col width="6" customWidth="1" style="1236" min="11918" max="11918"/>
    <col width="6.34" customWidth="1" style="1236" min="11919" max="11919"/>
    <col width="8.67" customWidth="1" style="1236" min="11920" max="11920"/>
    <col width="3.45" customWidth="1" style="1236" min="11921" max="11921"/>
    <col width="3" customWidth="1" style="1236" min="11922" max="11922"/>
    <col width="4.33" customWidth="1" style="1236" min="11923" max="11923"/>
    <col width="5.56" customWidth="1" style="1236" min="11924" max="11924"/>
    <col width="4.67" customWidth="1" style="1236" min="11925" max="11925"/>
    <col width="15.45" customWidth="1" style="1236" min="11926" max="11926"/>
    <col width="9.109999999999999" customWidth="1" style="1236" min="11927" max="11930"/>
    <col width="10.44" customWidth="1" style="1236" min="11931" max="11931"/>
    <col width="18" customWidth="1" style="1236" min="11932" max="11932"/>
    <col width="9.109999999999999" customWidth="1" style="1236" min="11933" max="12163"/>
    <col width="7.33" customWidth="1" style="1236" min="12164" max="12164"/>
    <col width="5" customWidth="1" style="1236" min="12165" max="12165"/>
    <col width="5.44" customWidth="1" style="1236" min="12166" max="12166"/>
    <col width="9.66" customWidth="1" style="1236" min="12167" max="12167"/>
    <col width="5.44" customWidth="1" style="1236" min="12168" max="12168"/>
    <col width="2" customWidth="1" style="1236" min="12169" max="12169"/>
    <col width="7.55" customWidth="1" style="1236" min="12170" max="12170"/>
    <col width="8.67" customWidth="1" style="1236" min="12171" max="12171"/>
    <col width="4.67" customWidth="1" style="1236" min="12172" max="12172"/>
    <col width="8.67" customWidth="1" style="1236" min="12173" max="12173"/>
    <col width="6" customWidth="1" style="1236" min="12174" max="12174"/>
    <col width="6.34" customWidth="1" style="1236" min="12175" max="12175"/>
    <col width="8.67" customWidth="1" style="1236" min="12176" max="12176"/>
    <col width="3.45" customWidth="1" style="1236" min="12177" max="12177"/>
    <col width="3" customWidth="1" style="1236" min="12178" max="12178"/>
    <col width="4.33" customWidth="1" style="1236" min="12179" max="12179"/>
    <col width="5.56" customWidth="1" style="1236" min="12180" max="12180"/>
    <col width="4.67" customWidth="1" style="1236" min="12181" max="12181"/>
    <col width="15.45" customWidth="1" style="1236" min="12182" max="12182"/>
    <col width="9.109999999999999" customWidth="1" style="1236" min="12183" max="12186"/>
    <col width="10.44" customWidth="1" style="1236" min="12187" max="12187"/>
    <col width="18" customWidth="1" style="1236" min="12188" max="12188"/>
    <col width="9.109999999999999" customWidth="1" style="1236" min="12189" max="12419"/>
    <col width="7.33" customWidth="1" style="1236" min="12420" max="12420"/>
    <col width="5" customWidth="1" style="1236" min="12421" max="12421"/>
    <col width="5.44" customWidth="1" style="1236" min="12422" max="12422"/>
    <col width="9.66" customWidth="1" style="1236" min="12423" max="12423"/>
    <col width="5.44" customWidth="1" style="1236" min="12424" max="12424"/>
    <col width="2" customWidth="1" style="1236" min="12425" max="12425"/>
    <col width="7.55" customWidth="1" style="1236" min="12426" max="12426"/>
    <col width="8.67" customWidth="1" style="1236" min="12427" max="12427"/>
    <col width="4.67" customWidth="1" style="1236" min="12428" max="12428"/>
    <col width="8.67" customWidth="1" style="1236" min="12429" max="12429"/>
    <col width="6" customWidth="1" style="1236" min="12430" max="12430"/>
    <col width="6.34" customWidth="1" style="1236" min="12431" max="12431"/>
    <col width="8.67" customWidth="1" style="1236" min="12432" max="12432"/>
    <col width="3.45" customWidth="1" style="1236" min="12433" max="12433"/>
    <col width="3" customWidth="1" style="1236" min="12434" max="12434"/>
    <col width="4.33" customWidth="1" style="1236" min="12435" max="12435"/>
    <col width="5.56" customWidth="1" style="1236" min="12436" max="12436"/>
    <col width="4.67" customWidth="1" style="1236" min="12437" max="12437"/>
    <col width="15.45" customWidth="1" style="1236" min="12438" max="12438"/>
    <col width="9.109999999999999" customWidth="1" style="1236" min="12439" max="12442"/>
    <col width="10.44" customWidth="1" style="1236" min="12443" max="12443"/>
    <col width="18" customWidth="1" style="1236" min="12444" max="12444"/>
    <col width="9.109999999999999" customWidth="1" style="1236" min="12445" max="12675"/>
    <col width="7.33" customWidth="1" style="1236" min="12676" max="12676"/>
    <col width="5" customWidth="1" style="1236" min="12677" max="12677"/>
    <col width="5.44" customWidth="1" style="1236" min="12678" max="12678"/>
    <col width="9.66" customWidth="1" style="1236" min="12679" max="12679"/>
    <col width="5.44" customWidth="1" style="1236" min="12680" max="12680"/>
    <col width="2" customWidth="1" style="1236" min="12681" max="12681"/>
    <col width="7.55" customWidth="1" style="1236" min="12682" max="12682"/>
    <col width="8.67" customWidth="1" style="1236" min="12683" max="12683"/>
    <col width="4.67" customWidth="1" style="1236" min="12684" max="12684"/>
    <col width="8.67" customWidth="1" style="1236" min="12685" max="12685"/>
    <col width="6" customWidth="1" style="1236" min="12686" max="12686"/>
    <col width="6.34" customWidth="1" style="1236" min="12687" max="12687"/>
    <col width="8.67" customWidth="1" style="1236" min="12688" max="12688"/>
    <col width="3.45" customWidth="1" style="1236" min="12689" max="12689"/>
    <col width="3" customWidth="1" style="1236" min="12690" max="12690"/>
    <col width="4.33" customWidth="1" style="1236" min="12691" max="12691"/>
    <col width="5.56" customWidth="1" style="1236" min="12692" max="12692"/>
    <col width="4.67" customWidth="1" style="1236" min="12693" max="12693"/>
    <col width="15.45" customWidth="1" style="1236" min="12694" max="12694"/>
    <col width="9.109999999999999" customWidth="1" style="1236" min="12695" max="12698"/>
    <col width="10.44" customWidth="1" style="1236" min="12699" max="12699"/>
    <col width="18" customWidth="1" style="1236" min="12700" max="12700"/>
    <col width="9.109999999999999" customWidth="1" style="1236" min="12701" max="12931"/>
    <col width="7.33" customWidth="1" style="1236" min="12932" max="12932"/>
    <col width="5" customWidth="1" style="1236" min="12933" max="12933"/>
    <col width="5.44" customWidth="1" style="1236" min="12934" max="12934"/>
    <col width="9.66" customWidth="1" style="1236" min="12935" max="12935"/>
    <col width="5.44" customWidth="1" style="1236" min="12936" max="12936"/>
    <col width="2" customWidth="1" style="1236" min="12937" max="12937"/>
    <col width="7.55" customWidth="1" style="1236" min="12938" max="12938"/>
    <col width="8.67" customWidth="1" style="1236" min="12939" max="12939"/>
    <col width="4.67" customWidth="1" style="1236" min="12940" max="12940"/>
    <col width="8.67" customWidth="1" style="1236" min="12941" max="12941"/>
    <col width="6" customWidth="1" style="1236" min="12942" max="12942"/>
    <col width="6.34" customWidth="1" style="1236" min="12943" max="12943"/>
    <col width="8.67" customWidth="1" style="1236" min="12944" max="12944"/>
    <col width="3.45" customWidth="1" style="1236" min="12945" max="12945"/>
    <col width="3" customWidth="1" style="1236" min="12946" max="12946"/>
    <col width="4.33" customWidth="1" style="1236" min="12947" max="12947"/>
    <col width="5.56" customWidth="1" style="1236" min="12948" max="12948"/>
    <col width="4.67" customWidth="1" style="1236" min="12949" max="12949"/>
    <col width="15.45" customWidth="1" style="1236" min="12950" max="12950"/>
    <col width="9.109999999999999" customWidth="1" style="1236" min="12951" max="12954"/>
    <col width="10.44" customWidth="1" style="1236" min="12955" max="12955"/>
    <col width="18" customWidth="1" style="1236" min="12956" max="12956"/>
    <col width="9.109999999999999" customWidth="1" style="1236" min="12957" max="13187"/>
    <col width="7.33" customWidth="1" style="1236" min="13188" max="13188"/>
    <col width="5" customWidth="1" style="1236" min="13189" max="13189"/>
    <col width="5.44" customWidth="1" style="1236" min="13190" max="13190"/>
    <col width="9.66" customWidth="1" style="1236" min="13191" max="13191"/>
    <col width="5.44" customWidth="1" style="1236" min="13192" max="13192"/>
    <col width="2" customWidth="1" style="1236" min="13193" max="13193"/>
    <col width="7.55" customWidth="1" style="1236" min="13194" max="13194"/>
    <col width="8.67" customWidth="1" style="1236" min="13195" max="13195"/>
    <col width="4.67" customWidth="1" style="1236" min="13196" max="13196"/>
    <col width="8.67" customWidth="1" style="1236" min="13197" max="13197"/>
    <col width="6" customWidth="1" style="1236" min="13198" max="13198"/>
    <col width="6.34" customWidth="1" style="1236" min="13199" max="13199"/>
    <col width="8.67" customWidth="1" style="1236" min="13200" max="13200"/>
    <col width="3.45" customWidth="1" style="1236" min="13201" max="13201"/>
    <col width="3" customWidth="1" style="1236" min="13202" max="13202"/>
    <col width="4.33" customWidth="1" style="1236" min="13203" max="13203"/>
    <col width="5.56" customWidth="1" style="1236" min="13204" max="13204"/>
    <col width="4.67" customWidth="1" style="1236" min="13205" max="13205"/>
    <col width="15.45" customWidth="1" style="1236" min="13206" max="13206"/>
    <col width="9.109999999999999" customWidth="1" style="1236" min="13207" max="13210"/>
    <col width="10.44" customWidth="1" style="1236" min="13211" max="13211"/>
    <col width="18" customWidth="1" style="1236" min="13212" max="13212"/>
    <col width="9.109999999999999" customWidth="1" style="1236" min="13213" max="13443"/>
    <col width="7.33" customWidth="1" style="1236" min="13444" max="13444"/>
    <col width="5" customWidth="1" style="1236" min="13445" max="13445"/>
    <col width="5.44" customWidth="1" style="1236" min="13446" max="13446"/>
    <col width="9.66" customWidth="1" style="1236" min="13447" max="13447"/>
    <col width="5.44" customWidth="1" style="1236" min="13448" max="13448"/>
    <col width="2" customWidth="1" style="1236" min="13449" max="13449"/>
    <col width="7.55" customWidth="1" style="1236" min="13450" max="13450"/>
    <col width="8.67" customWidth="1" style="1236" min="13451" max="13451"/>
    <col width="4.67" customWidth="1" style="1236" min="13452" max="13452"/>
    <col width="8.67" customWidth="1" style="1236" min="13453" max="13453"/>
    <col width="6" customWidth="1" style="1236" min="13454" max="13454"/>
    <col width="6.34" customWidth="1" style="1236" min="13455" max="13455"/>
    <col width="8.67" customWidth="1" style="1236" min="13456" max="13456"/>
    <col width="3.45" customWidth="1" style="1236" min="13457" max="13457"/>
    <col width="3" customWidth="1" style="1236" min="13458" max="13458"/>
    <col width="4.33" customWidth="1" style="1236" min="13459" max="13459"/>
    <col width="5.56" customWidth="1" style="1236" min="13460" max="13460"/>
    <col width="4.67" customWidth="1" style="1236" min="13461" max="13461"/>
    <col width="15.45" customWidth="1" style="1236" min="13462" max="13462"/>
    <col width="9.109999999999999" customWidth="1" style="1236" min="13463" max="13466"/>
    <col width="10.44" customWidth="1" style="1236" min="13467" max="13467"/>
    <col width="18" customWidth="1" style="1236" min="13468" max="13468"/>
    <col width="9.109999999999999" customWidth="1" style="1236" min="13469" max="13699"/>
    <col width="7.33" customWidth="1" style="1236" min="13700" max="13700"/>
    <col width="5" customWidth="1" style="1236" min="13701" max="13701"/>
    <col width="5.44" customWidth="1" style="1236" min="13702" max="13702"/>
    <col width="9.66" customWidth="1" style="1236" min="13703" max="13703"/>
    <col width="5.44" customWidth="1" style="1236" min="13704" max="13704"/>
    <col width="2" customWidth="1" style="1236" min="13705" max="13705"/>
    <col width="7.55" customWidth="1" style="1236" min="13706" max="13706"/>
    <col width="8.67" customWidth="1" style="1236" min="13707" max="13707"/>
    <col width="4.67" customWidth="1" style="1236" min="13708" max="13708"/>
    <col width="8.67" customWidth="1" style="1236" min="13709" max="13709"/>
    <col width="6" customWidth="1" style="1236" min="13710" max="13710"/>
    <col width="6.34" customWidth="1" style="1236" min="13711" max="13711"/>
    <col width="8.67" customWidth="1" style="1236" min="13712" max="13712"/>
    <col width="3.45" customWidth="1" style="1236" min="13713" max="13713"/>
    <col width="3" customWidth="1" style="1236" min="13714" max="13714"/>
    <col width="4.33" customWidth="1" style="1236" min="13715" max="13715"/>
    <col width="5.56" customWidth="1" style="1236" min="13716" max="13716"/>
    <col width="4.67" customWidth="1" style="1236" min="13717" max="13717"/>
    <col width="15.45" customWidth="1" style="1236" min="13718" max="13718"/>
    <col width="9.109999999999999" customWidth="1" style="1236" min="13719" max="13722"/>
    <col width="10.44" customWidth="1" style="1236" min="13723" max="13723"/>
    <col width="18" customWidth="1" style="1236" min="13724" max="13724"/>
    <col width="9.109999999999999" customWidth="1" style="1236" min="13725" max="13955"/>
    <col width="7.33" customWidth="1" style="1236" min="13956" max="13956"/>
    <col width="5" customWidth="1" style="1236" min="13957" max="13957"/>
    <col width="5.44" customWidth="1" style="1236" min="13958" max="13958"/>
    <col width="9.66" customWidth="1" style="1236" min="13959" max="13959"/>
    <col width="5.44" customWidth="1" style="1236" min="13960" max="13960"/>
    <col width="2" customWidth="1" style="1236" min="13961" max="13961"/>
    <col width="7.55" customWidth="1" style="1236" min="13962" max="13962"/>
    <col width="8.67" customWidth="1" style="1236" min="13963" max="13963"/>
    <col width="4.67" customWidth="1" style="1236" min="13964" max="13964"/>
    <col width="8.67" customWidth="1" style="1236" min="13965" max="13965"/>
    <col width="6" customWidth="1" style="1236" min="13966" max="13966"/>
    <col width="6.34" customWidth="1" style="1236" min="13967" max="13967"/>
    <col width="8.67" customWidth="1" style="1236" min="13968" max="13968"/>
    <col width="3.45" customWidth="1" style="1236" min="13969" max="13969"/>
    <col width="3" customWidth="1" style="1236" min="13970" max="13970"/>
    <col width="4.33" customWidth="1" style="1236" min="13971" max="13971"/>
    <col width="5.56" customWidth="1" style="1236" min="13972" max="13972"/>
    <col width="4.67" customWidth="1" style="1236" min="13973" max="13973"/>
    <col width="15.45" customWidth="1" style="1236" min="13974" max="13974"/>
    <col width="9.109999999999999" customWidth="1" style="1236" min="13975" max="13978"/>
    <col width="10.44" customWidth="1" style="1236" min="13979" max="13979"/>
    <col width="18" customWidth="1" style="1236" min="13980" max="13980"/>
    <col width="9.109999999999999" customWidth="1" style="1236" min="13981" max="14211"/>
    <col width="7.33" customWidth="1" style="1236" min="14212" max="14212"/>
    <col width="5" customWidth="1" style="1236" min="14213" max="14213"/>
    <col width="5.44" customWidth="1" style="1236" min="14214" max="14214"/>
    <col width="9.66" customWidth="1" style="1236" min="14215" max="14215"/>
    <col width="5.44" customWidth="1" style="1236" min="14216" max="14216"/>
    <col width="2" customWidth="1" style="1236" min="14217" max="14217"/>
    <col width="7.55" customWidth="1" style="1236" min="14218" max="14218"/>
    <col width="8.67" customWidth="1" style="1236" min="14219" max="14219"/>
    <col width="4.67" customWidth="1" style="1236" min="14220" max="14220"/>
    <col width="8.67" customWidth="1" style="1236" min="14221" max="14221"/>
    <col width="6" customWidth="1" style="1236" min="14222" max="14222"/>
    <col width="6.34" customWidth="1" style="1236" min="14223" max="14223"/>
    <col width="8.67" customWidth="1" style="1236" min="14224" max="14224"/>
    <col width="3.45" customWidth="1" style="1236" min="14225" max="14225"/>
    <col width="3" customWidth="1" style="1236" min="14226" max="14226"/>
    <col width="4.33" customWidth="1" style="1236" min="14227" max="14227"/>
    <col width="5.56" customWidth="1" style="1236" min="14228" max="14228"/>
    <col width="4.67" customWidth="1" style="1236" min="14229" max="14229"/>
    <col width="15.45" customWidth="1" style="1236" min="14230" max="14230"/>
    <col width="9.109999999999999" customWidth="1" style="1236" min="14231" max="14234"/>
    <col width="10.44" customWidth="1" style="1236" min="14235" max="14235"/>
    <col width="18" customWidth="1" style="1236" min="14236" max="14236"/>
    <col width="9.109999999999999" customWidth="1" style="1236" min="14237" max="14467"/>
    <col width="7.33" customWidth="1" style="1236" min="14468" max="14468"/>
    <col width="5" customWidth="1" style="1236" min="14469" max="14469"/>
    <col width="5.44" customWidth="1" style="1236" min="14470" max="14470"/>
    <col width="9.66" customWidth="1" style="1236" min="14471" max="14471"/>
    <col width="5.44" customWidth="1" style="1236" min="14472" max="14472"/>
    <col width="2" customWidth="1" style="1236" min="14473" max="14473"/>
    <col width="7.55" customWidth="1" style="1236" min="14474" max="14474"/>
    <col width="8.67" customWidth="1" style="1236" min="14475" max="14475"/>
    <col width="4.67" customWidth="1" style="1236" min="14476" max="14476"/>
    <col width="8.67" customWidth="1" style="1236" min="14477" max="14477"/>
    <col width="6" customWidth="1" style="1236" min="14478" max="14478"/>
    <col width="6.34" customWidth="1" style="1236" min="14479" max="14479"/>
    <col width="8.67" customWidth="1" style="1236" min="14480" max="14480"/>
    <col width="3.45" customWidth="1" style="1236" min="14481" max="14481"/>
    <col width="3" customWidth="1" style="1236" min="14482" max="14482"/>
    <col width="4.33" customWidth="1" style="1236" min="14483" max="14483"/>
    <col width="5.56" customWidth="1" style="1236" min="14484" max="14484"/>
    <col width="4.67" customWidth="1" style="1236" min="14485" max="14485"/>
    <col width="15.45" customWidth="1" style="1236" min="14486" max="14486"/>
    <col width="9.109999999999999" customWidth="1" style="1236" min="14487" max="14490"/>
    <col width="10.44" customWidth="1" style="1236" min="14491" max="14491"/>
    <col width="18" customWidth="1" style="1236" min="14492" max="14492"/>
    <col width="9.109999999999999" customWidth="1" style="1236" min="14493" max="14723"/>
    <col width="7.33" customWidth="1" style="1236" min="14724" max="14724"/>
    <col width="5" customWidth="1" style="1236" min="14725" max="14725"/>
    <col width="5.44" customWidth="1" style="1236" min="14726" max="14726"/>
    <col width="9.66" customWidth="1" style="1236" min="14727" max="14727"/>
    <col width="5.44" customWidth="1" style="1236" min="14728" max="14728"/>
    <col width="2" customWidth="1" style="1236" min="14729" max="14729"/>
    <col width="7.55" customWidth="1" style="1236" min="14730" max="14730"/>
    <col width="8.67" customWidth="1" style="1236" min="14731" max="14731"/>
    <col width="4.67" customWidth="1" style="1236" min="14732" max="14732"/>
    <col width="8.67" customWidth="1" style="1236" min="14733" max="14733"/>
    <col width="6" customWidth="1" style="1236" min="14734" max="14734"/>
    <col width="6.34" customWidth="1" style="1236" min="14735" max="14735"/>
    <col width="8.67" customWidth="1" style="1236" min="14736" max="14736"/>
    <col width="3.45" customWidth="1" style="1236" min="14737" max="14737"/>
    <col width="3" customWidth="1" style="1236" min="14738" max="14738"/>
    <col width="4.33" customWidth="1" style="1236" min="14739" max="14739"/>
    <col width="5.56" customWidth="1" style="1236" min="14740" max="14740"/>
    <col width="4.67" customWidth="1" style="1236" min="14741" max="14741"/>
    <col width="15.45" customWidth="1" style="1236" min="14742" max="14742"/>
    <col width="9.109999999999999" customWidth="1" style="1236" min="14743" max="14746"/>
    <col width="10.44" customWidth="1" style="1236" min="14747" max="14747"/>
    <col width="18" customWidth="1" style="1236" min="14748" max="14748"/>
    <col width="9.109999999999999" customWidth="1" style="1236" min="14749" max="14979"/>
    <col width="7.33" customWidth="1" style="1236" min="14980" max="14980"/>
    <col width="5" customWidth="1" style="1236" min="14981" max="14981"/>
    <col width="5.44" customWidth="1" style="1236" min="14982" max="14982"/>
    <col width="9.66" customWidth="1" style="1236" min="14983" max="14983"/>
    <col width="5.44" customWidth="1" style="1236" min="14984" max="14984"/>
    <col width="2" customWidth="1" style="1236" min="14985" max="14985"/>
    <col width="7.55" customWidth="1" style="1236" min="14986" max="14986"/>
    <col width="8.67" customWidth="1" style="1236" min="14987" max="14987"/>
    <col width="4.67" customWidth="1" style="1236" min="14988" max="14988"/>
    <col width="8.67" customWidth="1" style="1236" min="14989" max="14989"/>
    <col width="6" customWidth="1" style="1236" min="14990" max="14990"/>
    <col width="6.34" customWidth="1" style="1236" min="14991" max="14991"/>
    <col width="8.67" customWidth="1" style="1236" min="14992" max="14992"/>
    <col width="3.45" customWidth="1" style="1236" min="14993" max="14993"/>
    <col width="3" customWidth="1" style="1236" min="14994" max="14994"/>
    <col width="4.33" customWidth="1" style="1236" min="14995" max="14995"/>
    <col width="5.56" customWidth="1" style="1236" min="14996" max="14996"/>
    <col width="4.67" customWidth="1" style="1236" min="14997" max="14997"/>
    <col width="15.45" customWidth="1" style="1236" min="14998" max="14998"/>
    <col width="9.109999999999999" customWidth="1" style="1236" min="14999" max="15002"/>
    <col width="10.44" customWidth="1" style="1236" min="15003" max="15003"/>
    <col width="18" customWidth="1" style="1236" min="15004" max="15004"/>
    <col width="9.109999999999999" customWidth="1" style="1236" min="15005" max="15235"/>
    <col width="7.33" customWidth="1" style="1236" min="15236" max="15236"/>
    <col width="5" customWidth="1" style="1236" min="15237" max="15237"/>
    <col width="5.44" customWidth="1" style="1236" min="15238" max="15238"/>
    <col width="9.66" customWidth="1" style="1236" min="15239" max="15239"/>
    <col width="5.44" customWidth="1" style="1236" min="15240" max="15240"/>
    <col width="2" customWidth="1" style="1236" min="15241" max="15241"/>
    <col width="7.55" customWidth="1" style="1236" min="15242" max="15242"/>
    <col width="8.67" customWidth="1" style="1236" min="15243" max="15243"/>
    <col width="4.67" customWidth="1" style="1236" min="15244" max="15244"/>
    <col width="8.67" customWidth="1" style="1236" min="15245" max="15245"/>
    <col width="6" customWidth="1" style="1236" min="15246" max="15246"/>
    <col width="6.34" customWidth="1" style="1236" min="15247" max="15247"/>
    <col width="8.67" customWidth="1" style="1236" min="15248" max="15248"/>
    <col width="3.45" customWidth="1" style="1236" min="15249" max="15249"/>
    <col width="3" customWidth="1" style="1236" min="15250" max="15250"/>
    <col width="4.33" customWidth="1" style="1236" min="15251" max="15251"/>
    <col width="5.56" customWidth="1" style="1236" min="15252" max="15252"/>
    <col width="4.67" customWidth="1" style="1236" min="15253" max="15253"/>
    <col width="15.45" customWidth="1" style="1236" min="15254" max="15254"/>
    <col width="9.109999999999999" customWidth="1" style="1236" min="15255" max="15258"/>
    <col width="10.44" customWidth="1" style="1236" min="15259" max="15259"/>
    <col width="18" customWidth="1" style="1236" min="15260" max="15260"/>
    <col width="9.109999999999999" customWidth="1" style="1236" min="15261" max="15491"/>
    <col width="7.33" customWidth="1" style="1236" min="15492" max="15492"/>
    <col width="5" customWidth="1" style="1236" min="15493" max="15493"/>
    <col width="5.44" customWidth="1" style="1236" min="15494" max="15494"/>
    <col width="9.66" customWidth="1" style="1236" min="15495" max="15495"/>
    <col width="5.44" customWidth="1" style="1236" min="15496" max="15496"/>
    <col width="2" customWidth="1" style="1236" min="15497" max="15497"/>
    <col width="7.55" customWidth="1" style="1236" min="15498" max="15498"/>
    <col width="8.67" customWidth="1" style="1236" min="15499" max="15499"/>
    <col width="4.67" customWidth="1" style="1236" min="15500" max="15500"/>
    <col width="8.67" customWidth="1" style="1236" min="15501" max="15501"/>
    <col width="6" customWidth="1" style="1236" min="15502" max="15502"/>
    <col width="6.34" customWidth="1" style="1236" min="15503" max="15503"/>
    <col width="8.67" customWidth="1" style="1236" min="15504" max="15504"/>
    <col width="3.45" customWidth="1" style="1236" min="15505" max="15505"/>
    <col width="3" customWidth="1" style="1236" min="15506" max="15506"/>
    <col width="4.33" customWidth="1" style="1236" min="15507" max="15507"/>
    <col width="5.56" customWidth="1" style="1236" min="15508" max="15508"/>
    <col width="4.67" customWidth="1" style="1236" min="15509" max="15509"/>
    <col width="15.45" customWidth="1" style="1236" min="15510" max="15510"/>
    <col width="9.109999999999999" customWidth="1" style="1236" min="15511" max="15514"/>
    <col width="10.44" customWidth="1" style="1236" min="15515" max="15515"/>
    <col width="18" customWidth="1" style="1236" min="15516" max="15516"/>
    <col width="9.109999999999999" customWidth="1" style="1236" min="15517" max="15747"/>
    <col width="7.33" customWidth="1" style="1236" min="15748" max="15748"/>
    <col width="5" customWidth="1" style="1236" min="15749" max="15749"/>
    <col width="5.44" customWidth="1" style="1236" min="15750" max="15750"/>
    <col width="9.66" customWidth="1" style="1236" min="15751" max="15751"/>
    <col width="5.44" customWidth="1" style="1236" min="15752" max="15752"/>
    <col width="2" customWidth="1" style="1236" min="15753" max="15753"/>
    <col width="7.55" customWidth="1" style="1236" min="15754" max="15754"/>
    <col width="8.67" customWidth="1" style="1236" min="15755" max="15755"/>
    <col width="4.67" customWidth="1" style="1236" min="15756" max="15756"/>
    <col width="8.67" customWidth="1" style="1236" min="15757" max="15757"/>
    <col width="6" customWidth="1" style="1236" min="15758" max="15758"/>
    <col width="6.34" customWidth="1" style="1236" min="15759" max="15759"/>
    <col width="8.67" customWidth="1" style="1236" min="15760" max="15760"/>
    <col width="3.45" customWidth="1" style="1236" min="15761" max="15761"/>
    <col width="3" customWidth="1" style="1236" min="15762" max="15762"/>
    <col width="4.33" customWidth="1" style="1236" min="15763" max="15763"/>
    <col width="5.56" customWidth="1" style="1236" min="15764" max="15764"/>
    <col width="4.67" customWidth="1" style="1236" min="15765" max="15765"/>
    <col width="15.45" customWidth="1" style="1236" min="15766" max="15766"/>
    <col width="9.109999999999999" customWidth="1" style="1236" min="15767" max="15770"/>
    <col width="10.44" customWidth="1" style="1236" min="15771" max="15771"/>
    <col width="18" customWidth="1" style="1236" min="15772" max="15772"/>
    <col width="9.109999999999999" customWidth="1" style="1236" min="15773" max="16384"/>
  </cols>
  <sheetData>
    <row r="1" ht="55.5" customFormat="1" customHeight="1" s="1237">
      <c r="A1" s="1238" t="n"/>
      <c r="B1" s="1239" t="n"/>
      <c r="C1" s="1166" t="n"/>
      <c r="D1" s="1240" t="inlineStr">
        <is>
          <t>Job Sequence of Events</t>
        </is>
      </c>
      <c r="E1" s="1239" t="n"/>
      <c r="F1" s="1239" t="n"/>
      <c r="G1" s="1239" t="n"/>
      <c r="H1" s="1239" t="n"/>
      <c r="I1" s="1239" t="n"/>
      <c r="J1" s="1239" t="n"/>
      <c r="K1" s="1239" t="n"/>
      <c r="L1" s="1239" t="n"/>
      <c r="M1" s="1239" t="n"/>
      <c r="N1" s="1239" t="n"/>
      <c r="O1" s="1239" t="n"/>
      <c r="P1" s="1239" t="n"/>
      <c r="Q1" s="1239" t="n"/>
      <c r="R1" s="1166" t="n"/>
      <c r="S1" s="1241" t="n"/>
    </row>
    <row r="2" ht="22.35" customFormat="1" customHeight="1" s="1237">
      <c r="A2" s="1242" t="inlineStr">
        <is>
          <t>DOCUMENT NUMBER</t>
        </is>
      </c>
      <c r="B2" s="1171" t="n"/>
      <c r="C2" s="1168" t="n"/>
      <c r="D2" s="1243" t="inlineStr">
        <is>
          <t>CLASSIFICATION</t>
        </is>
      </c>
      <c r="E2" s="1168" t="n"/>
      <c r="F2" s="1243" t="inlineStr">
        <is>
          <t>DOCUMENT LEVEL</t>
        </is>
      </c>
      <c r="G2" s="1171" t="n"/>
      <c r="H2" s="1168" t="n"/>
      <c r="I2" s="1243" t="inlineStr">
        <is>
          <t>REVISION NUMBER</t>
        </is>
      </c>
      <c r="J2" s="1171" t="n"/>
      <c r="K2" s="1168" t="n"/>
      <c r="L2" s="1243" t="inlineStr">
        <is>
          <t>ISSUE DATE</t>
        </is>
      </c>
      <c r="M2" s="1171" t="n"/>
      <c r="N2" s="1168" t="n"/>
      <c r="O2" s="1243" t="inlineStr">
        <is>
          <t>PREPARED BY</t>
        </is>
      </c>
      <c r="P2" s="1171" t="n"/>
      <c r="Q2" s="1171" t="n"/>
      <c r="R2" s="1168" t="n"/>
      <c r="S2" s="1244" t="inlineStr">
        <is>
          <t>APPROVAL</t>
        </is>
      </c>
    </row>
    <row r="3" ht="23.25" customFormat="1" customHeight="1" s="1237">
      <c r="A3" s="1245" t="inlineStr">
        <is>
          <t>GL-COMP-OEPS-L4-15.07</t>
        </is>
      </c>
      <c r="B3" s="1246" t="n"/>
      <c r="C3" s="1247" t="n"/>
      <c r="D3" s="1248" t="inlineStr">
        <is>
          <t>CONTROLLED</t>
        </is>
      </c>
      <c r="E3" s="1249" t="n"/>
      <c r="F3" s="1248" t="inlineStr">
        <is>
          <t>L5</t>
        </is>
      </c>
      <c r="G3" s="1250" t="n"/>
      <c r="H3" s="1249" t="n"/>
      <c r="I3" s="1248" t="n">
        <v>1</v>
      </c>
      <c r="J3" s="1250" t="n"/>
      <c r="K3" s="1249" t="n"/>
      <c r="L3" s="1251" t="n">
        <v>43116</v>
      </c>
      <c r="M3" s="1250" t="n"/>
      <c r="N3" s="1249" t="n"/>
      <c r="O3" s="1248" t="inlineStr">
        <is>
          <t>WCT TECHNICAL DOCUMENTATION GROUP</t>
        </is>
      </c>
      <c r="P3" s="1250" t="n"/>
      <c r="Q3" s="1250" t="n"/>
      <c r="R3" s="1249" t="n"/>
      <c r="S3" s="1252" t="inlineStr">
        <is>
          <t>WCT TWIC</t>
        </is>
      </c>
    </row>
    <row r="4" ht="12" customFormat="1" customHeight="1" s="1237">
      <c r="A4" s="1253" t="n"/>
      <c r="B4" s="1171" t="n"/>
      <c r="C4" s="1171" t="n"/>
      <c r="D4" s="1171" t="n"/>
      <c r="E4" s="1171" t="n"/>
      <c r="F4" s="1171" t="n"/>
      <c r="G4" s="1171" t="n"/>
      <c r="H4" s="1171" t="n"/>
      <c r="I4" s="1171" t="n"/>
      <c r="J4" s="1171" t="n"/>
      <c r="K4" s="1171" t="n"/>
      <c r="L4" s="1171" t="n"/>
      <c r="M4" s="1171" t="n"/>
      <c r="N4" s="1171" t="n"/>
      <c r="O4" s="1171" t="n"/>
      <c r="P4" s="1171" t="n"/>
      <c r="Q4" s="1171" t="n"/>
      <c r="R4" s="1171" t="n"/>
      <c r="S4" s="1172" t="n"/>
    </row>
    <row r="5" ht="21" customFormat="1" customHeight="1" s="1254">
      <c r="A5" s="1255" t="inlineStr">
        <is>
          <t xml:space="preserve">Job No.: </t>
        </is>
      </c>
      <c r="B5" s="1193" t="n"/>
      <c r="C5" s="1194" t="n"/>
      <c r="D5" s="1256">
        <f>'Master Data'!B11</f>
        <v/>
      </c>
      <c r="E5" s="1193" t="n"/>
      <c r="F5" s="1193" t="n"/>
      <c r="G5" s="1194" t="n"/>
      <c r="H5" s="1257" t="inlineStr">
        <is>
          <t>Well Name:</t>
        </is>
      </c>
      <c r="I5" s="1193" t="n"/>
      <c r="J5" s="1194" t="n"/>
      <c r="K5" s="1256">
        <f>'Master Data'!$E$10</f>
        <v/>
      </c>
      <c r="L5" s="1193" t="n"/>
      <c r="M5" s="1194" t="n"/>
      <c r="N5" s="1257" t="inlineStr">
        <is>
          <t>Rig:</t>
        </is>
      </c>
      <c r="O5" s="1193" t="n"/>
      <c r="P5" s="1193" t="n"/>
      <c r="Q5" s="1194" t="n"/>
      <c r="R5" s="1258" t="inlineStr">
        <is>
          <t>MEHZEM</t>
        </is>
      </c>
      <c r="S5" s="1259" t="n"/>
    </row>
    <row r="6" ht="33.75" customFormat="1" customHeight="1" s="1237">
      <c r="A6" s="1260" t="inlineStr">
        <is>
          <t>Client Ref.:</t>
        </is>
      </c>
      <c r="B6" s="1171" t="n"/>
      <c r="C6" s="1168" t="n"/>
      <c r="D6" s="1261" t="n"/>
      <c r="E6" s="1171" t="n"/>
      <c r="F6" s="1171" t="n"/>
      <c r="G6" s="1168" t="n"/>
      <c r="H6" s="1262" t="inlineStr">
        <is>
          <t>Start Date:</t>
        </is>
      </c>
      <c r="I6" s="1171" t="n"/>
      <c r="J6" s="1168" t="n"/>
      <c r="K6" s="1263">
        <f>'Master Data'!E12</f>
        <v/>
      </c>
      <c r="L6" s="1171" t="n"/>
      <c r="M6" s="1168" t="n"/>
      <c r="N6" s="1262" t="inlineStr">
        <is>
          <t>Job Type:</t>
        </is>
      </c>
      <c r="O6" s="1171" t="n"/>
      <c r="P6" s="1171" t="n"/>
      <c r="Q6" s="1168" t="n"/>
      <c r="R6" s="1264">
        <f>'Master Data'!E3</f>
        <v/>
      </c>
      <c r="S6" s="1172" t="n"/>
    </row>
    <row r="7" ht="21" customFormat="1" customHeight="1" s="1237">
      <c r="A7" s="1260" t="inlineStr">
        <is>
          <t>Client:</t>
        </is>
      </c>
      <c r="B7" s="1171" t="n"/>
      <c r="C7" s="1168" t="n"/>
      <c r="D7" s="1243">
        <f>'Master Data'!B3</f>
        <v/>
      </c>
      <c r="E7" s="1171" t="n"/>
      <c r="F7" s="1171" t="n"/>
      <c r="G7" s="1168" t="n"/>
      <c r="H7" s="1262" t="inlineStr">
        <is>
          <t>End Date:</t>
        </is>
      </c>
      <c r="I7" s="1171" t="n"/>
      <c r="J7" s="1168" t="n"/>
      <c r="K7" s="1265">
        <f>'Master Data'!E15</f>
        <v/>
      </c>
      <c r="L7" s="1171" t="n"/>
      <c r="M7" s="1168" t="n"/>
      <c r="N7" s="1262" t="inlineStr">
        <is>
          <t>WCT Rep:</t>
        </is>
      </c>
      <c r="O7" s="1171" t="n"/>
      <c r="P7" s="1171" t="n"/>
      <c r="Q7" s="1168" t="n"/>
      <c r="R7" s="1264">
        <f>'Master Data'!B21</f>
        <v/>
      </c>
      <c r="S7" s="1172" t="n"/>
    </row>
    <row r="8" ht="26.25" customFormat="1" customHeight="1" s="1237">
      <c r="A8" s="1266" t="inlineStr">
        <is>
          <t>Total Time:</t>
        </is>
      </c>
      <c r="B8" s="1188" t="n"/>
      <c r="C8" s="1184" t="n"/>
      <c r="D8" s="1267">
        <f>'Master Data'!E16</f>
        <v/>
      </c>
      <c r="E8" s="1268" t="inlineStr">
        <is>
          <t>Work Time:</t>
        </is>
      </c>
      <c r="F8" s="1188" t="n"/>
      <c r="G8" s="1184" t="n"/>
      <c r="H8" s="1269">
        <f>'Master Data'!E17</f>
        <v/>
      </c>
      <c r="I8" s="1268" t="inlineStr">
        <is>
          <t>Lost Time:</t>
        </is>
      </c>
      <c r="J8" s="1184" t="n"/>
      <c r="K8" s="1269">
        <f>'Master Data'!E18</f>
        <v/>
      </c>
      <c r="L8" s="1184" t="n"/>
      <c r="M8" s="1268" t="inlineStr">
        <is>
          <t>Runs:</t>
        </is>
      </c>
      <c r="N8" s="1184" t="n"/>
      <c r="O8" s="1269">
        <f>'Master Data'!E19</f>
        <v/>
      </c>
      <c r="P8" s="1184" t="n"/>
      <c r="Q8" s="1268" t="inlineStr">
        <is>
          <t>Miss Runs:</t>
        </is>
      </c>
      <c r="R8" s="1184" t="n"/>
      <c r="S8" s="1270">
        <f>'Master Data'!E20</f>
        <v/>
      </c>
    </row>
    <row r="9" ht="12" customFormat="1" customHeight="1" s="1237">
      <c r="A9" s="1271" t="n"/>
      <c r="S9" s="1272" t="n"/>
    </row>
    <row r="10" ht="12" customFormat="1" customHeight="1" s="1237">
      <c r="A10" s="1273" t="inlineStr">
        <is>
          <t>Date</t>
        </is>
      </c>
      <c r="B10" s="1171" t="n"/>
      <c r="C10" s="1168" t="n"/>
      <c r="D10" s="1274" t="inlineStr">
        <is>
          <t>Time</t>
        </is>
      </c>
      <c r="E10" s="1275" t="inlineStr">
        <is>
          <t>Event</t>
        </is>
      </c>
      <c r="F10" s="1171" t="n"/>
      <c r="G10" s="1171" t="n"/>
      <c r="H10" s="1171" t="n"/>
      <c r="I10" s="1171" t="n"/>
      <c r="J10" s="1171" t="n"/>
      <c r="K10" s="1171" t="n"/>
      <c r="L10" s="1171" t="n"/>
      <c r="M10" s="1171" t="n"/>
      <c r="N10" s="1171" t="n"/>
      <c r="O10" s="1171" t="n"/>
      <c r="P10" s="1171" t="n"/>
      <c r="Q10" s="1171" t="n"/>
      <c r="R10" s="1171" t="n"/>
      <c r="S10" s="1172" t="n"/>
    </row>
    <row r="11" ht="50.25" customHeight="1" s="1158">
      <c r="A11" s="1276" t="n">
        <v>46203</v>
      </c>
      <c r="B11" s="1277" t="n"/>
      <c r="C11" s="1278" t="n"/>
      <c r="D11" s="1279" t="inlineStr">
        <is>
          <t>9:45</t>
        </is>
      </c>
      <c r="E11" s="1280" t="inlineStr">
        <is>
          <t>Closed UMV &amp; Flushed CT reel w/sea water and get return to burner boom.
* Discuss with town the way forward.
* Closed Swab Valve &amp; opened UMV, Monitored well head pressures on Manssori well test.</t>
        </is>
      </c>
      <c r="F11" s="1277" t="n"/>
      <c r="G11" s="1277" t="n"/>
      <c r="H11" s="1277" t="n"/>
      <c r="I11" s="1277" t="n"/>
      <c r="J11" s="1277" t="n"/>
      <c r="K11" s="1277" t="n"/>
      <c r="L11" s="1277" t="n"/>
      <c r="M11" s="1277" t="n"/>
      <c r="N11" s="1277" t="n"/>
      <c r="O11" s="1277" t="n"/>
      <c r="P11" s="1277" t="n"/>
      <c r="Q11" s="1277" t="n"/>
      <c r="R11" s="1277" t="n"/>
      <c r="S11" s="1281" t="n"/>
    </row>
    <row r="12" ht="50.25" customHeight="1" s="1158">
      <c r="A12" s="1282" t="n"/>
      <c r="B12" s="1277" t="n"/>
      <c r="C12" s="1278" t="n"/>
      <c r="D12" s="1279" t="inlineStr">
        <is>
          <t>12:00</t>
        </is>
      </c>
      <c r="E12" s="1280" t="inlineStr">
        <is>
          <t>R/D CTU Injector head &amp; L/D Milling BHA, R/D CTU Quad BOP.
* Dismantled scaffolding on rig floor.</t>
        </is>
      </c>
      <c r="F12" s="1277" t="n"/>
      <c r="G12" s="1277" t="n"/>
      <c r="H12" s="1277" t="n"/>
      <c r="I12" s="1277" t="n"/>
      <c r="J12" s="1277" t="n"/>
      <c r="K12" s="1277" t="n"/>
      <c r="L12" s="1277" t="n"/>
      <c r="M12" s="1277" t="n"/>
      <c r="N12" s="1277" t="n"/>
      <c r="O12" s="1277" t="n"/>
      <c r="P12" s="1277" t="n"/>
      <c r="Q12" s="1277" t="n"/>
      <c r="R12" s="1277" t="n"/>
      <c r="S12" s="1281" t="n"/>
    </row>
    <row r="13" ht="50.25" customHeight="1" s="1158">
      <c r="A13" s="1282" t="n"/>
      <c r="B13" s="1277" t="n"/>
      <c r="C13" s="1278" t="n"/>
      <c r="D13" s="1279" t="inlineStr">
        <is>
          <t>12:30</t>
        </is>
      </c>
      <c r="E13" s="1280" t="inlineStr">
        <is>
          <t>Held pre-job safety meeting &amp; crew change handover.</t>
        </is>
      </c>
      <c r="F13" s="1277" t="n"/>
      <c r="G13" s="1277" t="n"/>
      <c r="H13" s="1277" t="n"/>
      <c r="I13" s="1277" t="n"/>
      <c r="J13" s="1277" t="n"/>
      <c r="K13" s="1277" t="n"/>
      <c r="L13" s="1277" t="n"/>
      <c r="M13" s="1277" t="n"/>
      <c r="N13" s="1277" t="n"/>
      <c r="O13" s="1277" t="n"/>
      <c r="P13" s="1277" t="n"/>
      <c r="Q13" s="1277" t="n"/>
      <c r="R13" s="1277" t="n"/>
      <c r="S13" s="1281" t="n"/>
    </row>
    <row r="14" ht="50.25" customHeight="1" s="1158">
      <c r="A14" s="1282" t="n"/>
      <c r="B14" s="1277" t="n"/>
      <c r="C14" s="1278" t="n"/>
      <c r="D14" s="1279" t="inlineStr">
        <is>
          <t>16:30</t>
        </is>
      </c>
      <c r="E14" s="1280" t="inlineStr">
        <is>
          <t>R/U 4-1/16" 5K Injection head &amp; SLB E/L sheaves. R/U SLB PCE Equipment.
* P/T PCE equipment to 300/3000 psi for 5/10 mins.
* M/U 2.5" RCT/GR/CCL and accomodate same in WL riser.</t>
        </is>
      </c>
      <c r="F14" s="1277" t="n"/>
      <c r="G14" s="1277" t="n"/>
      <c r="H14" s="1277" t="n"/>
      <c r="I14" s="1277" t="n"/>
      <c r="J14" s="1277" t="n"/>
      <c r="K14" s="1277" t="n"/>
      <c r="L14" s="1277" t="n"/>
      <c r="M14" s="1277" t="n"/>
      <c r="N14" s="1277" t="n"/>
      <c r="O14" s="1277" t="n"/>
      <c r="P14" s="1277" t="n"/>
      <c r="Q14" s="1277" t="n"/>
      <c r="R14" s="1277" t="n"/>
      <c r="S14" s="1281" t="n"/>
    </row>
    <row r="15" ht="50.25" customHeight="1" s="1158">
      <c r="A15" s="1282" t="n"/>
      <c r="B15" s="1277" t="n"/>
      <c r="C15" s="1278" t="n"/>
      <c r="D15" s="1279" t="inlineStr">
        <is>
          <t>19:30</t>
        </is>
      </c>
      <c r="E15" s="1280" t="inlineStr">
        <is>
          <t>RIH 2.5" RCT Cutte /CCL on E/L to 11,450 ft ( LD)
* Activated tractor @ 11,175 ft.
* Monitored WHTP on Mnsoori well test choke manifold: 0 psi.</t>
        </is>
      </c>
      <c r="F15" s="1277" t="n"/>
      <c r="G15" s="1277" t="n"/>
      <c r="H15" s="1277" t="n"/>
      <c r="I15" s="1277" t="n"/>
      <c r="J15" s="1277" t="n"/>
      <c r="K15" s="1277" t="n"/>
      <c r="L15" s="1277" t="n"/>
      <c r="M15" s="1277" t="n"/>
      <c r="N15" s="1277" t="n"/>
      <c r="O15" s="1277" t="n"/>
      <c r="P15" s="1277" t="n"/>
      <c r="Q15" s="1277" t="n"/>
      <c r="R15" s="1277" t="n"/>
      <c r="S15" s="1281" t="n"/>
    </row>
    <row r="16" ht="50.25" customHeight="1" s="1158">
      <c r="A16" s="1282" t="n"/>
      <c r="B16" s="1277" t="n"/>
      <c r="C16" s="1278" t="n"/>
      <c r="D16" s="1279" t="inlineStr">
        <is>
          <t>21:00</t>
        </is>
      </c>
      <c r="E16" s="1280"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277" t="n"/>
      <c r="G16" s="1277" t="n"/>
      <c r="H16" s="1277" t="n"/>
      <c r="I16" s="1277" t="n"/>
      <c r="J16" s="1277" t="n"/>
      <c r="K16" s="1277" t="n"/>
      <c r="L16" s="1277" t="n"/>
      <c r="M16" s="1277" t="n"/>
      <c r="N16" s="1277" t="n"/>
      <c r="O16" s="1277" t="n"/>
      <c r="P16" s="1277" t="n"/>
      <c r="Q16" s="1277" t="n"/>
      <c r="R16" s="1277" t="n"/>
      <c r="S16" s="1281" t="n"/>
    </row>
    <row r="17" ht="50.25" customHeight="1" s="1158">
      <c r="A17" s="1282" t="n"/>
      <c r="B17" s="1277" t="n"/>
      <c r="C17" s="1278" t="n"/>
      <c r="D17" s="1279" t="inlineStr">
        <is>
          <t>23:00</t>
        </is>
      </c>
      <c r="E17" s="1280" t="inlineStr">
        <is>
          <t>POOH 2.5" RCT Cutter /CCL on E/L to surface.
* Confirmed shooting at surface.</t>
        </is>
      </c>
      <c r="F17" s="1277" t="n"/>
      <c r="G17" s="1277" t="n"/>
      <c r="H17" s="1277" t="n"/>
      <c r="I17" s="1277" t="n"/>
      <c r="J17" s="1277" t="n"/>
      <c r="K17" s="1277" t="n"/>
      <c r="L17" s="1277" t="n"/>
      <c r="M17" s="1277" t="n"/>
      <c r="N17" s="1277" t="n"/>
      <c r="O17" s="1277" t="n"/>
      <c r="P17" s="1277" t="n"/>
      <c r="Q17" s="1277" t="n"/>
      <c r="R17" s="1277" t="n"/>
      <c r="S17" s="1281" t="n"/>
    </row>
    <row r="18" ht="50.25" customHeight="1" s="1158">
      <c r="A18" s="1276" t="n">
        <v>46204</v>
      </c>
      <c r="B18" s="1277" t="n"/>
      <c r="C18" s="1278" t="n"/>
      <c r="D18" s="1279" t="inlineStr">
        <is>
          <t>00:00 - 01:00</t>
        </is>
      </c>
      <c r="E18" s="1280" t="inlineStr">
        <is>
          <t>Cont. R/D SLB PCE Equipment.</t>
        </is>
      </c>
      <c r="F18" s="1277" t="n"/>
      <c r="G18" s="1277" t="n"/>
      <c r="H18" s="1277" t="n"/>
      <c r="I18" s="1277" t="n"/>
      <c r="J18" s="1277" t="n"/>
      <c r="K18" s="1277" t="n"/>
      <c r="L18" s="1277" t="n"/>
      <c r="M18" s="1277" t="n"/>
      <c r="N18" s="1277" t="n"/>
      <c r="O18" s="1277" t="n"/>
      <c r="P18" s="1277" t="n"/>
      <c r="Q18" s="1277" t="n"/>
      <c r="R18" s="1277" t="n"/>
      <c r="S18" s="1281" t="n"/>
    </row>
    <row r="19" ht="50.25" customHeight="1" s="1158">
      <c r="A19" s="1282" t="n"/>
      <c r="B19" s="1277" t="n"/>
      <c r="C19" s="1278" t="n"/>
      <c r="D19" s="1279" t="inlineStr">
        <is>
          <t>0:00</t>
        </is>
      </c>
      <c r="E19" s="1280" t="inlineStr">
        <is>
          <t>R/D 4-1/16" 5K Injection head &amp; SLB E/L sheaves &amp; SLB PCE Equipment.</t>
        </is>
      </c>
      <c r="F19" s="1277" t="n"/>
      <c r="G19" s="1277" t="n"/>
      <c r="H19" s="1277" t="n"/>
      <c r="I19" s="1277" t="n"/>
      <c r="J19" s="1277" t="n"/>
      <c r="K19" s="1277" t="n"/>
      <c r="L19" s="1277" t="n"/>
      <c r="M19" s="1277" t="n"/>
      <c r="N19" s="1277" t="n"/>
      <c r="O19" s="1277" t="n"/>
      <c r="P19" s="1277" t="n"/>
      <c r="Q19" s="1277" t="n"/>
      <c r="R19" s="1277" t="n"/>
      <c r="S19" s="1281" t="n"/>
    </row>
    <row r="20" ht="50.25" customHeight="1" s="1158">
      <c r="A20" s="1282" t="n"/>
      <c r="B20" s="1277" t="n"/>
      <c r="C20" s="1278" t="n"/>
      <c r="D20" s="1279" t="inlineStr">
        <is>
          <t>01:00 - 04:30</t>
        </is>
      </c>
      <c r="E20" s="1280" t="inlineStr">
        <is>
          <t>RU Al-Ahlia S/L Lubricator, Rig up Slickline 5K PCE.
* P/T S/L riser and injection head for 300/3,000 psi for 5/15 min. Hold, Ok.</t>
        </is>
      </c>
      <c r="F20" s="1277" t="n"/>
      <c r="G20" s="1277" t="n"/>
      <c r="H20" s="1277" t="n"/>
      <c r="I20" s="1277" t="n"/>
      <c r="J20" s="1277" t="n"/>
      <c r="K20" s="1277" t="n"/>
      <c r="L20" s="1277" t="n"/>
      <c r="M20" s="1277" t="n"/>
      <c r="N20" s="1277" t="n"/>
      <c r="O20" s="1277" t="n"/>
      <c r="P20" s="1277" t="n"/>
      <c r="Q20" s="1277" t="n"/>
      <c r="R20" s="1277" t="n"/>
      <c r="S20" s="1281" t="n"/>
    </row>
    <row r="21" ht="50.25" customHeight="1" s="1158">
      <c r="A21" s="1282" t="n"/>
      <c r="B21" s="1277" t="n"/>
      <c r="C21" s="1278" t="n"/>
      <c r="D21" s="1279" t="inlineStr">
        <is>
          <t>04:30 - 06:00</t>
        </is>
      </c>
      <c r="E21" s="1280" t="inlineStr">
        <is>
          <t>RIH with 3.7" GC on Al Ahlia S/L to 9,700 ft and POOH... In progress.</t>
        </is>
      </c>
      <c r="F21" s="1277" t="n"/>
      <c r="G21" s="1277" t="n"/>
      <c r="H21" s="1277" t="n"/>
      <c r="I21" s="1277" t="n"/>
      <c r="J21" s="1277" t="n"/>
      <c r="K21" s="1277" t="n"/>
      <c r="L21" s="1277" t="n"/>
      <c r="M21" s="1277" t="n"/>
      <c r="N21" s="1277" t="n"/>
      <c r="O21" s="1277" t="n"/>
      <c r="P21" s="1277" t="n"/>
      <c r="Q21" s="1277" t="n"/>
      <c r="R21" s="1277" t="n"/>
      <c r="S21" s="1281" t="n"/>
    </row>
    <row r="22" ht="27" customFormat="1" customHeight="1" s="1283">
      <c r="A22" s="1284" t="inlineStr">
        <is>
          <t xml:space="preserve">CUSTOMER REP. </t>
        </is>
      </c>
      <c r="B22" s="1277" t="n"/>
      <c r="C22" s="1277" t="n"/>
      <c r="D22" s="1278" t="n"/>
      <c r="E22" s="1285">
        <f>'Master Data'!B4</f>
        <v/>
      </c>
      <c r="F22" s="1277" t="n"/>
      <c r="G22" s="1277" t="n"/>
      <c r="H22" s="1277" t="n"/>
      <c r="I22" s="1277" t="n"/>
      <c r="J22" s="1277" t="n"/>
      <c r="K22" s="1277" t="n"/>
      <c r="L22" s="1281" t="n"/>
      <c r="M22" s="1286" t="inlineStr">
        <is>
          <t>OPERATIONS REP. NAME:</t>
        </is>
      </c>
      <c r="S22" s="1287">
        <f>'Master Data'!B21</f>
        <v/>
      </c>
      <c r="U22" s="1288">
        <f>E60</f>
        <v/>
      </c>
      <c r="V22" s="1288" t="n"/>
      <c r="W22" s="1288" t="n"/>
      <c r="X22" s="1288" t="n"/>
      <c r="Y22" s="1288" t="n"/>
      <c r="Z22" s="1288" t="n"/>
      <c r="AA22" s="1288" t="n"/>
      <c r="AL22" s="1289" t="n"/>
    </row>
    <row r="23" ht="27" customHeight="1" s="1158">
      <c r="A23" s="1285" t="inlineStr">
        <is>
          <t>SIGNATURE:</t>
        </is>
      </c>
      <c r="B23" s="1277" t="n"/>
      <c r="C23" s="1277" t="n"/>
      <c r="D23" s="1277" t="n"/>
      <c r="E23" s="1277" t="n"/>
      <c r="F23" s="1277" t="n"/>
      <c r="G23" s="1277" t="n"/>
      <c r="H23" s="1277" t="n"/>
      <c r="I23" s="1277" t="n"/>
      <c r="J23" s="1277" t="n"/>
      <c r="K23" s="1277" t="n"/>
      <c r="L23" s="1278" t="n"/>
      <c r="M23" s="1290" t="inlineStr">
        <is>
          <t>SIGNATURE:</t>
        </is>
      </c>
      <c r="U23" s="1288" t="n"/>
      <c r="V23" s="1288" t="n"/>
      <c r="W23" s="1288" t="n"/>
      <c r="X23" s="1288" t="n"/>
      <c r="Y23" s="1288" t="n"/>
      <c r="Z23" s="1288" t="n"/>
      <c r="AA23" s="1288" t="n"/>
      <c r="AL23" s="1289" t="n"/>
    </row>
    <row r="24" ht="15" customHeight="1" s="1158">
      <c r="A24" s="1291" t="n"/>
      <c r="B24" s="1292" t="n"/>
      <c r="C24" s="1292" t="n"/>
      <c r="D24" s="1293" t="n"/>
      <c r="E24" s="1291" t="n"/>
      <c r="F24" s="1292" t="n"/>
      <c r="G24" s="1292" t="n"/>
      <c r="H24" s="1292" t="n"/>
      <c r="I24" s="1294" t="n"/>
      <c r="J24" s="1295" t="n"/>
      <c r="K24" s="1296" t="n"/>
      <c r="P24" s="1296" t="n"/>
    </row>
    <row r="25" ht="13.5" customHeight="1" s="1158">
      <c r="A25" s="1297" t="n"/>
      <c r="B25" s="1298" t="n"/>
      <c r="C25" s="1298" t="n"/>
      <c r="D25" s="1299" t="n"/>
      <c r="E25" s="1300" t="n"/>
      <c r="F25" s="1298" t="n"/>
      <c r="G25" s="1298" t="n"/>
      <c r="H25" s="1298" t="n"/>
      <c r="I25" s="1301" t="n"/>
    </row>
    <row r="26" ht="12" customHeight="1" s="1158">
      <c r="A26" s="1291" t="n"/>
      <c r="B26" s="1292" t="n"/>
      <c r="C26" s="1292" t="n"/>
      <c r="D26" s="1292" t="n"/>
      <c r="E26" s="1292" t="n"/>
      <c r="F26" s="1292" t="n"/>
      <c r="G26" s="1292" t="n"/>
      <c r="H26" s="1292" t="n"/>
      <c r="I26" s="1292" t="n"/>
      <c r="J26" s="1292" t="n"/>
      <c r="K26" s="1292" t="n"/>
      <c r="L26" s="1292" t="n"/>
      <c r="M26" s="1292" t="n"/>
      <c r="N26" s="1292" t="n"/>
      <c r="O26" s="1292" t="n"/>
      <c r="P26" s="1292" t="n"/>
      <c r="Q26" s="1292" t="n"/>
      <c r="R26" s="1292" t="n"/>
      <c r="S26" s="1293" t="n"/>
    </row>
    <row r="27" ht="12" customHeight="1" s="1158">
      <c r="A27" s="1302" t="n"/>
      <c r="B27" s="1303" t="n"/>
      <c r="C27" s="1303" t="n"/>
      <c r="D27" s="1303" t="n"/>
      <c r="E27" s="1303" t="n"/>
      <c r="F27" s="1303" t="n"/>
      <c r="G27" s="1303" t="n"/>
      <c r="H27" s="1303" t="n"/>
      <c r="I27" s="1303" t="n"/>
      <c r="J27" s="1303" t="n"/>
      <c r="K27" s="1303" t="n"/>
      <c r="L27" s="1303" t="n"/>
      <c r="M27" s="1303" t="n"/>
      <c r="N27" s="1303" t="n"/>
      <c r="O27" s="1303" t="n"/>
      <c r="P27" s="1303" t="n"/>
      <c r="Q27" s="1303" t="n"/>
      <c r="R27" s="1303" t="n"/>
      <c r="S27" s="1304" t="n"/>
    </row>
    <row r="28" ht="12" customHeight="1" s="1158">
      <c r="A28" s="1302" t="n"/>
      <c r="B28" s="1303" t="n"/>
      <c r="C28" s="1303" t="n"/>
      <c r="D28" s="1303" t="n"/>
      <c r="E28" s="1303" t="n"/>
      <c r="F28" s="1303" t="n"/>
      <c r="G28" s="1303" t="n"/>
      <c r="H28" s="1303" t="n"/>
      <c r="I28" s="1303" t="n"/>
      <c r="J28" s="1303" t="n"/>
      <c r="K28" s="1303" t="n"/>
      <c r="L28" s="1303" t="n"/>
      <c r="M28" s="1303" t="n"/>
      <c r="N28" s="1303" t="n"/>
      <c r="O28" s="1303" t="n"/>
      <c r="P28" s="1303" t="n"/>
      <c r="Q28" s="1303" t="n"/>
      <c r="R28" s="1303" t="n"/>
      <c r="S28" s="1304" t="n"/>
    </row>
    <row r="29" ht="12" customHeight="1" s="1158">
      <c r="A29" s="1302" t="n"/>
      <c r="B29" s="1303" t="n"/>
      <c r="C29" s="1303" t="n"/>
      <c r="D29" s="1303" t="n"/>
      <c r="E29" s="1303" t="n"/>
      <c r="F29" s="1303" t="n"/>
      <c r="G29" s="1303" t="n"/>
      <c r="H29" s="1303" t="n"/>
      <c r="I29" s="1303" t="n"/>
      <c r="J29" s="1303" t="n"/>
      <c r="K29" s="1303" t="n"/>
      <c r="L29" s="1303" t="n"/>
      <c r="M29" s="1303" t="n"/>
      <c r="N29" s="1303" t="n"/>
      <c r="O29" s="1303" t="n"/>
      <c r="P29" s="1303" t="n"/>
      <c r="Q29" s="1303" t="n"/>
      <c r="R29" s="1303" t="n"/>
      <c r="S29" s="1304" t="n"/>
    </row>
    <row r="30" ht="12" customHeight="1" s="1158">
      <c r="A30" s="1297" t="n"/>
      <c r="B30" s="1298" t="n"/>
      <c r="C30" s="1298" t="n"/>
      <c r="D30" s="1298" t="n"/>
      <c r="E30" s="1298" t="n"/>
      <c r="F30" s="1298" t="n"/>
      <c r="G30" s="1298" t="n"/>
      <c r="H30" s="1298" t="n"/>
      <c r="I30" s="1298" t="n"/>
      <c r="J30" s="1298" t="n"/>
      <c r="K30" s="1298" t="n"/>
      <c r="L30" s="1298" t="n"/>
      <c r="M30" s="1298" t="n"/>
      <c r="N30" s="1298" t="n"/>
      <c r="O30" s="1298" t="n"/>
      <c r="P30" s="1298" t="n"/>
      <c r="Q30" s="1298" t="n"/>
      <c r="R30" s="1298" t="n"/>
      <c r="S30" s="1299" t="n"/>
    </row>
    <row r="31" ht="36" customHeight="1" s="1158">
      <c r="A31" s="1305" t="n"/>
      <c r="B31" s="1277" t="n"/>
      <c r="C31" s="1278" t="n"/>
      <c r="D31" s="1306" t="n"/>
      <c r="E31" s="1307" t="n"/>
      <c r="F31" s="1277" t="n"/>
      <c r="G31" s="1277" t="n"/>
      <c r="H31" s="1277" t="n"/>
      <c r="I31" s="1277" t="n"/>
      <c r="J31" s="1277" t="n"/>
      <c r="K31" s="1277" t="n"/>
      <c r="L31" s="1277" t="n"/>
      <c r="M31" s="1277" t="n"/>
      <c r="N31" s="1277" t="n"/>
      <c r="O31" s="1277" t="n"/>
      <c r="P31" s="1277" t="n"/>
      <c r="Q31" s="1277" t="n"/>
      <c r="R31" s="1277" t="n"/>
      <c r="S31" s="1281" t="n"/>
    </row>
    <row r="32" ht="93" customHeight="1" s="1158">
      <c r="A32" s="1305" t="n"/>
      <c r="B32" s="1277" t="n"/>
      <c r="C32" s="1278" t="n"/>
      <c r="D32" s="1306" t="n"/>
      <c r="E32" s="1307" t="n"/>
      <c r="F32" s="1277" t="n"/>
      <c r="G32" s="1277" t="n"/>
      <c r="H32" s="1277" t="n"/>
      <c r="I32" s="1277" t="n"/>
      <c r="J32" s="1277" t="n"/>
      <c r="K32" s="1277" t="n"/>
      <c r="L32" s="1277" t="n"/>
      <c r="M32" s="1277" t="n"/>
      <c r="N32" s="1277" t="n"/>
      <c r="O32" s="1277" t="n"/>
      <c r="P32" s="1277" t="n"/>
      <c r="Q32" s="1277" t="n"/>
      <c r="R32" s="1277" t="n"/>
      <c r="S32" s="1281" t="n"/>
    </row>
    <row r="33" ht="36" customHeight="1" s="1158">
      <c r="A33" s="1305" t="n"/>
      <c r="B33" s="1277" t="n"/>
      <c r="C33" s="1278" t="n"/>
      <c r="D33" s="1306" t="n"/>
      <c r="E33" s="1307" t="n"/>
      <c r="F33" s="1277" t="n"/>
      <c r="G33" s="1277" t="n"/>
      <c r="H33" s="1277" t="n"/>
      <c r="I33" s="1277" t="n"/>
      <c r="J33" s="1277" t="n"/>
      <c r="K33" s="1277" t="n"/>
      <c r="L33" s="1277" t="n"/>
      <c r="M33" s="1277" t="n"/>
      <c r="N33" s="1277" t="n"/>
      <c r="O33" s="1277" t="n"/>
      <c r="P33" s="1277" t="n"/>
      <c r="Q33" s="1277" t="n"/>
      <c r="R33" s="1277" t="n"/>
      <c r="S33" s="1281" t="n"/>
    </row>
    <row r="34" ht="72" customHeight="1" s="1158">
      <c r="A34" s="1305" t="n"/>
      <c r="B34" s="1277" t="n"/>
      <c r="C34" s="1278" t="n"/>
      <c r="D34" s="1306" t="n"/>
      <c r="E34" s="1307" t="n"/>
      <c r="F34" s="1277" t="n"/>
      <c r="G34" s="1277" t="n"/>
      <c r="H34" s="1277" t="n"/>
      <c r="I34" s="1277" t="n"/>
      <c r="J34" s="1277" t="n"/>
      <c r="K34" s="1277" t="n"/>
      <c r="L34" s="1277" t="n"/>
      <c r="M34" s="1277" t="n"/>
      <c r="N34" s="1277" t="n"/>
      <c r="O34" s="1277" t="n"/>
      <c r="P34" s="1277" t="n"/>
      <c r="Q34" s="1277" t="n"/>
      <c r="R34" s="1277" t="n"/>
      <c r="S34" s="1281" t="n"/>
    </row>
    <row r="35" ht="31.5" customHeight="1" s="1158">
      <c r="A35" s="1305" t="n"/>
      <c r="B35" s="1277" t="n"/>
      <c r="C35" s="1278" t="n"/>
      <c r="D35" s="1306" t="n"/>
      <c r="E35" s="1307" t="n"/>
      <c r="F35" s="1277" t="n"/>
      <c r="G35" s="1277" t="n"/>
      <c r="H35" s="1277" t="n"/>
      <c r="I35" s="1277" t="n"/>
      <c r="J35" s="1277" t="n"/>
      <c r="K35" s="1277" t="n"/>
      <c r="L35" s="1277" t="n"/>
      <c r="M35" s="1277" t="n"/>
      <c r="N35" s="1277" t="n"/>
      <c r="O35" s="1277" t="n"/>
      <c r="P35" s="1277" t="n"/>
      <c r="Q35" s="1277" t="n"/>
      <c r="R35" s="1277" t="n"/>
      <c r="S35" s="1281" t="n"/>
    </row>
    <row r="36" ht="59.25" customHeight="1" s="1158">
      <c r="A36" s="1305" t="n"/>
      <c r="B36" s="1277" t="n"/>
      <c r="C36" s="1278" t="n"/>
      <c r="D36" s="1306" t="n"/>
      <c r="E36" s="1307" t="n"/>
      <c r="F36" s="1277" t="n"/>
      <c r="G36" s="1277" t="n"/>
      <c r="H36" s="1277" t="n"/>
      <c r="I36" s="1277" t="n"/>
      <c r="J36" s="1277" t="n"/>
      <c r="K36" s="1277" t="n"/>
      <c r="L36" s="1277" t="n"/>
      <c r="M36" s="1277" t="n"/>
      <c r="N36" s="1277" t="n"/>
      <c r="O36" s="1277" t="n"/>
      <c r="P36" s="1277" t="n"/>
      <c r="Q36" s="1277" t="n"/>
      <c r="R36" s="1277" t="n"/>
      <c r="S36" s="1281" t="n"/>
    </row>
    <row r="37" ht="59.25" customHeight="1" s="1158">
      <c r="A37" s="1305" t="n"/>
      <c r="B37" s="1277" t="n"/>
      <c r="C37" s="1278" t="n"/>
      <c r="D37" s="1306" t="n"/>
      <c r="E37" s="1307" t="n"/>
      <c r="F37" s="1277" t="n"/>
      <c r="G37" s="1277" t="n"/>
      <c r="H37" s="1277" t="n"/>
      <c r="I37" s="1277" t="n"/>
      <c r="J37" s="1277" t="n"/>
      <c r="K37" s="1277" t="n"/>
      <c r="L37" s="1277" t="n"/>
      <c r="M37" s="1277" t="n"/>
      <c r="N37" s="1277" t="n"/>
      <c r="O37" s="1277" t="n"/>
      <c r="P37" s="1277" t="n"/>
      <c r="Q37" s="1277" t="n"/>
      <c r="R37" s="1277" t="n"/>
      <c r="S37" s="1281" t="n"/>
    </row>
    <row r="38" ht="30" customHeight="1" s="1158">
      <c r="A38" s="1305" t="n"/>
      <c r="B38" s="1277" t="n"/>
      <c r="C38" s="1278" t="n"/>
      <c r="D38" s="1306" t="n"/>
      <c r="E38" s="1307" t="n"/>
      <c r="F38" s="1277" t="n"/>
      <c r="G38" s="1277" t="n"/>
      <c r="H38" s="1277" t="n"/>
      <c r="I38" s="1277" t="n"/>
      <c r="J38" s="1277" t="n"/>
      <c r="K38" s="1277" t="n"/>
      <c r="L38" s="1277" t="n"/>
      <c r="M38" s="1277" t="n"/>
      <c r="N38" s="1277" t="n"/>
      <c r="O38" s="1277" t="n"/>
      <c r="P38" s="1277" t="n"/>
      <c r="Q38" s="1277" t="n"/>
      <c r="R38" s="1277" t="n"/>
      <c r="S38" s="1281" t="n"/>
    </row>
    <row r="39" ht="21.75" customHeight="1" s="1158">
      <c r="A39" s="1305" t="n"/>
      <c r="B39" s="1277" t="n"/>
      <c r="C39" s="1278" t="n"/>
      <c r="D39" s="1306" t="n"/>
      <c r="E39" s="1307" t="n"/>
      <c r="F39" s="1277" t="n"/>
      <c r="G39" s="1277" t="n"/>
      <c r="H39" s="1277" t="n"/>
      <c r="I39" s="1277" t="n"/>
      <c r="J39" s="1277" t="n"/>
      <c r="K39" s="1277" t="n"/>
      <c r="L39" s="1277" t="n"/>
      <c r="M39" s="1277" t="n"/>
      <c r="N39" s="1277" t="n"/>
      <c r="O39" s="1277" t="n"/>
      <c r="P39" s="1277" t="n"/>
      <c r="Q39" s="1277" t="n"/>
      <c r="R39" s="1277" t="n"/>
      <c r="S39" s="1281" t="n"/>
    </row>
    <row r="40" ht="53.25" customHeight="1" s="1158">
      <c r="A40" s="1305" t="n"/>
      <c r="B40" s="1277" t="n"/>
      <c r="C40" s="1278" t="n"/>
      <c r="D40" s="1308" t="n"/>
      <c r="E40" s="1307" t="n"/>
      <c r="F40" s="1277" t="n"/>
      <c r="G40" s="1277" t="n"/>
      <c r="H40" s="1277" t="n"/>
      <c r="I40" s="1277" t="n"/>
      <c r="J40" s="1277" t="n"/>
      <c r="K40" s="1277" t="n"/>
      <c r="L40" s="1277" t="n"/>
      <c r="M40" s="1277" t="n"/>
      <c r="N40" s="1277" t="n"/>
      <c r="O40" s="1277" t="n"/>
      <c r="P40" s="1277" t="n"/>
      <c r="Q40" s="1277" t="n"/>
      <c r="R40" s="1277" t="n"/>
      <c r="S40" s="1281" t="n"/>
    </row>
    <row r="41" ht="18" customHeight="1" s="1158">
      <c r="A41" s="1305" t="n"/>
      <c r="B41" s="1277" t="n"/>
      <c r="C41" s="1278" t="n"/>
      <c r="D41" s="1309" t="n"/>
      <c r="E41" s="1307" t="n"/>
      <c r="F41" s="1277" t="n"/>
      <c r="G41" s="1277" t="n"/>
      <c r="H41" s="1277" t="n"/>
      <c r="I41" s="1277" t="n"/>
      <c r="J41" s="1277" t="n"/>
      <c r="K41" s="1277" t="n"/>
      <c r="L41" s="1277" t="n"/>
      <c r="M41" s="1277" t="n"/>
      <c r="N41" s="1277" t="n"/>
      <c r="O41" s="1277" t="n"/>
      <c r="P41" s="1277" t="n"/>
      <c r="Q41" s="1277" t="n"/>
      <c r="R41" s="1277" t="n"/>
      <c r="S41" s="1281" t="n"/>
    </row>
    <row r="42" ht="44.25" customHeight="1" s="1158">
      <c r="A42" s="1305" t="n"/>
      <c r="B42" s="1277" t="n"/>
      <c r="C42" s="1278" t="n"/>
      <c r="D42" s="1306" t="n"/>
      <c r="E42" s="1307" t="n"/>
      <c r="F42" s="1277" t="n"/>
      <c r="G42" s="1277" t="n"/>
      <c r="H42" s="1277" t="n"/>
      <c r="I42" s="1277" t="n"/>
      <c r="J42" s="1277" t="n"/>
      <c r="K42" s="1277" t="n"/>
      <c r="L42" s="1277" t="n"/>
      <c r="M42" s="1277" t="n"/>
      <c r="N42" s="1277" t="n"/>
      <c r="O42" s="1277" t="n"/>
      <c r="P42" s="1277" t="n"/>
      <c r="Q42" s="1277" t="n"/>
      <c r="R42" s="1277" t="n"/>
      <c r="S42" s="1281" t="n"/>
    </row>
    <row r="43" ht="42" customHeight="1" s="1158">
      <c r="A43" s="1305" t="n"/>
      <c r="B43" s="1277" t="n"/>
      <c r="C43" s="1278" t="n"/>
      <c r="D43" s="1306" t="n"/>
      <c r="E43" s="1307" t="n"/>
      <c r="F43" s="1277" t="n"/>
      <c r="G43" s="1277" t="n"/>
      <c r="H43" s="1277" t="n"/>
      <c r="I43" s="1277" t="n"/>
      <c r="J43" s="1277" t="n"/>
      <c r="K43" s="1277" t="n"/>
      <c r="L43" s="1277" t="n"/>
      <c r="M43" s="1277" t="n"/>
      <c r="N43" s="1277" t="n"/>
      <c r="O43" s="1277" t="n"/>
      <c r="P43" s="1277" t="n"/>
      <c r="Q43" s="1277" t="n"/>
      <c r="R43" s="1277" t="n"/>
      <c r="S43" s="1281" t="n"/>
    </row>
    <row r="44" ht="33.75" customHeight="1" s="1158">
      <c r="A44" s="1305" t="n"/>
      <c r="B44" s="1277" t="n"/>
      <c r="C44" s="1278" t="n"/>
      <c r="D44" s="1306" t="n"/>
      <c r="E44" s="1307" t="n"/>
      <c r="F44" s="1277" t="n"/>
      <c r="G44" s="1277" t="n"/>
      <c r="H44" s="1277" t="n"/>
      <c r="I44" s="1277" t="n"/>
      <c r="J44" s="1277" t="n"/>
      <c r="K44" s="1277" t="n"/>
      <c r="L44" s="1277" t="n"/>
      <c r="M44" s="1277" t="n"/>
      <c r="N44" s="1277" t="n"/>
      <c r="O44" s="1277" t="n"/>
      <c r="P44" s="1277" t="n"/>
      <c r="Q44" s="1277" t="n"/>
      <c r="R44" s="1277" t="n"/>
      <c r="S44" s="1281" t="n"/>
    </row>
    <row r="45" ht="31.5" customHeight="1" s="1158">
      <c r="A45" s="1305" t="n"/>
      <c r="B45" s="1277" t="n"/>
      <c r="C45" s="1278" t="n"/>
      <c r="D45" s="1306" t="n"/>
      <c r="E45" s="1307" t="n"/>
      <c r="F45" s="1277" t="n"/>
      <c r="G45" s="1277" t="n"/>
      <c r="H45" s="1277" t="n"/>
      <c r="I45" s="1277" t="n"/>
      <c r="J45" s="1277" t="n"/>
      <c r="K45" s="1277" t="n"/>
      <c r="L45" s="1277" t="n"/>
      <c r="M45" s="1277" t="n"/>
      <c r="N45" s="1277" t="n"/>
      <c r="O45" s="1277" t="n"/>
      <c r="P45" s="1277" t="n"/>
      <c r="Q45" s="1277" t="n"/>
      <c r="R45" s="1277" t="n"/>
      <c r="S45" s="1281" t="n"/>
    </row>
    <row r="46" ht="53.25" customHeight="1" s="1158">
      <c r="A46" s="1305" t="n"/>
      <c r="B46" s="1277" t="n"/>
      <c r="C46" s="1278" t="n"/>
      <c r="D46" s="1306" t="n"/>
      <c r="E46" s="1307" t="n"/>
      <c r="F46" s="1277" t="n"/>
      <c r="G46" s="1277" t="n"/>
      <c r="H46" s="1277" t="n"/>
      <c r="I46" s="1277" t="n"/>
      <c r="J46" s="1277" t="n"/>
      <c r="K46" s="1277" t="n"/>
      <c r="L46" s="1277" t="n"/>
      <c r="M46" s="1277" t="n"/>
      <c r="N46" s="1277" t="n"/>
      <c r="O46" s="1277" t="n"/>
      <c r="P46" s="1277" t="n"/>
      <c r="Q46" s="1277" t="n"/>
      <c r="R46" s="1277" t="n"/>
      <c r="S46" s="1281" t="n"/>
    </row>
    <row r="47" ht="48" customHeight="1" s="1158">
      <c r="A47" s="1305" t="n"/>
      <c r="B47" s="1277" t="n"/>
      <c r="C47" s="1278" t="n"/>
      <c r="D47" s="1306" t="n"/>
      <c r="E47" s="1307" t="n"/>
      <c r="F47" s="1277" t="n"/>
      <c r="G47" s="1277" t="n"/>
      <c r="H47" s="1277" t="n"/>
      <c r="I47" s="1277" t="n"/>
      <c r="J47" s="1277" t="n"/>
      <c r="K47" s="1277" t="n"/>
      <c r="L47" s="1277" t="n"/>
      <c r="M47" s="1277" t="n"/>
      <c r="N47" s="1277" t="n"/>
      <c r="O47" s="1277" t="n"/>
      <c r="P47" s="1277" t="n"/>
      <c r="Q47" s="1277" t="n"/>
      <c r="R47" s="1277" t="n"/>
      <c r="S47" s="1281" t="n"/>
    </row>
    <row r="48" ht="53.25" customHeight="1" s="1158">
      <c r="A48" s="1305" t="n"/>
      <c r="B48" s="1277" t="n"/>
      <c r="C48" s="1278" t="n"/>
      <c r="D48" s="1306" t="n"/>
      <c r="E48" s="1307" t="n"/>
      <c r="F48" s="1277" t="n"/>
      <c r="G48" s="1277" t="n"/>
      <c r="H48" s="1277" t="n"/>
      <c r="I48" s="1277" t="n"/>
      <c r="J48" s="1277" t="n"/>
      <c r="K48" s="1277" t="n"/>
      <c r="L48" s="1277" t="n"/>
      <c r="M48" s="1277" t="n"/>
      <c r="N48" s="1277" t="n"/>
      <c r="O48" s="1277" t="n"/>
      <c r="P48" s="1277" t="n"/>
      <c r="Q48" s="1277" t="n"/>
      <c r="R48" s="1277" t="n"/>
      <c r="S48" s="1281" t="n"/>
    </row>
    <row r="49" ht="42" customHeight="1" s="1158">
      <c r="A49" s="1305" t="n"/>
      <c r="B49" s="1277" t="n"/>
      <c r="C49" s="1278" t="n"/>
      <c r="D49" s="1306" t="n"/>
      <c r="E49" s="1307" t="n"/>
      <c r="F49" s="1277" t="n"/>
      <c r="G49" s="1277" t="n"/>
      <c r="H49" s="1277" t="n"/>
      <c r="I49" s="1277" t="n"/>
      <c r="J49" s="1277" t="n"/>
      <c r="K49" s="1277" t="n"/>
      <c r="L49" s="1277" t="n"/>
      <c r="M49" s="1277" t="n"/>
      <c r="N49" s="1277" t="n"/>
      <c r="O49" s="1277" t="n"/>
      <c r="P49" s="1277" t="n"/>
      <c r="Q49" s="1277" t="n"/>
      <c r="R49" s="1277" t="n"/>
      <c r="S49" s="1281" t="n"/>
    </row>
    <row r="50" ht="40.5" customHeight="1" s="1158">
      <c r="A50" s="1305" t="n"/>
      <c r="B50" s="1277" t="n"/>
      <c r="C50" s="1278" t="n"/>
      <c r="D50" s="1306" t="n"/>
      <c r="E50" s="1307" t="n"/>
      <c r="F50" s="1277" t="n"/>
      <c r="G50" s="1277" t="n"/>
      <c r="H50" s="1277" t="n"/>
      <c r="I50" s="1277" t="n"/>
      <c r="J50" s="1277" t="n"/>
      <c r="K50" s="1277" t="n"/>
      <c r="L50" s="1277" t="n"/>
      <c r="M50" s="1277" t="n"/>
      <c r="N50" s="1277" t="n"/>
      <c r="O50" s="1277" t="n"/>
      <c r="P50" s="1277" t="n"/>
      <c r="Q50" s="1277" t="n"/>
      <c r="R50" s="1277" t="n"/>
      <c r="S50" s="1281" t="n"/>
    </row>
    <row r="51" ht="54" customHeight="1" s="1158">
      <c r="A51" s="1305" t="n"/>
      <c r="B51" s="1277" t="n"/>
      <c r="C51" s="1278" t="n"/>
      <c r="D51" s="1306" t="n"/>
      <c r="E51" s="1307" t="n"/>
      <c r="F51" s="1277" t="n"/>
      <c r="G51" s="1277" t="n"/>
      <c r="H51" s="1277" t="n"/>
      <c r="I51" s="1277" t="n"/>
      <c r="J51" s="1277" t="n"/>
      <c r="K51" s="1277" t="n"/>
      <c r="L51" s="1277" t="n"/>
      <c r="M51" s="1277" t="n"/>
      <c r="N51" s="1277" t="n"/>
      <c r="O51" s="1277" t="n"/>
      <c r="P51" s="1277" t="n"/>
      <c r="Q51" s="1277" t="n"/>
      <c r="R51" s="1277" t="n"/>
      <c r="S51" s="1281" t="n"/>
    </row>
    <row r="52" ht="27" customHeight="1" s="1158">
      <c r="A52" s="1305" t="n"/>
      <c r="B52" s="1277" t="n"/>
      <c r="C52" s="1278" t="n"/>
      <c r="D52" s="1306" t="n"/>
      <c r="E52" s="1307" t="n"/>
      <c r="F52" s="1277" t="n"/>
      <c r="G52" s="1277" t="n"/>
      <c r="H52" s="1277" t="n"/>
      <c r="I52" s="1277" t="n"/>
      <c r="J52" s="1277" t="n"/>
      <c r="K52" s="1277" t="n"/>
      <c r="L52" s="1277" t="n"/>
      <c r="M52" s="1277" t="n"/>
      <c r="N52" s="1277" t="n"/>
      <c r="O52" s="1277" t="n"/>
      <c r="P52" s="1277" t="n"/>
      <c r="Q52" s="1277" t="n"/>
      <c r="R52" s="1277" t="n"/>
      <c r="S52" s="1281" t="n"/>
    </row>
    <row r="53" ht="39" customHeight="1" s="1158">
      <c r="A53" s="1305" t="n"/>
      <c r="B53" s="1277" t="n"/>
      <c r="C53" s="1278" t="n"/>
      <c r="D53" s="1306" t="n"/>
      <c r="E53" s="1307" t="n"/>
      <c r="F53" s="1277" t="n"/>
      <c r="G53" s="1277" t="n"/>
      <c r="H53" s="1277" t="n"/>
      <c r="I53" s="1277" t="n"/>
      <c r="J53" s="1277" t="n"/>
      <c r="K53" s="1277" t="n"/>
      <c r="L53" s="1277" t="n"/>
      <c r="M53" s="1277" t="n"/>
      <c r="N53" s="1277" t="n"/>
      <c r="O53" s="1277" t="n"/>
      <c r="P53" s="1277" t="n"/>
      <c r="Q53" s="1277" t="n"/>
      <c r="R53" s="1277" t="n"/>
      <c r="S53" s="1281" t="n"/>
    </row>
    <row r="54" ht="36" customHeight="1" s="1158">
      <c r="A54" s="1305" t="n"/>
      <c r="B54" s="1277" t="n"/>
      <c r="C54" s="1278" t="n"/>
      <c r="D54" s="1306" t="n"/>
      <c r="E54" s="1307" t="n"/>
      <c r="F54" s="1277" t="n"/>
      <c r="G54" s="1277" t="n"/>
      <c r="H54" s="1277" t="n"/>
      <c r="I54" s="1277" t="n"/>
      <c r="J54" s="1277" t="n"/>
      <c r="K54" s="1277" t="n"/>
      <c r="L54" s="1277" t="n"/>
      <c r="M54" s="1277" t="n"/>
      <c r="N54" s="1277" t="n"/>
      <c r="O54" s="1277" t="n"/>
      <c r="P54" s="1277" t="n"/>
      <c r="Q54" s="1277" t="n"/>
      <c r="R54" s="1277" t="n"/>
      <c r="S54" s="1281" t="n"/>
    </row>
    <row r="55" ht="28.5" customHeight="1" s="1158">
      <c r="A55" s="1305" t="n"/>
      <c r="B55" s="1277" t="n"/>
      <c r="C55" s="1278" t="n"/>
      <c r="D55" s="1306" t="n"/>
      <c r="E55" s="1307" t="n"/>
      <c r="F55" s="1277" t="n"/>
      <c r="G55" s="1277" t="n"/>
      <c r="H55" s="1277" t="n"/>
      <c r="I55" s="1277" t="n"/>
      <c r="J55" s="1277" t="n"/>
      <c r="K55" s="1277" t="n"/>
      <c r="L55" s="1277" t="n"/>
      <c r="M55" s="1277" t="n"/>
      <c r="N55" s="1277" t="n"/>
      <c r="O55" s="1277" t="n"/>
      <c r="P55" s="1277" t="n"/>
      <c r="Q55" s="1277" t="n"/>
      <c r="R55" s="1277" t="n"/>
      <c r="S55" s="1281" t="n"/>
    </row>
    <row r="56" ht="30" customHeight="1" s="1158">
      <c r="A56" s="1305" t="n"/>
      <c r="B56" s="1277" t="n"/>
      <c r="C56" s="1278" t="n"/>
      <c r="D56" s="1306" t="n"/>
      <c r="E56" s="1307" t="n"/>
      <c r="F56" s="1277" t="n"/>
      <c r="G56" s="1277" t="n"/>
      <c r="H56" s="1277" t="n"/>
      <c r="I56" s="1277" t="n"/>
      <c r="J56" s="1277" t="n"/>
      <c r="K56" s="1277" t="n"/>
      <c r="L56" s="1277" t="n"/>
      <c r="M56" s="1277" t="n"/>
      <c r="N56" s="1277" t="n"/>
      <c r="O56" s="1277" t="n"/>
      <c r="P56" s="1277" t="n"/>
      <c r="Q56" s="1277" t="n"/>
      <c r="R56" s="1277" t="n"/>
      <c r="S56" s="1281" t="n"/>
    </row>
    <row r="57" ht="31.5" customHeight="1" s="1158">
      <c r="A57" s="1305" t="n"/>
      <c r="B57" s="1277" t="n"/>
      <c r="C57" s="1278" t="n"/>
      <c r="D57" s="1306" t="n"/>
      <c r="E57" s="1307" t="n"/>
      <c r="F57" s="1277" t="n"/>
      <c r="G57" s="1277" t="n"/>
      <c r="H57" s="1277" t="n"/>
      <c r="I57" s="1277" t="n"/>
      <c r="J57" s="1277" t="n"/>
      <c r="K57" s="1277" t="n"/>
      <c r="L57" s="1277" t="n"/>
      <c r="M57" s="1277" t="n"/>
      <c r="N57" s="1277" t="n"/>
      <c r="O57" s="1277" t="n"/>
      <c r="P57" s="1277" t="n"/>
      <c r="Q57" s="1277" t="n"/>
      <c r="R57" s="1277" t="n"/>
      <c r="S57" s="1281" t="n"/>
    </row>
    <row r="58" ht="24" customHeight="1" s="1158">
      <c r="A58" s="1305" t="n"/>
      <c r="B58" s="1277" t="n"/>
      <c r="C58" s="1278" t="n"/>
      <c r="D58" s="1306" t="n"/>
      <c r="E58" s="1307" t="n"/>
      <c r="F58" s="1277" t="n"/>
      <c r="G58" s="1277" t="n"/>
      <c r="H58" s="1277" t="n"/>
      <c r="I58" s="1277" t="n"/>
      <c r="J58" s="1277" t="n"/>
      <c r="K58" s="1277" t="n"/>
      <c r="L58" s="1277" t="n"/>
      <c r="M58" s="1277" t="n"/>
      <c r="N58" s="1277" t="n"/>
      <c r="O58" s="1277" t="n"/>
      <c r="P58" s="1277" t="n"/>
      <c r="Q58" s="1277" t="n"/>
      <c r="R58" s="1277" t="n"/>
      <c r="S58" s="1281" t="n"/>
    </row>
    <row r="59" ht="14.25" customHeight="1" s="1158">
      <c r="A59" s="1310" t="n"/>
      <c r="B59" s="1246" t="n"/>
      <c r="C59" s="1246" t="n"/>
      <c r="D59" s="1246" t="n"/>
      <c r="E59" s="1246" t="n"/>
      <c r="F59" s="1246" t="n"/>
      <c r="G59" s="1246" t="n"/>
      <c r="H59" s="1246" t="n"/>
      <c r="I59" s="1246" t="n"/>
      <c r="J59" s="1246" t="n"/>
      <c r="K59" s="1246" t="n"/>
      <c r="L59" s="1246" t="n"/>
      <c r="M59" s="1246" t="n"/>
      <c r="N59" s="1246" t="n"/>
      <c r="O59" s="1246" t="n"/>
      <c r="P59" s="1246" t="n"/>
      <c r="Q59" s="1246" t="n"/>
      <c r="R59" s="1246" t="n"/>
      <c r="S59" s="1311" t="n"/>
      <c r="T59" s="1312" t="n"/>
      <c r="U59" s="1312" t="n"/>
      <c r="V59" s="1312" t="n"/>
      <c r="W59" s="1312" t="n"/>
      <c r="X59" s="1312" t="n"/>
      <c r="Y59" s="1312" t="n"/>
      <c r="Z59" s="1312" t="n"/>
      <c r="AA59" s="1312" t="n"/>
      <c r="AB59" s="1312" t="n"/>
      <c r="AC59" s="1312" t="n"/>
      <c r="AD59" s="1312" t="n"/>
      <c r="AE59" s="1312" t="n"/>
      <c r="AF59" s="1312" t="n"/>
      <c r="AG59" s="1312" t="n"/>
      <c r="AH59" s="1312" t="n"/>
      <c r="AI59" s="1312" t="n"/>
      <c r="AJ59" s="1312" t="n"/>
      <c r="AK59" s="1312" t="n"/>
      <c r="AL59" s="1313" t="n"/>
    </row>
    <row r="60" ht="27" customHeight="1" s="1158">
      <c r="A60" s="1314" t="n"/>
      <c r="E60" s="1315" t="n"/>
      <c r="M60" s="1314" t="n"/>
      <c r="S60" s="1316" t="n"/>
      <c r="U60" s="1317" t="n"/>
      <c r="V60" s="1317" t="n"/>
      <c r="W60" s="1317" t="n"/>
      <c r="X60" s="1317" t="n"/>
      <c r="Y60" s="1317" t="n"/>
      <c r="Z60" s="1317" t="n"/>
      <c r="AA60" s="1317" t="n"/>
      <c r="AE60" s="1318" t="n"/>
      <c r="AL60" s="1319" t="n"/>
    </row>
    <row r="61" ht="27" customHeight="1" s="1158">
      <c r="A61" s="1315" t="n"/>
      <c r="M61" s="1320" t="n"/>
      <c r="U61" s="1317" t="n"/>
      <c r="V61" s="1317" t="n"/>
      <c r="W61" s="1317" t="n"/>
      <c r="X61" s="1317" t="n"/>
      <c r="Y61" s="1317" t="n"/>
      <c r="Z61" s="1317" t="n"/>
      <c r="AA61" s="1317" t="n"/>
      <c r="AL61" s="1319" t="n"/>
    </row>
    <row r="62" ht="15" customHeight="1" s="1158">
      <c r="A62" s="1321" t="n"/>
      <c r="E62" s="1322" t="n"/>
      <c r="J62" s="1323" t="n"/>
      <c r="K62" s="1321" t="n"/>
      <c r="P62" s="1324" t="n"/>
    </row>
    <row r="63" ht="13.5" customHeight="1" s="1158"/>
    <row r="64" ht="12" customHeight="1" s="1158">
      <c r="A64" s="1325" t="n"/>
    </row>
    <row r="65" ht="12" customHeight="1" s="1158"/>
    <row r="66" ht="12" customHeight="1" s="1158"/>
    <row r="67" ht="12" customHeight="1" s="1158"/>
    <row r="68" ht="12" customHeight="1" s="1158"/>
    <row r="69" ht="12" customHeight="1" s="1158">
      <c r="A69" s="1326" t="n"/>
      <c r="B69" s="1326" t="n"/>
      <c r="C69" s="1326" t="n"/>
      <c r="D69" s="1326" t="n"/>
      <c r="E69" s="1326" t="n"/>
      <c r="F69" s="1326" t="n"/>
      <c r="G69" s="1326" t="n"/>
      <c r="H69" s="1326" t="n"/>
      <c r="I69" s="1326" t="n"/>
      <c r="J69" s="1326" t="n"/>
      <c r="K69" s="1326" t="n"/>
      <c r="L69" s="1326" t="n"/>
      <c r="M69" s="1326" t="n"/>
      <c r="N69" s="1326" t="n"/>
      <c r="O69" s="1326" t="n"/>
      <c r="P69" s="1326" t="n"/>
      <c r="Q69" s="1326" t="n"/>
      <c r="R69" s="1326" t="n"/>
      <c r="S69" s="1326" t="n"/>
    </row>
    <row r="70" ht="12" customHeight="1" s="1158">
      <c r="A70" s="1326" t="n"/>
      <c r="B70" s="1326" t="n"/>
      <c r="C70" s="1326" t="n"/>
      <c r="D70" s="1326" t="n"/>
      <c r="E70" s="1326" t="n"/>
      <c r="F70" s="1326" t="n"/>
      <c r="G70" s="1326" t="n"/>
      <c r="H70" s="1326" t="n"/>
      <c r="I70" s="1326" t="n"/>
      <c r="J70" s="1326" t="n"/>
      <c r="K70" s="1326" t="n"/>
      <c r="L70" s="1326" t="n"/>
      <c r="M70" s="1326" t="n"/>
      <c r="N70" s="1326" t="n"/>
      <c r="O70" s="1326" t="n"/>
      <c r="P70" s="1326" t="n"/>
      <c r="Q70" s="1326" t="n"/>
      <c r="R70" s="1326" t="n"/>
      <c r="S70" s="1326" t="n"/>
    </row>
    <row r="71" ht="12" customHeight="1" s="1158">
      <c r="A71" s="1326" t="n"/>
      <c r="B71" s="1326" t="n"/>
      <c r="C71" s="1326" t="n"/>
      <c r="D71" s="1326" t="n"/>
      <c r="E71" s="1326" t="n"/>
      <c r="F71" s="1326" t="n"/>
      <c r="G71" s="1326" t="n"/>
      <c r="H71" s="1326" t="n"/>
      <c r="I71" s="1326" t="n"/>
      <c r="J71" s="1326" t="n"/>
      <c r="K71" s="1326" t="n"/>
      <c r="L71" s="1326" t="n"/>
      <c r="M71" s="1326" t="n"/>
      <c r="N71" s="1326" t="n"/>
      <c r="O71" s="1326" t="n"/>
      <c r="P71" s="1326" t="n"/>
      <c r="Q71" s="1326" t="n"/>
      <c r="R71" s="1326" t="n"/>
      <c r="S71" s="1326" t="n"/>
    </row>
    <row r="72" ht="12" customHeight="1" s="1158">
      <c r="A72" s="1326" t="n"/>
      <c r="B72" s="1326" t="n"/>
      <c r="C72" s="1326" t="n"/>
      <c r="D72" s="1326" t="n"/>
      <c r="E72" s="1326" t="n"/>
      <c r="F72" s="1326" t="n"/>
      <c r="G72" s="1326" t="n"/>
      <c r="H72" s="1326" t="n"/>
      <c r="I72" s="1326" t="n"/>
      <c r="J72" s="1326" t="n"/>
      <c r="K72" s="1326" t="n"/>
      <c r="L72" s="1326" t="n"/>
      <c r="M72" s="1326" t="n"/>
      <c r="N72" s="1326" t="n"/>
      <c r="O72" s="1326" t="n"/>
      <c r="P72" s="1326" t="n"/>
      <c r="Q72" s="1326" t="n"/>
      <c r="R72" s="1326" t="n"/>
      <c r="S72" s="1326" t="n"/>
    </row>
    <row r="73" ht="12" customHeight="1" s="1158">
      <c r="A73" s="1326" t="n"/>
      <c r="B73" s="1326" t="n"/>
      <c r="C73" s="1326" t="n"/>
      <c r="D73" s="1326" t="n"/>
      <c r="E73" s="1326" t="n"/>
      <c r="F73" s="1326" t="n"/>
      <c r="G73" s="1326" t="n"/>
      <c r="H73" s="1326" t="n"/>
      <c r="I73" s="1326" t="n"/>
      <c r="J73" s="1326" t="n"/>
      <c r="K73" s="1326" t="n"/>
      <c r="L73" s="1326" t="n"/>
      <c r="M73" s="1326" t="n"/>
      <c r="N73" s="1326" t="n"/>
      <c r="O73" s="1326" t="n"/>
      <c r="P73" s="1326" t="n"/>
      <c r="Q73" s="1326" t="n"/>
      <c r="R73" s="1326" t="n"/>
      <c r="S73" s="1326" t="n"/>
    </row>
    <row r="74" ht="12" customHeight="1" s="1158">
      <c r="A74" s="1326" t="n"/>
      <c r="B74" s="1326" t="n"/>
      <c r="C74" s="1326" t="n"/>
      <c r="D74" s="1326" t="n"/>
      <c r="E74" s="1326" t="n"/>
      <c r="F74" s="1326" t="n"/>
      <c r="G74" s="1326" t="n"/>
      <c r="H74" s="1326" t="n"/>
      <c r="I74" s="1326" t="n"/>
      <c r="J74" s="1326" t="n"/>
      <c r="K74" s="1326" t="n"/>
      <c r="L74" s="1326" t="n"/>
      <c r="M74" s="1326" t="n"/>
      <c r="N74" s="1326" t="n"/>
      <c r="O74" s="1326" t="n"/>
      <c r="P74" s="1326" t="n"/>
      <c r="Q74" s="1326" t="n"/>
      <c r="R74" s="1326" t="n"/>
      <c r="S74" s="1326" t="n"/>
    </row>
    <row r="75" ht="12" customHeight="1" s="1158">
      <c r="A75" s="1326" t="n"/>
      <c r="B75" s="1326" t="n"/>
      <c r="C75" s="1326" t="n"/>
      <c r="D75" s="1326" t="n"/>
      <c r="E75" s="1326" t="n"/>
      <c r="F75" s="1326" t="n"/>
      <c r="G75" s="1326" t="n"/>
      <c r="H75" s="1326" t="n"/>
      <c r="I75" s="1326" t="n"/>
      <c r="J75" s="1326" t="n"/>
      <c r="K75" s="1326" t="n"/>
      <c r="L75" s="1326" t="n"/>
      <c r="M75" s="1326" t="n"/>
      <c r="N75" s="1326" t="n"/>
      <c r="O75" s="1326" t="n"/>
      <c r="P75" s="1326" t="n"/>
      <c r="Q75" s="1326" t="n"/>
      <c r="R75" s="1326" t="n"/>
      <c r="S75" s="1326" t="n"/>
    </row>
    <row r="76" ht="12" customHeight="1" s="1158">
      <c r="A76" s="1326" t="n"/>
      <c r="B76" s="1326" t="n"/>
      <c r="C76" s="1326" t="n"/>
      <c r="D76" s="1326" t="n"/>
      <c r="E76" s="1326" t="n"/>
      <c r="F76" s="1326" t="n"/>
      <c r="G76" s="1326" t="n"/>
      <c r="H76" s="1326" t="n"/>
      <c r="I76" s="1326" t="n"/>
      <c r="J76" s="1326" t="n"/>
      <c r="K76" s="1326" t="n"/>
      <c r="L76" s="1326" t="n"/>
      <c r="M76" s="1326" t="n"/>
      <c r="N76" s="1326" t="n"/>
      <c r="O76" s="1326" t="n"/>
      <c r="P76" s="1326" t="n"/>
      <c r="Q76" s="1326" t="n"/>
      <c r="R76" s="1326" t="n"/>
      <c r="S76" s="1326" t="n"/>
    </row>
    <row r="77" ht="12" customHeight="1" s="1158">
      <c r="A77" s="1326" t="n"/>
      <c r="B77" s="1326" t="n"/>
      <c r="C77" s="1326" t="n"/>
      <c r="D77" s="1326" t="n"/>
      <c r="E77" s="1326" t="n"/>
      <c r="F77" s="1326" t="n"/>
      <c r="G77" s="1326" t="n"/>
      <c r="H77" s="1326" t="n"/>
      <c r="I77" s="1326" t="n"/>
      <c r="J77" s="1326" t="n"/>
      <c r="K77" s="1326" t="n"/>
      <c r="L77" s="1326" t="n"/>
      <c r="M77" s="1326" t="n"/>
      <c r="N77" s="1326" t="n"/>
      <c r="O77" s="1326" t="n"/>
      <c r="P77" s="1326" t="n"/>
      <c r="Q77" s="1326" t="n"/>
      <c r="R77" s="1326" t="n"/>
      <c r="S77" s="1326" t="n"/>
    </row>
    <row r="78" ht="12" customHeight="1" s="1158">
      <c r="A78" s="1326" t="n"/>
      <c r="B78" s="1326" t="n"/>
      <c r="C78" s="1326" t="n"/>
      <c r="D78" s="1326" t="n"/>
      <c r="E78" s="1326" t="n"/>
      <c r="F78" s="1326" t="n"/>
      <c r="G78" s="1326" t="n"/>
      <c r="H78" s="1326" t="n"/>
      <c r="I78" s="1326" t="n"/>
      <c r="J78" s="1326" t="n"/>
      <c r="K78" s="1326" t="n"/>
      <c r="L78" s="1326" t="n"/>
      <c r="M78" s="1326" t="n"/>
      <c r="N78" s="1326" t="n"/>
      <c r="O78" s="1326" t="n"/>
      <c r="P78" s="1326" t="n"/>
      <c r="Q78" s="1326" t="n"/>
      <c r="R78" s="1326" t="n"/>
      <c r="S78" s="1326" t="n"/>
    </row>
    <row r="79" ht="12" customHeight="1" s="1158">
      <c r="A79" s="1326" t="n"/>
      <c r="B79" s="1326" t="n"/>
      <c r="C79" s="1326" t="n"/>
      <c r="D79" s="1326" t="n"/>
      <c r="E79" s="1326" t="n"/>
      <c r="F79" s="1326" t="n"/>
      <c r="G79" s="1326" t="n"/>
      <c r="H79" s="1326" t="n"/>
      <c r="I79" s="1326" t="n"/>
      <c r="J79" s="1326" t="n"/>
      <c r="K79" s="1326" t="n"/>
      <c r="L79" s="1326" t="n"/>
      <c r="M79" s="1326" t="n"/>
      <c r="N79" s="1326" t="n"/>
      <c r="O79" s="1326" t="n"/>
      <c r="P79" s="1326" t="n"/>
      <c r="Q79" s="1326" t="n"/>
      <c r="R79" s="1326" t="n"/>
      <c r="S79" s="1326" t="n"/>
    </row>
    <row r="80" ht="12" customHeight="1" s="1158">
      <c r="A80" s="1326" t="n"/>
      <c r="B80" s="1326" t="n"/>
      <c r="C80" s="1326" t="n"/>
      <c r="D80" s="1326" t="n"/>
      <c r="E80" s="1326" t="n"/>
      <c r="F80" s="1326" t="n"/>
      <c r="G80" s="1326" t="n"/>
      <c r="H80" s="1326" t="n"/>
      <c r="I80" s="1326" t="n"/>
      <c r="J80" s="1326" t="n"/>
      <c r="K80" s="1326" t="n"/>
      <c r="L80" s="1326" t="n"/>
      <c r="M80" s="1326" t="n"/>
      <c r="N80" s="1326" t="n"/>
      <c r="O80" s="1326" t="n"/>
      <c r="P80" s="1326" t="n"/>
      <c r="Q80" s="1326" t="n"/>
      <c r="R80" s="1326" t="n"/>
      <c r="S80" s="1326" t="n"/>
    </row>
    <row r="81" ht="12" customHeight="1" s="1158">
      <c r="A81" s="1326" t="n"/>
      <c r="B81" s="1326" t="n"/>
      <c r="C81" s="1326" t="n"/>
      <c r="D81" s="1326" t="n"/>
      <c r="E81" s="1326" t="n"/>
      <c r="F81" s="1326" t="n"/>
      <c r="G81" s="1326" t="n"/>
      <c r="H81" s="1326" t="n"/>
      <c r="I81" s="1326" t="n"/>
      <c r="J81" s="1326" t="n"/>
      <c r="K81" s="1326" t="n"/>
      <c r="L81" s="1326" t="n"/>
      <c r="M81" s="1326" t="n"/>
      <c r="N81" s="1326" t="n"/>
      <c r="O81" s="1326" t="n"/>
      <c r="P81" s="1326" t="n"/>
      <c r="Q81" s="1326" t="n"/>
      <c r="R81" s="1326" t="n"/>
      <c r="S81" s="1326" t="n"/>
    </row>
    <row r="82" ht="12" customHeight="1" s="1158">
      <c r="A82" s="1326" t="n"/>
      <c r="B82" s="1326" t="n"/>
      <c r="C82" s="1326" t="n"/>
      <c r="D82" s="1326" t="n"/>
      <c r="E82" s="1326" t="n"/>
      <c r="F82" s="1326" t="n"/>
      <c r="G82" s="1326" t="n"/>
      <c r="H82" s="1326" t="n"/>
      <c r="I82" s="1326" t="n"/>
      <c r="J82" s="1326" t="n"/>
      <c r="K82" s="1326" t="n"/>
      <c r="L82" s="1326" t="n"/>
      <c r="M82" s="1326" t="n"/>
      <c r="N82" s="1326" t="n"/>
      <c r="O82" s="1326" t="n"/>
      <c r="P82" s="1326" t="n"/>
      <c r="Q82" s="1326" t="n"/>
      <c r="R82" s="1326" t="n"/>
      <c r="S82" s="1326" t="n"/>
    </row>
    <row r="83" ht="12" customHeight="1" s="1158">
      <c r="A83" s="1326" t="n"/>
      <c r="B83" s="1326" t="n"/>
      <c r="C83" s="1326" t="n"/>
      <c r="D83" s="1326" t="n"/>
      <c r="E83" s="1326" t="n"/>
      <c r="F83" s="1326" t="n"/>
      <c r="G83" s="1326" t="n"/>
      <c r="H83" s="1326" t="n"/>
      <c r="I83" s="1326" t="n"/>
      <c r="J83" s="1326" t="n"/>
      <c r="K83" s="1326" t="n"/>
      <c r="L83" s="1326" t="n"/>
      <c r="M83" s="1326" t="n"/>
      <c r="N83" s="1326" t="n"/>
      <c r="O83" s="1326" t="n"/>
      <c r="P83" s="1326" t="n"/>
      <c r="Q83" s="1326" t="n"/>
      <c r="R83" s="1326" t="n"/>
      <c r="S83" s="1326" t="n"/>
    </row>
    <row r="84" ht="12" customHeight="1" s="1158">
      <c r="A84" s="1326" t="n"/>
      <c r="B84" s="1326" t="n"/>
      <c r="C84" s="1326" t="n"/>
      <c r="D84" s="1326" t="n"/>
      <c r="E84" s="1326" t="n"/>
      <c r="F84" s="1326" t="n"/>
      <c r="G84" s="1326" t="n"/>
      <c r="H84" s="1326" t="n"/>
      <c r="I84" s="1326" t="n"/>
      <c r="J84" s="1326" t="n"/>
      <c r="K84" s="1326" t="n"/>
      <c r="L84" s="1326" t="n"/>
      <c r="M84" s="1326" t="n"/>
      <c r="N84" s="1326" t="n"/>
      <c r="O84" s="1326" t="n"/>
      <c r="P84" s="1326" t="n"/>
      <c r="Q84" s="1326" t="n"/>
      <c r="R84" s="1326" t="n"/>
      <c r="S84" s="1326" t="n"/>
    </row>
    <row r="85" ht="12" customHeight="1" s="1158">
      <c r="A85" s="1326" t="n"/>
      <c r="B85" s="1326" t="n"/>
      <c r="C85" s="1326" t="n"/>
      <c r="D85" s="1326" t="n"/>
      <c r="E85" s="1326" t="n"/>
      <c r="F85" s="1326" t="n"/>
      <c r="G85" s="1326" t="n"/>
      <c r="H85" s="1326" t="n"/>
      <c r="I85" s="1326" t="n"/>
      <c r="J85" s="1326" t="n"/>
      <c r="K85" s="1326" t="n"/>
      <c r="L85" s="1326" t="n"/>
      <c r="M85" s="1326" t="n"/>
      <c r="N85" s="1326" t="n"/>
      <c r="O85" s="1326" t="n"/>
      <c r="P85" s="1326" t="n"/>
      <c r="Q85" s="1326" t="n"/>
      <c r="R85" s="1326" t="n"/>
      <c r="S85" s="1326" t="n"/>
    </row>
    <row r="86" ht="12" customHeight="1" s="1158">
      <c r="A86" s="1326" t="n"/>
      <c r="B86" s="1326" t="n"/>
      <c r="C86" s="1326" t="n"/>
      <c r="D86" s="1326" t="n"/>
      <c r="E86" s="1326" t="n"/>
      <c r="F86" s="1326" t="n"/>
      <c r="G86" s="1326" t="n"/>
      <c r="H86" s="1326" t="n"/>
      <c r="I86" s="1326" t="n"/>
      <c r="J86" s="1326" t="n"/>
      <c r="K86" s="1326" t="n"/>
      <c r="L86" s="1326" t="n"/>
      <c r="M86" s="1326" t="n"/>
      <c r="N86" s="1326" t="n"/>
      <c r="O86" s="1326" t="n"/>
      <c r="P86" s="1326" t="n"/>
      <c r="Q86" s="1326" t="n"/>
      <c r="R86" s="1326" t="n"/>
      <c r="S86" s="1326" t="n"/>
    </row>
    <row r="87" ht="12" customHeight="1" s="1158">
      <c r="A87" s="1326" t="n"/>
      <c r="B87" s="1326" t="n"/>
      <c r="C87" s="1326" t="n"/>
      <c r="D87" s="1326" t="n"/>
      <c r="E87" s="1326" t="n"/>
      <c r="F87" s="1326" t="n"/>
      <c r="G87" s="1326" t="n"/>
      <c r="H87" s="1326" t="n"/>
      <c r="I87" s="1326" t="n"/>
      <c r="J87" s="1326" t="n"/>
      <c r="K87" s="1326" t="n"/>
      <c r="L87" s="1326" t="n"/>
      <c r="M87" s="1326" t="n"/>
      <c r="N87" s="1326" t="n"/>
      <c r="O87" s="1326" t="n"/>
      <c r="P87" s="1326" t="n"/>
      <c r="Q87" s="1326" t="n"/>
      <c r="R87" s="1326" t="n"/>
      <c r="S87" s="1326" t="n"/>
    </row>
    <row r="88" ht="12" customHeight="1" s="1158">
      <c r="A88" s="1326" t="n"/>
      <c r="B88" s="1326" t="n"/>
      <c r="C88" s="1326" t="n"/>
      <c r="D88" s="1326" t="n"/>
      <c r="E88" s="1326" t="n"/>
      <c r="F88" s="1326" t="n"/>
      <c r="G88" s="1326" t="n"/>
      <c r="H88" s="1326" t="n"/>
      <c r="I88" s="1326" t="n"/>
      <c r="J88" s="1326" t="n"/>
      <c r="K88" s="1326" t="n"/>
      <c r="L88" s="1326" t="n"/>
      <c r="M88" s="1326" t="n"/>
      <c r="N88" s="1326" t="n"/>
      <c r="O88" s="1326" t="n"/>
      <c r="P88" s="1326" t="n"/>
      <c r="Q88" s="1326" t="n"/>
      <c r="R88" s="1326" t="n"/>
      <c r="S88" s="1326" t="n"/>
    </row>
    <row r="89" ht="12" customHeight="1" s="1158">
      <c r="A89" s="1326" t="n"/>
      <c r="B89" s="1326" t="n"/>
      <c r="C89" s="1326" t="n"/>
      <c r="D89" s="1326" t="n"/>
      <c r="E89" s="1326" t="n"/>
      <c r="F89" s="1326" t="n"/>
      <c r="G89" s="1326" t="n"/>
      <c r="H89" s="1326" t="n"/>
      <c r="I89" s="1326" t="n"/>
      <c r="J89" s="1326" t="n"/>
      <c r="K89" s="1326" t="n"/>
      <c r="L89" s="1326" t="n"/>
      <c r="M89" s="1326" t="n"/>
      <c r="N89" s="1326" t="n"/>
      <c r="O89" s="1326" t="n"/>
      <c r="P89" s="1326" t="n"/>
      <c r="Q89" s="1326" t="n"/>
      <c r="R89" s="1326" t="n"/>
      <c r="S89" s="1326" t="n"/>
    </row>
    <row r="90" ht="12" customHeight="1" s="1158">
      <c r="A90" s="1326" t="n"/>
      <c r="B90" s="1326" t="n"/>
      <c r="C90" s="1326" t="n"/>
      <c r="D90" s="1326" t="n"/>
      <c r="E90" s="1326" t="n"/>
      <c r="F90" s="1326" t="n"/>
      <c r="G90" s="1326" t="n"/>
      <c r="H90" s="1326" t="n"/>
      <c r="I90" s="1326" t="n"/>
      <c r="J90" s="1326" t="n"/>
      <c r="K90" s="1326" t="n"/>
      <c r="L90" s="1326" t="n"/>
      <c r="M90" s="1326" t="n"/>
      <c r="N90" s="1326" t="n"/>
      <c r="O90" s="1326" t="n"/>
      <c r="P90" s="1326" t="n"/>
      <c r="Q90" s="1326" t="n"/>
      <c r="R90" s="1326" t="n"/>
      <c r="S90" s="1326" t="n"/>
    </row>
    <row r="91" ht="12" customHeight="1" s="1158">
      <c r="A91" s="1326" t="n"/>
      <c r="B91" s="1326" t="n"/>
      <c r="C91" s="1326" t="n"/>
      <c r="D91" s="1326" t="n"/>
      <c r="E91" s="1326" t="n"/>
      <c r="F91" s="1326" t="n"/>
      <c r="G91" s="1326" t="n"/>
      <c r="H91" s="1326" t="n"/>
      <c r="I91" s="1326" t="n"/>
      <c r="J91" s="1326" t="n"/>
      <c r="K91" s="1326" t="n"/>
      <c r="L91" s="1326" t="n"/>
      <c r="M91" s="1326" t="n"/>
      <c r="N91" s="1326" t="n"/>
      <c r="O91" s="1326" t="n"/>
      <c r="P91" s="1326" t="n"/>
      <c r="Q91" s="1326" t="n"/>
      <c r="R91" s="1326" t="n"/>
      <c r="S91" s="1326" t="n"/>
    </row>
    <row r="92" ht="12" customHeight="1" s="1158">
      <c r="A92" s="1326" t="n"/>
      <c r="B92" s="1326" t="n"/>
      <c r="C92" s="1326" t="n"/>
      <c r="D92" s="1326" t="n"/>
      <c r="E92" s="1326" t="n"/>
      <c r="F92" s="1326" t="n"/>
      <c r="G92" s="1326" t="n"/>
      <c r="H92" s="1326" t="n"/>
      <c r="I92" s="1326" t="n"/>
      <c r="J92" s="1326" t="n"/>
      <c r="K92" s="1326" t="n"/>
      <c r="L92" s="1326" t="n"/>
      <c r="M92" s="1326" t="n"/>
      <c r="N92" s="1326" t="n"/>
      <c r="O92" s="1326" t="n"/>
      <c r="P92" s="1326" t="n"/>
      <c r="Q92" s="1326" t="n"/>
      <c r="R92" s="1326" t="n"/>
      <c r="S92" s="1326" t="n"/>
    </row>
    <row r="93" ht="12" customHeight="1" s="1158">
      <c r="A93" s="1326" t="n"/>
      <c r="B93" s="1326" t="n"/>
      <c r="C93" s="1326" t="n"/>
      <c r="D93" s="1326" t="n"/>
      <c r="E93" s="1326" t="n"/>
      <c r="F93" s="1326" t="n"/>
      <c r="G93" s="1326" t="n"/>
      <c r="H93" s="1326" t="n"/>
      <c r="I93" s="1326" t="n"/>
      <c r="J93" s="1326" t="n"/>
      <c r="K93" s="1326" t="n"/>
      <c r="L93" s="1326" t="n"/>
      <c r="M93" s="1326" t="n"/>
      <c r="N93" s="1326" t="n"/>
      <c r="O93" s="1326" t="n"/>
      <c r="P93" s="1326" t="n"/>
      <c r="Q93" s="1326" t="n"/>
      <c r="R93" s="1326" t="n"/>
      <c r="S93" s="1326" t="n"/>
    </row>
    <row r="94" ht="12" customHeight="1" s="1158">
      <c r="A94" s="1326" t="n"/>
      <c r="B94" s="1326" t="n"/>
      <c r="C94" s="1326" t="n"/>
      <c r="D94" s="1326" t="n"/>
      <c r="E94" s="1326" t="n"/>
      <c r="F94" s="1326" t="n"/>
      <c r="G94" s="1326" t="n"/>
      <c r="H94" s="1326" t="n"/>
      <c r="I94" s="1326" t="n"/>
      <c r="J94" s="1326" t="n"/>
      <c r="K94" s="1326" t="n"/>
      <c r="L94" s="1326" t="n"/>
      <c r="M94" s="1326" t="n"/>
      <c r="N94" s="1326" t="n"/>
      <c r="O94" s="1326" t="n"/>
      <c r="P94" s="1326" t="n"/>
      <c r="Q94" s="1326" t="n"/>
      <c r="R94" s="1326" t="n"/>
      <c r="S94" s="1326" t="n"/>
    </row>
    <row r="95" ht="12" customHeight="1" s="1158">
      <c r="A95" s="1326" t="n"/>
      <c r="B95" s="1326" t="n"/>
      <c r="C95" s="1326" t="n"/>
      <c r="D95" s="1326" t="n"/>
      <c r="E95" s="1326" t="n"/>
      <c r="F95" s="1326" t="n"/>
      <c r="G95" s="1326" t="n"/>
      <c r="H95" s="1326" t="n"/>
      <c r="I95" s="1326" t="n"/>
      <c r="J95" s="1326" t="n"/>
      <c r="K95" s="1326" t="n"/>
      <c r="L95" s="1326" t="n"/>
      <c r="M95" s="1326" t="n"/>
      <c r="N95" s="1326" t="n"/>
      <c r="O95" s="1326" t="n"/>
      <c r="P95" s="1326" t="n"/>
      <c r="Q95" s="1326" t="n"/>
      <c r="R95" s="1326" t="n"/>
      <c r="S95" s="1326" t="n"/>
    </row>
    <row r="96" ht="12" customHeight="1" s="1158">
      <c r="A96" s="1326" t="n"/>
      <c r="B96" s="1326" t="n"/>
      <c r="C96" s="1326" t="n"/>
      <c r="D96" s="1326" t="n"/>
      <c r="E96" s="1326" t="n"/>
      <c r="F96" s="1326" t="n"/>
      <c r="G96" s="1326" t="n"/>
      <c r="H96" s="1326" t="n"/>
      <c r="I96" s="1326" t="n"/>
      <c r="J96" s="1326" t="n"/>
      <c r="K96" s="1326" t="n"/>
      <c r="L96" s="1326" t="n"/>
      <c r="M96" s="1326" t="n"/>
      <c r="N96" s="1326" t="n"/>
      <c r="O96" s="1326" t="n"/>
      <c r="P96" s="1326" t="n"/>
      <c r="Q96" s="1326" t="n"/>
      <c r="R96" s="1326" t="n"/>
      <c r="S96" s="1326" t="n"/>
    </row>
    <row r="97" ht="12" customHeight="1" s="1158">
      <c r="A97" s="1326" t="n"/>
      <c r="B97" s="1326" t="n"/>
      <c r="C97" s="1326" t="n"/>
      <c r="D97" s="1326" t="n"/>
      <c r="E97" s="1326" t="n"/>
      <c r="F97" s="1326" t="n"/>
      <c r="G97" s="1326" t="n"/>
      <c r="H97" s="1326" t="n"/>
      <c r="I97" s="1326" t="n"/>
      <c r="J97" s="1326" t="n"/>
      <c r="K97" s="1326" t="n"/>
      <c r="L97" s="1326" t="n"/>
      <c r="M97" s="1326" t="n"/>
      <c r="N97" s="1326" t="n"/>
      <c r="O97" s="1326" t="n"/>
      <c r="P97" s="1326" t="n"/>
      <c r="Q97" s="1326" t="n"/>
      <c r="R97" s="1326" t="n"/>
      <c r="S97" s="1326" t="n"/>
    </row>
    <row r="98" ht="12" customHeight="1" s="1158">
      <c r="A98" s="1326" t="n"/>
      <c r="B98" s="1326" t="n"/>
      <c r="C98" s="1326" t="n"/>
      <c r="D98" s="1326" t="n"/>
      <c r="E98" s="1326" t="n"/>
      <c r="F98" s="1326" t="n"/>
      <c r="G98" s="1326" t="n"/>
      <c r="H98" s="1326" t="n"/>
      <c r="I98" s="1326" t="n"/>
      <c r="J98" s="1326" t="n"/>
      <c r="K98" s="1326" t="n"/>
      <c r="L98" s="1326" t="n"/>
      <c r="M98" s="1326" t="n"/>
      <c r="N98" s="1326" t="n"/>
      <c r="O98" s="1326" t="n"/>
      <c r="P98" s="1326" t="n"/>
      <c r="Q98" s="1326" t="n"/>
      <c r="R98" s="1326" t="n"/>
      <c r="S98" s="1326" t="n"/>
    </row>
    <row r="99" ht="12" customHeight="1" s="1158">
      <c r="A99" s="1326" t="n"/>
      <c r="B99" s="1326" t="n"/>
      <c r="C99" s="1326" t="n"/>
      <c r="D99" s="1326" t="n"/>
      <c r="E99" s="1326" t="n"/>
      <c r="F99" s="1326" t="n"/>
      <c r="G99" s="1326" t="n"/>
      <c r="H99" s="1326" t="n"/>
      <c r="I99" s="1326" t="n"/>
      <c r="J99" s="1326" t="n"/>
      <c r="K99" s="1326" t="n"/>
      <c r="L99" s="1326" t="n"/>
      <c r="M99" s="1326" t="n"/>
      <c r="N99" s="1326" t="n"/>
      <c r="O99" s="1326" t="n"/>
      <c r="P99" s="1326" t="n"/>
      <c r="Q99" s="1326" t="n"/>
      <c r="R99" s="1326" t="n"/>
      <c r="S99" s="1326" t="n"/>
    </row>
    <row r="100" ht="12" customHeight="1" s="1158">
      <c r="A100" s="1326" t="n"/>
      <c r="B100" s="1326" t="n"/>
      <c r="C100" s="1326" t="n"/>
      <c r="D100" s="1326" t="n"/>
      <c r="E100" s="1326" t="n"/>
      <c r="F100" s="1326" t="n"/>
      <c r="G100" s="1326" t="n"/>
      <c r="H100" s="1326" t="n"/>
      <c r="I100" s="1326" t="n"/>
      <c r="J100" s="1326" t="n"/>
      <c r="K100" s="1326" t="n"/>
      <c r="L100" s="1326" t="n"/>
      <c r="M100" s="1326" t="n"/>
      <c r="N100" s="1326" t="n"/>
      <c r="O100" s="1326" t="n"/>
      <c r="P100" s="1326" t="n"/>
      <c r="Q100" s="1326" t="n"/>
      <c r="R100" s="1326" t="n"/>
      <c r="S100" s="1326" t="n"/>
    </row>
    <row r="101" ht="12" customHeight="1" s="1158">
      <c r="A101" s="1326" t="n"/>
      <c r="B101" s="1326" t="n"/>
      <c r="C101" s="1326" t="n"/>
      <c r="D101" s="1326" t="n"/>
      <c r="E101" s="1326" t="n"/>
      <c r="F101" s="1326" t="n"/>
      <c r="G101" s="1326" t="n"/>
      <c r="H101" s="1326" t="n"/>
      <c r="I101" s="1326" t="n"/>
      <c r="J101" s="1326" t="n"/>
      <c r="K101" s="1326" t="n"/>
      <c r="L101" s="1326" t="n"/>
      <c r="M101" s="1326" t="n"/>
      <c r="N101" s="1326" t="n"/>
      <c r="O101" s="1326" t="n"/>
      <c r="P101" s="1326" t="n"/>
      <c r="Q101" s="1326" t="n"/>
      <c r="R101" s="1326" t="n"/>
      <c r="S101" s="1326" t="n"/>
    </row>
    <row r="102" ht="12" customHeight="1" s="1158">
      <c r="A102" s="1326" t="n"/>
      <c r="B102" s="1326" t="n"/>
      <c r="C102" s="1326" t="n"/>
      <c r="D102" s="1326" t="n"/>
      <c r="E102" s="1326" t="n"/>
      <c r="F102" s="1326" t="n"/>
      <c r="G102" s="1326" t="n"/>
      <c r="H102" s="1326" t="n"/>
      <c r="I102" s="1326" t="n"/>
      <c r="J102" s="1326" t="n"/>
      <c r="K102" s="1326" t="n"/>
      <c r="L102" s="1326" t="n"/>
      <c r="M102" s="1326" t="n"/>
      <c r="N102" s="1326" t="n"/>
      <c r="O102" s="1326" t="n"/>
      <c r="P102" s="1326" t="n"/>
      <c r="Q102" s="1326" t="n"/>
      <c r="R102" s="1326" t="n"/>
      <c r="S102" s="1326" t="n"/>
    </row>
    <row r="103" ht="12" customHeight="1" s="1158">
      <c r="A103" s="1326" t="n"/>
      <c r="B103" s="1326" t="n"/>
      <c r="C103" s="1326" t="n"/>
      <c r="D103" s="1326" t="n"/>
      <c r="E103" s="1326" t="n"/>
      <c r="F103" s="1326" t="n"/>
      <c r="G103" s="1326" t="n"/>
      <c r="H103" s="1326" t="n"/>
      <c r="I103" s="1326" t="n"/>
      <c r="J103" s="1326" t="n"/>
      <c r="K103" s="1326" t="n"/>
      <c r="L103" s="1326" t="n"/>
      <c r="M103" s="1326" t="n"/>
      <c r="N103" s="1326" t="n"/>
      <c r="O103" s="1326" t="n"/>
      <c r="P103" s="1326" t="n"/>
      <c r="Q103" s="1326" t="n"/>
      <c r="R103" s="1326" t="n"/>
      <c r="S103" s="1326" t="n"/>
    </row>
    <row r="104" ht="12" customHeight="1" s="1158">
      <c r="A104" s="1326" t="n"/>
      <c r="B104" s="1326" t="n"/>
      <c r="C104" s="1326" t="n"/>
      <c r="D104" s="1326" t="n"/>
      <c r="E104" s="1326" t="n"/>
      <c r="F104" s="1326" t="n"/>
      <c r="G104" s="1326" t="n"/>
      <c r="H104" s="1326" t="n"/>
      <c r="I104" s="1326" t="n"/>
      <c r="J104" s="1326" t="n"/>
      <c r="K104" s="1326" t="n"/>
      <c r="L104" s="1326" t="n"/>
      <c r="M104" s="1326" t="n"/>
      <c r="N104" s="1326" t="n"/>
      <c r="O104" s="1326" t="n"/>
      <c r="P104" s="1326" t="n"/>
      <c r="Q104" s="1326" t="n"/>
      <c r="R104" s="1326" t="n"/>
      <c r="S104" s="1326" t="n"/>
    </row>
    <row r="105" ht="12" customHeight="1" s="1158">
      <c r="A105" s="1326" t="n"/>
      <c r="B105" s="1326" t="n"/>
      <c r="C105" s="1326" t="n"/>
      <c r="D105" s="1326" t="n"/>
      <c r="E105" s="1326" t="n"/>
      <c r="F105" s="1326" t="n"/>
      <c r="G105" s="1326" t="n"/>
      <c r="H105" s="1326" t="n"/>
      <c r="I105" s="1326" t="n"/>
      <c r="J105" s="1326" t="n"/>
      <c r="K105" s="1326" t="n"/>
      <c r="L105" s="1326" t="n"/>
      <c r="M105" s="1326" t="n"/>
      <c r="N105" s="1326" t="n"/>
      <c r="O105" s="1326" t="n"/>
      <c r="P105" s="1326" t="n"/>
      <c r="Q105" s="1326" t="n"/>
      <c r="R105" s="1326" t="n"/>
      <c r="S105" s="1326" t="n"/>
    </row>
    <row r="106" ht="12" customHeight="1" s="1158">
      <c r="A106" s="1326" t="n"/>
      <c r="B106" s="1326" t="n"/>
      <c r="C106" s="1326" t="n"/>
      <c r="D106" s="1326" t="n"/>
      <c r="E106" s="1326" t="n"/>
      <c r="F106" s="1326" t="n"/>
      <c r="G106" s="1326" t="n"/>
      <c r="H106" s="1326" t="n"/>
      <c r="I106" s="1326" t="n"/>
      <c r="J106" s="1326" t="n"/>
      <c r="K106" s="1326" t="n"/>
      <c r="L106" s="1326" t="n"/>
      <c r="M106" s="1326" t="n"/>
      <c r="N106" s="1326" t="n"/>
      <c r="O106" s="1326" t="n"/>
      <c r="P106" s="1326" t="n"/>
      <c r="Q106" s="1326" t="n"/>
      <c r="R106" s="1326" t="n"/>
      <c r="S106" s="1326" t="n"/>
    </row>
    <row r="107" ht="12" customHeight="1" s="1158">
      <c r="A107" s="1326" t="n"/>
      <c r="B107" s="1326" t="n"/>
      <c r="C107" s="1326" t="n"/>
      <c r="D107" s="1326" t="n"/>
      <c r="E107" s="1326" t="n"/>
      <c r="F107" s="1326" t="n"/>
      <c r="G107" s="1326" t="n"/>
      <c r="H107" s="1326" t="n"/>
      <c r="I107" s="1326" t="n"/>
      <c r="J107" s="1326" t="n"/>
      <c r="K107" s="1326" t="n"/>
      <c r="L107" s="1326" t="n"/>
      <c r="M107" s="1326" t="n"/>
      <c r="N107" s="1326" t="n"/>
      <c r="O107" s="1326" t="n"/>
      <c r="P107" s="1326" t="n"/>
      <c r="Q107" s="1326" t="n"/>
      <c r="R107" s="1326" t="n"/>
      <c r="S107" s="1326" t="n"/>
    </row>
  </sheetData>
  <mergeCells count="134">
    <mergeCell ref="E44:S44"/>
    <mergeCell ref="E20:S20"/>
    <mergeCell ref="A37:C37"/>
    <mergeCell ref="A46:C46"/>
    <mergeCell ref="M22:R22"/>
    <mergeCell ref="F2:H2"/>
    <mergeCell ref="A21:C21"/>
    <mergeCell ref="A57:C57"/>
    <mergeCell ref="A26:S30"/>
    <mergeCell ref="E46:S46"/>
    <mergeCell ref="R6:S6"/>
    <mergeCell ref="A23:L23"/>
    <mergeCell ref="A43:C43"/>
    <mergeCell ref="A52:C52"/>
    <mergeCell ref="E54:S54"/>
    <mergeCell ref="E32:S32"/>
    <mergeCell ref="H5:J5"/>
    <mergeCell ref="D6:G6"/>
    <mergeCell ref="E41:S41"/>
    <mergeCell ref="E24:I25"/>
    <mergeCell ref="A34:C34"/>
    <mergeCell ref="E47:S47"/>
    <mergeCell ref="M8:N8"/>
    <mergeCell ref="E56:S56"/>
    <mergeCell ref="O8:P8"/>
    <mergeCell ref="N5:Q5"/>
    <mergeCell ref="I2:K2"/>
    <mergeCell ref="A49:C49"/>
    <mergeCell ref="K5:M5"/>
    <mergeCell ref="A6:C6"/>
    <mergeCell ref="D7:G7"/>
    <mergeCell ref="E17:S17"/>
    <mergeCell ref="A22:D22"/>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K24:O25"/>
    <mergeCell ref="E37:S37"/>
    <mergeCell ref="I8:J8"/>
    <mergeCell ref="A15:C15"/>
    <mergeCell ref="E12:S12"/>
    <mergeCell ref="A51:C51"/>
    <mergeCell ref="E21:S21"/>
    <mergeCell ref="E8:G8"/>
    <mergeCell ref="E14:S14"/>
    <mergeCell ref="E22:L22"/>
    <mergeCell ref="F3:H3"/>
    <mergeCell ref="A7:C7"/>
    <mergeCell ref="A16:C16"/>
    <mergeCell ref="H6:J6"/>
    <mergeCell ref="E51:S51"/>
    <mergeCell ref="A24:D25"/>
    <mergeCell ref="A18:C18"/>
    <mergeCell ref="O2:R2"/>
    <mergeCell ref="N6:Q6"/>
    <mergeCell ref="I3:K3"/>
    <mergeCell ref="A50:C50"/>
    <mergeCell ref="M23:S23"/>
    <mergeCell ref="A2:C2"/>
    <mergeCell ref="A42:C42"/>
    <mergeCell ref="R7:S7"/>
    <mergeCell ref="A47:C47"/>
    <mergeCell ref="J24:J25"/>
    <mergeCell ref="A59:S59"/>
    <mergeCell ref="N7:Q7"/>
    <mergeCell ref="A20:C20"/>
    <mergeCell ref="K8:L8"/>
    <mergeCell ref="E53:S53"/>
    <mergeCell ref="L2:N2"/>
    <mergeCell ref="D3:E3"/>
    <mergeCell ref="E50:S50"/>
    <mergeCell ref="D1:R1"/>
    <mergeCell ref="E55:S55"/>
    <mergeCell ref="E52:S52"/>
    <mergeCell ref="E39:S39"/>
    <mergeCell ref="R5:S5"/>
    <mergeCell ref="L3:N3"/>
    <mergeCell ref="E48:S48"/>
    <mergeCell ref="A54:C54"/>
    <mergeCell ref="A41:C41"/>
    <mergeCell ref="E38:S38"/>
    <mergeCell ref="E13:S13"/>
    <mergeCell ref="A56:C56"/>
    <mergeCell ref="E31:S31"/>
    <mergeCell ref="D5:G5"/>
    <mergeCell ref="E40:S40"/>
    <mergeCell ref="Q8:R8"/>
    <mergeCell ref="AE22:AK23"/>
    <mergeCell ref="E15:S15"/>
    <mergeCell ref="A33:C33"/>
    <mergeCell ref="A8:C8"/>
    <mergeCell ref="A9:S9"/>
    <mergeCell ref="A17:C17"/>
    <mergeCell ref="A53:C53"/>
    <mergeCell ref="A35:C35"/>
    <mergeCell ref="E57:S57"/>
    <mergeCell ref="A10:C10"/>
    <mergeCell ref="A19:C19"/>
    <mergeCell ref="E16:S16"/>
    <mergeCell ref="K6:M6"/>
    <mergeCell ref="A39:C39"/>
    <mergeCell ref="A48:C48"/>
    <mergeCell ref="E43:S43"/>
    <mergeCell ref="E18:S18"/>
    <mergeCell ref="E58:S58"/>
    <mergeCell ref="P24:S25"/>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C5" activeCellId="1" sqref="A11:S58 C5"/>
    </sheetView>
  </sheetViews>
  <sheetFormatPr baseColWidth="8" defaultColWidth="9.3359375" defaultRowHeight="13.5" customHeight="0" zeroHeight="0" outlineLevelRow="0"/>
  <cols>
    <col width="7.33" customWidth="1" style="1327" min="1" max="1"/>
    <col width="6.78" customWidth="1" style="1327" min="2" max="2"/>
    <col width="50.11" customWidth="1" style="1327" min="3" max="3"/>
    <col width="14.89" customWidth="1" style="1327" min="4" max="4"/>
    <col width="9.33" customWidth="1" style="1327" min="5" max="5"/>
    <col width="15.11" customWidth="1" style="1327" min="6" max="6"/>
    <col width="9.33" customWidth="1" style="1327" min="7" max="16384"/>
  </cols>
  <sheetData>
    <row r="1" ht="63" customHeight="1" s="1158">
      <c r="A1" s="1328" t="n"/>
      <c r="B1" s="1329" t="n"/>
      <c r="C1" s="1329" t="n"/>
      <c r="D1" s="1329" t="n"/>
      <c r="E1" s="1329" t="n"/>
      <c r="F1" s="1330" t="n"/>
    </row>
    <row r="2" ht="13.5" customHeight="1" s="1158">
      <c r="A2" s="1331" t="inlineStr">
        <is>
          <t>Final Proforma Invoice</t>
        </is>
      </c>
      <c r="B2" s="1162" t="n"/>
      <c r="C2" s="1162" t="n"/>
      <c r="D2" s="1162" t="n"/>
      <c r="E2" s="1162" t="n"/>
      <c r="F2" s="1163" t="n"/>
    </row>
    <row r="3" ht="14.9" customHeight="1" s="1158">
      <c r="A3" s="1332" t="inlineStr">
        <is>
          <t>Rig</t>
        </is>
      </c>
      <c r="B3" s="1333" t="n"/>
      <c r="C3" s="1334">
        <f>'Master Data'!E11</f>
        <v/>
      </c>
      <c r="D3" s="1335" t="inlineStr">
        <is>
          <t>DT</t>
        </is>
      </c>
      <c r="E3" s="1336">
        <f>'Master Data'!B15</f>
        <v/>
      </c>
      <c r="F3" s="1337" t="n"/>
    </row>
    <row r="4" ht="14.9" customHeight="1" s="1158">
      <c r="A4" s="1338" t="inlineStr">
        <is>
          <t>Well</t>
        </is>
      </c>
      <c r="C4" s="1339">
        <f>'Master Data'!E10</f>
        <v/>
      </c>
      <c r="D4" s="1340" t="inlineStr">
        <is>
          <t>PO</t>
        </is>
      </c>
      <c r="E4" s="1341">
        <f>'Master Data'!B11</f>
        <v/>
      </c>
      <c r="F4" s="1272" t="n"/>
    </row>
    <row r="5" ht="14.9" customHeight="1" s="1158">
      <c r="A5" s="1338" t="inlineStr">
        <is>
          <t>Job</t>
        </is>
      </c>
      <c r="C5" s="1342">
        <f>'Master Data'!E3</f>
        <v/>
      </c>
      <c r="D5" s="1340" t="inlineStr">
        <is>
          <t>Contract</t>
        </is>
      </c>
      <c r="E5" s="1341">
        <f>'Master Data'!B10</f>
        <v/>
      </c>
      <c r="F5" s="1272" t="n"/>
    </row>
    <row r="6" ht="14.9" customHeight="1" s="1158">
      <c r="A6" s="1343" t="n"/>
      <c r="B6" s="1295" t="n"/>
      <c r="C6" s="1295" t="n"/>
      <c r="D6" s="1342" t="inlineStr">
        <is>
          <t>Customer</t>
        </is>
      </c>
      <c r="E6" s="1344">
        <f>'Master Data'!B3</f>
        <v/>
      </c>
      <c r="F6" s="1345" t="n"/>
    </row>
    <row r="7" ht="14.9" customFormat="1" customHeight="1" s="1346">
      <c r="A7" s="1347" t="inlineStr">
        <is>
          <t>S.No.</t>
        </is>
      </c>
      <c r="B7" s="1348" t="inlineStr">
        <is>
          <t>Description</t>
        </is>
      </c>
      <c r="C7" s="1295" t="n"/>
      <c r="D7" s="1349" t="inlineStr">
        <is>
          <t>Per Day Rate $</t>
        </is>
      </c>
      <c r="E7" s="1349" t="inlineStr">
        <is>
          <t># Days</t>
        </is>
      </c>
      <c r="F7" s="1350" t="inlineStr">
        <is>
          <t>Total</t>
        </is>
      </c>
      <c r="H7" s="1346" t="inlineStr">
        <is>
          <t>,</t>
        </is>
      </c>
    </row>
    <row r="8" ht="33" customHeight="1" s="1158">
      <c r="A8" s="1351" t="n">
        <v>1</v>
      </c>
      <c r="B8" s="1352" t="inlineStr">
        <is>
          <t xml:space="preserve">Table1, P1 | SERVICE ENGINEER RIG SITE
COMPLETION ENG: 5 DAYS , TRSV ENG:3 DAYS </t>
        </is>
      </c>
      <c r="C8" s="1353" t="n"/>
      <c r="D8" s="1354" t="n">
        <v>1124</v>
      </c>
      <c r="E8" s="1355" t="n">
        <v>8</v>
      </c>
      <c r="F8" s="1356">
        <f>D8*E8</f>
        <v/>
      </c>
    </row>
    <row r="9" ht="33" customHeight="1" s="1158">
      <c r="A9" s="1357" t="n">
        <v>2</v>
      </c>
      <c r="B9" s="1358" t="inlineStr">
        <is>
          <t>Table15, S1 | SUB ASSEMBLY MAKE UP</t>
        </is>
      </c>
      <c r="C9" s="1278" t="n"/>
      <c r="D9" s="1354" t="n">
        <v>9384.379999999999</v>
      </c>
      <c r="E9" s="1359" t="n">
        <v>1</v>
      </c>
      <c r="F9" s="1356">
        <f>D9*E9</f>
        <v/>
      </c>
    </row>
    <row r="10" ht="33" customHeight="1" s="1158">
      <c r="A10" s="1357" t="n">
        <v>3</v>
      </c>
      <c r="B10" s="1358" t="inlineStr">
        <is>
          <t>Table15, S2 | ASSEMBLY PRESSURE TEST</t>
        </is>
      </c>
      <c r="C10" s="1278" t="n"/>
      <c r="D10" s="1354" t="n">
        <v>4933.5</v>
      </c>
      <c r="E10" s="1359" t="n">
        <v>1</v>
      </c>
      <c r="F10" s="1356">
        <f>D10*E10</f>
        <v/>
      </c>
    </row>
    <row r="11" ht="33" customHeight="1" s="1158">
      <c r="A11" s="1357" t="n">
        <v>4</v>
      </c>
      <c r="B11" s="1358" t="inlineStr">
        <is>
          <t>Table15, S3 | TRANSPORTATION</t>
        </is>
      </c>
      <c r="C11" s="1278" t="n"/>
      <c r="D11" s="1354" t="n">
        <v>3289</v>
      </c>
      <c r="E11" s="1359" t="n">
        <v>1</v>
      </c>
      <c r="F11" s="1356">
        <f>D11*E11</f>
        <v/>
      </c>
    </row>
    <row r="12" ht="33" customHeight="1" s="1158">
      <c r="A12" s="1357" t="n">
        <v>5</v>
      </c>
      <c r="B12" s="1358" t="inlineStr">
        <is>
          <t>Table15, S4 | RUNNING/INSTALLATION SERV.</t>
        </is>
      </c>
      <c r="C12" s="1278" t="n"/>
      <c r="D12" s="1354" t="n">
        <v>14550.25</v>
      </c>
      <c r="E12" s="1359" t="n">
        <v>1</v>
      </c>
      <c r="F12" s="1356">
        <f>D12*E12</f>
        <v/>
      </c>
    </row>
    <row r="13" ht="33" customHeight="1" s="1158">
      <c r="A13" s="1357" t="n">
        <v>6</v>
      </c>
      <c r="B13" s="1358" t="inlineStr">
        <is>
          <t>Table6, A24 | PIP TAG</t>
        </is>
      </c>
      <c r="C13" s="1278" t="n"/>
      <c r="D13" s="1360" t="n">
        <v>12600</v>
      </c>
      <c r="E13" s="1361" t="n">
        <v>0.5</v>
      </c>
      <c r="F13" s="1362">
        <f>D13*E13</f>
        <v/>
      </c>
    </row>
    <row r="14" ht="33" customHeight="1" s="1158">
      <c r="A14" s="1357" t="n"/>
      <c r="B14" s="1358" t="n"/>
      <c r="C14" s="1278" t="n"/>
      <c r="D14" s="1360" t="n"/>
      <c r="E14" s="1363" t="n"/>
      <c r="F14" s="1362" t="n"/>
    </row>
    <row r="15" ht="19.5" customHeight="1" s="1158">
      <c r="A15" s="1364" t="inlineStr">
        <is>
          <t>DS Signature and Stamp                                       Weatherford Service Eng.</t>
        </is>
      </c>
      <c r="B15" s="1292" t="n"/>
      <c r="C15" s="1293" t="n"/>
      <c r="D15" s="1365" t="inlineStr">
        <is>
          <t>Gross Value $</t>
        </is>
      </c>
      <c r="E15" s="1278" t="n"/>
      <c r="F15" s="1366">
        <f>SUM(F8:F14)</f>
        <v/>
      </c>
    </row>
    <row r="16" ht="19.5" customHeight="1" s="1158">
      <c r="A16" s="1302" t="n"/>
      <c r="B16" s="1303" t="n"/>
      <c r="C16" s="1304" t="n"/>
      <c r="D16" s="1365" t="n"/>
      <c r="E16" s="1278" t="n"/>
      <c r="F16" s="1366" t="n"/>
    </row>
    <row r="17" ht="19.5" customHeight="1" s="1158">
      <c r="A17" s="1291" t="n"/>
      <c r="B17" s="1367" t="n"/>
      <c r="C17" s="1368" t="n"/>
      <c r="D17" s="1369" t="inlineStr">
        <is>
          <t>Net Invoice Value $</t>
        </is>
      </c>
      <c r="E17" s="1370" t="n"/>
      <c r="F17" s="1371">
        <f>F16+F15</f>
        <v/>
      </c>
    </row>
    <row r="18" ht="13.5" customHeight="1" s="1158">
      <c r="C18" s="1372" t="n"/>
      <c r="F18" s="1373" t="n"/>
    </row>
    <row r="19" ht="13.5" customHeight="1" s="1158">
      <c r="F19" s="1373" t="n"/>
    </row>
    <row r="20" ht="13.5" customHeight="1" s="1158">
      <c r="F20" s="137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H6" activeCellId="1" sqref="A11:S58 H6"/>
    </sheetView>
  </sheetViews>
  <sheetFormatPr baseColWidth="8" defaultColWidth="9.11328125" defaultRowHeight="14.25" customHeight="0" zeroHeight="0" outlineLevelRow="0"/>
  <cols>
    <col width="2.11" customWidth="1" style="1207" min="1" max="1"/>
    <col width="14" customWidth="1" style="1207" min="2" max="2"/>
    <col width="22.44" customWidth="1" style="1207" min="3" max="3"/>
    <col width="39.11" customWidth="1" style="1207" min="4" max="4"/>
    <col width="8.67" customWidth="1" style="1207" min="5" max="5"/>
    <col width="9.56" customWidth="1" style="1207" min="6" max="6"/>
    <col width="32.45" customWidth="1" style="1207" min="7" max="7"/>
    <col width="35.33" customWidth="1" style="1207" min="8" max="8"/>
    <col width="17" customWidth="1" style="1207" min="9" max="9"/>
    <col width="0.33" customWidth="1" style="1207" min="11" max="11"/>
  </cols>
  <sheetData>
    <row r="1" ht="4.5" customHeight="1" s="1158"/>
    <row r="2" ht="15" customHeight="1" s="1158">
      <c r="B2" s="1374" t="inlineStr">
        <is>
          <t>ADNOC</t>
        </is>
      </c>
      <c r="C2" s="1333" t="n"/>
      <c r="D2" s="1333" t="n"/>
      <c r="E2" s="1375" t="n"/>
      <c r="F2" s="1376" t="inlineStr">
        <is>
          <t xml:space="preserve">Doc No: FO-ADC-DMET-COMP-Rev1 </t>
        </is>
      </c>
      <c r="G2" s="1375" t="n"/>
      <c r="H2" s="1376" t="inlineStr">
        <is>
          <t>Doc Owner: ADNOC DMET TEAM</t>
        </is>
      </c>
      <c r="I2" s="1377" t="n"/>
    </row>
    <row r="3" ht="15" customHeight="1" s="1158">
      <c r="B3" s="1378" t="inlineStr">
        <is>
          <t xml:space="preserve"> KEY PERFORMANCE INDICTOR " KPI"</t>
        </is>
      </c>
      <c r="C3" s="1193" t="n"/>
      <c r="D3" s="1193" t="n"/>
      <c r="E3" s="1193" t="n"/>
      <c r="F3" s="1207" t="inlineStr">
        <is>
          <t>CONTRACTORS PEFORMANCE TRAKER / JOB EVALUATION</t>
        </is>
      </c>
      <c r="G3" s="1379" t="n"/>
      <c r="H3" s="1380" t="n"/>
      <c r="I3" s="1381" t="n"/>
    </row>
    <row r="4" ht="15" customHeight="1" s="1158">
      <c r="B4" s="1382" t="inlineStr">
        <is>
          <t>Job Type :</t>
        </is>
      </c>
      <c r="C4" s="1168" t="n"/>
      <c r="D4" s="1383">
        <f>'Master Data'!E4</f>
        <v/>
      </c>
      <c r="E4" s="1384" t="inlineStr">
        <is>
          <t xml:space="preserve">Job Completed Scussfuly </t>
        </is>
      </c>
      <c r="F4" s="1337" t="n"/>
      <c r="G4" s="1385" t="inlineStr">
        <is>
          <t>Service Provider :</t>
        </is>
      </c>
      <c r="H4" s="1218">
        <f>'Master Data'!B18</f>
        <v/>
      </c>
      <c r="I4" s="1381" t="n"/>
    </row>
    <row r="5" ht="14.25" customHeight="1" s="1158">
      <c r="B5" s="1382" t="inlineStr">
        <is>
          <t>Rig Name :</t>
        </is>
      </c>
      <c r="C5" s="1168" t="n"/>
      <c r="D5" s="1383">
        <f>'Master Data'!E11</f>
        <v/>
      </c>
      <c r="E5" s="1386" t="n"/>
      <c r="F5" s="1272" t="n"/>
      <c r="G5" s="1387" t="inlineStr">
        <is>
          <t>Contractor's Rep. Lead :</t>
        </is>
      </c>
      <c r="H5" s="1218">
        <f>'Master Data'!B21</f>
        <v/>
      </c>
      <c r="I5" s="1381" t="n"/>
    </row>
    <row r="6" ht="15" customHeight="1" s="1158">
      <c r="B6" s="1382" t="inlineStr">
        <is>
          <t>Well No:</t>
        </is>
      </c>
      <c r="C6" s="1168" t="n"/>
      <c r="D6" s="1383">
        <f>'Master Data'!E10</f>
        <v/>
      </c>
      <c r="E6" s="1386" t="n"/>
      <c r="F6" s="1272" t="n"/>
      <c r="G6" s="1385" t="inlineStr">
        <is>
          <t>Crew 1</t>
        </is>
      </c>
      <c r="H6" s="1218">
        <f>'Master Data'!H4</f>
        <v/>
      </c>
      <c r="I6" s="1381" t="n"/>
    </row>
    <row r="7" ht="14.25" customHeight="1" s="1158">
      <c r="B7" s="1382" t="inlineStr">
        <is>
          <t>ADNOC Rep. :</t>
        </is>
      </c>
      <c r="C7" s="1168" t="n"/>
      <c r="D7" s="1383">
        <f>'Master Data'!B4</f>
        <v/>
      </c>
      <c r="E7" s="1386" t="n"/>
      <c r="F7" s="1272" t="n"/>
      <c r="G7" s="1385" t="inlineStr">
        <is>
          <t>Crew 2</t>
        </is>
      </c>
      <c r="H7" s="1388">
        <f>'Master Data'!H8</f>
        <v/>
      </c>
      <c r="I7" s="1381" t="n"/>
    </row>
    <row r="8" ht="15" customHeight="1" s="1158">
      <c r="B8" s="1382" t="inlineStr">
        <is>
          <t xml:space="preserve">Job Duration </t>
        </is>
      </c>
      <c r="C8" s="1168" t="n"/>
      <c r="D8" s="1389">
        <f>ROUNDUP(INT('Master Data'!E15)-INT('Master Data'!E12),0)+1&amp;" days"</f>
        <v/>
      </c>
      <c r="E8" s="1386" t="n"/>
      <c r="F8" s="1272" t="n"/>
      <c r="G8" s="1385" t="inlineStr">
        <is>
          <t>Crew 3</t>
        </is>
      </c>
      <c r="H8" s="1388">
        <f>'Master Data'!H10</f>
        <v/>
      </c>
      <c r="I8" s="1390" t="inlineStr">
        <is>
          <t xml:space="preserve">Date </t>
        </is>
      </c>
    </row>
    <row r="9" ht="14.25" customHeight="1" s="1158">
      <c r="B9" s="1391" t="inlineStr">
        <is>
          <t>Period from / to (Date):</t>
        </is>
      </c>
      <c r="C9" s="1184" t="n"/>
      <c r="D9" s="1392">
        <f>"from "&amp;TEXT('Master Data'!E12,"dd/mmm/yy")&amp;"  to "&amp;TEXT('Master Data'!E15,"dd/mmm/yy")</f>
        <v/>
      </c>
      <c r="E9" s="1296" t="n"/>
      <c r="F9" s="1345" t="n"/>
      <c r="G9" s="1393" t="inlineStr">
        <is>
          <t>Crew 4</t>
        </is>
      </c>
      <c r="H9" s="1388">
        <f>'Master Data'!H11</f>
        <v/>
      </c>
      <c r="I9" s="1394">
        <f>I44</f>
        <v/>
      </c>
    </row>
    <row r="10" ht="17.35" customHeight="1" s="1158">
      <c r="B10" s="1395" t="inlineStr">
        <is>
          <t>Contract Service Operation Execution KPIs</t>
        </is>
      </c>
      <c r="C10" s="1239" t="n"/>
      <c r="D10" s="1239" t="n"/>
      <c r="E10" s="1396" t="inlineStr">
        <is>
          <t xml:space="preserve">Yes </t>
        </is>
      </c>
      <c r="F10" s="1397" t="inlineStr">
        <is>
          <t xml:space="preserve">No </t>
        </is>
      </c>
      <c r="G10" s="1398" t="n"/>
      <c r="H10" s="1166" t="n"/>
      <c r="I10" s="1399" t="n"/>
    </row>
    <row r="11" ht="6" customHeight="1" s="1158">
      <c r="B11" s="1400" t="n"/>
      <c r="C11" s="1401" t="n"/>
      <c r="D11" s="1401" t="n"/>
      <c r="E11" s="1402" t="n"/>
      <c r="F11" s="1402" t="n"/>
      <c r="G11" s="1401" t="n"/>
      <c r="H11" s="1401" t="n"/>
      <c r="I11" s="1403" t="n"/>
    </row>
    <row r="12" ht="15" customHeight="1" s="1158">
      <c r="B12" s="1404" t="inlineStr">
        <is>
          <t>A) Pre- Job Documentation .</t>
        </is>
      </c>
      <c r="C12" s="1171" t="n"/>
      <c r="D12" s="1171" t="n"/>
      <c r="E12" s="1405" t="n"/>
      <c r="F12" s="1405" t="n"/>
      <c r="G12" s="1406" t="inlineStr">
        <is>
          <t xml:space="preserve">Comments </t>
        </is>
      </c>
      <c r="H12" s="1194" t="n"/>
      <c r="I12" s="1407" t="inlineStr">
        <is>
          <t xml:space="preserve">Scoring </t>
        </is>
      </c>
    </row>
    <row r="13" ht="60" customHeight="1" s="1158">
      <c r="B13" s="1408" t="inlineStr">
        <is>
          <t>1. Engineer Has the latest revision of well program detailing job procedures &amp; design , which communicated to the ADNOC completion engineer &amp; has  the job packet including the well calculation / Simulation ,Sub Assembly Report  etc. ? .</t>
        </is>
      </c>
      <c r="C13" s="1171" t="n"/>
      <c r="D13" s="1168" t="n"/>
      <c r="E13" s="1409" t="n"/>
      <c r="F13" s="1409" t="n"/>
      <c r="G13" s="1410" t="n"/>
      <c r="H13" s="1171" t="n"/>
      <c r="I13" s="1411" t="n">
        <v>0.2</v>
      </c>
      <c r="K13" s="1412" t="n">
        <v>0.07000000000000001</v>
      </c>
    </row>
    <row r="14" ht="54" customHeight="1" s="1158">
      <c r="B14" s="1408" t="inlineStr">
        <is>
          <t>2. Engineers conducted Pre-Job meeting with Technical Rep / Operation Support reviews the completion design in town &amp; have the contingency plan  in place ?</t>
        </is>
      </c>
      <c r="C14" s="1171" t="n"/>
      <c r="D14" s="1168" t="n"/>
      <c r="E14" s="1218" t="n"/>
      <c r="F14" s="1413" t="n"/>
      <c r="G14" s="1410" t="n"/>
      <c r="H14" s="1171" t="n"/>
      <c r="I14" s="1414" t="n"/>
      <c r="K14" s="1412" t="n">
        <v>0.07000000000000001</v>
      </c>
    </row>
    <row r="15" ht="30" customHeight="1" s="1158">
      <c r="B15" s="1408" t="inlineStr">
        <is>
          <t>3. Engineer Has the agreed Risk Analysis "RA/JSA" identifying each step of the operations ?</t>
        </is>
      </c>
      <c r="C15" s="1171" t="n"/>
      <c r="D15" s="1168" t="n"/>
      <c r="E15" s="1218" t="n"/>
      <c r="F15" s="1413" t="n"/>
      <c r="G15" s="1410" t="n"/>
      <c r="H15" s="1171" t="n"/>
      <c r="I15" s="1415" t="n"/>
      <c r="K15" s="1412" t="n">
        <v>0.06</v>
      </c>
    </row>
    <row r="16" ht="15" customHeight="1" s="1158">
      <c r="B16" s="1416" t="inlineStr">
        <is>
          <t xml:space="preserve">B) On site Delivered Equipment's  Check .          </t>
        </is>
      </c>
      <c r="C16" s="1171" t="n"/>
      <c r="D16" s="1171" t="n"/>
      <c r="E16" s="1171" t="n"/>
      <c r="F16" s="1171" t="n"/>
      <c r="G16" s="1171" t="n"/>
      <c r="H16" s="1171" t="n"/>
      <c r="I16" s="1172" t="n"/>
      <c r="K16" s="1412" t="n"/>
    </row>
    <row r="17" ht="51" customHeight="1" s="1158">
      <c r="B17" s="1408" t="inlineStr">
        <is>
          <t>1. Equipment's delivered on time   with correct signed documentation  &amp; all in good condition including back up assembly , service tool , baskets, spoolers, pumps, toolbox , if there's any issue, did the engineer report on time ?.</t>
        </is>
      </c>
      <c r="C17" s="1171" t="n"/>
      <c r="D17" s="1168" t="n"/>
      <c r="E17" s="1218" t="n"/>
      <c r="F17" s="1413" t="n"/>
      <c r="G17" s="1410" t="n"/>
      <c r="H17" s="1171" t="n"/>
      <c r="I17" s="1411" t="n">
        <v>0.15</v>
      </c>
      <c r="K17" s="1412" t="n">
        <v>0.08</v>
      </c>
    </row>
    <row r="18" ht="46.5" customHeight="1" s="1158">
      <c r="B18" s="1408" t="inlineStr">
        <is>
          <t xml:space="preserve">2. Pre-load out checklist completed (to include maintenance records, and certifications) and the engineer physically checked the offloaded material and lay it out probably for inspection on time ? </t>
        </is>
      </c>
      <c r="C18" s="1171" t="n"/>
      <c r="D18" s="1168" t="n"/>
      <c r="E18" s="1218" t="n"/>
      <c r="F18" s="1413" t="n"/>
      <c r="G18" s="1410" t="n"/>
      <c r="H18" s="1171" t="n"/>
      <c r="I18" s="1415" t="n"/>
      <c r="K18" s="1412" t="n">
        <v>0.07000000000000001</v>
      </c>
    </row>
    <row r="19" ht="15" customHeight="1" s="1158">
      <c r="B19" s="1416" t="inlineStr">
        <is>
          <t xml:space="preserve">C)  On site Preparation efficiencies </t>
        </is>
      </c>
      <c r="C19" s="1171" t="n"/>
      <c r="D19" s="1171" t="n"/>
      <c r="E19" s="1171" t="n"/>
      <c r="F19" s="1171" t="n"/>
      <c r="G19" s="1171" t="n"/>
      <c r="H19" s="1171" t="n"/>
      <c r="I19" s="1172" t="n"/>
      <c r="K19" s="1412" t="n"/>
    </row>
    <row r="20" ht="60" customHeight="1" s="1158">
      <c r="B20" s="1408" t="inlineStr">
        <is>
          <t>1. Did the Engineer Discussed the Well Operations with drilling supervisors , checked and confirmed well information and configuration  , calculated Tally and checked all equipment's /Accessories required for the Job ?</t>
        </is>
      </c>
      <c r="C20" s="1171" t="n"/>
      <c r="D20" s="1168" t="n"/>
      <c r="E20" s="1218" t="n"/>
      <c r="F20" s="1417" t="n"/>
      <c r="G20" s="1410" t="n"/>
      <c r="H20" s="1171" t="n"/>
      <c r="I20" s="1411" t="n">
        <v>0.15</v>
      </c>
      <c r="K20" s="1412" t="n">
        <v>0.08</v>
      </c>
    </row>
    <row r="21" ht="62.25" customHeight="1" s="1158">
      <c r="B21" s="1418" t="inlineStr">
        <is>
          <t>2. Did the Engineer conduct Pre Job Briefing with rig crew , TRS, Slick line , WH etc. identifying all safety critical points &amp; explain the  critical steps &amp; agreed about all parties interfaces, tasks ,responsibility ?</t>
        </is>
      </c>
      <c r="C21" s="1171" t="n"/>
      <c r="D21" s="1168" t="n"/>
      <c r="E21" s="1218" t="n"/>
      <c r="F21" s="1417" t="n"/>
      <c r="G21" s="1410" t="n"/>
      <c r="H21" s="1171" t="n"/>
      <c r="I21" s="1415" t="n"/>
      <c r="K21" s="1412" t="n">
        <v>0.07000000000000001</v>
      </c>
    </row>
    <row r="22" ht="15" customHeight="1" s="1158">
      <c r="B22" s="1416" t="inlineStr">
        <is>
          <t xml:space="preserve">D)  Job Executing </t>
        </is>
      </c>
      <c r="C22" s="1171" t="n"/>
      <c r="D22" s="1171" t="n"/>
      <c r="E22" s="1171" t="n"/>
      <c r="F22" s="1171" t="n"/>
      <c r="G22" s="1171" t="n"/>
      <c r="H22" s="1171" t="n"/>
      <c r="I22" s="1172" t="n"/>
      <c r="K22" s="1412" t="n"/>
    </row>
    <row r="23" ht="28.5" customHeight="1" s="1158">
      <c r="B23" s="1408" t="inlineStr">
        <is>
          <t>1. Are the Equipment in good Condition .</t>
        </is>
      </c>
      <c r="C23" s="1171" t="n"/>
      <c r="D23" s="1168" t="n"/>
      <c r="E23" s="1218" t="n"/>
      <c r="F23" s="1417" t="n"/>
      <c r="G23" s="1410" t="n"/>
      <c r="H23" s="1171" t="n"/>
      <c r="I23" s="1419" t="n">
        <v>0.3</v>
      </c>
      <c r="K23" s="1412" t="n">
        <v>0.03</v>
      </c>
    </row>
    <row r="24" ht="28.5" customHeight="1" s="1158">
      <c r="B24" s="1408" t="inlineStr">
        <is>
          <t>2. Are the equipment Operational performed as expected .</t>
        </is>
      </c>
      <c r="C24" s="1171" t="n"/>
      <c r="D24" s="1168" t="n"/>
      <c r="E24" s="1218" t="n"/>
      <c r="F24" s="1417" t="n"/>
      <c r="G24" s="1410" t="n"/>
      <c r="H24" s="1171" t="n"/>
      <c r="I24" s="1420" t="n"/>
      <c r="K24" s="1412" t="n">
        <v>0.03</v>
      </c>
    </row>
    <row r="25" ht="49.5" customHeight="1" s="1158">
      <c r="B25" s="1408" t="inlineStr">
        <is>
          <t>3. Are the successfully installed equipment has performed without any troubleshooting or any interventions?
 If there’s any issue please write details in the comments.</t>
        </is>
      </c>
      <c r="C25" s="1171" t="n"/>
      <c r="D25" s="1168" t="n"/>
      <c r="E25" s="1218" t="n"/>
      <c r="F25" s="1417" t="n"/>
      <c r="G25" s="1410" t="n"/>
      <c r="H25" s="1171" t="n"/>
      <c r="I25" s="1420" t="n"/>
      <c r="K25" s="1412" t="n">
        <v>0.03</v>
      </c>
    </row>
    <row r="26" ht="28.5" customHeight="1" s="1158">
      <c r="B26" s="1408" t="inlineStr">
        <is>
          <t xml:space="preserve">4. Are all the service Equipment’s such as Running Tools , Spoolers , DTS Surface Monitoring system Etc. performed as Expected ? </t>
        </is>
      </c>
      <c r="C26" s="1171" t="n"/>
      <c r="D26" s="1168" t="n"/>
      <c r="E26" s="1218" t="n"/>
      <c r="F26" s="1417" t="n"/>
      <c r="G26" s="1421" t="n"/>
      <c r="H26" s="1171" t="n"/>
      <c r="I26" s="1420" t="n"/>
      <c r="K26" s="1412" t="n">
        <v>0.03</v>
      </c>
    </row>
    <row r="27" ht="28.5" customHeight="1" s="1158">
      <c r="B27" s="1408" t="inlineStr">
        <is>
          <t>5. Do service personnel meet the level of competence required for the operation they will be preform ?</t>
        </is>
      </c>
      <c r="C27" s="1171" t="n"/>
      <c r="D27" s="1168" t="n"/>
      <c r="E27" s="1218" t="n"/>
      <c r="F27" s="1417" t="n"/>
      <c r="G27" s="1422" t="n"/>
      <c r="H27" s="1171" t="n"/>
      <c r="I27" s="1420" t="n"/>
      <c r="K27" s="1412" t="n">
        <v>0.02</v>
      </c>
    </row>
    <row r="28" ht="19.5" customHeight="1" s="1158">
      <c r="B28" s="1408" t="inlineStr">
        <is>
          <t>6.Engineer Communication Skills and Attitude .</t>
        </is>
      </c>
      <c r="C28" s="1171" t="n"/>
      <c r="D28" s="1168" t="n"/>
      <c r="E28" s="1218" t="n"/>
      <c r="F28" s="1417" t="n"/>
      <c r="G28" s="1410" t="n"/>
      <c r="H28" s="1171" t="n"/>
      <c r="I28" s="1420" t="n"/>
      <c r="K28" s="1412" t="n">
        <v>0.02</v>
      </c>
    </row>
    <row r="29" ht="44.25" customHeight="1" s="1158">
      <c r="B29" s="1408" t="inlineStr">
        <is>
          <t>7.Dose service specialist understands the job can be stopped if operational or HSE issue is noticed and adherence to HSE , Participate in ADNOC HSE System  ?</t>
        </is>
      </c>
      <c r="C29" s="1171" t="n"/>
      <c r="D29" s="1168" t="n"/>
      <c r="E29" s="1218" t="n"/>
      <c r="F29" s="1417" t="n"/>
      <c r="G29" s="1410" t="n"/>
      <c r="H29" s="1171" t="n"/>
      <c r="I29" s="1420" t="n"/>
      <c r="K29" s="1412" t="n">
        <v>0.02</v>
      </c>
    </row>
    <row r="30" ht="35.25" customHeight="1" s="1158">
      <c r="B30" s="1408" t="inlineStr">
        <is>
          <t xml:space="preserve">8.Does service specialist have hand carry consumable items such as Redress kit Fitting and his own hand tools . </t>
        </is>
      </c>
      <c r="C30" s="1171" t="n"/>
      <c r="D30" s="1168" t="n"/>
      <c r="E30" s="1218" t="n"/>
      <c r="F30" s="1417" t="n"/>
      <c r="G30" s="1410" t="n"/>
      <c r="H30" s="1171" t="n"/>
      <c r="I30" s="1420" t="n"/>
      <c r="K30" s="1412" t="n">
        <v>0.02</v>
      </c>
    </row>
    <row r="31" ht="33.75" customHeight="1" s="1158">
      <c r="B31" s="1408" t="inlineStr">
        <is>
          <t>9.dose the Engineer Complete job and coordinate equipment rig down ensuring all equipment requiring maintenance is identified, and report if any issue ?</t>
        </is>
      </c>
      <c r="C31" s="1171" t="n"/>
      <c r="D31" s="1168" t="n"/>
      <c r="E31" s="1218" t="n"/>
      <c r="F31" s="1417" t="n"/>
      <c r="G31" s="1410" t="n"/>
      <c r="H31" s="1171" t="n"/>
      <c r="I31" s="1420" t="n"/>
      <c r="K31" s="1412" t="n">
        <v>0.02</v>
      </c>
    </row>
    <row r="32" ht="61.5" customHeight="1" s="1158">
      <c r="B32" s="1408" t="inlineStr">
        <is>
          <t>10.Determine where equipment is to be sent, advise relevant personnel and complete required shipping documents/manifest, as applicable. Securely package equipment ensuring it is environmentally safe and ready for transportation on timely manner ?</t>
        </is>
      </c>
      <c r="C32" s="1171" t="n"/>
      <c r="D32" s="1168" t="n"/>
      <c r="E32" s="1218" t="n"/>
      <c r="F32" s="1417" t="n"/>
      <c r="G32" s="1410" t="n"/>
      <c r="H32" s="1171" t="n"/>
      <c r="I32" s="1420" t="n"/>
      <c r="K32" s="1412" t="n">
        <v>0.02</v>
      </c>
    </row>
    <row r="33" ht="30.75" customHeight="1" s="1158">
      <c r="B33" s="1408" t="inlineStr">
        <is>
          <t>11.Complete location EOWR  and field tickets  accurately and provide relevant documents to ADNOC Rep .</t>
        </is>
      </c>
      <c r="C33" s="1171" t="n"/>
      <c r="D33" s="1168" t="n"/>
      <c r="E33" s="1218" t="n"/>
      <c r="F33" s="1417" t="n"/>
      <c r="G33" s="1422" t="n"/>
      <c r="H33" s="1171" t="n"/>
      <c r="I33" s="1420" t="n"/>
      <c r="K33" s="1412" t="n">
        <v>0.02</v>
      </c>
    </row>
    <row r="34" ht="36" customHeight="1" s="1158">
      <c r="B34" s="1408" t="inlineStr">
        <is>
          <t xml:space="preserve">12.dose the Engineer Identify Lesson Learned (if Applicable  )and added to the Report and share it on the Morning call. </t>
        </is>
      </c>
      <c r="C34" s="1171" t="n"/>
      <c r="D34" s="1168" t="n"/>
      <c r="E34" s="1218" t="n"/>
      <c r="F34" s="1417" t="n"/>
      <c r="G34" s="1422" t="n"/>
      <c r="H34" s="1171" t="n"/>
      <c r="I34" s="1420" t="n"/>
      <c r="K34" s="1412" t="n">
        <v>0.02</v>
      </c>
    </row>
    <row r="35" ht="15" customHeight="1" s="1158">
      <c r="B35" s="1408" t="inlineStr">
        <is>
          <t>13. House Keeping After the Job ?</t>
        </is>
      </c>
      <c r="C35" s="1171" t="n"/>
      <c r="D35" s="1168" t="n"/>
      <c r="E35" s="1218" t="n"/>
      <c r="F35" s="1417" t="n"/>
      <c r="G35" s="1422" t="n"/>
      <c r="H35" s="1171" t="n"/>
      <c r="I35" s="1423" t="n"/>
      <c r="K35" s="1412" t="n">
        <v>0.02</v>
      </c>
    </row>
    <row r="36" ht="14.25" customHeight="1" s="1158">
      <c r="B36" s="1408" t="n"/>
      <c r="C36" s="1171" t="n"/>
      <c r="D36" s="1168" t="n"/>
      <c r="E36" s="1218" t="n"/>
      <c r="F36" s="1424" t="n"/>
      <c r="G36" s="1410" t="n"/>
      <c r="H36" s="1171" t="n"/>
      <c r="I36" s="1425" t="n"/>
    </row>
    <row r="37" ht="17.35" customHeight="1" s="1158">
      <c r="B37" s="1426" t="inlineStr">
        <is>
          <t xml:space="preserve">Vendor Delivery KPIs (Total Score)                  </t>
        </is>
      </c>
      <c r="C37" s="1162" t="n"/>
      <c r="D37" s="1163" t="n"/>
      <c r="E37" s="1427" t="n"/>
      <c r="F37" s="1162" t="n"/>
      <c r="G37" s="1428" t="n"/>
      <c r="H37" s="1163" t="n"/>
      <c r="I37" s="1429" t="n"/>
    </row>
    <row r="38" ht="6.75" customHeight="1" s="1158">
      <c r="F38" s="1430" t="n"/>
      <c r="G38" s="1431" t="n"/>
      <c r="H38" s="1431" t="n"/>
    </row>
    <row r="39" ht="23.25" customHeight="1" s="1158">
      <c r="B39" s="1432" t="inlineStr">
        <is>
          <t>ADDITIONAL COMMENTS :-</t>
        </is>
      </c>
      <c r="C39" s="1166" t="n"/>
      <c r="D39" s="1433" t="n"/>
      <c r="E39" s="1239" t="n"/>
      <c r="F39" s="1239" t="n"/>
      <c r="G39" s="1239" t="n"/>
      <c r="H39" s="1239" t="n"/>
      <c r="I39" s="1434" t="n"/>
    </row>
    <row r="40" ht="26.25" customHeight="1" s="1158">
      <c r="B40" s="1435" t="n"/>
      <c r="C40" s="1171" t="n"/>
      <c r="D40" s="1171" t="n"/>
      <c r="E40" s="1171" t="n"/>
      <c r="F40" s="1171" t="n"/>
      <c r="G40" s="1171" t="n"/>
      <c r="H40" s="1171" t="n"/>
      <c r="I40" s="1172" t="n"/>
    </row>
    <row r="41" ht="24.75" customHeight="1" s="1158">
      <c r="B41" s="1436" t="n"/>
      <c r="C41" s="1188" t="n"/>
      <c r="D41" s="1188" t="n"/>
      <c r="E41" s="1188" t="n"/>
      <c r="F41" s="1188" t="n"/>
      <c r="G41" s="1188" t="n"/>
      <c r="H41" s="1188" t="n"/>
      <c r="I41" s="1189" t="n"/>
    </row>
    <row r="42" ht="15.75" customHeight="1" s="1158">
      <c r="B42" s="1437" t="inlineStr">
        <is>
          <t>Lesson Learned / Improvements</t>
        </is>
      </c>
      <c r="C42" s="1438" t="n"/>
      <c r="D42" s="1439" t="inlineStr">
        <is>
          <t>Recommendations</t>
        </is>
      </c>
      <c r="F42" s="1272" t="n"/>
      <c r="G42" s="1440" t="inlineStr">
        <is>
          <t xml:space="preserve">Name </t>
        </is>
      </c>
      <c r="H42" s="1440" t="inlineStr">
        <is>
          <t>Signature</t>
        </is>
      </c>
      <c r="I42" s="1441" t="inlineStr">
        <is>
          <t>Date</t>
        </is>
      </c>
    </row>
    <row r="43" ht="14.25" customHeight="1" s="1158">
      <c r="B43" s="1386" t="n"/>
      <c r="C43" s="1438" t="n"/>
      <c r="D43" s="1442" t="n"/>
      <c r="F43" s="1272" t="n"/>
      <c r="G43" s="1405" t="n"/>
      <c r="H43" s="1405" t="n"/>
      <c r="I43" s="1405" t="n"/>
    </row>
    <row r="44" ht="14.25" customHeight="1" s="1158">
      <c r="B44" s="1443" t="n"/>
      <c r="C44" s="1444" t="n"/>
      <c r="D44" s="1445" t="n"/>
      <c r="E44" s="1333" t="n"/>
      <c r="F44" s="1337" t="n"/>
      <c r="G44" s="1446" t="inlineStr">
        <is>
          <t>ADNOC Rep.</t>
        </is>
      </c>
      <c r="H44" s="1447" t="n"/>
      <c r="I44" s="1448">
        <f>'Master Data'!E24</f>
        <v/>
      </c>
    </row>
    <row r="45" ht="14.25" customHeight="1" s="1158">
      <c r="B45" s="1449" t="n"/>
      <c r="C45" s="1194" t="n"/>
      <c r="D45" s="1442" t="n"/>
      <c r="F45" s="1272" t="n"/>
      <c r="G45" s="1449" t="n"/>
      <c r="H45" s="1450" t="n"/>
      <c r="I45" s="1423" t="n"/>
    </row>
    <row r="46" ht="15" customHeight="1" s="1158">
      <c r="B46" s="1391" t="n"/>
      <c r="C46" s="1247" t="n"/>
      <c r="D46" s="1451" t="n"/>
      <c r="E46" s="1246" t="n"/>
      <c r="F46" s="1311" t="n"/>
      <c r="G46" s="1452" t="inlineStr">
        <is>
          <t xml:space="preserve">Contractor Rep . </t>
        </is>
      </c>
      <c r="H46" s="1447" t="n"/>
      <c r="I46" s="1448">
        <f>'Master Data'!E24</f>
        <v/>
      </c>
    </row>
    <row r="47" ht="14.25" customHeight="1" s="1158">
      <c r="B47" s="1296" t="n"/>
      <c r="C47" s="1453" t="n"/>
      <c r="D47" s="1454" t="n"/>
      <c r="E47" s="1295" t="n"/>
      <c r="F47" s="1345" t="n"/>
      <c r="G47" s="1196" t="n"/>
      <c r="H47" s="1450" t="n"/>
      <c r="I47" s="1423" t="n"/>
    </row>
    <row r="48" ht="14.25" customHeight="1" s="1158">
      <c r="B48" s="1455" t="n"/>
      <c r="D48" s="1207" t="n"/>
      <c r="E48" s="1207" t="n"/>
      <c r="F48" s="1430" t="n"/>
      <c r="G48" s="1456" t="n"/>
      <c r="H48" s="1333" t="n"/>
      <c r="I48" s="1333" t="n"/>
    </row>
    <row r="49" ht="14.25" customHeight="1" s="1158">
      <c r="G49" s="1457" t="n"/>
      <c r="H49" s="1457" t="n"/>
    </row>
    <row r="50" ht="14.25" customHeight="1" s="1158">
      <c r="F50" s="1430" t="n"/>
      <c r="G50" s="1431" t="n"/>
      <c r="H50" s="1431" t="n"/>
    </row>
    <row r="51" ht="14.25" customHeight="1" s="1158">
      <c r="F51" s="1430" t="n"/>
      <c r="G51" s="1431" t="n"/>
      <c r="H51" s="1431" t="n"/>
    </row>
    <row r="52" ht="14.25" customHeight="1" s="1158">
      <c r="F52" s="1430" t="n"/>
      <c r="G52" s="1431" t="n"/>
      <c r="H52" s="1431" t="n"/>
    </row>
    <row r="53" ht="14.25" customHeight="1" s="1158">
      <c r="F53" s="1430" t="n"/>
      <c r="G53" s="1431" t="n"/>
      <c r="H53" s="1431" t="n"/>
    </row>
    <row r="54" ht="14.25" customHeight="1" s="1158">
      <c r="F54" s="1430" t="n"/>
      <c r="G54" s="1431" t="n"/>
      <c r="H54" s="1431" t="n"/>
    </row>
    <row r="55" ht="14.25" customHeight="1" s="1158">
      <c r="F55" s="1430" t="n"/>
      <c r="G55" s="1431" t="n"/>
      <c r="H55" s="1431" t="n"/>
    </row>
    <row r="56" ht="14.25" customHeight="1" s="1158">
      <c r="F56" s="1430" t="n"/>
      <c r="G56" s="1431" t="n"/>
      <c r="H56" s="1431" t="n"/>
    </row>
    <row r="57" ht="14.25" customHeight="1" s="1158">
      <c r="F57" s="1430" t="n"/>
      <c r="G57" s="1431" t="n"/>
      <c r="H57" s="1431" t="n"/>
    </row>
    <row r="58" ht="14.25" customHeight="1" s="1158">
      <c r="F58" s="1430" t="n"/>
      <c r="G58" s="1431" t="n"/>
      <c r="H58" s="1431" t="n"/>
    </row>
    <row r="59" ht="14.25" customHeight="1" s="1158">
      <c r="F59" s="1430" t="n"/>
      <c r="G59" s="1431" t="n"/>
      <c r="H59" s="1431" t="n"/>
    </row>
    <row r="60" ht="14.25" customHeight="1" s="1158">
      <c r="F60" s="1430" t="n"/>
      <c r="G60" s="1431" t="n"/>
      <c r="H60" s="1431" t="n"/>
    </row>
    <row r="61" ht="14.25" customHeight="1" s="1158">
      <c r="F61" s="1430" t="n"/>
      <c r="G61" s="1431" t="n"/>
      <c r="H61" s="1431" t="n"/>
    </row>
    <row r="62" ht="14.25" customHeight="1" s="1158">
      <c r="F62" s="1430" t="n"/>
      <c r="G62" s="1431" t="n"/>
      <c r="H62" s="1431" t="n"/>
    </row>
    <row r="63" ht="14.25" customHeight="1" s="1158">
      <c r="F63" s="1430" t="n"/>
      <c r="G63" s="1431" t="n"/>
      <c r="H63" s="1431" t="n"/>
    </row>
    <row r="64" ht="14.25" customHeight="1" s="1158">
      <c r="F64" s="1430" t="n"/>
      <c r="G64" s="1431" t="n"/>
      <c r="H64" s="1431" t="n"/>
    </row>
    <row r="65" ht="14.25" customHeight="1" s="1158">
      <c r="F65" s="1430" t="n"/>
      <c r="G65" s="1431" t="n"/>
      <c r="H65" s="1431" t="n"/>
    </row>
    <row r="66" ht="14.25" customHeight="1" s="1158">
      <c r="F66" s="1430" t="n"/>
      <c r="G66" s="1431" t="n"/>
      <c r="H66" s="1431" t="n"/>
    </row>
    <row r="67" ht="14.25" customHeight="1" s="1158">
      <c r="F67" s="1430" t="n"/>
      <c r="G67" s="1431" t="n"/>
      <c r="H67" s="1431" t="n"/>
    </row>
    <row r="68" ht="14.25" customHeight="1" s="1158">
      <c r="F68" s="1430" t="n"/>
      <c r="G68" s="1431" t="n"/>
      <c r="H68" s="1431" t="n"/>
    </row>
    <row r="69" ht="14.25" customHeight="1" s="1158">
      <c r="F69" s="1430" t="n"/>
      <c r="G69" s="1431" t="n"/>
      <c r="H69" s="1431" t="n"/>
    </row>
    <row r="70" ht="14.25" customHeight="1" s="1158">
      <c r="F70" s="1430" t="n"/>
      <c r="G70" s="1431" t="n"/>
      <c r="H70" s="1431" t="n"/>
    </row>
    <row r="71" ht="14.25" customHeight="1" s="1158">
      <c r="F71" s="1430" t="n"/>
      <c r="G71" s="1431" t="n"/>
      <c r="H71" s="1431" t="n"/>
    </row>
    <row r="72" ht="14.25" customHeight="1" s="1158">
      <c r="F72" s="1430" t="n"/>
      <c r="G72" s="1431" t="n"/>
      <c r="H72" s="1431" t="n"/>
    </row>
    <row r="73" ht="14.25" customHeight="1" s="1158">
      <c r="F73" s="1430" t="n"/>
      <c r="G73" s="1431" t="n"/>
      <c r="H73" s="1431" t="n"/>
    </row>
    <row r="74" ht="14.25" customHeight="1" s="1158">
      <c r="F74" s="1430" t="n"/>
      <c r="G74" s="1431" t="n"/>
      <c r="H74" s="1431" t="n"/>
    </row>
    <row r="75" ht="14.25" customHeight="1" s="1158">
      <c r="F75" s="1430" t="n"/>
      <c r="G75" s="1431" t="n"/>
      <c r="H75" s="1431" t="n"/>
    </row>
    <row r="76" ht="14.25" customHeight="1" s="1158">
      <c r="F76" s="1430" t="n"/>
      <c r="G76" s="1431" t="n"/>
      <c r="H76" s="1431" t="n"/>
    </row>
    <row r="77" ht="14.25" customHeight="1" s="1158">
      <c r="F77" s="1430" t="n"/>
      <c r="G77" s="1431" t="n"/>
      <c r="H77" s="1431" t="n"/>
    </row>
    <row r="78" ht="14.25" customHeight="1" s="1158">
      <c r="F78" s="1430" t="n"/>
      <c r="G78" s="1431" t="n"/>
      <c r="H78" s="1431" t="n"/>
    </row>
    <row r="79" ht="14.25" customHeight="1" s="1158">
      <c r="F79" s="1430" t="n"/>
      <c r="G79" s="1431" t="n"/>
      <c r="H79" s="1431" t="n"/>
    </row>
    <row r="80" ht="14.25" customHeight="1" s="1158">
      <c r="F80" s="1430" t="n"/>
      <c r="G80" s="1431" t="n"/>
      <c r="H80" s="1431" t="n"/>
    </row>
    <row r="81" ht="14.25" customHeight="1" s="1158">
      <c r="F81" s="1430" t="n"/>
      <c r="G81" s="1431" t="n"/>
      <c r="H81" s="1431" t="n"/>
    </row>
    <row r="82" ht="14.25" customHeight="1" s="1158">
      <c r="F82" s="1430" t="n"/>
      <c r="G82" s="1431" t="n"/>
      <c r="H82" s="1431" t="n"/>
    </row>
    <row r="83" ht="14.25" customHeight="1" s="1158">
      <c r="F83" s="1430" t="n"/>
      <c r="G83" s="1431" t="n"/>
      <c r="H83" s="1431" t="n"/>
    </row>
    <row r="84" ht="14.25" customHeight="1" s="1158">
      <c r="F84" s="1430" t="n"/>
      <c r="G84" s="1431" t="n"/>
      <c r="H84" s="1431" t="n"/>
    </row>
    <row r="85" ht="14.25" customHeight="1" s="1158">
      <c r="F85" s="1430" t="n"/>
      <c r="G85" s="1431" t="n"/>
      <c r="H85" s="1431" t="n"/>
    </row>
    <row r="86" ht="14.25" customHeight="1" s="1158">
      <c r="F86" s="1430" t="n"/>
      <c r="G86" s="1431" t="n"/>
      <c r="H86" s="1431" t="n"/>
    </row>
    <row r="87" ht="14.25" customHeight="1" s="1158">
      <c r="F87" s="1430" t="n"/>
      <c r="G87" s="1431" t="n"/>
      <c r="H87" s="1431" t="n"/>
    </row>
    <row r="88" ht="14.25" customHeight="1" s="1158">
      <c r="F88" s="1430" t="n"/>
      <c r="G88" s="1431" t="n"/>
      <c r="H88" s="1431" t="n"/>
    </row>
    <row r="89" ht="14.25" customHeight="1" s="1158">
      <c r="F89" s="1430" t="n"/>
      <c r="G89" s="1431" t="n"/>
      <c r="H89" s="1431" t="n"/>
    </row>
    <row r="90" ht="14.25" customHeight="1" s="1158">
      <c r="F90" s="1430" t="n"/>
      <c r="G90" s="1431" t="n"/>
      <c r="H90" s="1431" t="n"/>
    </row>
    <row r="91" ht="14.25" customHeight="1" s="1158">
      <c r="F91" s="1430" t="n"/>
      <c r="G91" s="1431" t="n"/>
      <c r="H91" s="1431" t="n"/>
    </row>
    <row r="92" ht="14.25" customHeight="1" s="1158">
      <c r="F92" s="1430" t="n"/>
      <c r="G92" s="1431" t="n"/>
      <c r="H92" s="1431" t="n"/>
    </row>
    <row r="93" ht="14.25" customHeight="1" s="1158">
      <c r="F93" s="1430" t="n"/>
      <c r="G93" s="1431" t="n"/>
      <c r="H93" s="1431" t="n"/>
    </row>
    <row r="94" ht="14.25" customHeight="1" s="1158">
      <c r="F94" s="1430" t="n"/>
      <c r="G94" s="1431" t="n"/>
      <c r="H94" s="1431" t="n"/>
    </row>
    <row r="95" ht="14.25" customHeight="1" s="1158">
      <c r="F95" s="1430" t="n"/>
      <c r="G95" s="1431" t="n"/>
      <c r="H95" s="1431" t="n"/>
    </row>
    <row r="96" ht="14.25" customHeight="1" s="1158">
      <c r="F96" s="1430" t="n"/>
      <c r="G96" s="1431" t="n"/>
      <c r="H96" s="1431" t="n"/>
    </row>
    <row r="97" ht="14.25" customHeight="1" s="1158">
      <c r="F97" s="1430" t="n"/>
      <c r="G97" s="1431" t="n"/>
      <c r="H97" s="1431" t="n"/>
    </row>
    <row r="98" ht="14.25" customHeight="1" s="1158">
      <c r="F98" s="1430" t="n"/>
      <c r="G98" s="1431" t="n"/>
      <c r="H98" s="1431" t="n"/>
    </row>
    <row r="99" ht="14.25" customHeight="1" s="1158">
      <c r="F99" s="1430" t="n"/>
      <c r="G99" s="1431" t="n"/>
      <c r="H99" s="1431" t="n"/>
    </row>
    <row r="100" ht="14.25" customHeight="1" s="1158">
      <c r="F100" s="1430" t="n"/>
      <c r="G100" s="1431" t="n"/>
      <c r="H100" s="1431" t="n"/>
    </row>
    <row r="101" ht="14.25" customHeight="1" s="1158">
      <c r="F101" s="1430" t="n"/>
      <c r="G101" s="1431" t="n"/>
      <c r="H101" s="1431" t="n"/>
    </row>
    <row r="102" ht="14.25" customHeight="1" s="1158">
      <c r="F102" s="1430" t="n"/>
      <c r="G102" s="1431" t="n"/>
      <c r="H102" s="1431" t="n"/>
    </row>
    <row r="103" ht="14.25" customHeight="1" s="1158">
      <c r="F103" s="1430" t="n"/>
      <c r="G103" s="1431" t="n"/>
      <c r="H103" s="1431" t="n"/>
    </row>
    <row r="104" ht="14.25" customHeight="1" s="1158">
      <c r="F104" s="1430" t="n"/>
      <c r="G104" s="1431" t="n"/>
      <c r="H104" s="1431" t="n"/>
    </row>
    <row r="105" ht="14.25" customHeight="1" s="1158">
      <c r="F105" s="1430" t="n"/>
      <c r="G105" s="1431" t="n"/>
      <c r="H105" s="1431" t="n"/>
    </row>
    <row r="106" ht="14.25" customHeight="1" s="1158">
      <c r="F106" s="1430" t="n"/>
      <c r="G106" s="1431" t="n"/>
      <c r="H106" s="1431" t="n"/>
    </row>
    <row r="107" ht="14.25" customHeight="1" s="1158">
      <c r="F107" s="1430" t="n"/>
      <c r="G107" s="1431" t="n"/>
      <c r="H107" s="1431" t="n"/>
    </row>
    <row r="108" ht="14.25" customHeight="1" s="1158">
      <c r="F108" s="1430" t="n"/>
      <c r="G108" s="1431" t="n"/>
      <c r="H108" s="1431" t="n"/>
    </row>
    <row r="109" ht="14.25" customHeight="1" s="1158">
      <c r="F109" s="1430" t="n"/>
      <c r="G109" s="1431" t="n"/>
      <c r="H109" s="1431" t="n"/>
    </row>
    <row r="110" ht="14.25" customHeight="1" s="1158">
      <c r="F110" s="1430" t="n"/>
      <c r="G110" s="1431" t="n"/>
      <c r="H110" s="1431" t="n"/>
    </row>
    <row r="111" ht="14.25" customHeight="1" s="1158">
      <c r="F111" s="1430" t="n"/>
      <c r="G111" s="1431" t="n"/>
      <c r="H111" s="1431" t="n"/>
    </row>
    <row r="112" ht="14.25" customHeight="1" s="1158">
      <c r="F112" s="1430" t="n"/>
      <c r="G112" s="1431" t="n"/>
      <c r="H112" s="1431" t="n"/>
    </row>
    <row r="113" ht="14.25" customHeight="1" s="1158">
      <c r="F113" s="1430" t="n"/>
      <c r="G113" s="1431" t="n"/>
      <c r="H113" s="1431" t="n"/>
    </row>
    <row r="114" ht="14.25" customHeight="1" s="1158">
      <c r="F114" s="1430" t="n"/>
      <c r="G114" s="1431" t="n"/>
      <c r="H114" s="1431" t="n"/>
    </row>
    <row r="115" ht="14.25" customHeight="1" s="1158">
      <c r="F115" s="1430" t="n"/>
      <c r="G115" s="1431" t="n"/>
      <c r="H115" s="1431" t="n"/>
    </row>
    <row r="116" ht="14.25" customHeight="1" s="1158">
      <c r="F116" s="1430" t="n"/>
      <c r="G116" s="1431" t="n"/>
      <c r="H116" s="1431" t="n"/>
    </row>
    <row r="117" ht="14.25" customHeight="1" s="1158">
      <c r="F117" s="1430" t="n"/>
      <c r="G117" s="1431" t="n"/>
      <c r="H117" s="1431" t="n"/>
    </row>
    <row r="118" ht="14.25" customHeight="1" s="1158">
      <c r="F118" s="1430" t="n"/>
      <c r="G118" s="1431" t="n"/>
      <c r="H118" s="1431" t="n"/>
    </row>
    <row r="119" ht="14.25" customHeight="1" s="1158">
      <c r="F119" s="1430" t="n"/>
      <c r="G119" s="1431" t="n"/>
      <c r="H119" s="1431" t="n"/>
    </row>
    <row r="120" ht="14.25" customHeight="1" s="1158">
      <c r="F120" s="1430" t="n"/>
      <c r="G120" s="1431" t="n"/>
      <c r="H120" s="1431" t="n"/>
    </row>
    <row r="121" ht="14.25" customHeight="1" s="1158">
      <c r="F121" s="1430" t="n"/>
      <c r="G121" s="1431" t="n"/>
      <c r="H121" s="1431" t="n"/>
    </row>
    <row r="122" ht="14.25" customHeight="1" s="1158">
      <c r="F122" s="1430" t="n"/>
      <c r="G122" s="1431" t="n"/>
      <c r="H122" s="1431" t="n"/>
    </row>
    <row r="123" ht="14.25" customHeight="1" s="1158">
      <c r="F123" s="1430" t="n"/>
      <c r="G123" s="1431" t="n"/>
      <c r="H123" s="1431" t="n"/>
    </row>
    <row r="124" ht="14.25" customHeight="1" s="1158">
      <c r="F124" s="1430" t="n"/>
      <c r="G124" s="1431" t="n"/>
      <c r="H124" s="1431" t="n"/>
    </row>
    <row r="125" ht="14.25" customHeight="1" s="1158">
      <c r="F125" s="1430" t="n"/>
      <c r="G125" s="1431" t="n"/>
      <c r="H125" s="1431" t="n"/>
    </row>
    <row r="126" ht="14.25" customHeight="1" s="1158">
      <c r="F126" s="1430" t="n"/>
      <c r="G126" s="1431" t="n"/>
      <c r="H126" s="1431" t="n"/>
    </row>
    <row r="127" ht="14.25" customHeight="1" s="1158">
      <c r="F127" s="1430" t="n"/>
      <c r="G127" s="1431" t="n"/>
      <c r="H127" s="1431" t="n"/>
    </row>
    <row r="128" ht="14.25" customHeight="1" s="1158">
      <c r="F128" s="1430" t="n"/>
      <c r="G128" s="1431" t="n"/>
      <c r="H128" s="1431" t="n"/>
    </row>
    <row r="129" ht="14.25" customHeight="1" s="1158">
      <c r="F129" s="1430" t="n"/>
      <c r="G129" s="1431" t="n"/>
      <c r="H129" s="1431" t="n"/>
    </row>
    <row r="130" ht="14.25" customHeight="1" s="1158">
      <c r="F130" s="1430" t="n"/>
      <c r="G130" s="1431" t="n"/>
      <c r="H130" s="1431" t="n"/>
    </row>
    <row r="131" ht="14.25" customHeight="1" s="1158">
      <c r="F131" s="1430" t="n"/>
      <c r="G131" s="1431" t="n"/>
      <c r="H131" s="1431" t="n"/>
    </row>
    <row r="132" ht="14.25" customHeight="1" s="1158">
      <c r="F132" s="1430" t="n"/>
      <c r="G132" s="1431" t="n"/>
      <c r="H132" s="1431" t="n"/>
    </row>
    <row r="133" ht="14.25" customHeight="1" s="1158">
      <c r="F133" s="1430" t="n"/>
      <c r="G133" s="1431" t="n"/>
      <c r="H133" s="1431" t="n"/>
    </row>
    <row r="134" ht="14.25" customHeight="1" s="1158">
      <c r="F134" s="1430" t="n"/>
      <c r="G134" s="1431" t="n"/>
      <c r="H134" s="1431" t="n"/>
    </row>
    <row r="135" ht="14.25" customHeight="1" s="1158">
      <c r="F135" s="1430" t="n"/>
      <c r="G135" s="1431" t="n"/>
      <c r="H135" s="1431" t="n"/>
    </row>
    <row r="136" ht="14.25" customHeight="1" s="1158">
      <c r="F136" s="1430" t="n"/>
      <c r="G136" s="1431" t="n"/>
      <c r="H136" s="1431" t="n"/>
    </row>
    <row r="137" ht="14.25" customHeight="1" s="1158">
      <c r="F137" s="1430" t="n"/>
      <c r="G137" s="1431" t="n"/>
      <c r="H137" s="1431" t="n"/>
    </row>
    <row r="138" ht="14.25" customHeight="1" s="1158">
      <c r="F138" s="1430" t="n"/>
      <c r="G138" s="1431" t="n"/>
      <c r="H138" s="1431" t="n"/>
    </row>
    <row r="139" ht="14.25" customHeight="1" s="1158">
      <c r="F139" s="1430" t="n"/>
      <c r="G139" s="1431" t="n"/>
      <c r="H139" s="1431" t="n"/>
    </row>
    <row r="140" ht="14.25" customHeight="1" s="1158">
      <c r="F140" s="1430" t="n"/>
      <c r="G140" s="1431" t="n"/>
      <c r="H140" s="1431" t="n"/>
    </row>
    <row r="141" ht="14.25" customHeight="1" s="1158">
      <c r="F141" s="1430" t="n"/>
      <c r="G141" s="1431" t="n"/>
      <c r="H141" s="1431" t="n"/>
    </row>
    <row r="142" ht="14.25" customHeight="1" s="1158">
      <c r="F142" s="1430" t="n"/>
      <c r="G142" s="1431" t="n"/>
      <c r="H142" s="1431" t="n"/>
    </row>
    <row r="143" ht="14.25" customHeight="1" s="1158">
      <c r="F143" s="1430" t="n"/>
      <c r="G143" s="1431" t="n"/>
      <c r="H143" s="1431" t="n"/>
    </row>
    <row r="144" ht="14.25" customHeight="1" s="1158">
      <c r="F144" s="1430" t="n"/>
      <c r="G144" s="1431" t="n"/>
      <c r="H144" s="1431" t="n"/>
    </row>
    <row r="145" ht="14.25" customHeight="1" s="1158">
      <c r="F145" s="1430" t="n"/>
      <c r="G145" s="1431" t="n"/>
      <c r="H145" s="1431" t="n"/>
    </row>
    <row r="146" ht="14.25" customHeight="1" s="1158">
      <c r="F146" s="1430" t="n"/>
      <c r="G146" s="1431" t="n"/>
      <c r="H146" s="1431" t="n"/>
    </row>
    <row r="147" ht="14.25" customHeight="1" s="1158">
      <c r="F147" s="1430" t="n"/>
      <c r="G147" s="1431" t="n"/>
      <c r="H147" s="1431" t="n"/>
    </row>
    <row r="148" ht="14.25" customHeight="1" s="1158">
      <c r="F148" s="1430" t="n"/>
      <c r="G148" s="1431" t="n"/>
      <c r="H148" s="1431" t="n"/>
    </row>
    <row r="149" ht="14.25" customHeight="1" s="1158">
      <c r="F149" s="1430" t="n"/>
      <c r="G149" s="1431" t="n"/>
      <c r="H149" s="1431" t="n"/>
    </row>
    <row r="150" ht="14.25" customHeight="1" s="1158">
      <c r="F150" s="1430" t="n"/>
      <c r="G150" s="1431" t="n"/>
      <c r="H150" s="1431" t="n"/>
    </row>
    <row r="151" ht="14.25" customHeight="1" s="1158">
      <c r="F151" s="1430" t="n"/>
      <c r="G151" s="1431" t="n"/>
      <c r="H151" s="1431" t="n"/>
    </row>
    <row r="152" ht="14.25" customHeight="1" s="1158">
      <c r="F152" s="1430" t="n"/>
      <c r="G152" s="1431" t="n"/>
      <c r="H152" s="1431" t="n"/>
    </row>
    <row r="153" ht="14.25" customHeight="1" s="1158">
      <c r="F153" s="1430" t="n"/>
      <c r="G153" s="1431" t="n"/>
      <c r="H153" s="1431" t="n"/>
    </row>
    <row r="154" ht="14.25" customHeight="1" s="1158">
      <c r="F154" s="1430" t="n"/>
      <c r="G154" s="1431" t="n"/>
      <c r="H154" s="1431" t="n"/>
    </row>
    <row r="155" ht="14.25" customHeight="1" s="1158">
      <c r="F155" s="1430" t="n"/>
      <c r="G155" s="1431" t="n"/>
      <c r="H155" s="1431" t="n"/>
    </row>
    <row r="156" ht="14.25" customHeight="1" s="1158">
      <c r="F156" s="1430" t="n"/>
      <c r="G156" s="1431" t="n"/>
      <c r="H156" s="1431" t="n"/>
    </row>
    <row r="157" ht="14.25" customHeight="1" s="1158">
      <c r="F157" s="1430" t="n"/>
      <c r="G157" s="1431" t="n"/>
      <c r="H157" s="1431" t="n"/>
    </row>
    <row r="158" ht="14.25" customHeight="1" s="1158">
      <c r="F158" s="1430" t="n"/>
      <c r="G158" s="1431" t="n"/>
      <c r="H158" s="1431" t="n"/>
    </row>
    <row r="159" ht="14.25" customHeight="1" s="1158">
      <c r="F159" s="1430" t="n"/>
      <c r="G159" s="1431" t="n"/>
      <c r="H159" s="1431" t="n"/>
    </row>
    <row r="160" ht="14.25" customHeight="1" s="1158">
      <c r="F160" s="1430" t="n"/>
      <c r="G160" s="1431" t="n"/>
      <c r="H160" s="1431" t="n"/>
    </row>
    <row r="161" ht="14.25" customHeight="1" s="1158">
      <c r="F161" s="1430" t="n"/>
      <c r="G161" s="1431" t="n"/>
      <c r="H161" s="1431" t="n"/>
    </row>
    <row r="162" ht="14.25" customHeight="1" s="1158">
      <c r="F162" s="1430" t="n"/>
      <c r="G162" s="1431" t="n"/>
      <c r="H162" s="1431" t="n"/>
    </row>
    <row r="163" ht="14.25" customHeight="1" s="1158">
      <c r="F163" s="1430" t="n"/>
      <c r="G163" s="1431" t="n"/>
      <c r="H163" s="1431" t="n"/>
    </row>
    <row r="164" ht="14.25" customHeight="1" s="1158">
      <c r="F164" s="1430" t="n"/>
      <c r="G164" s="1431" t="n"/>
      <c r="H164" s="1431" t="n"/>
    </row>
    <row r="165" ht="14.25" customHeight="1" s="1158">
      <c r="F165" s="1430" t="n"/>
      <c r="G165" s="1431" t="n"/>
      <c r="H165" s="1431" t="n"/>
    </row>
    <row r="166" ht="14.25" customHeight="1" s="1158">
      <c r="F166" s="1430" t="n"/>
      <c r="G166" s="1431" t="n"/>
      <c r="H166" s="1431" t="n"/>
    </row>
    <row r="167" ht="14.25" customHeight="1" s="1158">
      <c r="F167" s="1430" t="n"/>
      <c r="G167" s="1431" t="n"/>
      <c r="H167" s="1431" t="n"/>
    </row>
    <row r="168" ht="14.25" customHeight="1" s="1158">
      <c r="F168" s="1430" t="n"/>
      <c r="G168" s="1431" t="n"/>
      <c r="H168" s="1431" t="n"/>
    </row>
    <row r="169" ht="14.25" customHeight="1" s="1158">
      <c r="F169" s="1430" t="n"/>
      <c r="G169" s="1431" t="n"/>
      <c r="H169" s="1431" t="n"/>
    </row>
    <row r="170" ht="14.25" customHeight="1" s="1158">
      <c r="F170" s="1430" t="n"/>
      <c r="G170" s="1431" t="n"/>
      <c r="H170" s="1431" t="n"/>
    </row>
    <row r="171" ht="14.25" customHeight="1" s="1158">
      <c r="F171" s="1430" t="n"/>
      <c r="G171" s="1431" t="n"/>
      <c r="H171" s="1431" t="n"/>
    </row>
    <row r="172" ht="14.25" customHeight="1" s="1158">
      <c r="F172" s="1430" t="n"/>
      <c r="G172" s="1431" t="n"/>
      <c r="H172" s="1431" t="n"/>
    </row>
    <row r="173" ht="14.25" customHeight="1" s="1158">
      <c r="F173" s="1430" t="n"/>
      <c r="G173" s="1431" t="n"/>
      <c r="H173" s="1431" t="n"/>
    </row>
    <row r="174" ht="14.25" customHeight="1" s="1158">
      <c r="F174" s="1430" t="n"/>
      <c r="G174" s="1431" t="n"/>
      <c r="H174" s="1431" t="n"/>
    </row>
    <row r="175" ht="14.25" customHeight="1" s="1158">
      <c r="F175" s="1430" t="n"/>
      <c r="G175" s="1431" t="n"/>
      <c r="H175" s="1431" t="n"/>
    </row>
    <row r="176" ht="14.25" customHeight="1" s="1158">
      <c r="F176" s="1430" t="n"/>
      <c r="G176" s="1431" t="n"/>
      <c r="H176" s="1431" t="n"/>
    </row>
    <row r="177" ht="14.25" customHeight="1" s="1158">
      <c r="F177" s="1430" t="n"/>
      <c r="G177" s="1431" t="n"/>
      <c r="H177" s="1431" t="n"/>
    </row>
    <row r="178" ht="14.25" customHeight="1" s="1158">
      <c r="F178" s="1430" t="n"/>
      <c r="G178" s="1431" t="n"/>
      <c r="H178" s="1431" t="n"/>
    </row>
    <row r="179" ht="14.25" customHeight="1" s="1158">
      <c r="F179" s="1430" t="n"/>
      <c r="G179" s="1431" t="n"/>
      <c r="H179" s="1431" t="n"/>
    </row>
    <row r="180" ht="14.25" customHeight="1" s="1158">
      <c r="F180" s="1430" t="n"/>
      <c r="G180" s="1431" t="n"/>
      <c r="H180" s="1431" t="n"/>
    </row>
    <row r="181" ht="14.25" customHeight="1" s="1158">
      <c r="F181" s="1430" t="n"/>
      <c r="G181" s="1431" t="n"/>
      <c r="H181" s="1431" t="n"/>
    </row>
    <row r="182" ht="14.25" customHeight="1" s="1158">
      <c r="F182" s="1430" t="n"/>
      <c r="G182" s="1431" t="n"/>
      <c r="H182" s="1431" t="n"/>
    </row>
    <row r="183" ht="14.25" customHeight="1" s="1158">
      <c r="F183" s="1430" t="n"/>
      <c r="G183" s="1431" t="n"/>
      <c r="H183" s="1431" t="n"/>
    </row>
    <row r="184" ht="14.25" customHeight="1" s="1158">
      <c r="F184" s="1430" t="n"/>
      <c r="G184" s="1431" t="n"/>
      <c r="H184" s="1431" t="n"/>
    </row>
    <row r="185" ht="14.25" customHeight="1" s="1158">
      <c r="F185" s="1430" t="n"/>
      <c r="G185" s="1431" t="n"/>
      <c r="H185" s="1431" t="n"/>
    </row>
    <row r="186" ht="14.25" customHeight="1" s="1158">
      <c r="F186" s="1430" t="n"/>
      <c r="G186" s="1431" t="n"/>
      <c r="H186" s="1431" t="n"/>
    </row>
    <row r="187" ht="14.25" customHeight="1" s="1158">
      <c r="F187" s="1430" t="n"/>
      <c r="G187" s="1431" t="n"/>
      <c r="H187" s="1431" t="n"/>
    </row>
    <row r="188" ht="14.25" customHeight="1" s="1158">
      <c r="F188" s="1430" t="n"/>
      <c r="G188" s="1431" t="n"/>
      <c r="H188" s="1431" t="n"/>
    </row>
    <row r="189" ht="14.25" customHeight="1" s="1158">
      <c r="F189" s="1430" t="n"/>
      <c r="G189" s="1431" t="n"/>
      <c r="H189" s="1431" t="n"/>
    </row>
    <row r="190" ht="14.25" customHeight="1" s="1158">
      <c r="F190" s="1430" t="n"/>
      <c r="G190" s="1431" t="n"/>
      <c r="H190" s="1431" t="n"/>
    </row>
    <row r="191" ht="14.25" customHeight="1" s="1158">
      <c r="F191" s="1430" t="n"/>
      <c r="G191" s="1431" t="n"/>
      <c r="H191" s="1431" t="n"/>
    </row>
    <row r="192" ht="14.25" customHeight="1" s="1158">
      <c r="F192" s="1430" t="n"/>
      <c r="G192" s="1431" t="n"/>
      <c r="H192" s="1431" t="n"/>
    </row>
    <row r="193" ht="14.25" customHeight="1" s="1158">
      <c r="F193" s="1430" t="n"/>
      <c r="G193" s="1431" t="n"/>
      <c r="H193" s="1431" t="n"/>
    </row>
    <row r="194" ht="14.25" customHeight="1" s="1158">
      <c r="F194" s="1430" t="n"/>
      <c r="G194" s="1431" t="n"/>
      <c r="H194" s="1431" t="n"/>
    </row>
    <row r="195" ht="14.25" customHeight="1" s="1158">
      <c r="F195" s="1430" t="n"/>
      <c r="G195" s="1431" t="n"/>
      <c r="H195" s="1431" t="n"/>
    </row>
    <row r="196" ht="14.25" customHeight="1" s="1158">
      <c r="F196" s="1430" t="n"/>
      <c r="G196" s="1431" t="n"/>
      <c r="H196" s="1431" t="n"/>
    </row>
    <row r="197" ht="14.25" customHeight="1" s="1158">
      <c r="F197" s="1430" t="n"/>
      <c r="G197" s="1431" t="n"/>
      <c r="H197" s="1431" t="n"/>
    </row>
    <row r="198" ht="14.25" customHeight="1" s="1158">
      <c r="F198" s="1430" t="n"/>
      <c r="G198" s="1431" t="n"/>
      <c r="H198" s="1431" t="n"/>
    </row>
    <row r="199" ht="14.25" customHeight="1" s="1158">
      <c r="F199" s="1430" t="n"/>
      <c r="G199" s="1431" t="n"/>
      <c r="H199" s="1431" t="n"/>
    </row>
    <row r="200" ht="14.25" customHeight="1" s="1158">
      <c r="F200" s="1430" t="n"/>
      <c r="G200" s="1431" t="n"/>
      <c r="H200" s="1431" t="n"/>
    </row>
    <row r="201" ht="14.25" customHeight="1" s="1158">
      <c r="F201" s="1430" t="n"/>
      <c r="G201" s="1431" t="n"/>
      <c r="H201" s="1431" t="n"/>
    </row>
    <row r="202" ht="14.25" customHeight="1" s="1158">
      <c r="F202" s="1430" t="n"/>
      <c r="G202" s="1431" t="n"/>
      <c r="H202" s="1431" t="n"/>
    </row>
    <row r="203" ht="14.25" customHeight="1" s="1158">
      <c r="F203" s="1430" t="n"/>
      <c r="G203" s="1431" t="n"/>
      <c r="H203" s="1431" t="n"/>
    </row>
    <row r="204" ht="14.25" customHeight="1" s="1158">
      <c r="F204" s="1430" t="n"/>
      <c r="G204" s="1431" t="n"/>
      <c r="H204" s="1431" t="n"/>
    </row>
    <row r="205" ht="14.25" customHeight="1" s="1158">
      <c r="F205" s="1430" t="n"/>
      <c r="G205" s="1431" t="n"/>
      <c r="H205" s="1431" t="n"/>
    </row>
    <row r="206" ht="14.25" customHeight="1" s="1158">
      <c r="F206" s="1430" t="n"/>
      <c r="G206" s="1431" t="n"/>
      <c r="H206" s="1431" t="n"/>
    </row>
    <row r="207" ht="14.25" customHeight="1" s="1158">
      <c r="F207" s="1430" t="n"/>
      <c r="G207" s="1431" t="n"/>
      <c r="H207" s="1431" t="n"/>
    </row>
    <row r="208" ht="14.25" customHeight="1" s="1158">
      <c r="F208" s="1430" t="n"/>
      <c r="G208" s="1431" t="n"/>
      <c r="H208" s="1431" t="n"/>
    </row>
    <row r="209" ht="14.25" customHeight="1" s="1158">
      <c r="F209" s="1430" t="n"/>
      <c r="G209" s="1431" t="n"/>
      <c r="H209" s="1431" t="n"/>
    </row>
    <row r="210" ht="14.25" customHeight="1" s="1158">
      <c r="F210" s="1430" t="n"/>
      <c r="G210" s="1431" t="n"/>
      <c r="H210" s="1431" t="n"/>
    </row>
    <row r="211" ht="14.25" customHeight="1" s="1158">
      <c r="F211" s="1430" t="n"/>
      <c r="G211" s="1431" t="n"/>
      <c r="H211" s="1431" t="n"/>
    </row>
    <row r="212" ht="14.25" customHeight="1" s="1158">
      <c r="F212" s="1430" t="n"/>
      <c r="G212" s="1431" t="n"/>
      <c r="H212" s="1431" t="n"/>
    </row>
    <row r="213" ht="14.25" customHeight="1" s="1158">
      <c r="F213" s="1430" t="n"/>
      <c r="G213" s="1431" t="n"/>
      <c r="H213" s="1431" t="n"/>
    </row>
    <row r="214" ht="14.25" customHeight="1" s="1158">
      <c r="F214" s="1430" t="n"/>
      <c r="G214" s="1431" t="n"/>
      <c r="H214" s="1431" t="n"/>
    </row>
    <row r="215" ht="14.25" customHeight="1" s="1158">
      <c r="F215" s="1430" t="n"/>
      <c r="G215" s="1431" t="n"/>
      <c r="H215" s="1431" t="n"/>
    </row>
    <row r="216" ht="14.25" customHeight="1" s="1158">
      <c r="F216" s="1430" t="n"/>
      <c r="G216" s="1431" t="n"/>
      <c r="H216" s="1431" t="n"/>
    </row>
    <row r="217" ht="14.25" customHeight="1" s="1158">
      <c r="F217" s="1430" t="n"/>
      <c r="G217" s="1431" t="n"/>
      <c r="H217" s="1431" t="n"/>
    </row>
    <row r="218" ht="14.25" customHeight="1" s="1158">
      <c r="F218" s="1430" t="n"/>
      <c r="G218" s="1431" t="n"/>
      <c r="H218" s="1431" t="n"/>
    </row>
    <row r="219" ht="14.25" customHeight="1" s="1158">
      <c r="F219" s="1430" t="n"/>
      <c r="G219" s="1431" t="n"/>
      <c r="H219" s="1431" t="n"/>
    </row>
    <row r="220" ht="14.25" customHeight="1" s="1158">
      <c r="F220" s="1430" t="n"/>
      <c r="G220" s="1431" t="n"/>
      <c r="H220" s="1431" t="n"/>
    </row>
    <row r="221" ht="14.25" customHeight="1" s="1158">
      <c r="F221" s="1430" t="n"/>
      <c r="G221" s="1431" t="n"/>
      <c r="H221" s="1431" t="n"/>
    </row>
    <row r="222" ht="14.25" customHeight="1" s="1158">
      <c r="F222" s="1430" t="n"/>
      <c r="G222" s="1431" t="n"/>
      <c r="H222" s="1431" t="n"/>
    </row>
    <row r="223" ht="14.25" customHeight="1" s="1158">
      <c r="F223" s="1430" t="n"/>
      <c r="G223" s="1431" t="n"/>
      <c r="H223" s="1431" t="n"/>
    </row>
    <row r="224" ht="14.25" customHeight="1" s="1158">
      <c r="F224" s="1430" t="n"/>
      <c r="G224" s="1431" t="n"/>
      <c r="H224" s="1431" t="n"/>
    </row>
    <row r="225" ht="14.25" customHeight="1" s="1158">
      <c r="F225" s="1430" t="n"/>
      <c r="G225" s="1431" t="n"/>
      <c r="H225" s="1431" t="n"/>
    </row>
    <row r="226" ht="14.25" customHeight="1" s="1158">
      <c r="F226" s="1430" t="n"/>
      <c r="G226" s="1431" t="n"/>
      <c r="H226" s="1431" t="n"/>
    </row>
    <row r="227" ht="14.25" customHeight="1" s="1158">
      <c r="F227" s="1430" t="n"/>
      <c r="G227" s="1431" t="n"/>
      <c r="H227" s="1431" t="n"/>
    </row>
    <row r="228" ht="14.25" customHeight="1" s="1158">
      <c r="F228" s="1430" t="n"/>
      <c r="G228" s="1431" t="n"/>
      <c r="H228" s="1431" t="n"/>
    </row>
    <row r="229" ht="14.25" customHeight="1" s="1158">
      <c r="F229" s="1430" t="n"/>
      <c r="G229" s="1431" t="n"/>
      <c r="H229" s="1431" t="n"/>
    </row>
    <row r="230" ht="14.25" customHeight="1" s="1158">
      <c r="F230" s="1430" t="n"/>
      <c r="G230" s="1431" t="n"/>
      <c r="H230" s="1431" t="n"/>
    </row>
    <row r="231" ht="14.25" customHeight="1" s="1158">
      <c r="F231" s="1430" t="n"/>
      <c r="G231" s="1431" t="n"/>
      <c r="H231" s="1431" t="n"/>
    </row>
    <row r="232" ht="14.25" customHeight="1" s="1158">
      <c r="F232" s="1430" t="n"/>
      <c r="G232" s="1431" t="n"/>
      <c r="H232" s="1431" t="n"/>
    </row>
    <row r="233" ht="14.25" customHeight="1" s="1158">
      <c r="F233" s="1430" t="n"/>
      <c r="G233" s="1431" t="n"/>
      <c r="H233" s="1431" t="n"/>
    </row>
    <row r="234" ht="14.25" customHeight="1" s="1158">
      <c r="F234" s="1430" t="n"/>
      <c r="G234" s="1431" t="n"/>
      <c r="H234" s="1431" t="n"/>
    </row>
    <row r="235" ht="14.25" customHeight="1" s="1158">
      <c r="F235" s="1430" t="n"/>
      <c r="G235" s="1431" t="n"/>
      <c r="H235" s="1431" t="n"/>
    </row>
    <row r="236" ht="14.25" customHeight="1" s="1158">
      <c r="F236" s="1430" t="n"/>
      <c r="G236" s="1431" t="n"/>
      <c r="H236" s="1431" t="n"/>
    </row>
    <row r="237" ht="14.25" customHeight="1" s="1158">
      <c r="F237" s="1430" t="n"/>
      <c r="G237" s="1431" t="n"/>
      <c r="H237" s="1431" t="n"/>
    </row>
    <row r="238" ht="14.25" customHeight="1" s="1158">
      <c r="F238" s="1430" t="n"/>
      <c r="G238" s="1431" t="n"/>
      <c r="H238" s="1431" t="n"/>
    </row>
    <row r="239" ht="14.25" customHeight="1" s="1158">
      <c r="F239" s="1430" t="n"/>
      <c r="G239" s="1431" t="n"/>
      <c r="H239" s="1431" t="n"/>
    </row>
    <row r="240" ht="14.25" customHeight="1" s="1158">
      <c r="F240" s="1430" t="n"/>
      <c r="G240" s="1431" t="n"/>
      <c r="H240" s="1431" t="n"/>
    </row>
    <row r="241" ht="14.25" customHeight="1" s="1158">
      <c r="F241" s="1430" t="n"/>
      <c r="G241" s="1431" t="n"/>
      <c r="H241" s="1431" t="n"/>
    </row>
    <row r="242" ht="14.25" customHeight="1" s="1158">
      <c r="F242" s="1430" t="n"/>
      <c r="G242" s="1431" t="n"/>
      <c r="H242" s="1431" t="n"/>
    </row>
    <row r="243" ht="14.25" customHeight="1" s="1158">
      <c r="F243" s="1430" t="n"/>
      <c r="G243" s="1431" t="n"/>
      <c r="H243" s="1431" t="n"/>
    </row>
    <row r="244" ht="14.25" customHeight="1" s="1158">
      <c r="F244" s="1430" t="n"/>
      <c r="G244" s="1431" t="n"/>
      <c r="H244" s="1431" t="n"/>
    </row>
    <row r="245" ht="14.25" customHeight="1" s="1158">
      <c r="F245" s="1430" t="n"/>
      <c r="G245" s="1431" t="n"/>
      <c r="H245" s="1431" t="n"/>
    </row>
    <row r="246" ht="14.25" customHeight="1" s="1158">
      <c r="F246" s="1430" t="n"/>
      <c r="G246" s="1431" t="n"/>
      <c r="H246" s="1431" t="n"/>
    </row>
    <row r="247" ht="14.25" customHeight="1" s="1158">
      <c r="F247" s="1430" t="n"/>
      <c r="G247" s="1431" t="n"/>
      <c r="H247" s="1431" t="n"/>
    </row>
    <row r="248" ht="14.25" customHeight="1" s="1158">
      <c r="F248" s="1430" t="n"/>
      <c r="G248" s="1431" t="n"/>
      <c r="H248" s="1431" t="n"/>
    </row>
    <row r="249" ht="14.25" customHeight="1" s="1158">
      <c r="F249" s="1430" t="n"/>
      <c r="G249" s="1431" t="n"/>
      <c r="H249" s="1431" t="n"/>
    </row>
    <row r="250" ht="14.25" customHeight="1" s="1158">
      <c r="F250" s="1430" t="n"/>
      <c r="G250" s="1431" t="n"/>
      <c r="H250" s="1431" t="n"/>
    </row>
    <row r="251" ht="14.25" customHeight="1" s="1158">
      <c r="F251" s="1430" t="n"/>
      <c r="G251" s="1431" t="n"/>
      <c r="H251" s="1431" t="n"/>
    </row>
    <row r="252" ht="14.25" customHeight="1" s="1158">
      <c r="F252" s="1430" t="n"/>
      <c r="G252" s="1431" t="n"/>
      <c r="H252" s="1431" t="n"/>
    </row>
    <row r="253" ht="14.25" customHeight="1" s="1158">
      <c r="F253" s="1430" t="n"/>
      <c r="G253" s="1431" t="n"/>
      <c r="H253" s="1431" t="n"/>
    </row>
    <row r="254" ht="14.25" customHeight="1" s="1158">
      <c r="F254" s="1430" t="n"/>
      <c r="G254" s="1431" t="n"/>
      <c r="H254" s="1431" t="n"/>
    </row>
    <row r="255" ht="14.25" customHeight="1" s="1158">
      <c r="F255" s="1430" t="n"/>
      <c r="G255" s="1431" t="n"/>
      <c r="H255" s="1431" t="n"/>
    </row>
    <row r="256" ht="14.25" customHeight="1" s="1158">
      <c r="F256" s="1430" t="n"/>
      <c r="G256" s="1431" t="n"/>
      <c r="H256" s="1431" t="n"/>
    </row>
    <row r="257" ht="14.25" customHeight="1" s="1158">
      <c r="F257" s="1430" t="n"/>
      <c r="G257" s="1431" t="n"/>
      <c r="H257" s="1431"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A11:S58"/>
    </sheetView>
  </sheetViews>
  <sheetFormatPr baseColWidth="8" defaultColWidth="9.11328125" defaultRowHeight="13.5" customHeight="0" zeroHeight="0" outlineLevelRow="0"/>
  <cols>
    <col width="21" customWidth="1" style="1458" min="1" max="1"/>
    <col width="12.67" customWidth="1" style="1459" min="2" max="13"/>
    <col width="9.109999999999999" customWidth="1" style="1460" min="14" max="16384"/>
  </cols>
  <sheetData>
    <row r="1" ht="61.5" customHeight="1" s="1158">
      <c r="A1" s="1461" t="n"/>
      <c r="B1" s="1462" t="inlineStr">
        <is>
          <t>FIELD SERVICE QUALITY SURVEY (OFFLINE)</t>
        </is>
      </c>
      <c r="C1" s="1171" t="n"/>
      <c r="D1" s="1171" t="n"/>
      <c r="E1" s="1171" t="n"/>
      <c r="F1" s="1171" t="n"/>
      <c r="G1" s="1171" t="n"/>
      <c r="H1" s="1171" t="n"/>
      <c r="I1" s="1171" t="n"/>
      <c r="J1" s="1171" t="n"/>
      <c r="K1" s="1168" t="n"/>
      <c r="L1" s="1463" t="n"/>
      <c r="M1" s="1168" t="n"/>
    </row>
    <row r="2" ht="15" customHeight="1" s="1158">
      <c r="A2" s="1464" t="inlineStr">
        <is>
          <t>DOCUMENT NUMBER</t>
        </is>
      </c>
      <c r="B2" s="1464" t="inlineStr">
        <is>
          <t>CLASSIFICATION</t>
        </is>
      </c>
      <c r="C2" s="1168" t="n"/>
      <c r="D2" s="1464" t="inlineStr">
        <is>
          <t>DOCUMENT LEVEL</t>
        </is>
      </c>
      <c r="E2" s="1168" t="n"/>
      <c r="F2" s="1464" t="inlineStr">
        <is>
          <t>REVISION NUMBER</t>
        </is>
      </c>
      <c r="G2" s="1168" t="n"/>
      <c r="H2" s="1464" t="inlineStr">
        <is>
          <t>ISSUE DATE</t>
        </is>
      </c>
      <c r="I2" s="1168" t="n"/>
      <c r="J2" s="1464" t="inlineStr">
        <is>
          <t>PREPARED BY</t>
        </is>
      </c>
      <c r="K2" s="1168" t="n"/>
      <c r="L2" s="1464" t="inlineStr">
        <is>
          <t>APPROVAL</t>
        </is>
      </c>
      <c r="M2" s="1168" t="n"/>
    </row>
    <row r="3" ht="26.25" customHeight="1" s="1158">
      <c r="A3" s="1465" t="inlineStr">
        <is>
          <t>GL-WFT-OEPS-L2-10.03</t>
        </is>
      </c>
      <c r="B3" s="1466" t="inlineStr">
        <is>
          <t>CONTROLLED</t>
        </is>
      </c>
      <c r="C3" s="1168" t="n"/>
      <c r="D3" s="1466" t="inlineStr">
        <is>
          <t>L5</t>
        </is>
      </c>
      <c r="E3" s="1168" t="n"/>
      <c r="F3" s="1466" t="n">
        <v>1</v>
      </c>
      <c r="G3" s="1168" t="n"/>
      <c r="H3" s="1467" t="inlineStr">
        <is>
          <t>09 SEP 2020</t>
        </is>
      </c>
      <c r="I3" s="1168" t="n"/>
      <c r="J3" s="1468" t="inlineStr">
        <is>
          <t>TECHNICAL ADVISORY COMMITTEE</t>
        </is>
      </c>
      <c r="K3" s="1168" t="n"/>
      <c r="L3" s="1466" t="inlineStr">
        <is>
          <t>OEP APPROVAL BOARD</t>
        </is>
      </c>
      <c r="M3" s="1168" t="n"/>
    </row>
    <row r="4" ht="37.5" customHeight="1" s="1158"/>
    <row r="5" ht="18" customHeight="1" s="1158">
      <c r="A5" s="1469" t="inlineStr">
        <is>
          <t>Date</t>
        </is>
      </c>
      <c r="B5" s="1470">
        <f>'Master Data'!E24</f>
        <v/>
      </c>
      <c r="C5" s="1471" t="n"/>
      <c r="D5" s="1471" t="n"/>
      <c r="E5" s="1471" t="n"/>
      <c r="F5" s="1471" t="n"/>
      <c r="G5" s="1471" t="n"/>
      <c r="H5" s="1472" t="n"/>
      <c r="I5" s="1473" t="n"/>
      <c r="L5" s="1460" t="n"/>
      <c r="M5" s="1460" t="n"/>
    </row>
    <row r="6" ht="18" customHeight="1" s="1158">
      <c r="A6" s="1474" t="inlineStr">
        <is>
          <t>Client</t>
        </is>
      </c>
      <c r="B6" s="1475">
        <f>'Master Data'!B3</f>
        <v/>
      </c>
      <c r="C6" s="1476" t="n"/>
      <c r="D6" s="1476" t="n"/>
      <c r="E6" s="1476" t="n"/>
      <c r="F6" s="1476" t="n"/>
      <c r="G6" s="1476" t="n"/>
      <c r="H6" s="1477" t="n"/>
      <c r="I6" s="1478" t="n"/>
      <c r="L6" s="1460" t="n"/>
      <c r="M6" s="1460" t="n"/>
    </row>
    <row r="7" ht="18" customHeight="1" s="1158">
      <c r="A7" s="1474" t="inlineStr">
        <is>
          <t>Client Contact</t>
        </is>
      </c>
      <c r="B7" s="1475">
        <f>'Master Data'!B4</f>
        <v/>
      </c>
      <c r="C7" s="1476" t="n"/>
      <c r="D7" s="1476" t="n"/>
      <c r="E7" s="1476" t="n"/>
      <c r="F7" s="1476" t="n"/>
      <c r="G7" s="1476" t="n"/>
      <c r="H7" s="1477" t="n"/>
      <c r="I7" s="1478" t="n"/>
      <c r="L7" s="1460" t="n"/>
      <c r="M7" s="1460" t="n"/>
    </row>
    <row r="8" ht="18" customHeight="1" s="1158">
      <c r="A8" s="1474" t="inlineStr">
        <is>
          <t>Project</t>
        </is>
      </c>
      <c r="B8" s="1475">
        <f>'Master Data'!E10</f>
        <v/>
      </c>
      <c r="C8" s="1476" t="n"/>
      <c r="D8" s="1476" t="n"/>
      <c r="E8" s="1476" t="n"/>
      <c r="F8" s="1476" t="n"/>
      <c r="G8" s="1476" t="n"/>
      <c r="H8" s="1477" t="n"/>
      <c r="I8" s="1478" t="n"/>
      <c r="L8" s="1460" t="n"/>
      <c r="M8" s="1460" t="n"/>
    </row>
    <row r="9" ht="18" customHeight="1" s="1158">
      <c r="A9" s="1474" t="inlineStr">
        <is>
          <t>Location</t>
        </is>
      </c>
      <c r="B9" s="1475">
        <f>'Master Data'!E8</f>
        <v/>
      </c>
      <c r="C9" s="1476" t="n"/>
      <c r="D9" s="1476" t="n"/>
      <c r="E9" s="1476" t="n"/>
      <c r="F9" s="1476" t="n"/>
      <c r="G9" s="1476" t="n"/>
      <c r="H9" s="1477" t="n"/>
      <c r="I9" s="1478" t="n"/>
      <c r="L9" s="1460" t="n"/>
      <c r="M9" s="1460" t="n"/>
    </row>
    <row r="10" ht="18" customHeight="1" s="1158">
      <c r="A10" s="1474" t="inlineStr">
        <is>
          <t>WFT Product Line</t>
        </is>
      </c>
      <c r="B10" s="1475" t="inlineStr">
        <is>
          <t>Completion</t>
        </is>
      </c>
      <c r="C10" s="1476" t="n"/>
      <c r="D10" s="1476" t="n"/>
      <c r="E10" s="1476" t="n"/>
      <c r="F10" s="1476" t="n"/>
      <c r="G10" s="1476" t="n"/>
      <c r="H10" s="1477" t="n"/>
      <c r="I10" s="1478" t="n"/>
      <c r="L10" s="1460" t="n"/>
      <c r="M10" s="1460" t="n"/>
    </row>
    <row r="11" ht="18" customHeight="1" s="1158">
      <c r="A11" s="1479" t="inlineStr">
        <is>
          <t>WFT Contact</t>
        </is>
      </c>
      <c r="B11" s="1480" t="inlineStr">
        <is>
          <t>Samy Ahmed</t>
        </is>
      </c>
      <c r="C11" s="1481" t="n"/>
      <c r="D11" s="1481" t="n"/>
      <c r="E11" s="1481" t="n"/>
      <c r="F11" s="1481" t="n"/>
      <c r="G11" s="1481" t="n"/>
      <c r="H11" s="1482" t="n"/>
      <c r="I11" s="1478" t="n"/>
      <c r="L11" s="1460" t="n"/>
      <c r="M11" s="1460" t="n"/>
    </row>
    <row r="12" ht="40.5" customHeight="1" s="1158">
      <c r="M12" s="1483" t="inlineStr">
        <is>
          <t>Mark 'X' Below Coloured Performance Score</t>
        </is>
      </c>
    </row>
    <row r="13" ht="18" customHeight="1" s="1158">
      <c r="A13" s="1484" t="inlineStr">
        <is>
          <t>Personnel</t>
        </is>
      </c>
      <c r="B13" s="1485" t="n">
        <v>1</v>
      </c>
      <c r="C13" s="1486" t="n"/>
      <c r="D13" s="1487" t="n">
        <v>2</v>
      </c>
      <c r="E13" s="1486" t="n"/>
      <c r="F13" s="1488" t="n">
        <v>3</v>
      </c>
      <c r="G13" s="1486" t="n"/>
      <c r="H13" s="1489" t="n">
        <v>4</v>
      </c>
      <c r="I13" s="1486" t="n"/>
      <c r="J13" s="1490" t="n">
        <v>5</v>
      </c>
      <c r="K13" s="1486" t="n"/>
      <c r="L13" s="1491" t="n">
        <v>6</v>
      </c>
      <c r="M13" s="1492" t="n"/>
    </row>
    <row r="14" ht="18" customHeight="1" s="1158">
      <c r="A14" s="1493" t="n"/>
      <c r="B14" s="1494" t="n"/>
      <c r="C14" s="1495" t="n"/>
      <c r="D14" s="1494" t="n"/>
      <c r="E14" s="1495" t="n"/>
      <c r="F14" s="1494" t="n"/>
      <c r="G14" s="1495" t="n"/>
      <c r="H14" s="1494" t="n"/>
      <c r="I14" s="1495" t="n"/>
      <c r="J14" s="1494" t="n"/>
      <c r="K14" s="1495" t="n"/>
      <c r="L14" s="1496" t="n"/>
      <c r="M14" s="1497" t="n"/>
    </row>
    <row r="15" ht="18" customHeight="1" s="1158">
      <c r="A15" s="1493" t="n"/>
      <c r="B15" s="1498" t="inlineStr">
        <is>
          <t>Failure</t>
        </is>
      </c>
      <c r="C15" s="1499" t="n"/>
      <c r="D15" s="1498" t="inlineStr">
        <is>
          <t>Poor</t>
        </is>
      </c>
      <c r="E15" s="1499" t="n"/>
      <c r="F15" s="1498" t="inlineStr">
        <is>
          <t>Mediocre</t>
        </is>
      </c>
      <c r="G15" s="1499" t="n"/>
      <c r="H15" s="1498" t="inlineStr">
        <is>
          <t>Satisfactory</t>
        </is>
      </c>
      <c r="I15" s="1499" t="n"/>
      <c r="J15" s="1498" t="inlineStr">
        <is>
          <t>Good</t>
        </is>
      </c>
      <c r="K15" s="1499" t="n"/>
      <c r="L15" s="1500" t="inlineStr">
        <is>
          <t>Excellent</t>
        </is>
      </c>
      <c r="M15" s="1501" t="n"/>
    </row>
    <row r="16" ht="66" customHeight="1" s="1158">
      <c r="A16" s="1502" t="n"/>
      <c r="B16" s="1503" t="inlineStr">
        <is>
          <t xml:space="preserve">Personnel are not sufficiently trained nor competent to provide  the specific service(s) requested.
</t>
        </is>
      </c>
      <c r="C16" s="1502" t="n"/>
      <c r="D16" s="1504" t="inlineStr">
        <is>
          <t>Insufficient trained and competent personnel to provide satisfactory service.</t>
        </is>
      </c>
      <c r="E16" s="1502" t="n"/>
      <c r="F16" s="1504" t="inlineStr">
        <is>
          <t>Personnel were not fully equipped to be able to provide completely satisfactory service.</t>
        </is>
      </c>
      <c r="G16" s="1502" t="n"/>
      <c r="H16" s="1504" t="inlineStr">
        <is>
          <t>Personnel are trained and competent to provide the requested service.</t>
        </is>
      </c>
      <c r="I16" s="1502" t="n"/>
      <c r="J16" s="1504" t="inlineStr">
        <is>
          <t>Personnel are competent and experienced in service provided.</t>
        </is>
      </c>
      <c r="K16" s="1502" t="n"/>
      <c r="L16" s="1505" t="inlineStr">
        <is>
          <t>Disciplined and professional. Performance is amongst the highest relative to peers.</t>
        </is>
      </c>
      <c r="M16" s="1506" t="n"/>
    </row>
    <row r="17" ht="15" customHeight="1" s="1158">
      <c r="A17" s="1507" t="n"/>
      <c r="B17" s="1508" t="n"/>
      <c r="C17" s="1508" t="n"/>
      <c r="D17" s="1508" t="n"/>
      <c r="E17" s="1508" t="n"/>
      <c r="F17" s="1508" t="n"/>
      <c r="G17" s="1508" t="n"/>
      <c r="H17" s="1508" t="n"/>
      <c r="I17" s="1508" t="n"/>
      <c r="J17" s="1508" t="n"/>
      <c r="K17" s="1508" t="n"/>
      <c r="L17" s="1508" t="n"/>
      <c r="M17" s="1483" t="inlineStr">
        <is>
          <t>Mark 'X' Below Coloured Performance Score</t>
        </is>
      </c>
    </row>
    <row r="18" ht="18" customHeight="1" s="1158">
      <c r="A18" s="1484" t="inlineStr">
        <is>
          <t>Equipment / Service</t>
        </is>
      </c>
      <c r="B18" s="1485" t="n">
        <v>1</v>
      </c>
      <c r="C18" s="1486" t="n"/>
      <c r="D18" s="1487" t="n">
        <v>2</v>
      </c>
      <c r="E18" s="1486" t="n"/>
      <c r="F18" s="1488" t="n">
        <v>3</v>
      </c>
      <c r="G18" s="1486" t="n"/>
      <c r="H18" s="1489" t="n">
        <v>4</v>
      </c>
      <c r="I18" s="1486" t="n"/>
      <c r="J18" s="1490" t="n">
        <v>5</v>
      </c>
      <c r="K18" s="1486" t="n"/>
      <c r="L18" s="1491" t="n">
        <v>6</v>
      </c>
      <c r="M18" s="1492" t="n"/>
    </row>
    <row r="19" ht="18" customHeight="1" s="1158">
      <c r="A19" s="1493" t="n"/>
      <c r="B19" s="1494" t="n"/>
      <c r="C19" s="1495" t="n"/>
      <c r="D19" s="1494" t="n"/>
      <c r="E19" s="1495" t="n"/>
      <c r="F19" s="1494" t="n"/>
      <c r="G19" s="1495" t="n"/>
      <c r="H19" s="1494" t="n"/>
      <c r="I19" s="1495" t="n"/>
      <c r="J19" s="1494" t="n"/>
      <c r="K19" s="1495" t="n"/>
      <c r="L19" s="1496" t="n"/>
      <c r="M19" s="1497" t="n"/>
    </row>
    <row r="20" ht="18" customHeight="1" s="1158">
      <c r="A20" s="1493" t="n"/>
      <c r="B20" s="1498" t="inlineStr">
        <is>
          <t>Failure</t>
        </is>
      </c>
      <c r="C20" s="1499" t="n"/>
      <c r="D20" s="1498" t="inlineStr">
        <is>
          <t>Poor</t>
        </is>
      </c>
      <c r="E20" s="1499" t="n"/>
      <c r="F20" s="1498" t="inlineStr">
        <is>
          <t>Mediocre</t>
        </is>
      </c>
      <c r="G20" s="1499" t="n"/>
      <c r="H20" s="1498" t="inlineStr">
        <is>
          <t>Satisfactory</t>
        </is>
      </c>
      <c r="I20" s="1499" t="n"/>
      <c r="J20" s="1498" t="inlineStr">
        <is>
          <t>Good</t>
        </is>
      </c>
      <c r="K20" s="1499" t="n"/>
      <c r="L20" s="1500" t="inlineStr">
        <is>
          <t>Excellent</t>
        </is>
      </c>
      <c r="M20" s="1501" t="n"/>
    </row>
    <row r="21" ht="66" customHeight="1" s="1158">
      <c r="A21" s="1502" t="n"/>
      <c r="B21" s="1504" t="inlineStr">
        <is>
          <t xml:space="preserve">Equipment/Service not fit for use.
</t>
        </is>
      </c>
      <c r="C21" s="1502" t="n"/>
      <c r="D21" s="1504" t="inlineStr">
        <is>
          <t>Inadequate and/or unreliable equipment/service provided.</t>
        </is>
      </c>
      <c r="E21" s="1502" t="n"/>
      <c r="F21" s="1504" t="inlineStr">
        <is>
          <t xml:space="preserve">Equipment/Service performed but problems were encountered, and level of quality was below expectation. </t>
        </is>
      </c>
      <c r="G21" s="1502" t="n"/>
      <c r="H21" s="1504" t="inlineStr">
        <is>
          <t>The quantity and quality of equipment/service is adequate to provide the service requested.</t>
        </is>
      </c>
      <c r="I21" s="1502" t="n"/>
      <c r="J21" s="1504" t="inlineStr">
        <is>
          <t xml:space="preserve">The equipment/service provided is fit for use, well maintained and reliable. </t>
        </is>
      </c>
      <c r="K21" s="1502" t="n"/>
      <c r="L21" s="1505" t="inlineStr">
        <is>
          <t>Equipment/Service exceeded expectations. Performance is amongst the highest relative to peers.</t>
        </is>
      </c>
      <c r="M21" s="1506" t="n"/>
    </row>
    <row r="22" ht="15" customHeight="1" s="1158">
      <c r="A22" s="1507" t="n"/>
      <c r="B22" s="1508" t="n"/>
      <c r="C22" s="1508" t="n"/>
      <c r="D22" s="1508" t="n"/>
      <c r="E22" s="1508" t="n"/>
      <c r="F22" s="1508" t="n"/>
      <c r="G22" s="1508" t="n"/>
      <c r="H22" s="1508" t="n"/>
      <c r="I22" s="1508" t="n"/>
      <c r="J22" s="1508" t="n"/>
      <c r="K22" s="1508" t="n"/>
      <c r="L22" s="1508" t="n"/>
      <c r="M22" s="1483" t="inlineStr">
        <is>
          <t>Mark 'X' Below Coloured Performance Score</t>
        </is>
      </c>
    </row>
    <row r="23" ht="18" customHeight="1" s="1158">
      <c r="A23" s="1484" t="inlineStr">
        <is>
          <t>Communication</t>
        </is>
      </c>
      <c r="B23" s="1485" t="n">
        <v>1</v>
      </c>
      <c r="C23" s="1486" t="n"/>
      <c r="D23" s="1487" t="n">
        <v>2</v>
      </c>
      <c r="E23" s="1486" t="n"/>
      <c r="F23" s="1488" t="n">
        <v>3</v>
      </c>
      <c r="G23" s="1486" t="n"/>
      <c r="H23" s="1489" t="n">
        <v>4</v>
      </c>
      <c r="I23" s="1486" t="n"/>
      <c r="J23" s="1490" t="n">
        <v>5</v>
      </c>
      <c r="K23" s="1486" t="n"/>
      <c r="L23" s="1491" t="n">
        <v>6</v>
      </c>
      <c r="M23" s="1492" t="n"/>
    </row>
    <row r="24" ht="18" customHeight="1" s="1158">
      <c r="A24" s="1493" t="n"/>
      <c r="B24" s="1494" t="n"/>
      <c r="C24" s="1495" t="n"/>
      <c r="D24" s="1494" t="n"/>
      <c r="E24" s="1495" t="n"/>
      <c r="F24" s="1494" t="n"/>
      <c r="G24" s="1495" t="n"/>
      <c r="H24" s="1494" t="n"/>
      <c r="I24" s="1495" t="n"/>
      <c r="J24" s="1494" t="n"/>
      <c r="K24" s="1495" t="n"/>
      <c r="L24" s="1496" t="n"/>
      <c r="M24" s="1497" t="n"/>
    </row>
    <row r="25" ht="18" customHeight="1" s="1158">
      <c r="A25" s="1493" t="n"/>
      <c r="B25" s="1498" t="inlineStr">
        <is>
          <t>Failure</t>
        </is>
      </c>
      <c r="C25" s="1499" t="n"/>
      <c r="D25" s="1498" t="inlineStr">
        <is>
          <t>Poor</t>
        </is>
      </c>
      <c r="E25" s="1499" t="n"/>
      <c r="F25" s="1498" t="inlineStr">
        <is>
          <t>Mediocre</t>
        </is>
      </c>
      <c r="G25" s="1499" t="n"/>
      <c r="H25" s="1498" t="inlineStr">
        <is>
          <t>Satisfactory</t>
        </is>
      </c>
      <c r="I25" s="1499" t="n"/>
      <c r="J25" s="1498" t="inlineStr">
        <is>
          <t>Good</t>
        </is>
      </c>
      <c r="K25" s="1499" t="n"/>
      <c r="L25" s="1500" t="inlineStr">
        <is>
          <t>Excellent</t>
        </is>
      </c>
      <c r="M25" s="1501" t="n"/>
    </row>
    <row r="26" ht="66" customHeight="1" s="1158">
      <c r="A26" s="1502" t="n"/>
      <c r="B26" s="1504" t="inlineStr">
        <is>
          <t>Failed to understand customer requirements and/or personnel do not function as a team.</t>
        </is>
      </c>
      <c r="C26" s="1502" t="n"/>
      <c r="D26" s="1504" t="inlineStr">
        <is>
          <t xml:space="preserve">Unsatisfactory communication with customer and/or between team members. </t>
        </is>
      </c>
      <c r="E26" s="1502" t="n"/>
      <c r="F26" s="1504" t="inlineStr">
        <is>
          <t>Low level of communication with customer and between team members.</t>
        </is>
      </c>
      <c r="G26" s="1502" t="n"/>
      <c r="H26" s="1504" t="inlineStr">
        <is>
          <t>Satisfactory communication with customer and between team members.</t>
        </is>
      </c>
      <c r="I26" s="1502" t="n"/>
      <c r="J26" s="1504" t="inlineStr">
        <is>
          <t>Good understanding of customer requirements. Personnel work well as a team.</t>
        </is>
      </c>
      <c r="K26" s="1502" t="n"/>
      <c r="L26" s="1505" t="inlineStr">
        <is>
          <t>Personnel are responsive to customer requirements and foster collaboration amongst all stakeholders</t>
        </is>
      </c>
      <c r="M26" s="1506" t="n"/>
    </row>
    <row r="27" ht="15" customHeight="1" s="1158">
      <c r="A27" s="1507" t="n"/>
      <c r="B27" s="1508" t="n"/>
      <c r="C27" s="1508" t="n"/>
      <c r="D27" s="1508" t="n"/>
      <c r="E27" s="1508" t="n"/>
      <c r="F27" s="1508" t="n"/>
      <c r="G27" s="1508" t="n"/>
      <c r="H27" s="1508" t="n"/>
      <c r="I27" s="1508" t="n"/>
      <c r="J27" s="1508" t="n"/>
      <c r="K27" s="1508" t="n"/>
      <c r="L27" s="1508" t="n"/>
      <c r="M27" s="1483" t="inlineStr">
        <is>
          <t>Mark 'X' Below Coloured Performance Score</t>
        </is>
      </c>
    </row>
    <row r="28" ht="18" customHeight="1" s="1158">
      <c r="A28" s="1484" t="inlineStr">
        <is>
          <t>HSSE</t>
        </is>
      </c>
      <c r="B28" s="1485" t="n">
        <v>1</v>
      </c>
      <c r="C28" s="1486" t="n"/>
      <c r="D28" s="1487" t="n">
        <v>2</v>
      </c>
      <c r="E28" s="1486" t="n"/>
      <c r="F28" s="1488" t="n">
        <v>3</v>
      </c>
      <c r="G28" s="1486" t="n"/>
      <c r="H28" s="1489" t="n">
        <v>4</v>
      </c>
      <c r="I28" s="1486" t="n"/>
      <c r="J28" s="1490" t="n">
        <v>5</v>
      </c>
      <c r="K28" s="1486" t="n"/>
      <c r="L28" s="1491" t="n">
        <v>6</v>
      </c>
      <c r="M28" s="1492" t="n"/>
    </row>
    <row r="29" ht="18" customHeight="1" s="1158">
      <c r="A29" s="1493" t="n"/>
      <c r="B29" s="1509" t="n"/>
      <c r="C29" s="1495" t="n"/>
      <c r="D29" s="1509" t="n"/>
      <c r="E29" s="1495" t="n"/>
      <c r="F29" s="1509" t="n"/>
      <c r="G29" s="1495" t="n"/>
      <c r="H29" s="1509" t="n"/>
      <c r="I29" s="1495" t="n"/>
      <c r="J29" s="1509" t="n"/>
      <c r="K29" s="1495" t="n"/>
      <c r="L29" s="1510" t="n"/>
      <c r="M29" s="1497" t="n"/>
    </row>
    <row r="30" ht="18" customHeight="1" s="1158">
      <c r="A30" s="1493" t="n"/>
      <c r="B30" s="1498" t="inlineStr">
        <is>
          <t>Failure</t>
        </is>
      </c>
      <c r="C30" s="1499" t="n"/>
      <c r="D30" s="1498" t="inlineStr">
        <is>
          <t>Poor</t>
        </is>
      </c>
      <c r="E30" s="1499" t="n"/>
      <c r="F30" s="1498" t="inlineStr">
        <is>
          <t>Mediocre</t>
        </is>
      </c>
      <c r="G30" s="1499" t="n"/>
      <c r="H30" s="1498" t="inlineStr">
        <is>
          <t>Satisfactory</t>
        </is>
      </c>
      <c r="I30" s="1499" t="n"/>
      <c r="J30" s="1498" t="inlineStr">
        <is>
          <t>Good</t>
        </is>
      </c>
      <c r="K30" s="1499" t="n"/>
      <c r="L30" s="1500" t="inlineStr">
        <is>
          <t>Excellent</t>
        </is>
      </c>
      <c r="M30" s="1501" t="n"/>
    </row>
    <row r="31" ht="66" customHeight="1" s="1158">
      <c r="A31" s="1502" t="n"/>
      <c r="B31" s="1504" t="inlineStr">
        <is>
          <t xml:space="preserve">  Loss and/or damage occurred due to Weatherford.                        Ineffective HSSE processes.</t>
        </is>
      </c>
      <c r="C31" s="1502" t="n"/>
      <c r="D31" s="1504" t="inlineStr">
        <is>
          <t>Loss and/or damage occurred due to Weatherford.                           HSSE processes not followed.</t>
        </is>
      </c>
      <c r="E31" s="1502" t="n"/>
      <c r="F31" s="1504" t="inlineStr">
        <is>
          <t>No loss or damage encountered but HSSE processes were not visible / adhered to.</t>
        </is>
      </c>
      <c r="G31" s="1502" t="n"/>
      <c r="H31" s="1504" t="inlineStr">
        <is>
          <t>No loss or damage due to Weatherford. Effective HSSE processes and adherence.</t>
        </is>
      </c>
      <c r="I31" s="1502" t="n"/>
      <c r="J31" s="1504" t="inlineStr">
        <is>
          <t>All operations conducted in a safe manner, in accordance with Risk Assessment &amp; HSSE Processes.</t>
        </is>
      </c>
      <c r="K31" s="1502" t="n"/>
      <c r="L31" s="1505" t="inlineStr">
        <is>
          <t xml:space="preserve">HSSE performance exceeds expectations. Performance is amongst the highest relative to peers. </t>
        </is>
      </c>
      <c r="M31" s="1506" t="n"/>
    </row>
    <row r="32" ht="15" customHeight="1" s="1158">
      <c r="A32" s="1507" t="n"/>
      <c r="B32" s="1508" t="n"/>
      <c r="C32" s="1508" t="n"/>
      <c r="D32" s="1508" t="n"/>
      <c r="E32" s="1508" t="n"/>
      <c r="F32" s="1508" t="n"/>
      <c r="G32" s="1508" t="n"/>
      <c r="H32" s="1508" t="n"/>
      <c r="I32" s="1508" t="n"/>
      <c r="J32" s="1508" t="n"/>
      <c r="K32" s="1508" t="n"/>
      <c r="L32" s="1508" t="n"/>
      <c r="M32" s="1483" t="inlineStr">
        <is>
          <t>Mark 'X' Below Coloured Performance Score</t>
        </is>
      </c>
    </row>
    <row r="33" ht="18" customHeight="1" s="1158">
      <c r="A33" s="1484" t="inlineStr">
        <is>
          <t>Overall</t>
        </is>
      </c>
      <c r="B33" s="1485" t="n">
        <v>1</v>
      </c>
      <c r="C33" s="1486" t="n"/>
      <c r="D33" s="1487" t="n">
        <v>2</v>
      </c>
      <c r="E33" s="1486" t="n"/>
      <c r="F33" s="1488" t="n">
        <v>3</v>
      </c>
      <c r="G33" s="1486" t="n"/>
      <c r="H33" s="1489" t="n">
        <v>4</v>
      </c>
      <c r="I33" s="1486" t="n"/>
      <c r="J33" s="1490" t="n">
        <v>5</v>
      </c>
      <c r="K33" s="1486" t="n"/>
      <c r="L33" s="1491" t="n">
        <v>6</v>
      </c>
      <c r="M33" s="1492" t="n"/>
    </row>
    <row r="34" ht="18" customHeight="1" s="1158">
      <c r="A34" s="1493" t="n"/>
      <c r="B34" s="1494" t="n"/>
      <c r="C34" s="1495" t="n"/>
      <c r="D34" s="1494" t="n"/>
      <c r="E34" s="1495" t="n"/>
      <c r="F34" s="1494" t="n"/>
      <c r="G34" s="1495" t="n"/>
      <c r="H34" s="1494" t="n"/>
      <c r="I34" s="1495" t="n"/>
      <c r="J34" s="1494" t="n"/>
      <c r="K34" s="1495" t="n"/>
      <c r="L34" s="1496" t="n"/>
      <c r="M34" s="1497" t="n"/>
    </row>
    <row r="35" ht="18" customHeight="1" s="1158">
      <c r="A35" s="1493" t="n"/>
      <c r="B35" s="1498" t="inlineStr">
        <is>
          <t>Failure</t>
        </is>
      </c>
      <c r="C35" s="1499" t="n"/>
      <c r="D35" s="1498" t="inlineStr">
        <is>
          <t>Poor</t>
        </is>
      </c>
      <c r="E35" s="1499" t="n"/>
      <c r="F35" s="1498" t="inlineStr">
        <is>
          <t>Mediocre</t>
        </is>
      </c>
      <c r="G35" s="1499" t="n"/>
      <c r="H35" s="1498" t="inlineStr">
        <is>
          <t>Satisfactory</t>
        </is>
      </c>
      <c r="I35" s="1499" t="n"/>
      <c r="J35" s="1498" t="inlineStr">
        <is>
          <t>Good</t>
        </is>
      </c>
      <c r="K35" s="1499" t="n"/>
      <c r="L35" s="1500" t="inlineStr">
        <is>
          <t>Excellent</t>
        </is>
      </c>
      <c r="M35" s="1501" t="n"/>
    </row>
    <row r="36" ht="66" customHeight="1" s="1158">
      <c r="A36" s="1502" t="n"/>
      <c r="B36" s="1504" t="inlineStr">
        <is>
          <t>The overall level of service does not meet expectations and is amongst the lowest relative to peers.</t>
        </is>
      </c>
      <c r="C36" s="1502" t="n"/>
      <c r="D36" s="1504" t="inlineStr">
        <is>
          <t xml:space="preserve"> The overall level of service does not meet expectations</t>
        </is>
      </c>
      <c r="E36" s="1502" t="n"/>
      <c r="F36" s="1504" t="inlineStr">
        <is>
          <t>The requirements were met but overall service quality was below expectation.</t>
        </is>
      </c>
      <c r="G36" s="1502" t="n"/>
      <c r="H36" s="1504" t="inlineStr">
        <is>
          <t>The level of service provided conforms to mutually agreed requirements, the first time.</t>
        </is>
      </c>
      <c r="I36" s="1502" t="n"/>
      <c r="J36" s="1504" t="inlineStr">
        <is>
          <t>The overall level of service is good and exceeded expectations in some area.</t>
        </is>
      </c>
      <c r="K36" s="1502" t="n"/>
      <c r="L36" s="1505" t="inlineStr">
        <is>
          <t xml:space="preserve">Level of service provided exceeds expectations and is amongst the highest relative to peers. </t>
        </is>
      </c>
      <c r="M36" s="1506" t="n"/>
    </row>
    <row r="37" ht="15" customHeight="1" s="1158">
      <c r="A37" s="1511" t="n"/>
      <c r="B37" s="1508" t="n"/>
      <c r="C37" s="1508" t="n"/>
      <c r="D37" s="1508" t="n"/>
      <c r="E37" s="1508" t="n"/>
      <c r="F37" s="1508" t="n"/>
      <c r="G37" s="1508" t="n"/>
      <c r="H37" s="1508" t="n"/>
      <c r="I37" s="1508" t="n"/>
      <c r="J37" s="1508" t="n"/>
      <c r="K37" s="1508" t="n"/>
      <c r="L37" s="1508" t="n"/>
      <c r="M37" s="1508" t="n"/>
    </row>
    <row r="38" ht="18" customHeight="1" s="1158">
      <c r="A38" s="1512" t="inlineStr">
        <is>
          <t xml:space="preserve">How Can We Improve?
</t>
        </is>
      </c>
      <c r="B38" s="1513" t="n"/>
      <c r="C38" s="1513" t="n"/>
      <c r="D38" s="1513" t="n"/>
      <c r="E38" s="1513" t="n"/>
      <c r="F38" s="1513" t="n"/>
      <c r="G38" s="1514" t="n"/>
      <c r="H38" s="1514" t="n"/>
      <c r="I38" s="1514" t="n"/>
      <c r="J38" s="1514" t="n"/>
      <c r="K38" s="1514" t="n"/>
      <c r="L38" s="1514" t="n"/>
      <c r="M38" s="1514" t="n"/>
    </row>
    <row r="39" ht="18" customHeight="1" s="1158">
      <c r="B39" s="1515" t="n"/>
      <c r="C39" s="1303" t="n"/>
      <c r="D39" s="1303" t="n"/>
      <c r="E39" s="1303" t="n"/>
      <c r="F39" s="1303" t="n"/>
      <c r="G39" s="1303" t="n"/>
      <c r="H39" s="1303" t="n"/>
      <c r="I39" s="1303" t="n"/>
      <c r="J39" s="1303" t="n"/>
      <c r="K39" s="1303" t="n"/>
      <c r="L39" s="1303" t="n"/>
      <c r="M39" s="1516" t="n"/>
    </row>
    <row r="40" ht="84" customHeight="1" s="1158">
      <c r="A40" s="1517" t="n"/>
      <c r="B40" s="1518" t="n"/>
      <c r="C40" s="1519" t="n"/>
      <c r="D40" s="1519" t="n"/>
      <c r="E40" s="1519" t="n"/>
      <c r="F40" s="1519" t="n"/>
      <c r="G40" s="1519" t="n"/>
      <c r="H40" s="1519" t="n"/>
      <c r="I40" s="1519" t="n"/>
      <c r="J40" s="1519" t="n"/>
      <c r="K40" s="1519" t="n"/>
      <c r="L40" s="1519" t="n"/>
      <c r="M40" s="1520" t="n"/>
    </row>
    <row r="41" ht="13.5" customFormat="1" customHeight="1" s="1521">
      <c r="A41" s="1522" t="n"/>
      <c r="B41" s="1523" t="n"/>
      <c r="C41" s="1523" t="n"/>
      <c r="D41" s="1523" t="n"/>
      <c r="E41" s="1523" t="n"/>
      <c r="F41" s="1523" t="n"/>
      <c r="G41" s="1523" t="n"/>
      <c r="H41" s="1523" t="n"/>
      <c r="I41" s="1523" t="n"/>
      <c r="J41" s="1523" t="n"/>
      <c r="K41" s="1523" t="n"/>
      <c r="L41" s="1523" t="n"/>
      <c r="M41" s="1523" t="n"/>
    </row>
    <row r="42" ht="13.5" customFormat="1" customHeight="1" s="1521">
      <c r="A42" s="1522" t="n"/>
      <c r="B42" s="1523" t="n"/>
      <c r="C42" s="1523" t="n"/>
      <c r="D42" s="1523" t="n"/>
      <c r="E42" s="1523" t="n"/>
      <c r="F42" s="1523" t="n"/>
      <c r="G42" s="1523" t="n"/>
      <c r="H42" s="1523" t="n"/>
      <c r="I42" s="1523" t="n"/>
      <c r="J42" s="1523" t="n"/>
      <c r="K42" s="1524"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521">
      <c r="A43" s="1522" t="n"/>
      <c r="B43" s="1523" t="n"/>
      <c r="C43" s="1523" t="n"/>
      <c r="D43" s="1523" t="n"/>
      <c r="E43" s="1523" t="n"/>
      <c r="F43" s="1523" t="n"/>
      <c r="G43" s="1523" t="n"/>
      <c r="H43" s="1523" t="n"/>
      <c r="I43" s="1523" t="n"/>
      <c r="J43" s="1523" t="n"/>
    </row>
    <row r="44" ht="13.5" customFormat="1" customHeight="1" s="1521">
      <c r="A44" s="1525">
        <f>'Master Data'!B4</f>
        <v/>
      </c>
      <c r="E44" s="1523" t="n"/>
      <c r="F44" s="1525">
        <f>'Master Data'!B21</f>
        <v/>
      </c>
      <c r="J44" s="1523" t="n"/>
    </row>
    <row r="45" ht="13.5" customFormat="1" customHeight="1" s="1521">
      <c r="A45" s="1193" t="n"/>
      <c r="B45" s="1193" t="n"/>
      <c r="C45" s="1193" t="n"/>
      <c r="D45" s="1193" t="n"/>
      <c r="E45" s="1523" t="n"/>
      <c r="F45" s="1193" t="n"/>
      <c r="G45" s="1193" t="n"/>
      <c r="H45" s="1193" t="n"/>
      <c r="I45" s="1193" t="n"/>
      <c r="J45" s="1526" t="n"/>
    </row>
    <row r="46" ht="13.5" customFormat="1" customHeight="1" s="1521">
      <c r="A46" s="1527" t="inlineStr">
        <is>
          <t>Customer Representative</t>
        </is>
      </c>
      <c r="B46" s="1528" t="n"/>
      <c r="C46" s="1528" t="n"/>
      <c r="D46" s="1528" t="n"/>
      <c r="E46" s="1529" t="n"/>
      <c r="F46" s="1527" t="inlineStr">
        <is>
          <t>Weatherford Representative</t>
        </is>
      </c>
      <c r="G46" s="1529" t="n"/>
      <c r="H46" s="1529" t="n"/>
      <c r="I46" s="1529" t="n"/>
    </row>
    <row r="47" ht="23.25" customFormat="1" customHeight="1" s="1521">
      <c r="A47" s="1530" t="n"/>
      <c r="B47" s="1529" t="n"/>
      <c r="C47" s="1529" t="n"/>
      <c r="D47" s="1529" t="n"/>
      <c r="E47" s="1529" t="n"/>
      <c r="F47" s="1529" t="n"/>
      <c r="G47" s="1529" t="n"/>
      <c r="H47" s="1529" t="n"/>
      <c r="I47" s="1529" t="n"/>
      <c r="J47" s="1523" t="n"/>
    </row>
    <row r="48" ht="13.5" customFormat="1" customHeight="1" s="1521">
      <c r="A48" s="1525" t="n"/>
      <c r="E48" s="1529" t="n"/>
      <c r="F48" s="1525" t="n"/>
      <c r="J48" s="1523" t="n"/>
    </row>
    <row r="49" ht="13.5" customFormat="1" customHeight="1" s="1521">
      <c r="A49" s="1193" t="n"/>
      <c r="B49" s="1193" t="n"/>
      <c r="C49" s="1193" t="n"/>
      <c r="D49" s="1193" t="n"/>
      <c r="E49" s="1529" t="n"/>
      <c r="F49" s="1193" t="n"/>
      <c r="G49" s="1193" t="n"/>
      <c r="H49" s="1193" t="n"/>
      <c r="I49" s="1193" t="n"/>
      <c r="J49" s="1526" t="n"/>
    </row>
    <row r="50" ht="13.5" customFormat="1" customHeight="1" s="1521">
      <c r="A50" s="1527" t="inlineStr">
        <is>
          <t>Signature</t>
        </is>
      </c>
      <c r="B50" s="1528" t="inlineStr">
        <is>
          <t> </t>
        </is>
      </c>
      <c r="C50" s="1528" t="n"/>
      <c r="D50" s="1528" t="n"/>
      <c r="E50" s="1529" t="n"/>
      <c r="F50" s="1527" t="inlineStr">
        <is>
          <t>Signature</t>
        </is>
      </c>
      <c r="G50" s="1529" t="n"/>
      <c r="H50" s="1529" t="n"/>
      <c r="I50" s="1529" t="n"/>
    </row>
    <row r="51" ht="13.5" customFormat="1" customHeight="1" s="1521">
      <c r="A51" s="1522" t="n"/>
      <c r="B51" s="1523" t="n"/>
      <c r="C51" s="1523" t="n"/>
      <c r="D51" s="1523" t="n"/>
      <c r="E51" s="1523" t="n"/>
      <c r="F51" s="1523" t="n"/>
      <c r="G51" s="1523" t="n"/>
      <c r="H51" s="1523" t="n"/>
      <c r="I51" s="1523" t="n"/>
      <c r="J51" s="1523" t="n"/>
    </row>
    <row r="52" ht="12.75" customFormat="1" customHeight="1" s="1521">
      <c r="A52" s="1522" t="n"/>
      <c r="B52" s="1531" t="n"/>
      <c r="C52" s="1531" t="n"/>
      <c r="D52" s="1531" t="n"/>
      <c r="E52" s="1531" t="n"/>
      <c r="F52" s="1531" t="n"/>
      <c r="G52" s="1531" t="n"/>
      <c r="H52" s="1531" t="n"/>
      <c r="I52" s="1531" t="n"/>
      <c r="J52" s="1531" t="n"/>
    </row>
    <row r="53" ht="13.5" customHeight="1" s="1158">
      <c r="A53" s="1532"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1158"/>
    <row r="55" ht="13.5" customHeight="1" s="1158"/>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B27" activeCellId="0" sqref="A11:S58"/>
    </sheetView>
  </sheetViews>
  <sheetFormatPr baseColWidth="8" defaultColWidth="9.11328125" defaultRowHeight="14.25" customHeight="0" zeroHeight="0" outlineLevelRow="0"/>
  <cols>
    <col width="1.66" customWidth="1" style="1533" min="1" max="1"/>
    <col width="25.89" customWidth="1" style="1533" min="2" max="2"/>
    <col width="29.56" customWidth="1" style="1533" min="3" max="3"/>
    <col width="3.55" customWidth="1" style="1533" min="4" max="4"/>
    <col width="3.67" customWidth="1" style="1533" min="5" max="5"/>
    <col width="3.55" customWidth="1" style="1533" min="6" max="40"/>
    <col width="13.11" customWidth="1" style="1533" min="41" max="41"/>
    <col width="1.66" customWidth="1" style="1533" min="42" max="42"/>
    <col width="9.109999999999999" customWidth="1" style="1533" min="43" max="43"/>
    <col hidden="1" width="9.109999999999999" customWidth="1" style="1533" min="44" max="80"/>
    <col width="9.109999999999999" customWidth="1" style="1533" min="81" max="16384"/>
  </cols>
  <sheetData>
    <row r="1" ht="6.75" customHeight="1" s="1158">
      <c r="A1" s="1534" t="n"/>
      <c r="B1" s="1534" t="n"/>
      <c r="C1" s="1534" t="n"/>
      <c r="D1" s="1534" t="n"/>
      <c r="E1" s="1534" t="n"/>
      <c r="F1" s="1534" t="n"/>
      <c r="G1" s="1534" t="n"/>
      <c r="H1" s="1534" t="n"/>
      <c r="I1" s="1534" t="n"/>
      <c r="J1" s="1534" t="n"/>
      <c r="K1" s="1534" t="n"/>
      <c r="L1" s="1534" t="n"/>
      <c r="M1" s="1534" t="n"/>
      <c r="N1" s="1534" t="n"/>
      <c r="O1" s="1534" t="n"/>
      <c r="P1" s="1534" t="n"/>
      <c r="Q1" s="1534" t="n"/>
      <c r="R1" s="1534" t="n"/>
      <c r="S1" s="1534" t="n"/>
      <c r="T1" s="1534" t="n"/>
      <c r="U1" s="1534" t="n"/>
      <c r="V1" s="1534" t="n"/>
      <c r="W1" s="1534" t="n"/>
      <c r="X1" s="1534" t="n"/>
      <c r="Y1" s="1534" t="n"/>
      <c r="Z1" s="1534" t="n"/>
      <c r="AA1" s="1534" t="n"/>
      <c r="AB1" s="1534" t="n"/>
      <c r="AC1" s="1534" t="n"/>
      <c r="AD1" s="1534" t="n"/>
      <c r="AE1" s="1534" t="n"/>
      <c r="AF1" s="1534" t="n"/>
      <c r="AG1" s="1534" t="n"/>
      <c r="AH1" s="1534" t="n"/>
      <c r="AI1" s="1534" t="n"/>
      <c r="AJ1" s="1534" t="n"/>
      <c r="AK1" s="1534" t="n"/>
      <c r="AL1" s="1534" t="n"/>
      <c r="AM1" s="1534" t="n"/>
      <c r="AN1" s="1534" t="n"/>
      <c r="AO1" s="1534" t="n"/>
      <c r="AP1" s="1534" t="n"/>
    </row>
    <row r="2" ht="28.5" customHeight="1" s="1158">
      <c r="A2" s="1534" t="n"/>
      <c r="B2" s="1535" t="n"/>
      <c r="C2" s="1536" t="inlineStr">
        <is>
          <t>PERSONNEL AND EQUIPMENT TIMESHEET</t>
        </is>
      </c>
      <c r="D2" s="1537" t="n"/>
      <c r="E2" s="1537" t="n"/>
      <c r="F2" s="1537" t="n"/>
      <c r="G2" s="1537" t="n"/>
      <c r="H2" s="1537" t="n"/>
      <c r="I2" s="1537" t="n"/>
      <c r="J2" s="1537" t="n"/>
      <c r="K2" s="1537" t="n"/>
      <c r="L2" s="1537" t="n"/>
      <c r="M2" s="1537" t="n"/>
      <c r="N2" s="1537" t="n"/>
      <c r="O2" s="1537" t="n"/>
      <c r="P2" s="1537" t="n"/>
      <c r="Q2" s="1537" t="n"/>
      <c r="R2" s="1537" t="n"/>
      <c r="S2" s="1537" t="n"/>
      <c r="T2" s="1537" t="n"/>
      <c r="U2" s="1537" t="n"/>
      <c r="V2" s="1537" t="n"/>
      <c r="W2" s="1537" t="n"/>
      <c r="X2" s="1537" t="n"/>
      <c r="Y2" s="1537" t="n"/>
      <c r="Z2" s="1537" t="n"/>
      <c r="AA2" s="1537" t="n"/>
      <c r="AB2" s="1537" t="n"/>
      <c r="AC2" s="1537" t="n"/>
      <c r="AD2" s="1537" t="n"/>
      <c r="AE2" s="1537" t="n"/>
      <c r="AF2" s="1537" t="n"/>
      <c r="AG2" s="1537" t="n"/>
      <c r="AH2" s="1537" t="n"/>
      <c r="AI2" s="1537" t="n"/>
      <c r="AJ2" s="1537" t="n"/>
      <c r="AK2" s="1537" t="n"/>
      <c r="AL2" s="1537" t="n"/>
      <c r="AM2" s="1538" t="n"/>
      <c r="AN2" s="1539" t="n"/>
      <c r="AO2" s="1540" t="n"/>
      <c r="AP2" s="1534" t="n"/>
    </row>
    <row r="3" ht="10.5" customHeight="1" s="1158">
      <c r="A3" s="1534" t="n"/>
      <c r="B3" s="1541" t="n"/>
      <c r="C3" s="1542" t="inlineStr">
        <is>
          <t xml:space="preserve">Document Number </t>
        </is>
      </c>
      <c r="D3" s="1542" t="inlineStr">
        <is>
          <t xml:space="preserve">Function/ Devesion </t>
        </is>
      </c>
      <c r="E3" s="1537" t="n"/>
      <c r="F3" s="1537" t="n"/>
      <c r="G3" s="1537" t="n"/>
      <c r="H3" s="1537" t="n"/>
      <c r="I3" s="1543" t="n"/>
      <c r="J3" s="1542" t="inlineStr">
        <is>
          <t xml:space="preserve">Owner </t>
        </is>
      </c>
      <c r="K3" s="1537" t="n"/>
      <c r="L3" s="1537" t="n"/>
      <c r="M3" s="1537" t="n"/>
      <c r="N3" s="1537" t="n"/>
      <c r="O3" s="1543" t="n"/>
      <c r="P3" s="1542" t="inlineStr">
        <is>
          <t>SQ Review</t>
        </is>
      </c>
      <c r="Q3" s="1537" t="n"/>
      <c r="R3" s="1537" t="n"/>
      <c r="S3" s="1537" t="n"/>
      <c r="T3" s="1537" t="n"/>
      <c r="U3" s="1543" t="n"/>
      <c r="V3" s="1542" t="inlineStr">
        <is>
          <t xml:space="preserve">Approved by </t>
        </is>
      </c>
      <c r="W3" s="1537" t="n"/>
      <c r="X3" s="1537" t="n"/>
      <c r="Y3" s="1537" t="n"/>
      <c r="Z3" s="1537" t="n"/>
      <c r="AA3" s="1543" t="n"/>
      <c r="AB3" s="1542" t="inlineStr">
        <is>
          <t xml:space="preserve">Rev Date </t>
        </is>
      </c>
      <c r="AC3" s="1537" t="n"/>
      <c r="AD3" s="1537" t="n"/>
      <c r="AE3" s="1537" t="n"/>
      <c r="AF3" s="1537" t="n"/>
      <c r="AG3" s="1543" t="n"/>
      <c r="AH3" s="1542" t="inlineStr">
        <is>
          <t xml:space="preserve">Rev # </t>
        </is>
      </c>
      <c r="AI3" s="1537" t="n"/>
      <c r="AJ3" s="1537" t="n"/>
      <c r="AK3" s="1537" t="n"/>
      <c r="AL3" s="1543" t="n"/>
      <c r="AM3" s="1544" t="n"/>
      <c r="AN3" s="1545" t="n"/>
      <c r="AO3" s="1546" t="n"/>
      <c r="AP3" s="1534" t="n"/>
    </row>
    <row r="4" ht="11.25" customHeight="1" s="1158">
      <c r="A4" s="1534" t="n"/>
      <c r="B4" s="1541" t="n"/>
      <c r="C4" s="1547" t="inlineStr">
        <is>
          <t>UAE-COMP-OEPS-L5-036</t>
        </is>
      </c>
      <c r="D4" s="1548" t="inlineStr">
        <is>
          <t xml:space="preserve">Completion </t>
        </is>
      </c>
      <c r="E4" s="1537" t="n"/>
      <c r="F4" s="1537" t="n"/>
      <c r="G4" s="1537" t="n"/>
      <c r="H4" s="1537" t="n"/>
      <c r="I4" s="1543" t="n"/>
      <c r="J4" s="1548" t="inlineStr">
        <is>
          <t>Hamed Hassan</t>
        </is>
      </c>
      <c r="K4" s="1537" t="n"/>
      <c r="L4" s="1537" t="n"/>
      <c r="M4" s="1537" t="n"/>
      <c r="N4" s="1537" t="n"/>
      <c r="O4" s="1543" t="n"/>
      <c r="P4" s="1548" t="inlineStr">
        <is>
          <t xml:space="preserve">Lambi Leslie </t>
        </is>
      </c>
      <c r="Q4" s="1537" t="n"/>
      <c r="R4" s="1537" t="n"/>
      <c r="S4" s="1537" t="n"/>
      <c r="T4" s="1537" t="n"/>
      <c r="U4" s="1543" t="n"/>
      <c r="V4" s="1548" t="inlineStr">
        <is>
          <t>Bassem Mahmoud</t>
        </is>
      </c>
      <c r="W4" s="1537" t="n"/>
      <c r="X4" s="1537" t="n"/>
      <c r="Y4" s="1537" t="n"/>
      <c r="Z4" s="1537" t="n"/>
      <c r="AA4" s="1543" t="n"/>
      <c r="AB4" s="1549" t="n">
        <v>45627</v>
      </c>
      <c r="AC4" s="1537" t="n"/>
      <c r="AD4" s="1537" t="n"/>
      <c r="AE4" s="1537" t="n"/>
      <c r="AF4" s="1537" t="n"/>
      <c r="AG4" s="1543" t="n"/>
      <c r="AH4" s="1548" t="n">
        <v>1</v>
      </c>
      <c r="AI4" s="1537" t="n"/>
      <c r="AJ4" s="1537" t="n"/>
      <c r="AK4" s="1537" t="n"/>
      <c r="AL4" s="1543" t="n"/>
      <c r="AM4" s="1544" t="n"/>
      <c r="AN4" s="1545" t="n"/>
      <c r="AO4" s="1546" t="n"/>
      <c r="AP4" s="1534" t="n"/>
    </row>
    <row r="5" ht="19.5" customHeight="1" s="1158">
      <c r="A5" s="1534" t="n"/>
      <c r="B5" s="1541" t="n"/>
      <c r="C5" s="1550" t="inlineStr">
        <is>
          <t xml:space="preserve">Field : </t>
        </is>
      </c>
      <c r="D5" s="1551">
        <f>'Master Data'!E8</f>
        <v/>
      </c>
      <c r="E5" s="1537" t="n"/>
      <c r="F5" s="1537" t="n"/>
      <c r="G5" s="1537" t="n"/>
      <c r="H5" s="1543" t="n"/>
      <c r="I5" s="1552" t="inlineStr">
        <is>
          <t xml:space="preserve">Contract # : </t>
        </is>
      </c>
      <c r="J5" s="1537" t="n"/>
      <c r="K5" s="1537" t="n"/>
      <c r="L5" s="1537" t="n"/>
      <c r="M5" s="1537" t="n"/>
      <c r="N5" s="1537" t="n"/>
      <c r="O5" s="1543" t="n"/>
      <c r="P5" s="1553">
        <f>'Master Data'!B10</f>
        <v/>
      </c>
      <c r="Q5" s="1537" t="n"/>
      <c r="R5" s="1537" t="n"/>
      <c r="S5" s="1537" t="n"/>
      <c r="T5" s="1537" t="n"/>
      <c r="U5" s="1537" t="n"/>
      <c r="V5" s="1552" t="inlineStr">
        <is>
          <t>FTL / Service Ticket #:</t>
        </is>
      </c>
      <c r="W5" s="1537" t="n"/>
      <c r="X5" s="1537" t="n"/>
      <c r="Y5" s="1537" t="n"/>
      <c r="Z5" s="1537" t="n"/>
      <c r="AA5" s="1543" t="n"/>
      <c r="AB5" s="1554">
        <f>'Master Data'!B15</f>
        <v/>
      </c>
      <c r="AC5" s="1537" t="n"/>
      <c r="AD5" s="1537" t="n"/>
      <c r="AE5" s="1537" t="n"/>
      <c r="AF5" s="1537" t="n"/>
      <c r="AG5" s="1537" t="n"/>
      <c r="AH5" s="1537" t="n"/>
      <c r="AI5" s="1537" t="n"/>
      <c r="AJ5" s="1537" t="n"/>
      <c r="AK5" s="1537" t="n"/>
      <c r="AL5" s="1543" t="n"/>
      <c r="AM5" s="1544" t="n"/>
      <c r="AN5" s="1545" t="n"/>
      <c r="AO5" s="1546" t="n"/>
      <c r="AP5" s="1534" t="n"/>
    </row>
    <row r="6" ht="18.75" customHeight="1" s="1158">
      <c r="A6" s="1534" t="n"/>
      <c r="B6" s="1555" t="n"/>
      <c r="C6" s="1550" t="inlineStr">
        <is>
          <t>Rig name:</t>
        </is>
      </c>
      <c r="D6" s="1551">
        <f>'Master Data'!E11</f>
        <v/>
      </c>
      <c r="E6" s="1537" t="n"/>
      <c r="F6" s="1537" t="n"/>
      <c r="G6" s="1537" t="n"/>
      <c r="H6" s="1543" t="n"/>
      <c r="I6" s="1552" t="inlineStr">
        <is>
          <t>Customer RO  #:</t>
        </is>
      </c>
      <c r="J6" s="1537" t="n"/>
      <c r="K6" s="1537" t="n"/>
      <c r="L6" s="1537" t="n"/>
      <c r="M6" s="1537" t="n"/>
      <c r="N6" s="1537" t="n"/>
      <c r="O6" s="1543" t="n"/>
      <c r="P6" s="1553">
        <f>'Master Data'!B11</f>
        <v/>
      </c>
      <c r="Q6" s="1537" t="n"/>
      <c r="R6" s="1537" t="n"/>
      <c r="S6" s="1537" t="n"/>
      <c r="T6" s="1537" t="n"/>
      <c r="U6" s="1537" t="n"/>
      <c r="V6" s="1552" t="inlineStr">
        <is>
          <t xml:space="preserve">Date </t>
        </is>
      </c>
      <c r="W6" s="1537" t="n"/>
      <c r="X6" s="1537" t="n"/>
      <c r="Y6" s="1537" t="n"/>
      <c r="Z6" s="1537" t="n"/>
      <c r="AA6" s="1543" t="n"/>
      <c r="AB6" s="1556" t="inlineStr">
        <is>
          <t xml:space="preserve">From </t>
        </is>
      </c>
      <c r="AC6" s="1537" t="n"/>
      <c r="AD6" s="1557">
        <f>'Master Data'!E12</f>
        <v/>
      </c>
      <c r="AE6" s="1537" t="n"/>
      <c r="AF6" s="1537" t="n"/>
      <c r="AG6" s="1537" t="n"/>
      <c r="AH6" s="1558" t="inlineStr">
        <is>
          <t>To:</t>
        </is>
      </c>
      <c r="AI6" s="1559">
        <f>'Master Data'!E15</f>
        <v/>
      </c>
      <c r="AJ6" s="1537" t="n"/>
      <c r="AK6" s="1537" t="n"/>
      <c r="AL6" s="1543" t="n"/>
      <c r="AM6" s="1560" t="n"/>
      <c r="AN6" s="1561" t="n"/>
      <c r="AO6" s="1562" t="n"/>
      <c r="AP6" s="1534" t="n"/>
    </row>
    <row r="7" ht="15" customHeight="1" s="1158">
      <c r="A7" s="1534" t="n"/>
      <c r="B7" s="1563" t="inlineStr">
        <is>
          <t xml:space="preserve">Weatherford </t>
        </is>
      </c>
      <c r="C7" s="1550" t="inlineStr">
        <is>
          <t>Well Number:</t>
        </is>
      </c>
      <c r="D7" s="1551">
        <f>'Master Data'!E10</f>
        <v/>
      </c>
      <c r="E7" s="1537" t="n"/>
      <c r="F7" s="1537" t="n"/>
      <c r="G7" s="1537" t="n"/>
      <c r="H7" s="1543" t="n"/>
      <c r="I7" s="1552" t="inlineStr">
        <is>
          <t>Services performed:</t>
        </is>
      </c>
      <c r="J7" s="1537" t="n"/>
      <c r="K7" s="1537" t="n"/>
      <c r="L7" s="1537" t="n"/>
      <c r="M7" s="1537" t="n"/>
      <c r="N7" s="1537" t="n"/>
      <c r="O7" s="1543" t="n"/>
      <c r="P7" s="1564">
        <f>'Master Data'!E4</f>
        <v/>
      </c>
      <c r="Q7" s="1537" t="n"/>
      <c r="R7" s="1537" t="n"/>
      <c r="S7" s="1537" t="n"/>
      <c r="T7" s="1537" t="n"/>
      <c r="U7" s="1537" t="n"/>
      <c r="V7" s="1537" t="n"/>
      <c r="W7" s="1537" t="n"/>
      <c r="X7" s="1537" t="n"/>
      <c r="Y7" s="1537" t="n"/>
      <c r="Z7" s="1537" t="n"/>
      <c r="AA7" s="1537" t="n"/>
      <c r="AB7" s="1537" t="n"/>
      <c r="AC7" s="1537" t="n"/>
      <c r="AD7" s="1537" t="n"/>
      <c r="AE7" s="1537" t="n"/>
      <c r="AF7" s="1537" t="n"/>
      <c r="AG7" s="1537" t="n"/>
      <c r="AH7" s="1537" t="n"/>
      <c r="AI7" s="1537" t="n"/>
      <c r="AJ7" s="1537" t="n"/>
      <c r="AK7" s="1537" t="n"/>
      <c r="AL7" s="1543" t="n"/>
      <c r="AM7" s="1565" t="inlineStr">
        <is>
          <t>AON-STD-PET-24-0</t>
        </is>
      </c>
      <c r="AN7" s="1537" t="n"/>
      <c r="AO7" s="1543" t="n"/>
      <c r="AP7" s="1534" t="n"/>
    </row>
    <row r="8" ht="15" customHeight="1" s="1158">
      <c r="A8" s="1534" t="n"/>
      <c r="B8" s="1566" t="n"/>
      <c r="C8" s="1567" t="n"/>
      <c r="D8" s="1568">
        <f>IF(TEXT(AD6,"mmm")=TEXT(AI6,"mmm"),TEXT(AD6,"mmm/yyy"),IF(TEXT(AD6,"yyyy")=TEXT(AI6,"yyyy"),TEXT(AD6,"mmm")&amp;" - "&amp;TEXT(AI6,"mmm")&amp;"/"&amp;TEXT(AI6,"yyyy"),TEXT(AD6,"mmm/yyyy")&amp;" - "&amp;TEXT(AI6,"mmm/yyyy")))</f>
        <v/>
      </c>
      <c r="E8" s="1537" t="n"/>
      <c r="F8" s="1537" t="n"/>
      <c r="G8" s="1537" t="n"/>
      <c r="H8" s="1537" t="n"/>
      <c r="I8" s="1537" t="n"/>
      <c r="J8" s="1537" t="n"/>
      <c r="K8" s="1537" t="n"/>
      <c r="L8" s="1537" t="n"/>
      <c r="M8" s="1537" t="n"/>
      <c r="N8" s="1537" t="n"/>
      <c r="O8" s="1537" t="n"/>
      <c r="P8" s="1537" t="n"/>
      <c r="Q8" s="1537" t="n"/>
      <c r="R8" s="1537" t="n"/>
      <c r="S8" s="1537" t="n"/>
      <c r="T8" s="1537" t="n"/>
      <c r="U8" s="1537" t="n"/>
      <c r="V8" s="1537" t="n"/>
      <c r="W8" s="1537" t="n"/>
      <c r="X8" s="1537" t="n"/>
      <c r="Y8" s="1537" t="n"/>
      <c r="Z8" s="1537" t="n"/>
      <c r="AA8" s="1537" t="n"/>
      <c r="AB8" s="1537" t="n"/>
      <c r="AC8" s="1537" t="n"/>
      <c r="AD8" s="1537" t="n"/>
      <c r="AE8" s="1537" t="n"/>
      <c r="AF8" s="1537" t="n"/>
      <c r="AG8" s="1537" t="n"/>
      <c r="AH8" s="1537" t="n"/>
      <c r="AI8" s="1537" t="n"/>
      <c r="AJ8" s="1537" t="n"/>
      <c r="AK8" s="1537" t="n"/>
      <c r="AL8" s="1543" t="n"/>
      <c r="AM8" s="1569" t="inlineStr">
        <is>
          <t>ADNOC ONSHORE</t>
        </is>
      </c>
      <c r="AN8" s="1537" t="n"/>
      <c r="AO8" s="1543" t="n"/>
      <c r="AP8" s="1570" t="n"/>
    </row>
    <row r="9" ht="18" customHeight="1" s="1158">
      <c r="A9" s="1534" t="n"/>
      <c r="B9" s="1571" t="inlineStr">
        <is>
          <t xml:space="preserve">Eng Name </t>
        </is>
      </c>
      <c r="C9" s="1571" t="inlineStr">
        <is>
          <t xml:space="preserve">Designation </t>
        </is>
      </c>
      <c r="D9" s="1572">
        <f>$AD$6</f>
        <v/>
      </c>
      <c r="E9" s="1572">
        <f>D9+1</f>
        <v/>
      </c>
      <c r="F9" s="1572">
        <f>E9+1</f>
        <v/>
      </c>
      <c r="G9" s="1572">
        <f>F9+1</f>
        <v/>
      </c>
      <c r="H9" s="1572">
        <f>G9+1</f>
        <v/>
      </c>
      <c r="I9" s="1572">
        <f>H9+1</f>
        <v/>
      </c>
      <c r="J9" s="1572">
        <f>I9+1</f>
        <v/>
      </c>
      <c r="K9" s="1572">
        <f>J9+1</f>
        <v/>
      </c>
      <c r="L9" s="1572">
        <f>K9+1</f>
        <v/>
      </c>
      <c r="M9" s="1572">
        <f>L9+1</f>
        <v/>
      </c>
      <c r="N9" s="1572">
        <f>M9+1</f>
        <v/>
      </c>
      <c r="O9" s="1572">
        <f>N9+1</f>
        <v/>
      </c>
      <c r="P9" s="1572">
        <f>O9+1</f>
        <v/>
      </c>
      <c r="Q9" s="1572">
        <f>P9+1</f>
        <v/>
      </c>
      <c r="R9" s="1572">
        <f>Q9+1</f>
        <v/>
      </c>
      <c r="S9" s="1572">
        <f>R9+1</f>
        <v/>
      </c>
      <c r="T9" s="1572">
        <f>S9+1</f>
        <v/>
      </c>
      <c r="U9" s="1572">
        <f>T9+1</f>
        <v/>
      </c>
      <c r="V9" s="1572">
        <f>U9+1</f>
        <v/>
      </c>
      <c r="W9" s="1572">
        <f>V9+1</f>
        <v/>
      </c>
      <c r="X9" s="1572">
        <f>W9+1</f>
        <v/>
      </c>
      <c r="Y9" s="1572">
        <f>X9+1</f>
        <v/>
      </c>
      <c r="Z9" s="1572">
        <f>Y9+1</f>
        <v/>
      </c>
      <c r="AA9" s="1572">
        <f>Z9+1</f>
        <v/>
      </c>
      <c r="AB9" s="1572">
        <f>AA9+1</f>
        <v/>
      </c>
      <c r="AC9" s="1572">
        <f>AB9+1</f>
        <v/>
      </c>
      <c r="AD9" s="1572">
        <f>AC9+1</f>
        <v/>
      </c>
      <c r="AE9" s="1572">
        <f>AD9+1</f>
        <v/>
      </c>
      <c r="AF9" s="1572">
        <f>AE9+1</f>
        <v/>
      </c>
      <c r="AG9" s="1572">
        <f>AF9+1</f>
        <v/>
      </c>
      <c r="AH9" s="1572">
        <f>AG9+1</f>
        <v/>
      </c>
      <c r="AI9" s="1572">
        <f>AH9+1</f>
        <v/>
      </c>
      <c r="AJ9" s="1572">
        <f>AI9+1</f>
        <v/>
      </c>
      <c r="AK9" s="1572">
        <f>AJ9+1</f>
        <v/>
      </c>
      <c r="AL9" s="1572">
        <f>AK9+1</f>
        <v/>
      </c>
      <c r="AM9" s="1573" t="inlineStr">
        <is>
          <t>Total Days</t>
        </is>
      </c>
      <c r="AN9" s="1545" t="n"/>
      <c r="AO9" s="1546" t="n"/>
      <c r="AP9" s="1534" t="n"/>
    </row>
    <row r="10" ht="15.75" customHeight="1" s="1158">
      <c r="A10" s="1534" t="n"/>
      <c r="B10" s="1541" t="n"/>
      <c r="C10" s="1541" t="n"/>
      <c r="D10" s="1555" t="n"/>
      <c r="E10" s="1555" t="n"/>
      <c r="F10" s="1555" t="n"/>
      <c r="G10" s="1555" t="n"/>
      <c r="H10" s="1555" t="n"/>
      <c r="I10" s="1555" t="n"/>
      <c r="J10" s="1555" t="n"/>
      <c r="K10" s="1555" t="n"/>
      <c r="L10" s="1555" t="n"/>
      <c r="M10" s="1555" t="n"/>
      <c r="N10" s="1555" t="n"/>
      <c r="O10" s="1555" t="n"/>
      <c r="P10" s="1555" t="n"/>
      <c r="Q10" s="1555" t="n"/>
      <c r="R10" s="1555" t="n"/>
      <c r="S10" s="1555" t="n"/>
      <c r="T10" s="1555" t="n"/>
      <c r="U10" s="1555" t="n"/>
      <c r="V10" s="1555" t="n"/>
      <c r="W10" s="1555" t="n"/>
      <c r="X10" s="1555" t="n"/>
      <c r="Y10" s="1555" t="n"/>
      <c r="Z10" s="1555" t="n"/>
      <c r="AA10" s="1555" t="n"/>
      <c r="AB10" s="1555" t="n"/>
      <c r="AC10" s="1555" t="n"/>
      <c r="AD10" s="1555" t="n"/>
      <c r="AE10" s="1555" t="n"/>
      <c r="AF10" s="1555" t="n"/>
      <c r="AG10" s="1555" t="n"/>
      <c r="AH10" s="1555" t="n"/>
      <c r="AI10" s="1555" t="n"/>
      <c r="AJ10" s="1555" t="n"/>
      <c r="AK10" s="1555" t="n"/>
      <c r="AL10" s="1555" t="n"/>
      <c r="AM10" s="1544" t="n"/>
      <c r="AN10" s="1545" t="n"/>
      <c r="AO10" s="1546" t="n"/>
      <c r="AP10" s="1534" t="n"/>
    </row>
    <row r="11" ht="13.5" customHeight="1" s="1158">
      <c r="A11" s="1534" t="n"/>
      <c r="B11" s="1555" t="n"/>
      <c r="C11" s="1555" t="n"/>
      <c r="D11" s="1571" t="inlineStr">
        <is>
          <t>Personnel</t>
        </is>
      </c>
      <c r="E11" s="1537" t="n"/>
      <c r="F11" s="1537" t="n"/>
      <c r="G11" s="1537" t="n"/>
      <c r="H11" s="1537" t="n"/>
      <c r="I11" s="1537" t="n"/>
      <c r="J11" s="1537" t="n"/>
      <c r="K11" s="1537" t="n"/>
      <c r="L11" s="1537" t="n"/>
      <c r="M11" s="1537" t="n"/>
      <c r="N11" s="1537" t="n"/>
      <c r="O11" s="1537" t="n"/>
      <c r="P11" s="1537" t="n"/>
      <c r="Q11" s="1537" t="n"/>
      <c r="R11" s="1537" t="n"/>
      <c r="S11" s="1537" t="n"/>
      <c r="T11" s="1537" t="n"/>
      <c r="U11" s="1537" t="n"/>
      <c r="V11" s="1537" t="n"/>
      <c r="W11" s="1537" t="n"/>
      <c r="X11" s="1537" t="n"/>
      <c r="Y11" s="1537" t="n"/>
      <c r="Z11" s="1537" t="n"/>
      <c r="AA11" s="1537" t="n"/>
      <c r="AB11" s="1537" t="n"/>
      <c r="AC11" s="1537" t="n"/>
      <c r="AD11" s="1537" t="n"/>
      <c r="AE11" s="1537" t="n"/>
      <c r="AF11" s="1537" t="n"/>
      <c r="AG11" s="1537" t="n"/>
      <c r="AH11" s="1537" t="n"/>
      <c r="AI11" s="1537" t="n"/>
      <c r="AJ11" s="1537" t="n"/>
      <c r="AK11" s="1537" t="n"/>
      <c r="AL11" s="1543" t="n"/>
      <c r="AM11" s="1560" t="n"/>
      <c r="AN11" s="1561" t="n"/>
      <c r="AO11" s="1562" t="n"/>
      <c r="AP11" s="1534" t="n"/>
    </row>
    <row r="12" ht="14.25" customFormat="1" customHeight="1" s="1574">
      <c r="A12" s="1575" t="n"/>
      <c r="B12" s="1576">
        <f>IF('Master Data'!H3="","",'Master Data'!H3)</f>
        <v/>
      </c>
      <c r="C12" s="1576">
        <f>IF('Master Data'!I3="","",'Master Data'!I3)</f>
        <v/>
      </c>
      <c r="D12" s="1577" t="inlineStr">
        <is>
          <t>x</t>
        </is>
      </c>
      <c r="E12" s="1577" t="inlineStr">
        <is>
          <t>x</t>
        </is>
      </c>
      <c r="F12" s="1577" t="inlineStr">
        <is>
          <t>x</t>
        </is>
      </c>
      <c r="G12" s="1577" t="inlineStr">
        <is>
          <t>x</t>
        </is>
      </c>
      <c r="H12" s="1577" t="inlineStr">
        <is>
          <t>x</t>
        </is>
      </c>
      <c r="I12" s="1577" t="inlineStr">
        <is>
          <t>x</t>
        </is>
      </c>
      <c r="J12" s="1577" t="inlineStr">
        <is>
          <t>x</t>
        </is>
      </c>
      <c r="K12" s="1577" t="inlineStr">
        <is>
          <t>x</t>
        </is>
      </c>
      <c r="L12" s="1577" t="inlineStr">
        <is>
          <t>x</t>
        </is>
      </c>
      <c r="M12" s="1577" t="inlineStr">
        <is>
          <t>x</t>
        </is>
      </c>
      <c r="N12" s="1577" t="inlineStr">
        <is>
          <t>x</t>
        </is>
      </c>
      <c r="O12" s="1577" t="inlineStr">
        <is>
          <t>x</t>
        </is>
      </c>
      <c r="P12" s="1577" t="inlineStr">
        <is>
          <t>x</t>
        </is>
      </c>
      <c r="Q12" s="1577" t="inlineStr">
        <is>
          <t>x</t>
        </is>
      </c>
      <c r="R12" s="1577" t="inlineStr">
        <is>
          <t>x</t>
        </is>
      </c>
      <c r="S12" s="1577" t="inlineStr">
        <is>
          <t>x</t>
        </is>
      </c>
      <c r="T12" s="1577" t="inlineStr">
        <is>
          <t>x</t>
        </is>
      </c>
      <c r="U12" s="1577" t="inlineStr">
        <is>
          <t>x</t>
        </is>
      </c>
      <c r="V12" s="1577" t="inlineStr">
        <is>
          <t>x</t>
        </is>
      </c>
      <c r="W12" s="1577" t="inlineStr">
        <is>
          <t>x</t>
        </is>
      </c>
      <c r="X12" s="1577" t="inlineStr">
        <is>
          <t>x</t>
        </is>
      </c>
      <c r="Y12" s="1577" t="inlineStr">
        <is>
          <t>x</t>
        </is>
      </c>
      <c r="Z12" s="1577" t="inlineStr">
        <is>
          <t>x</t>
        </is>
      </c>
      <c r="AA12" s="1577" t="n"/>
      <c r="AB12" s="1577" t="n"/>
      <c r="AC12" s="1577" t="n"/>
      <c r="AD12" s="1577" t="n"/>
      <c r="AE12" s="1577" t="n"/>
      <c r="AF12" s="1577" t="n"/>
      <c r="AG12" s="1577" t="n"/>
      <c r="AH12" s="1577" t="n"/>
      <c r="AI12" s="1577" t="n"/>
      <c r="AJ12" s="1577" t="n"/>
      <c r="AK12" s="1577" t="n"/>
      <c r="AL12" s="1577" t="n"/>
      <c r="AM12" s="1578">
        <f>IF(COUNTA(D12:AL12)=0,"",COUNTA(D12:AL12))</f>
        <v/>
      </c>
      <c r="AN12" s="1537" t="n"/>
      <c r="AO12" s="1543" t="n"/>
      <c r="AP12" s="1575" t="n"/>
      <c r="AR12" s="1574">
        <f>IF(D12="X",1,0)</f>
        <v/>
      </c>
      <c r="AS12" s="1574">
        <f>IF(E12="X",1,0)</f>
        <v/>
      </c>
      <c r="AT12" s="1574">
        <f>IF(F12="X",1,0)</f>
        <v/>
      </c>
      <c r="AU12" s="1574">
        <f>IF(G12="X",1,0)</f>
        <v/>
      </c>
      <c r="AV12" s="1574">
        <f>IF(H12="X",1,0)</f>
        <v/>
      </c>
      <c r="AW12" s="1574">
        <f>IF(I12="X",1,0)</f>
        <v/>
      </c>
      <c r="AX12" s="1574">
        <f>IF(J12="X",1,0)</f>
        <v/>
      </c>
      <c r="AY12" s="1574">
        <f>IF(K12="X",1,0)</f>
        <v/>
      </c>
      <c r="AZ12" s="1574">
        <f>IF(L12="X",1,0)</f>
        <v/>
      </c>
      <c r="BA12" s="1574">
        <f>IF(M12="X",1,0)</f>
        <v/>
      </c>
      <c r="BB12" s="1574">
        <f>IF(N12="X",1,0)</f>
        <v/>
      </c>
      <c r="BC12" s="1574">
        <f>IF(O12="X",1,0)</f>
        <v/>
      </c>
      <c r="BD12" s="1574">
        <f>IF(P12="X",1,0)</f>
        <v/>
      </c>
      <c r="BE12" s="1574">
        <f>IF(Q12="X",1,0)</f>
        <v/>
      </c>
      <c r="BF12" s="1574">
        <f>IF(R12="X",1,0)</f>
        <v/>
      </c>
      <c r="BG12" s="1574">
        <f>IF(S12="X",1,0)</f>
        <v/>
      </c>
      <c r="BH12" s="1574">
        <f>IF(T12="X",1,0)</f>
        <v/>
      </c>
      <c r="BI12" s="1574">
        <f>IF(U12="X",1,0)</f>
        <v/>
      </c>
      <c r="BJ12" s="1574">
        <f>IF(V12="X",1,0)</f>
        <v/>
      </c>
      <c r="BK12" s="1574">
        <f>IF(W12="X",1,0)</f>
        <v/>
      </c>
      <c r="BL12" s="1574">
        <f>IF(X12="X",1,0)</f>
        <v/>
      </c>
      <c r="BM12" s="1574">
        <f>IF(Y12="X",1,0)</f>
        <v/>
      </c>
      <c r="BN12" s="1574">
        <f>IF(Z12="X",1,0)</f>
        <v/>
      </c>
      <c r="BO12" s="1574">
        <f>IF(AA12="X",1,0)</f>
        <v/>
      </c>
      <c r="BP12" s="1574">
        <f>IF(AB12="X",1,0)</f>
        <v/>
      </c>
      <c r="BQ12" s="1574">
        <f>IF(AC12="X",1,0)</f>
        <v/>
      </c>
      <c r="BR12" s="1574">
        <f>IF(AD12="X",1,0)</f>
        <v/>
      </c>
      <c r="BS12" s="1574">
        <f>IF(AE12="X",1,0)</f>
        <v/>
      </c>
      <c r="BT12" s="1574">
        <f>IF(AF12="X",1,0)</f>
        <v/>
      </c>
      <c r="BU12" s="1574">
        <f>IF(AG12="X",1,0)</f>
        <v/>
      </c>
      <c r="BV12" s="1574">
        <f>IF(AH12="X",1,0)</f>
        <v/>
      </c>
      <c r="BW12" s="1574">
        <f>IF(AI12="X",1,0)</f>
        <v/>
      </c>
      <c r="BX12" s="1574">
        <f>IF(AJ12="X",1,0)</f>
        <v/>
      </c>
      <c r="BY12" s="1574">
        <f>IF(AK12="X",1,0)</f>
        <v/>
      </c>
      <c r="BZ12" s="1574">
        <f>IF(AL12="X",1,0)</f>
        <v/>
      </c>
      <c r="CA12" s="1574">
        <f>IF(AM12="X",1,0)</f>
        <v/>
      </c>
      <c r="CB12" s="1574">
        <f>IF(AN12="X",1,0)</f>
        <v/>
      </c>
    </row>
    <row r="13" ht="14.25" customFormat="1" customHeight="1" s="1574">
      <c r="A13" s="1575" t="n"/>
      <c r="B13" s="1576">
        <f>IF('Master Data'!H4="","",'Master Data'!H4)</f>
        <v/>
      </c>
      <c r="C13" s="1576">
        <f>IF('Master Data'!I4="","",'Master Data'!I4)</f>
        <v/>
      </c>
      <c r="D13" s="1577" t="n"/>
      <c r="E13" s="1577" t="n"/>
      <c r="F13" s="1577" t="n"/>
      <c r="G13" s="1577" t="inlineStr">
        <is>
          <t>x</t>
        </is>
      </c>
      <c r="H13" s="1577" t="inlineStr">
        <is>
          <t>x</t>
        </is>
      </c>
      <c r="I13" s="1577" t="inlineStr">
        <is>
          <t>x</t>
        </is>
      </c>
      <c r="J13" s="1577" t="n"/>
      <c r="K13" s="1577" t="n"/>
      <c r="L13" s="1577" t="n"/>
      <c r="M13" s="1577" t="n"/>
      <c r="N13" s="1577" t="n"/>
      <c r="O13" s="1577" t="n"/>
      <c r="P13" s="1577" t="n"/>
      <c r="Q13" s="1577" t="n"/>
      <c r="R13" s="1577" t="n"/>
      <c r="S13" s="1577" t="n"/>
      <c r="T13" s="1577" t="n"/>
      <c r="U13" s="1577" t="n"/>
      <c r="V13" s="1577" t="n"/>
      <c r="W13" s="1577" t="n"/>
      <c r="X13" s="1577" t="n"/>
      <c r="Y13" s="1577" t="n"/>
      <c r="Z13" s="1577" t="n"/>
      <c r="AA13" s="1577" t="n"/>
      <c r="AB13" s="1579" t="n"/>
      <c r="AC13" s="1579" t="n"/>
      <c r="AD13" s="1579" t="n"/>
      <c r="AE13" s="1579" t="n"/>
      <c r="AF13" s="1579" t="n"/>
      <c r="AG13" s="1579" t="n"/>
      <c r="AH13" s="1579" t="n"/>
      <c r="AI13" s="1579" t="n"/>
      <c r="AJ13" s="1577" t="n"/>
      <c r="AK13" s="1577" t="n"/>
      <c r="AL13" s="1577" t="n"/>
      <c r="AM13" s="1578">
        <f>IF(COUNTA(D13:AL13)=0,"",COUNTA(D13:AL13))</f>
        <v/>
      </c>
      <c r="AN13" s="1537" t="n"/>
      <c r="AO13" s="1543" t="n"/>
      <c r="AP13" s="1575" t="n"/>
      <c r="AR13" s="1574">
        <f>IF(D13="X",1,0)</f>
        <v/>
      </c>
      <c r="AS13" s="1574">
        <f>IF(E13="X",1,0)</f>
        <v/>
      </c>
      <c r="AT13" s="1574">
        <f>IF(F13="X",1,0)</f>
        <v/>
      </c>
      <c r="AU13" s="1574">
        <f>IF(G13="X",1,0)</f>
        <v/>
      </c>
      <c r="AV13" s="1574">
        <f>IF(H13="X",1,0)</f>
        <v/>
      </c>
      <c r="AW13" s="1574">
        <f>IF(I13="X",1,0)</f>
        <v/>
      </c>
      <c r="AX13" s="1574">
        <f>IF(J13="X",1,0)</f>
        <v/>
      </c>
      <c r="AY13" s="1574">
        <f>IF(K13="X",1,0)</f>
        <v/>
      </c>
      <c r="AZ13" s="1574">
        <f>IF(L13="X",1,0)</f>
        <v/>
      </c>
      <c r="BA13" s="1574">
        <f>IF(M13="X",1,0)</f>
        <v/>
      </c>
      <c r="BB13" s="1574">
        <f>IF(N13="X",1,0)</f>
        <v/>
      </c>
      <c r="BC13" s="1574">
        <f>IF(O13="X",1,0)</f>
        <v/>
      </c>
      <c r="BD13" s="1574">
        <f>IF(P13="X",1,0)</f>
        <v/>
      </c>
      <c r="BE13" s="1574">
        <f>IF(Q13="X",1,0)</f>
        <v/>
      </c>
      <c r="BF13" s="1574">
        <f>IF(R13="X",1,0)</f>
        <v/>
      </c>
      <c r="BG13" s="1574">
        <f>IF(S13="X",1,0)</f>
        <v/>
      </c>
      <c r="BH13" s="1574">
        <f>IF(T13="X",1,0)</f>
        <v/>
      </c>
      <c r="BI13" s="1574">
        <f>IF(U13="X",1,0)</f>
        <v/>
      </c>
      <c r="BJ13" s="1574">
        <f>IF(V13="X",1,0)</f>
        <v/>
      </c>
      <c r="BK13" s="1574">
        <f>IF(W13="X",1,0)</f>
        <v/>
      </c>
      <c r="BL13" s="1574">
        <f>IF(X13="X",1,0)</f>
        <v/>
      </c>
      <c r="BM13" s="1574">
        <f>IF(Y13="X",1,0)</f>
        <v/>
      </c>
      <c r="BN13" s="1574">
        <f>IF(Z13="X",1,0)</f>
        <v/>
      </c>
      <c r="BO13" s="1574">
        <f>IF(AA13="X",1,0)</f>
        <v/>
      </c>
      <c r="BP13" s="1574">
        <f>IF(AB13="X",1,0)</f>
        <v/>
      </c>
      <c r="BQ13" s="1574">
        <f>IF(AC13="X",1,0)</f>
        <v/>
      </c>
      <c r="BR13" s="1574">
        <f>IF(AD13="X",1,0)</f>
        <v/>
      </c>
      <c r="BS13" s="1574">
        <f>IF(AE13="X",1,0)</f>
        <v/>
      </c>
      <c r="BT13" s="1574">
        <f>IF(AF13="X",1,0)</f>
        <v/>
      </c>
      <c r="BU13" s="1574">
        <f>IF(AG13="X",1,0)</f>
        <v/>
      </c>
      <c r="BV13" s="1574">
        <f>IF(AH13="X",1,0)</f>
        <v/>
      </c>
      <c r="BW13" s="1574">
        <f>IF(AI13="X",1,0)</f>
        <v/>
      </c>
      <c r="BX13" s="1574">
        <f>IF(AJ13="X",1,0)</f>
        <v/>
      </c>
      <c r="BY13" s="1574">
        <f>IF(AK13="X",1,0)</f>
        <v/>
      </c>
      <c r="BZ13" s="1574">
        <f>IF(AL13="X",1,0)</f>
        <v/>
      </c>
      <c r="CA13" s="1574">
        <f>IF(AM13="X",1,0)</f>
        <v/>
      </c>
      <c r="CB13" s="1574">
        <f>IF(AN13="X",1,0)</f>
        <v/>
      </c>
    </row>
    <row r="14" ht="14.25" customFormat="1" customHeight="1" s="1574">
      <c r="A14" s="1575" t="n"/>
      <c r="B14" s="1576">
        <f>IF('Master Data'!H8="","",'Master Data'!H8)</f>
        <v/>
      </c>
      <c r="C14" s="1576">
        <f>IF('Master Data'!I8="","",'Master Data'!I8)</f>
        <v/>
      </c>
      <c r="D14" s="1577" t="n"/>
      <c r="E14" s="1577" t="n"/>
      <c r="F14" s="1577" t="n"/>
      <c r="G14" s="1577" t="n"/>
      <c r="H14" s="1577" t="n"/>
      <c r="I14" s="1577" t="n"/>
      <c r="J14" s="1577" t="n"/>
      <c r="K14" s="1577" t="n"/>
      <c r="L14" s="1577" t="n"/>
      <c r="M14" s="1577" t="n"/>
      <c r="N14" s="1577" t="n"/>
      <c r="O14" s="1577" t="n"/>
      <c r="P14" s="1577" t="n"/>
      <c r="Q14" s="1577" t="n"/>
      <c r="R14" s="1577" t="n"/>
      <c r="S14" s="1577" t="n"/>
      <c r="T14" s="1577" t="n"/>
      <c r="U14" s="1577" t="n"/>
      <c r="V14" s="1577" t="n"/>
      <c r="W14" s="1577" t="n"/>
      <c r="X14" s="1577" t="n"/>
      <c r="Y14" s="1577" t="n"/>
      <c r="Z14" s="1577" t="n"/>
      <c r="AA14" s="1579" t="n"/>
      <c r="AB14" s="1579" t="n"/>
      <c r="AC14" s="1579" t="n"/>
      <c r="AD14" s="1579" t="n"/>
      <c r="AE14" s="1579" t="n"/>
      <c r="AF14" s="1579" t="n"/>
      <c r="AG14" s="1579" t="n"/>
      <c r="AH14" s="1579" t="n"/>
      <c r="AI14" s="1577" t="n"/>
      <c r="AJ14" s="1577" t="n"/>
      <c r="AK14" s="1577" t="n"/>
      <c r="AL14" s="1577" t="n"/>
      <c r="AM14" s="1578">
        <f>IF(COUNTA(D14:AL14)=0,"",COUNTA(D14:AL14))</f>
        <v/>
      </c>
      <c r="AN14" s="1537" t="n"/>
      <c r="AO14" s="1543" t="n"/>
      <c r="AP14" s="1575" t="n"/>
      <c r="AR14" s="1574">
        <f>IF(D14="X",1,0)</f>
        <v/>
      </c>
      <c r="AS14" s="1574">
        <f>IF(E14="X",1,0)</f>
        <v/>
      </c>
      <c r="AT14" s="1574">
        <f>IF(F14="X",1,0)</f>
        <v/>
      </c>
      <c r="AU14" s="1574">
        <f>IF(G14="X",1,0)</f>
        <v/>
      </c>
      <c r="AV14" s="1574">
        <f>IF(H14="X",1,0)</f>
        <v/>
      </c>
      <c r="AW14" s="1574">
        <f>IF(I14="X",1,0)</f>
        <v/>
      </c>
      <c r="AX14" s="1574">
        <f>IF(J14="X",1,0)</f>
        <v/>
      </c>
      <c r="AY14" s="1574">
        <f>IF(K14="X",1,0)</f>
        <v/>
      </c>
      <c r="AZ14" s="1574">
        <f>IF(L14="X",1,0)</f>
        <v/>
      </c>
      <c r="BA14" s="1574">
        <f>IF(M14="X",1,0)</f>
        <v/>
      </c>
      <c r="BB14" s="1574">
        <f>IF(N14="X",1,0)</f>
        <v/>
      </c>
      <c r="BC14" s="1574">
        <f>IF(O14="X",1,0)</f>
        <v/>
      </c>
      <c r="BD14" s="1574">
        <f>IF(P14="X",1,0)</f>
        <v/>
      </c>
      <c r="BE14" s="1574">
        <f>IF(Q14="X",1,0)</f>
        <v/>
      </c>
      <c r="BF14" s="1574">
        <f>IF(R14="X",1,0)</f>
        <v/>
      </c>
      <c r="BG14" s="1574">
        <f>IF(S14="X",1,0)</f>
        <v/>
      </c>
      <c r="BH14" s="1574">
        <f>IF(T14="X",1,0)</f>
        <v/>
      </c>
      <c r="BI14" s="1574">
        <f>IF(U14="X",1,0)</f>
        <v/>
      </c>
      <c r="BJ14" s="1574">
        <f>IF(V14="X",1,0)</f>
        <v/>
      </c>
      <c r="BK14" s="1574">
        <f>IF(W14="X",1,0)</f>
        <v/>
      </c>
      <c r="BL14" s="1574">
        <f>IF(X14="X",1,0)</f>
        <v/>
      </c>
      <c r="BM14" s="1574">
        <f>IF(Y14="X",1,0)</f>
        <v/>
      </c>
      <c r="BN14" s="1574">
        <f>IF(Z14="X",1,0)</f>
        <v/>
      </c>
      <c r="BO14" s="1574">
        <f>IF(AA14="X",1,0)</f>
        <v/>
      </c>
      <c r="BP14" s="1574">
        <f>IF(AB14="X",1,0)</f>
        <v/>
      </c>
      <c r="BQ14" s="1574">
        <f>IF(AC14="X",1,0)</f>
        <v/>
      </c>
      <c r="BR14" s="1574">
        <f>IF(AD14="X",1,0)</f>
        <v/>
      </c>
      <c r="BS14" s="1574">
        <f>IF(AE14="X",1,0)</f>
        <v/>
      </c>
      <c r="BT14" s="1574">
        <f>IF(AF14="X",1,0)</f>
        <v/>
      </c>
      <c r="BU14" s="1574">
        <f>IF(AG14="X",1,0)</f>
        <v/>
      </c>
      <c r="BV14" s="1574">
        <f>IF(AH14="X",1,0)</f>
        <v/>
      </c>
      <c r="BW14" s="1574">
        <f>IF(AI14="X",1,0)</f>
        <v/>
      </c>
      <c r="BX14" s="1574">
        <f>IF(AJ14="X",1,0)</f>
        <v/>
      </c>
      <c r="BY14" s="1574">
        <f>IF(AK14="X",1,0)</f>
        <v/>
      </c>
      <c r="BZ14" s="1574">
        <f>IF(AL14="X",1,0)</f>
        <v/>
      </c>
      <c r="CA14" s="1574">
        <f>IF(AM14="X",1,0)</f>
        <v/>
      </c>
      <c r="CB14" s="1574">
        <f>IF(AN14="X",1,0)</f>
        <v/>
      </c>
    </row>
    <row r="15" ht="14.25" customFormat="1" customHeight="1" s="1574">
      <c r="A15" s="1575" t="n"/>
      <c r="B15" s="1578">
        <f>IF('Master Data'!H10="","",'Master Data'!H10)</f>
        <v/>
      </c>
      <c r="C15" s="1578">
        <f>IF('Master Data'!I10="","",'Master Data'!I10)</f>
        <v/>
      </c>
      <c r="D15" s="1577" t="n"/>
      <c r="E15" s="1577" t="n"/>
      <c r="F15" s="1577" t="n"/>
      <c r="G15" s="1577" t="n"/>
      <c r="H15" s="1577" t="n"/>
      <c r="I15" s="1577" t="n"/>
      <c r="J15" s="1577" t="n"/>
      <c r="K15" s="1577" t="n"/>
      <c r="L15" s="1577" t="n"/>
      <c r="M15" s="1577" t="n"/>
      <c r="N15" s="1577" t="n"/>
      <c r="O15" s="1577" t="n"/>
      <c r="P15" s="1577" t="n"/>
      <c r="Q15" s="1577" t="n"/>
      <c r="R15" s="1577" t="n"/>
      <c r="S15" s="1577" t="n"/>
      <c r="T15" s="1577" t="n"/>
      <c r="U15" s="1577" t="n"/>
      <c r="V15" s="1577" t="n"/>
      <c r="W15" s="1577" t="n"/>
      <c r="X15" s="1577" t="n"/>
      <c r="Y15" s="1577" t="n"/>
      <c r="Z15" s="1577" t="n"/>
      <c r="AA15" s="1577" t="n"/>
      <c r="AB15" s="1577" t="n"/>
      <c r="AC15" s="1577" t="n"/>
      <c r="AD15" s="1577" t="n"/>
      <c r="AE15" s="1577" t="n"/>
      <c r="AF15" s="1577" t="n"/>
      <c r="AG15" s="1577" t="n"/>
      <c r="AH15" s="1577" t="n"/>
      <c r="AI15" s="1577" t="n"/>
      <c r="AJ15" s="1577" t="n"/>
      <c r="AK15" s="1577" t="n"/>
      <c r="AL15" s="1577" t="n"/>
      <c r="AM15" s="1578">
        <f>IF(COUNTA(D15:AL15)=0,"",COUNTA(D15:AL15))</f>
        <v/>
      </c>
      <c r="AN15" s="1537" t="n"/>
      <c r="AO15" s="1543" t="n"/>
      <c r="AP15" s="1575" t="n"/>
    </row>
    <row r="16" ht="14.25" customFormat="1" customHeight="1" s="1574">
      <c r="A16" s="1575" t="n"/>
      <c r="B16" s="1578">
        <f>IF('Master Data'!H11="","",'Master Data'!H11)</f>
        <v/>
      </c>
      <c r="C16" s="1578">
        <f>IF('Master Data'!I11="","",'Master Data'!I11)</f>
        <v/>
      </c>
      <c r="D16" s="1577" t="n"/>
      <c r="E16" s="1577" t="n"/>
      <c r="F16" s="1577" t="n"/>
      <c r="G16" s="1577" t="n"/>
      <c r="H16" s="1577" t="n"/>
      <c r="I16" s="1577" t="n"/>
      <c r="J16" s="1577" t="n"/>
      <c r="K16" s="1577" t="n"/>
      <c r="L16" s="1577" t="n"/>
      <c r="M16" s="1577" t="n"/>
      <c r="N16" s="1577" t="n"/>
      <c r="O16" s="1577" t="n"/>
      <c r="P16" s="1577" t="n"/>
      <c r="Q16" s="1577" t="n"/>
      <c r="R16" s="1577" t="n"/>
      <c r="S16" s="1577" t="n"/>
      <c r="T16" s="1577" t="n"/>
      <c r="U16" s="1577" t="n"/>
      <c r="V16" s="1577" t="n"/>
      <c r="W16" s="1577" t="n"/>
      <c r="X16" s="1577" t="n"/>
      <c r="Y16" s="1577" t="n"/>
      <c r="Z16" s="1577" t="n"/>
      <c r="AA16" s="1577" t="n"/>
      <c r="AB16" s="1577" t="n"/>
      <c r="AC16" s="1577" t="n"/>
      <c r="AD16" s="1577" t="n"/>
      <c r="AE16" s="1577" t="n"/>
      <c r="AF16" s="1577" t="n"/>
      <c r="AG16" s="1577" t="n"/>
      <c r="AH16" s="1577" t="n"/>
      <c r="AI16" s="1577" t="n"/>
      <c r="AJ16" s="1577" t="n"/>
      <c r="AK16" s="1577" t="n"/>
      <c r="AL16" s="1577" t="n"/>
      <c r="AM16" s="1578">
        <f>IF(COUNTA(D16:AL16)=0,"",COUNTA(D16:AL16))</f>
        <v/>
      </c>
      <c r="AN16" s="1537" t="n"/>
      <c r="AO16" s="1543" t="n"/>
      <c r="AP16" s="1575" t="n"/>
    </row>
    <row r="17" ht="14.25" customFormat="1" customHeight="1" s="1574">
      <c r="A17" s="1575" t="n"/>
      <c r="B17" s="1578">
        <f>IF('Master Data'!H12="","",'Master Data'!H12)</f>
        <v/>
      </c>
      <c r="C17" s="1578">
        <f>IF('Master Data'!I12="","",'Master Data'!I12)</f>
        <v/>
      </c>
      <c r="D17" s="1577" t="n"/>
      <c r="E17" s="1577" t="n"/>
      <c r="F17" s="1577" t="n"/>
      <c r="G17" s="1577" t="n"/>
      <c r="H17" s="1577" t="n"/>
      <c r="I17" s="1577" t="n"/>
      <c r="J17" s="1577" t="n"/>
      <c r="K17" s="1577" t="n"/>
      <c r="L17" s="1577" t="n"/>
      <c r="M17" s="1577" t="n"/>
      <c r="N17" s="1577" t="n"/>
      <c r="O17" s="1577" t="n"/>
      <c r="P17" s="1577" t="n"/>
      <c r="Q17" s="1577" t="n"/>
      <c r="R17" s="1577" t="n"/>
      <c r="S17" s="1577" t="n"/>
      <c r="T17" s="1577" t="n"/>
      <c r="U17" s="1577" t="n"/>
      <c r="V17" s="1577" t="n"/>
      <c r="W17" s="1577" t="n"/>
      <c r="X17" s="1577" t="n"/>
      <c r="Y17" s="1577" t="n"/>
      <c r="Z17" s="1577" t="n"/>
      <c r="AA17" s="1577" t="n"/>
      <c r="AB17" s="1577" t="n"/>
      <c r="AC17" s="1577" t="n"/>
      <c r="AD17" s="1577" t="n"/>
      <c r="AE17" s="1577" t="n"/>
      <c r="AF17" s="1577" t="n"/>
      <c r="AG17" s="1577" t="n"/>
      <c r="AH17" s="1577" t="n"/>
      <c r="AI17" s="1577" t="n"/>
      <c r="AJ17" s="1577" t="n"/>
      <c r="AK17" s="1577" t="n"/>
      <c r="AL17" s="1577" t="n"/>
      <c r="AM17" s="1578">
        <f>IF(COUNTA(D17:AL17)=0,"",COUNTA(D17:AL17))</f>
        <v/>
      </c>
      <c r="AN17" s="1537" t="n"/>
      <c r="AO17" s="1543" t="n"/>
      <c r="AP17" s="1575" t="n"/>
    </row>
    <row r="18" ht="14.25" customFormat="1" customHeight="1" s="1574">
      <c r="A18" s="1575" t="n"/>
      <c r="B18" s="1578">
        <f>IF('Master Data'!H13="","",'Master Data'!H13)</f>
        <v/>
      </c>
      <c r="C18" s="1578">
        <f>IF('Master Data'!I13="","",'Master Data'!I13)</f>
        <v/>
      </c>
      <c r="D18" s="1577" t="n"/>
      <c r="E18" s="1577" t="n"/>
      <c r="F18" s="1577" t="n"/>
      <c r="G18" s="1577" t="n"/>
      <c r="H18" s="1577" t="n"/>
      <c r="I18" s="1577" t="n"/>
      <c r="J18" s="1577" t="n"/>
      <c r="K18" s="1577" t="n"/>
      <c r="L18" s="1577" t="n"/>
      <c r="M18" s="1577" t="n"/>
      <c r="N18" s="1577" t="n"/>
      <c r="O18" s="1577" t="n"/>
      <c r="P18" s="1577" t="n"/>
      <c r="Q18" s="1577" t="n"/>
      <c r="R18" s="1577" t="n"/>
      <c r="S18" s="1577" t="n"/>
      <c r="T18" s="1577" t="n"/>
      <c r="U18" s="1577" t="n"/>
      <c r="V18" s="1577" t="n"/>
      <c r="W18" s="1577" t="n"/>
      <c r="X18" s="1577" t="n"/>
      <c r="Y18" s="1577" t="n"/>
      <c r="Z18" s="1577" t="n"/>
      <c r="AA18" s="1577" t="n"/>
      <c r="AB18" s="1577" t="n"/>
      <c r="AC18" s="1577" t="n"/>
      <c r="AD18" s="1577" t="n"/>
      <c r="AE18" s="1577" t="n"/>
      <c r="AF18" s="1577" t="n"/>
      <c r="AG18" s="1577" t="n"/>
      <c r="AH18" s="1577" t="n"/>
      <c r="AI18" s="1577" t="n"/>
      <c r="AJ18" s="1577" t="n"/>
      <c r="AK18" s="1577" t="n"/>
      <c r="AL18" s="1577" t="n"/>
      <c r="AM18" s="1578">
        <f>IF(COUNTA(D18:AL18)=0,"",COUNTA(D18:AL18))</f>
        <v/>
      </c>
      <c r="AN18" s="1537" t="n"/>
      <c r="AO18" s="1543" t="n"/>
      <c r="AP18" s="1575" t="n"/>
    </row>
    <row r="19" ht="14.25" customFormat="1" customHeight="1" s="1574">
      <c r="A19" s="1575" t="n"/>
      <c r="B19" s="1578">
        <f>IF('Master Data'!H14="","",'Master Data'!H14)</f>
        <v/>
      </c>
      <c r="C19" s="1578">
        <f>IF('Master Data'!I14="","",'Master Data'!I14)</f>
        <v/>
      </c>
      <c r="D19" s="1577" t="n"/>
      <c r="E19" s="1577" t="n"/>
      <c r="F19" s="1577" t="n"/>
      <c r="G19" s="1577" t="n"/>
      <c r="H19" s="1577" t="n"/>
      <c r="I19" s="1577" t="n"/>
      <c r="J19" s="1577" t="n"/>
      <c r="K19" s="1577" t="n"/>
      <c r="L19" s="1577" t="n"/>
      <c r="M19" s="1577" t="n"/>
      <c r="N19" s="1577" t="n"/>
      <c r="O19" s="1577" t="n"/>
      <c r="P19" s="1577" t="n"/>
      <c r="Q19" s="1577" t="n"/>
      <c r="R19" s="1577" t="n"/>
      <c r="S19" s="1577" t="n"/>
      <c r="T19" s="1577" t="n"/>
      <c r="U19" s="1577" t="n"/>
      <c r="V19" s="1577" t="n"/>
      <c r="W19" s="1577" t="n"/>
      <c r="X19" s="1577" t="n"/>
      <c r="Y19" s="1577" t="n"/>
      <c r="Z19" s="1577" t="n"/>
      <c r="AA19" s="1577" t="n"/>
      <c r="AB19" s="1577" t="n"/>
      <c r="AC19" s="1577" t="n"/>
      <c r="AD19" s="1577" t="n"/>
      <c r="AE19" s="1577" t="n"/>
      <c r="AF19" s="1577" t="n"/>
      <c r="AG19" s="1577" t="n"/>
      <c r="AH19" s="1577" t="n"/>
      <c r="AI19" s="1577" t="n"/>
      <c r="AJ19" s="1577" t="n"/>
      <c r="AK19" s="1577" t="n"/>
      <c r="AL19" s="1577" t="n"/>
      <c r="AM19" s="1578">
        <f>IF(COUNTA(D19:AL19)=0,"",COUNTA(D19:AL19))</f>
        <v/>
      </c>
      <c r="AN19" s="1537" t="n"/>
      <c r="AO19" s="1543" t="n"/>
      <c r="AP19" s="1575" t="n"/>
    </row>
    <row r="20" ht="14.25" customFormat="1" customHeight="1" s="1574">
      <c r="A20" s="1575" t="n"/>
      <c r="B20" s="1578">
        <f>IF('Master Data'!H15="","",'Master Data'!H15)</f>
        <v/>
      </c>
      <c r="C20" s="1578">
        <f>IF('Master Data'!I15="","",'Master Data'!I15)</f>
        <v/>
      </c>
      <c r="D20" s="1577" t="n"/>
      <c r="E20" s="1577" t="n"/>
      <c r="F20" s="1577" t="n"/>
      <c r="G20" s="1577" t="n"/>
      <c r="H20" s="1577" t="n"/>
      <c r="I20" s="1577" t="n"/>
      <c r="J20" s="1577" t="n"/>
      <c r="K20" s="1577" t="n"/>
      <c r="L20" s="1577" t="n"/>
      <c r="M20" s="1577" t="n"/>
      <c r="N20" s="1577" t="n"/>
      <c r="O20" s="1577" t="n"/>
      <c r="P20" s="1577" t="n"/>
      <c r="Q20" s="1577" t="n"/>
      <c r="R20" s="1577" t="n"/>
      <c r="S20" s="1577" t="n"/>
      <c r="T20" s="1577" t="n"/>
      <c r="U20" s="1577" t="n"/>
      <c r="V20" s="1577" t="n"/>
      <c r="W20" s="1577" t="n"/>
      <c r="X20" s="1577" t="n"/>
      <c r="Y20" s="1577" t="n"/>
      <c r="Z20" s="1577" t="n"/>
      <c r="AA20" s="1577" t="n"/>
      <c r="AB20" s="1577" t="n"/>
      <c r="AC20" s="1577" t="n"/>
      <c r="AD20" s="1577" t="n"/>
      <c r="AE20" s="1577" t="n"/>
      <c r="AF20" s="1577" t="n"/>
      <c r="AG20" s="1577" t="n"/>
      <c r="AH20" s="1577" t="n"/>
      <c r="AI20" s="1577" t="n"/>
      <c r="AJ20" s="1577" t="n"/>
      <c r="AK20" s="1577" t="n"/>
      <c r="AL20" s="1577" t="n"/>
      <c r="AM20" s="1578">
        <f>IF(COUNTA(D20:AL20)=0,"",COUNTA(D20:AL20))</f>
        <v/>
      </c>
      <c r="AN20" s="1537" t="n"/>
      <c r="AO20" s="1543" t="n"/>
      <c r="AP20" s="1575" t="n"/>
    </row>
    <row r="21" ht="14.25" customFormat="1" customHeight="1" s="1574">
      <c r="A21" s="1575" t="n"/>
      <c r="B21" s="1578">
        <f>IF('Master Data'!H16="","",'Master Data'!H16)</f>
        <v/>
      </c>
      <c r="C21" s="1578">
        <f>IF('Master Data'!I16="","",'Master Data'!I16)</f>
        <v/>
      </c>
      <c r="D21" s="1577" t="n"/>
      <c r="E21" s="1577" t="n"/>
      <c r="F21" s="1577" t="n"/>
      <c r="G21" s="1577" t="n"/>
      <c r="H21" s="1577" t="n"/>
      <c r="I21" s="1577" t="n"/>
      <c r="J21" s="1577" t="n"/>
      <c r="K21" s="1577" t="n"/>
      <c r="L21" s="1577" t="n"/>
      <c r="M21" s="1577" t="n"/>
      <c r="N21" s="1577" t="n"/>
      <c r="O21" s="1577" t="n"/>
      <c r="P21" s="1577" t="n"/>
      <c r="Q21" s="1577" t="n"/>
      <c r="R21" s="1577" t="n"/>
      <c r="S21" s="1577" t="n"/>
      <c r="T21" s="1577" t="n"/>
      <c r="U21" s="1577" t="n"/>
      <c r="V21" s="1577" t="n"/>
      <c r="W21" s="1577" t="n"/>
      <c r="X21" s="1577" t="n"/>
      <c r="Y21" s="1577" t="n"/>
      <c r="Z21" s="1577" t="n"/>
      <c r="AA21" s="1577" t="n"/>
      <c r="AB21" s="1577" t="n"/>
      <c r="AC21" s="1577" t="n"/>
      <c r="AD21" s="1577" t="n"/>
      <c r="AE21" s="1577" t="n"/>
      <c r="AF21" s="1577" t="n"/>
      <c r="AG21" s="1577" t="n"/>
      <c r="AH21" s="1577" t="n"/>
      <c r="AI21" s="1577" t="n"/>
      <c r="AJ21" s="1577" t="n"/>
      <c r="AK21" s="1577" t="n"/>
      <c r="AL21" s="1577" t="n"/>
      <c r="AM21" s="1578">
        <f>IF(COUNTA(D21:AL21)=0,"",COUNTA(D21:AL21))</f>
        <v/>
      </c>
      <c r="AN21" s="1537" t="n"/>
      <c r="AO21" s="1543" t="n"/>
      <c r="AP21" s="1575" t="n"/>
    </row>
    <row r="22" ht="14.25" customFormat="1" customHeight="1" s="1574">
      <c r="A22" s="1575" t="n"/>
      <c r="B22" s="1578">
        <f>IF('Master Data'!H17="","",'Master Data'!H17)</f>
        <v/>
      </c>
      <c r="C22" s="1578">
        <f>IF('Master Data'!I17="","",'Master Data'!I17)</f>
        <v/>
      </c>
      <c r="D22" s="1577" t="n"/>
      <c r="E22" s="1577" t="n"/>
      <c r="F22" s="1577" t="n"/>
      <c r="G22" s="1577" t="n"/>
      <c r="H22" s="1577" t="n"/>
      <c r="I22" s="1577" t="n"/>
      <c r="J22" s="1577" t="n"/>
      <c r="K22" s="1577" t="n"/>
      <c r="L22" s="1577" t="n"/>
      <c r="M22" s="1577" t="n"/>
      <c r="N22" s="1577" t="n"/>
      <c r="O22" s="1577" t="n"/>
      <c r="P22" s="1577" t="n"/>
      <c r="Q22" s="1577" t="n"/>
      <c r="R22" s="1577" t="n"/>
      <c r="S22" s="1577" t="n"/>
      <c r="T22" s="1577" t="n"/>
      <c r="U22" s="1577" t="n"/>
      <c r="V22" s="1577" t="n"/>
      <c r="W22" s="1577" t="n"/>
      <c r="X22" s="1577" t="n"/>
      <c r="Y22" s="1577" t="n"/>
      <c r="Z22" s="1577" t="n"/>
      <c r="AA22" s="1577" t="n"/>
      <c r="AB22" s="1577" t="n"/>
      <c r="AC22" s="1577" t="n"/>
      <c r="AD22" s="1577" t="n"/>
      <c r="AE22" s="1577" t="n"/>
      <c r="AF22" s="1577" t="n"/>
      <c r="AG22" s="1577" t="n"/>
      <c r="AH22" s="1577" t="n"/>
      <c r="AI22" s="1577" t="n"/>
      <c r="AJ22" s="1577" t="n"/>
      <c r="AK22" s="1577" t="n"/>
      <c r="AL22" s="1577" t="n"/>
      <c r="AM22" s="1578">
        <f>IF(COUNTA(D22:AL22)=0,"",COUNTA(D22:AL22))</f>
        <v/>
      </c>
      <c r="AN22" s="1537" t="n"/>
      <c r="AO22" s="1543" t="n"/>
      <c r="AP22" s="1575" t="n"/>
      <c r="AR22" s="1574">
        <f>IF(D22="X",1,0)</f>
        <v/>
      </c>
      <c r="AS22" s="1574">
        <f>IF(E22="X",1,0)</f>
        <v/>
      </c>
      <c r="AT22" s="1574">
        <f>IF(F22="X",1,0)</f>
        <v/>
      </c>
      <c r="AU22" s="1574">
        <f>IF(G22="X",1,0)</f>
        <v/>
      </c>
      <c r="AV22" s="1574">
        <f>IF(H22="X",1,0)</f>
        <v/>
      </c>
      <c r="AW22" s="1574">
        <f>IF(I22="X",1,0)</f>
        <v/>
      </c>
      <c r="AX22" s="1574">
        <f>IF(J22="X",1,0)</f>
        <v/>
      </c>
      <c r="AY22" s="1574">
        <f>IF(K22="X",1,0)</f>
        <v/>
      </c>
      <c r="AZ22" s="1574">
        <f>IF(L22="X",1,0)</f>
        <v/>
      </c>
      <c r="BA22" s="1574">
        <f>IF(M22="X",1,0)</f>
        <v/>
      </c>
      <c r="BB22" s="1574">
        <f>IF(N22="X",1,0)</f>
        <v/>
      </c>
      <c r="BC22" s="1574">
        <f>IF(O22="X",1,0)</f>
        <v/>
      </c>
      <c r="BD22" s="1574">
        <f>IF(P22="X",1,0)</f>
        <v/>
      </c>
      <c r="BE22" s="1574">
        <f>IF(Q22="X",1,0)</f>
        <v/>
      </c>
      <c r="BF22" s="1574">
        <f>IF(R22="X",1,0)</f>
        <v/>
      </c>
      <c r="BG22" s="1574">
        <f>IF(S22="X",1,0)</f>
        <v/>
      </c>
      <c r="BH22" s="1574">
        <f>IF(T22="X",1,0)</f>
        <v/>
      </c>
      <c r="BI22" s="1574">
        <f>IF(U22="X",1,0)</f>
        <v/>
      </c>
      <c r="BJ22" s="1574">
        <f>IF(V22="X",1,0)</f>
        <v/>
      </c>
      <c r="BK22" s="1574">
        <f>IF(W22="X",1,0)</f>
        <v/>
      </c>
      <c r="BL22" s="1574">
        <f>IF(X22="X",1,0)</f>
        <v/>
      </c>
      <c r="BM22" s="1574">
        <f>IF(Y22="X",1,0)</f>
        <v/>
      </c>
      <c r="BN22" s="1574">
        <f>IF(Z22="X",1,0)</f>
        <v/>
      </c>
      <c r="BO22" s="1574">
        <f>IF(AA22="X",1,0)</f>
        <v/>
      </c>
      <c r="BP22" s="1574">
        <f>IF(AB22="X",1,0)</f>
        <v/>
      </c>
      <c r="BQ22" s="1574">
        <f>IF(AC22="X",1,0)</f>
        <v/>
      </c>
      <c r="BR22" s="1574">
        <f>IF(AD22="X",1,0)</f>
        <v/>
      </c>
      <c r="BS22" s="1574">
        <f>IF(AE22="X",1,0)</f>
        <v/>
      </c>
      <c r="BT22" s="1574">
        <f>IF(AF22="X",1,0)</f>
        <v/>
      </c>
      <c r="BU22" s="1574">
        <f>IF(AG22="X",1,0)</f>
        <v/>
      </c>
      <c r="BV22" s="1574">
        <f>IF(AH22="X",1,0)</f>
        <v/>
      </c>
      <c r="BW22" s="1574">
        <f>IF(AI22="X",1,0)</f>
        <v/>
      </c>
      <c r="BX22" s="1574">
        <f>IF(AJ22="X",1,0)</f>
        <v/>
      </c>
      <c r="BY22" s="1574">
        <f>IF(AK22="X",1,0)</f>
        <v/>
      </c>
      <c r="BZ22" s="1574">
        <f>IF(AL22="X",1,0)</f>
        <v/>
      </c>
      <c r="CA22" s="1574">
        <f>IF(AM22="X",1,0)</f>
        <v/>
      </c>
      <c r="CB22" s="1574">
        <f>IF(AN22="X",1,0)</f>
        <v/>
      </c>
    </row>
    <row r="23" ht="14.25" customHeight="1" s="1158">
      <c r="A23" s="1534" t="n"/>
      <c r="B23" s="1578">
        <f>IF('Master Data'!H18="","",'Master Data'!H18)</f>
        <v/>
      </c>
      <c r="C23" s="1578">
        <f>IF('Master Data'!I18="","",'Master Data'!I18)</f>
        <v/>
      </c>
      <c r="D23" s="1577" t="n"/>
      <c r="E23" s="1577" t="n"/>
      <c r="F23" s="1577" t="n"/>
      <c r="G23" s="1577" t="n"/>
      <c r="H23" s="1577" t="n"/>
      <c r="I23" s="1577" t="n"/>
      <c r="J23" s="1577" t="n"/>
      <c r="K23" s="1577" t="n"/>
      <c r="L23" s="1577" t="n"/>
      <c r="M23" s="1577" t="n"/>
      <c r="N23" s="1577" t="n"/>
      <c r="O23" s="1577" t="n"/>
      <c r="P23" s="1577" t="n"/>
      <c r="Q23" s="1577" t="n"/>
      <c r="R23" s="1577" t="n"/>
      <c r="S23" s="1577" t="n"/>
      <c r="T23" s="1577" t="n"/>
      <c r="U23" s="1577" t="n"/>
      <c r="V23" s="1577" t="n"/>
      <c r="W23" s="1577" t="n"/>
      <c r="X23" s="1577" t="n"/>
      <c r="Y23" s="1577" t="n"/>
      <c r="Z23" s="1577" t="n"/>
      <c r="AA23" s="1577" t="n"/>
      <c r="AB23" s="1577" t="n"/>
      <c r="AC23" s="1577" t="n"/>
      <c r="AD23" s="1577" t="n"/>
      <c r="AE23" s="1577" t="n"/>
      <c r="AF23" s="1577" t="n"/>
      <c r="AG23" s="1577" t="n"/>
      <c r="AH23" s="1577" t="n"/>
      <c r="AI23" s="1577" t="n"/>
      <c r="AJ23" s="1577" t="n"/>
      <c r="AK23" s="1577" t="n"/>
      <c r="AL23" s="1577" t="n"/>
      <c r="AM23" s="1578">
        <f>IF(COUNTA(D23:AL23)=0,"",COUNTA(D23:AL23))</f>
        <v/>
      </c>
      <c r="AN23" s="1537" t="n"/>
      <c r="AO23" s="1543" t="n"/>
      <c r="AP23" s="1534" t="n"/>
      <c r="AR23" s="1574">
        <f>IF(D23="X",1,0)</f>
        <v/>
      </c>
      <c r="AS23" s="1574">
        <f>IF(E23="X",1,0)</f>
        <v/>
      </c>
      <c r="AT23" s="1574">
        <f>IF(F23="X",1,0)</f>
        <v/>
      </c>
      <c r="AU23" s="1574">
        <f>IF(G23="X",1,0)</f>
        <v/>
      </c>
      <c r="AV23" s="1574">
        <f>IF(H23="X",1,0)</f>
        <v/>
      </c>
      <c r="AW23" s="1574">
        <f>IF(I23="X",1,0)</f>
        <v/>
      </c>
      <c r="AX23" s="1574">
        <f>IF(J23="X",1,0)</f>
        <v/>
      </c>
      <c r="AY23" s="1574">
        <f>IF(K23="X",1,0)</f>
        <v/>
      </c>
      <c r="AZ23" s="1574">
        <f>IF(L23="X",1,0)</f>
        <v/>
      </c>
      <c r="BA23" s="1574">
        <f>IF(M23="X",1,0)</f>
        <v/>
      </c>
      <c r="BB23" s="1574">
        <f>IF(N23="X",1,0)</f>
        <v/>
      </c>
      <c r="BC23" s="1574">
        <f>IF(O23="X",1,0)</f>
        <v/>
      </c>
      <c r="BD23" s="1574">
        <f>IF(P23="X",1,0)</f>
        <v/>
      </c>
      <c r="BE23" s="1574">
        <f>IF(Q23="X",1,0)</f>
        <v/>
      </c>
      <c r="BF23" s="1574">
        <f>IF(R23="X",1,0)</f>
        <v/>
      </c>
      <c r="BG23" s="1574">
        <f>IF(S23="X",1,0)</f>
        <v/>
      </c>
      <c r="BH23" s="1574">
        <f>IF(T23="X",1,0)</f>
        <v/>
      </c>
      <c r="BI23" s="1574">
        <f>IF(U23="X",1,0)</f>
        <v/>
      </c>
      <c r="BJ23" s="1574">
        <f>IF(V23="X",1,0)</f>
        <v/>
      </c>
      <c r="BK23" s="1574">
        <f>IF(W23="X",1,0)</f>
        <v/>
      </c>
      <c r="BL23" s="1574">
        <f>IF(X23="X",1,0)</f>
        <v/>
      </c>
      <c r="BM23" s="1574">
        <f>IF(Y23="X",1,0)</f>
        <v/>
      </c>
      <c r="BN23" s="1574">
        <f>IF(Z23="X",1,0)</f>
        <v/>
      </c>
      <c r="BO23" s="1574">
        <f>IF(AA23="X",1,0)</f>
        <v/>
      </c>
      <c r="BP23" s="1574">
        <f>IF(AB23="X",1,0)</f>
        <v/>
      </c>
      <c r="BQ23" s="1574">
        <f>IF(AC23="X",1,0)</f>
        <v/>
      </c>
      <c r="BR23" s="1574">
        <f>IF(AD23="X",1,0)</f>
        <v/>
      </c>
      <c r="BS23" s="1574">
        <f>IF(AE23="X",1,0)</f>
        <v/>
      </c>
      <c r="BT23" s="1574">
        <f>IF(AF23="X",1,0)</f>
        <v/>
      </c>
      <c r="BU23" s="1574">
        <f>IF(AG23="X",1,0)</f>
        <v/>
      </c>
      <c r="BV23" s="1574">
        <f>IF(AH23="X",1,0)</f>
        <v/>
      </c>
      <c r="BW23" s="1574">
        <f>IF(AI23="X",1,0)</f>
        <v/>
      </c>
      <c r="BX23" s="1574">
        <f>IF(AJ23="X",1,0)</f>
        <v/>
      </c>
      <c r="BY23" s="1574">
        <f>IF(AK23="X",1,0)</f>
        <v/>
      </c>
      <c r="BZ23" s="1574">
        <f>IF(AL23="X",1,0)</f>
        <v/>
      </c>
      <c r="CA23" s="1574">
        <f>IF(AM23="X",1,0)</f>
        <v/>
      </c>
      <c r="CB23" s="1574">
        <f>IF(AN23="X",1,0)</f>
        <v/>
      </c>
    </row>
    <row r="24" ht="14.25" customHeight="1" s="1158">
      <c r="A24" s="1534" t="n"/>
      <c r="B24" s="1571" t="inlineStr">
        <is>
          <t>Part # /Serial #</t>
        </is>
      </c>
      <c r="C24" s="1571" t="inlineStr">
        <is>
          <t xml:space="preserve">Service Equipment </t>
        </is>
      </c>
      <c r="D24" s="1580" t="n"/>
      <c r="E24" s="1580" t="n"/>
      <c r="F24" s="1580" t="n"/>
      <c r="G24" s="1580" t="n"/>
      <c r="H24" s="1580" t="n"/>
      <c r="I24" s="1580" t="n"/>
      <c r="J24" s="1580" t="n"/>
      <c r="K24" s="1580" t="n"/>
      <c r="L24" s="1580" t="n"/>
      <c r="M24" s="1580" t="n"/>
      <c r="N24" s="1580" t="n"/>
      <c r="O24" s="1580" t="n"/>
      <c r="P24" s="1580" t="n"/>
      <c r="Q24" s="1580" t="n"/>
      <c r="R24" s="1580" t="n"/>
      <c r="S24" s="1580" t="n"/>
      <c r="T24" s="1580" t="n"/>
      <c r="U24" s="1580" t="n"/>
      <c r="V24" s="1580" t="n"/>
      <c r="W24" s="1580" t="n"/>
      <c r="X24" s="1580" t="n"/>
      <c r="Y24" s="1580" t="n"/>
      <c r="Z24" s="1580" t="n"/>
      <c r="AA24" s="1580" t="n"/>
      <c r="AB24" s="1580" t="n"/>
      <c r="AC24" s="1580" t="n"/>
      <c r="AD24" s="1580" t="n"/>
      <c r="AE24" s="1580" t="n"/>
      <c r="AF24" s="1580" t="n"/>
      <c r="AG24" s="1580" t="n"/>
      <c r="AH24" s="1580" t="n"/>
      <c r="AI24" s="1580" t="n"/>
      <c r="AJ24" s="1580" t="n"/>
      <c r="AK24" s="1580" t="n"/>
      <c r="AL24" s="1580" t="n"/>
      <c r="AM24" s="1581" t="n"/>
      <c r="AN24" s="1537" t="n"/>
      <c r="AO24" s="1543" t="n"/>
      <c r="AP24" s="1534" t="n"/>
      <c r="AR24" s="1574" t="n"/>
      <c r="AS24" s="1574" t="n"/>
      <c r="AT24" s="1574" t="n"/>
      <c r="AU24" s="1574" t="n"/>
      <c r="AV24" s="1574" t="n"/>
      <c r="AW24" s="1574" t="n"/>
      <c r="AX24" s="1574" t="n"/>
      <c r="AY24" s="1574" t="n"/>
      <c r="AZ24" s="1574" t="n"/>
      <c r="BA24" s="1574" t="n"/>
      <c r="BB24" s="1574" t="n"/>
      <c r="BC24" s="1574" t="n"/>
      <c r="BD24" s="1574" t="n"/>
      <c r="BE24" s="1574" t="n"/>
      <c r="BF24" s="1574" t="n"/>
      <c r="BG24" s="1574" t="n"/>
      <c r="BH24" s="1574" t="n"/>
      <c r="BI24" s="1574" t="n"/>
      <c r="BJ24" s="1574" t="n"/>
      <c r="BK24" s="1574" t="n"/>
      <c r="BL24" s="1574" t="n"/>
      <c r="BM24" s="1574" t="n"/>
      <c r="BN24" s="1574" t="n"/>
      <c r="BO24" s="1574" t="n"/>
      <c r="BP24" s="1574" t="n"/>
      <c r="BQ24" s="1574" t="n"/>
      <c r="BR24" s="1574" t="n"/>
      <c r="BS24" s="1574" t="n"/>
      <c r="BT24" s="1574" t="n"/>
      <c r="BU24" s="1574" t="n"/>
      <c r="BV24" s="1574" t="n"/>
      <c r="BW24" s="1574" t="n"/>
      <c r="BX24" s="1574" t="n"/>
      <c r="BY24" s="1574" t="n"/>
      <c r="BZ24" s="1574" t="n"/>
      <c r="CA24" s="1574" t="n"/>
      <c r="CB24" s="1574" t="n"/>
    </row>
    <row r="25" ht="14.25" customHeight="1" s="1158">
      <c r="A25" s="1534" t="n"/>
      <c r="B25" s="1582">
        <f>'MS2'!F11</f>
        <v/>
      </c>
      <c r="C25" s="1583">
        <f>'MS2'!G11</f>
        <v/>
      </c>
      <c r="D25" s="1577" t="inlineStr">
        <is>
          <t>x</t>
        </is>
      </c>
      <c r="E25" s="1577" t="inlineStr">
        <is>
          <t>x</t>
        </is>
      </c>
      <c r="F25" s="1577" t="inlineStr">
        <is>
          <t>x</t>
        </is>
      </c>
      <c r="G25" s="1577" t="inlineStr">
        <is>
          <t>x</t>
        </is>
      </c>
      <c r="H25" s="1577" t="inlineStr">
        <is>
          <t>x</t>
        </is>
      </c>
      <c r="I25" s="1577" t="inlineStr">
        <is>
          <t>x</t>
        </is>
      </c>
      <c r="J25" s="1584" t="n"/>
      <c r="K25" s="1584" t="n"/>
      <c r="L25" s="1584" t="n"/>
      <c r="M25" s="1584" t="n"/>
      <c r="N25" s="1584" t="n"/>
      <c r="O25" s="1585" t="n"/>
      <c r="P25" s="1585" t="n"/>
      <c r="Q25" s="1585" t="n"/>
      <c r="R25" s="1585" t="n"/>
      <c r="S25" s="1585" t="n"/>
      <c r="T25" s="1585" t="n"/>
      <c r="U25" s="1585" t="n"/>
      <c r="V25" s="1585" t="n"/>
      <c r="W25" s="1585" t="n"/>
      <c r="X25" s="1585" t="n"/>
      <c r="Y25" s="1585" t="n"/>
      <c r="Z25" s="1579" t="n"/>
      <c r="AA25" s="1579" t="n"/>
      <c r="AB25" s="1579" t="n"/>
      <c r="AC25" s="1579" t="n"/>
      <c r="AD25" s="1579" t="n"/>
      <c r="AE25" s="1579" t="n"/>
      <c r="AF25" s="1579" t="n"/>
      <c r="AG25" s="1579" t="n"/>
      <c r="AH25" s="1584" t="n"/>
      <c r="AI25" s="1584" t="n"/>
      <c r="AJ25" s="1584" t="n"/>
      <c r="AK25" s="1584" t="n"/>
      <c r="AL25" s="1584" t="n"/>
      <c r="AM25" s="1578">
        <f>IF(COUNTA(D25:AL25)=0,"",COUNTA(D25:AL25))</f>
        <v/>
      </c>
      <c r="AN25" s="1537" t="n"/>
      <c r="AO25" s="1543" t="n"/>
      <c r="AP25" s="1534" t="n"/>
      <c r="AR25" s="1574">
        <f>IF(D25="X",1,0)</f>
        <v/>
      </c>
      <c r="AS25" s="1574">
        <f>IF(E25="X",1,0)</f>
        <v/>
      </c>
      <c r="AT25" s="1574">
        <f>IF(F25="X",1,0)</f>
        <v/>
      </c>
      <c r="AU25" s="1574">
        <f>IF(G25="X",1,0)</f>
        <v/>
      </c>
      <c r="AV25" s="1574">
        <f>IF(H25="X",1,0)</f>
        <v/>
      </c>
      <c r="AW25" s="1574">
        <f>IF(I25="X",1,0)</f>
        <v/>
      </c>
      <c r="AX25" s="1574">
        <f>IF(J25="X",1,0)</f>
        <v/>
      </c>
      <c r="AY25" s="1574">
        <f>IF(K25="X",1,0)</f>
        <v/>
      </c>
      <c r="AZ25" s="1574">
        <f>IF(L25="X",1,0)</f>
        <v/>
      </c>
      <c r="BA25" s="1574">
        <f>IF(M25="X",1,0)</f>
        <v/>
      </c>
      <c r="BB25" s="1574">
        <f>IF(N25="X",1,0)</f>
        <v/>
      </c>
      <c r="BC25" s="1574">
        <f>IF(O25="X",1,0)</f>
        <v/>
      </c>
      <c r="BD25" s="1574">
        <f>IF(P25="X",1,0)</f>
        <v/>
      </c>
      <c r="BE25" s="1574">
        <f>IF(Q25="X",1,0)</f>
        <v/>
      </c>
      <c r="BF25" s="1574">
        <f>IF(R25="X",1,0)</f>
        <v/>
      </c>
      <c r="BG25" s="1574">
        <f>IF(S25="X",1,0)</f>
        <v/>
      </c>
      <c r="BH25" s="1574">
        <f>IF(T25="X",1,0)</f>
        <v/>
      </c>
      <c r="BI25" s="1574">
        <f>IF(U25="X",1,0)</f>
        <v/>
      </c>
      <c r="BJ25" s="1574">
        <f>IF(V25="X",1,0)</f>
        <v/>
      </c>
      <c r="BK25" s="1574">
        <f>IF(W25="X",1,0)</f>
        <v/>
      </c>
      <c r="BL25" s="1574">
        <f>IF(X25="X",1,0)</f>
        <v/>
      </c>
      <c r="BM25" s="1574">
        <f>IF(Y25="X",1,0)</f>
        <v/>
      </c>
      <c r="BN25" s="1574">
        <f>IF(Z25="X",1,0)</f>
        <v/>
      </c>
      <c r="BO25" s="1574">
        <f>IF(AA25="X",1,0)</f>
        <v/>
      </c>
      <c r="BP25" s="1574">
        <f>IF(AB25="X",1,0)</f>
        <v/>
      </c>
      <c r="BQ25" s="1574">
        <f>IF(AC25="X",1,0)</f>
        <v/>
      </c>
      <c r="BR25" s="1574">
        <f>IF(AD25="X",1,0)</f>
        <v/>
      </c>
      <c r="BS25" s="1574">
        <f>IF(AE25="X",1,0)</f>
        <v/>
      </c>
      <c r="BT25" s="1574">
        <f>IF(AF25="X",1,0)</f>
        <v/>
      </c>
      <c r="BU25" s="1574">
        <f>IF(AG25="X",1,0)</f>
        <v/>
      </c>
      <c r="BV25" s="1574">
        <f>IF(AH25="X",1,0)</f>
        <v/>
      </c>
      <c r="BW25" s="1574">
        <f>IF(AI25="X",1,0)</f>
        <v/>
      </c>
      <c r="BX25" s="1574">
        <f>IF(AJ25="X",1,0)</f>
        <v/>
      </c>
      <c r="BY25" s="1574">
        <f>IF(AK25="X",1,0)</f>
        <v/>
      </c>
      <c r="BZ25" s="1574">
        <f>IF(AL25="X",1,0)</f>
        <v/>
      </c>
      <c r="CA25" s="1574">
        <f>IF(AM25="X",1,0)</f>
        <v/>
      </c>
      <c r="CB25" s="1574">
        <f>IF(AN25="X",1,0)</f>
        <v/>
      </c>
    </row>
    <row r="26" ht="14.25" customHeight="1" s="1158">
      <c r="A26" s="1534" t="n"/>
      <c r="B26" s="1586">
        <f>'MS2'!F12</f>
        <v/>
      </c>
      <c r="C26" s="1587">
        <f>'MS2'!G12</f>
        <v/>
      </c>
      <c r="D26" s="1585" t="n"/>
      <c r="E26" s="1585" t="n"/>
      <c r="F26" s="1585" t="n"/>
      <c r="G26" s="1585" t="n"/>
      <c r="H26" s="1585" t="n"/>
      <c r="I26" s="1585" t="n"/>
      <c r="J26" s="1585" t="n"/>
      <c r="K26" s="1585" t="n"/>
      <c r="L26" s="1585" t="n"/>
      <c r="M26" s="1585" t="n"/>
      <c r="N26" s="1585" t="n"/>
      <c r="O26" s="1585" t="n"/>
      <c r="P26" s="1585" t="n"/>
      <c r="Q26" s="1585" t="n"/>
      <c r="R26" s="1585" t="n"/>
      <c r="S26" s="1585" t="n"/>
      <c r="T26" s="1585" t="n"/>
      <c r="U26" s="1585" t="n"/>
      <c r="V26" s="1585" t="n"/>
      <c r="W26" s="1585" t="n"/>
      <c r="X26" s="1585" t="n"/>
      <c r="Y26" s="1585" t="n"/>
      <c r="Z26" s="1579" t="n"/>
      <c r="AA26" s="1579" t="n"/>
      <c r="AB26" s="1579" t="n"/>
      <c r="AC26" s="1579" t="n"/>
      <c r="AD26" s="1579" t="n"/>
      <c r="AE26" s="1579" t="n"/>
      <c r="AF26" s="1579" t="n"/>
      <c r="AG26" s="1579" t="n"/>
      <c r="AH26" s="1579" t="n"/>
      <c r="AI26" s="1585" t="n"/>
      <c r="AJ26" s="1585" t="n"/>
      <c r="AK26" s="1585" t="n"/>
      <c r="AL26" s="1585" t="n"/>
      <c r="AM26" s="1578">
        <f>IF(COUNTA(D26:AL26)=0,"",COUNTA(D26:AL26))</f>
        <v/>
      </c>
      <c r="AN26" s="1537" t="n"/>
      <c r="AO26" s="1543" t="n"/>
      <c r="AP26" s="1534" t="n"/>
      <c r="AR26" s="1574">
        <f>IF(D26="X",1,0)</f>
        <v/>
      </c>
      <c r="AS26" s="1574">
        <f>IF(E26="X",1,0)</f>
        <v/>
      </c>
      <c r="AT26" s="1574">
        <f>IF(F26="X",1,0)</f>
        <v/>
      </c>
      <c r="AU26" s="1574">
        <f>IF(G26="X",1,0)</f>
        <v/>
      </c>
      <c r="AV26" s="1574">
        <f>IF(H26="X",1,0)</f>
        <v/>
      </c>
      <c r="AW26" s="1574">
        <f>IF(I26="X",1,0)</f>
        <v/>
      </c>
      <c r="AX26" s="1574">
        <f>IF(J26="X",1,0)</f>
        <v/>
      </c>
      <c r="AY26" s="1574">
        <f>IF(K26="X",1,0)</f>
        <v/>
      </c>
      <c r="AZ26" s="1574">
        <f>IF(L26="X",1,0)</f>
        <v/>
      </c>
      <c r="BA26" s="1574">
        <f>IF(M26="X",1,0)</f>
        <v/>
      </c>
      <c r="BB26" s="1574">
        <f>IF(N26="X",1,0)</f>
        <v/>
      </c>
      <c r="BC26" s="1574">
        <f>IF(O26="X",1,0)</f>
        <v/>
      </c>
      <c r="BD26" s="1574">
        <f>IF(P26="X",1,0)</f>
        <v/>
      </c>
      <c r="BE26" s="1574">
        <f>IF(Q26="X",1,0)</f>
        <v/>
      </c>
      <c r="BF26" s="1574">
        <f>IF(R26="X",1,0)</f>
        <v/>
      </c>
      <c r="BG26" s="1574">
        <f>IF(S26="X",1,0)</f>
        <v/>
      </c>
      <c r="BH26" s="1574">
        <f>IF(T26="X",1,0)</f>
        <v/>
      </c>
      <c r="BI26" s="1574">
        <f>IF(U26="X",1,0)</f>
        <v/>
      </c>
      <c r="BJ26" s="1574">
        <f>IF(V26="X",1,0)</f>
        <v/>
      </c>
      <c r="BK26" s="1574">
        <f>IF(W26="X",1,0)</f>
        <v/>
      </c>
      <c r="BL26" s="1574">
        <f>IF(X26="X",1,0)</f>
        <v/>
      </c>
      <c r="BM26" s="1574">
        <f>IF(Y26="X",1,0)</f>
        <v/>
      </c>
      <c r="BN26" s="1574">
        <f>IF(Z26="X",1,0)</f>
        <v/>
      </c>
      <c r="BO26" s="1574">
        <f>IF(AA26="X",1,0)</f>
        <v/>
      </c>
      <c r="BP26" s="1574">
        <f>IF(AB26="X",1,0)</f>
        <v/>
      </c>
      <c r="BQ26" s="1574">
        <f>IF(AC26="X",1,0)</f>
        <v/>
      </c>
      <c r="BR26" s="1574">
        <f>IF(AD26="X",1,0)</f>
        <v/>
      </c>
      <c r="BS26" s="1574">
        <f>IF(AE26="X",1,0)</f>
        <v/>
      </c>
      <c r="BT26" s="1574">
        <f>IF(AF26="X",1,0)</f>
        <v/>
      </c>
      <c r="BU26" s="1574">
        <f>IF(AG26="X",1,0)</f>
        <v/>
      </c>
      <c r="BV26" s="1574">
        <f>IF(AH26="X",1,0)</f>
        <v/>
      </c>
      <c r="BW26" s="1574">
        <f>IF(AI26="X",1,0)</f>
        <v/>
      </c>
      <c r="BX26" s="1574">
        <f>IF(AJ26="X",1,0)</f>
        <v/>
      </c>
      <c r="BY26" s="1574">
        <f>IF(AK26="X",1,0)</f>
        <v/>
      </c>
      <c r="BZ26" s="1574">
        <f>IF(AL26="X",1,0)</f>
        <v/>
      </c>
      <c r="CA26" s="1574">
        <f>IF(AM26="X",1,0)</f>
        <v/>
      </c>
      <c r="CB26" s="1574">
        <f>IF(AN26="X",1,0)</f>
        <v/>
      </c>
    </row>
    <row r="27" ht="14.25" customHeight="1" s="1158">
      <c r="A27" s="1534" t="n"/>
      <c r="B27" s="1582">
        <f>'MS2'!F13</f>
        <v/>
      </c>
      <c r="C27" s="1587">
        <f>'MS2'!G13</f>
        <v/>
      </c>
      <c r="D27" s="1585" t="n"/>
      <c r="E27" s="1585" t="n"/>
      <c r="F27" s="1585" t="n"/>
      <c r="G27" s="1585" t="n"/>
      <c r="H27" s="1585" t="n"/>
      <c r="I27" s="1585" t="n"/>
      <c r="J27" s="1585" t="n"/>
      <c r="K27" s="1585" t="n"/>
      <c r="L27" s="1585" t="n"/>
      <c r="M27" s="1585" t="n"/>
      <c r="N27" s="1585" t="n"/>
      <c r="O27" s="1585" t="n"/>
      <c r="P27" s="1585" t="n"/>
      <c r="Q27" s="1585" t="n"/>
      <c r="R27" s="1585" t="n"/>
      <c r="S27" s="1585" t="n"/>
      <c r="T27" s="1585" t="n"/>
      <c r="U27" s="1585" t="n"/>
      <c r="V27" s="1585" t="n"/>
      <c r="W27" s="1585" t="n"/>
      <c r="X27" s="1585" t="n"/>
      <c r="Y27" s="1585" t="n"/>
      <c r="Z27" s="1585" t="n"/>
      <c r="AA27" s="1585" t="n"/>
      <c r="AB27" s="1585" t="n"/>
      <c r="AC27" s="1585" t="n"/>
      <c r="AD27" s="1585" t="n"/>
      <c r="AE27" s="1585" t="n"/>
      <c r="AF27" s="1585" t="n"/>
      <c r="AG27" s="1585" t="n"/>
      <c r="AH27" s="1585" t="n"/>
      <c r="AI27" s="1585" t="n"/>
      <c r="AJ27" s="1585" t="n"/>
      <c r="AK27" s="1585" t="n"/>
      <c r="AL27" s="1585" t="n"/>
      <c r="AM27" s="1578">
        <f>IF(COUNTA(D27:AL27)=0,"",COUNTA(D27:AL27))</f>
        <v/>
      </c>
      <c r="AN27" s="1537" t="n"/>
      <c r="AO27" s="1543" t="n"/>
      <c r="AP27" s="1534" t="n"/>
      <c r="AR27" s="1574">
        <f>IF(D27="X",1,0)</f>
        <v/>
      </c>
      <c r="AS27" s="1574">
        <f>IF(E27="X",1,0)</f>
        <v/>
      </c>
      <c r="AT27" s="1574">
        <f>IF(F27="X",1,0)</f>
        <v/>
      </c>
      <c r="AU27" s="1574">
        <f>IF(G27="X",1,0)</f>
        <v/>
      </c>
      <c r="AV27" s="1574">
        <f>IF(H27="X",1,0)</f>
        <v/>
      </c>
      <c r="AW27" s="1574">
        <f>IF(I27="X",1,0)</f>
        <v/>
      </c>
      <c r="AX27" s="1574">
        <f>IF(J27="X",1,0)</f>
        <v/>
      </c>
      <c r="AY27" s="1574">
        <f>IF(K27="X",1,0)</f>
        <v/>
      </c>
      <c r="AZ27" s="1574">
        <f>IF(L27="X",1,0)</f>
        <v/>
      </c>
      <c r="BA27" s="1574">
        <f>IF(M27="X",1,0)</f>
        <v/>
      </c>
      <c r="BB27" s="1574">
        <f>IF(N27="X",1,0)</f>
        <v/>
      </c>
      <c r="BC27" s="1574">
        <f>IF(O27="X",1,0)</f>
        <v/>
      </c>
      <c r="BD27" s="1574">
        <f>IF(P27="X",1,0)</f>
        <v/>
      </c>
      <c r="BE27" s="1574">
        <f>IF(Q27="X",1,0)</f>
        <v/>
      </c>
      <c r="BF27" s="1574">
        <f>IF(R27="X",1,0)</f>
        <v/>
      </c>
      <c r="BG27" s="1574">
        <f>IF(S27="X",1,0)</f>
        <v/>
      </c>
      <c r="BH27" s="1574">
        <f>IF(T27="X",1,0)</f>
        <v/>
      </c>
      <c r="BI27" s="1574">
        <f>IF(U27="X",1,0)</f>
        <v/>
      </c>
      <c r="BJ27" s="1574">
        <f>IF(V27="X",1,0)</f>
        <v/>
      </c>
      <c r="BK27" s="1574">
        <f>IF(W27="X",1,0)</f>
        <v/>
      </c>
      <c r="BL27" s="1574">
        <f>IF(X27="X",1,0)</f>
        <v/>
      </c>
      <c r="BM27" s="1574">
        <f>IF(Y27="X",1,0)</f>
        <v/>
      </c>
      <c r="BN27" s="1574">
        <f>IF(Z27="X",1,0)</f>
        <v/>
      </c>
      <c r="BO27" s="1574">
        <f>IF(AA27="X",1,0)</f>
        <v/>
      </c>
      <c r="BP27" s="1574">
        <f>IF(AB27="X",1,0)</f>
        <v/>
      </c>
      <c r="BQ27" s="1574">
        <f>IF(AC27="X",1,0)</f>
        <v/>
      </c>
      <c r="BR27" s="1574">
        <f>IF(AD27="X",1,0)</f>
        <v/>
      </c>
      <c r="BS27" s="1574">
        <f>IF(AE27="X",1,0)</f>
        <v/>
      </c>
      <c r="BT27" s="1574">
        <f>IF(AF27="X",1,0)</f>
        <v/>
      </c>
      <c r="BU27" s="1574">
        <f>IF(AG27="X",1,0)</f>
        <v/>
      </c>
      <c r="BV27" s="1574">
        <f>IF(AH27="X",1,0)</f>
        <v/>
      </c>
      <c r="BW27" s="1574">
        <f>IF(AI27="X",1,0)</f>
        <v/>
      </c>
      <c r="BX27" s="1574">
        <f>IF(AJ27="X",1,0)</f>
        <v/>
      </c>
      <c r="BY27" s="1574">
        <f>IF(AK27="X",1,0)</f>
        <v/>
      </c>
      <c r="BZ27" s="1574">
        <f>IF(AL27="X",1,0)</f>
        <v/>
      </c>
      <c r="CA27" s="1574">
        <f>IF(AM27="X",1,0)</f>
        <v/>
      </c>
      <c r="CB27" s="1574">
        <f>IF(AN27="X",1,0)</f>
        <v/>
      </c>
    </row>
    <row r="28" ht="14.25" customHeight="1" s="1158">
      <c r="A28" s="1534" t="n"/>
      <c r="B28" s="1588">
        <f>'MS2'!F14</f>
        <v/>
      </c>
      <c r="C28" s="1588">
        <f>'MS2'!G14</f>
        <v/>
      </c>
      <c r="D28" s="1585" t="n"/>
      <c r="E28" s="1585" t="n"/>
      <c r="F28" s="1585" t="n"/>
      <c r="G28" s="1585" t="n"/>
      <c r="H28" s="1585" t="n"/>
      <c r="I28" s="1585" t="n"/>
      <c r="J28" s="1585" t="n"/>
      <c r="K28" s="1585" t="n"/>
      <c r="L28" s="1585" t="n"/>
      <c r="M28" s="1585" t="n"/>
      <c r="N28" s="1585" t="n"/>
      <c r="O28" s="1585" t="n"/>
      <c r="P28" s="1585" t="n"/>
      <c r="Q28" s="1585" t="n"/>
      <c r="R28" s="1585" t="n"/>
      <c r="S28" s="1585" t="n"/>
      <c r="T28" s="1585" t="n"/>
      <c r="U28" s="1585" t="n"/>
      <c r="V28" s="1585" t="n"/>
      <c r="W28" s="1585" t="n"/>
      <c r="X28" s="1585" t="n"/>
      <c r="Y28" s="1585" t="n"/>
      <c r="Z28" s="1585" t="n"/>
      <c r="AA28" s="1585" t="n"/>
      <c r="AB28" s="1585" t="n"/>
      <c r="AC28" s="1585" t="n"/>
      <c r="AD28" s="1585" t="n"/>
      <c r="AE28" s="1585" t="n"/>
      <c r="AF28" s="1585" t="n"/>
      <c r="AG28" s="1585" t="n"/>
      <c r="AH28" s="1585" t="n"/>
      <c r="AI28" s="1585" t="n"/>
      <c r="AJ28" s="1585" t="n"/>
      <c r="AK28" s="1585" t="n"/>
      <c r="AL28" s="1585" t="n"/>
      <c r="AM28" s="1578">
        <f>IF(COUNTA(D28:AL28)=0,"",COUNTA(D28:AL28))</f>
        <v/>
      </c>
      <c r="AN28" s="1537" t="n"/>
      <c r="AO28" s="1543" t="n"/>
      <c r="AP28" s="1534" t="n"/>
      <c r="AR28" s="1574" t="n"/>
      <c r="AS28" s="1574" t="n"/>
      <c r="AT28" s="1574" t="n"/>
      <c r="AU28" s="1574" t="n"/>
      <c r="AV28" s="1574" t="n"/>
      <c r="AW28" s="1574" t="n"/>
      <c r="AX28" s="1574" t="n"/>
      <c r="AY28" s="1574" t="n"/>
      <c r="AZ28" s="1574" t="n"/>
      <c r="BA28" s="1574" t="n"/>
      <c r="BB28" s="1574" t="n"/>
      <c r="BC28" s="1574" t="n"/>
      <c r="BD28" s="1574" t="n"/>
      <c r="BE28" s="1574" t="n"/>
      <c r="BF28" s="1574" t="n"/>
      <c r="BG28" s="1574" t="n"/>
      <c r="BH28" s="1574" t="n"/>
      <c r="BI28" s="1574" t="n"/>
      <c r="BJ28" s="1574" t="n"/>
      <c r="BK28" s="1574" t="n"/>
      <c r="BL28" s="1574" t="n"/>
      <c r="BM28" s="1574" t="n"/>
      <c r="BN28" s="1574" t="n"/>
      <c r="BO28" s="1574" t="n"/>
      <c r="BP28" s="1574" t="n"/>
      <c r="BQ28" s="1574" t="n"/>
      <c r="BR28" s="1574" t="n"/>
      <c r="BS28" s="1574" t="n"/>
      <c r="BT28" s="1574" t="n"/>
      <c r="BU28" s="1574" t="n"/>
      <c r="BV28" s="1574" t="n"/>
      <c r="BW28" s="1574" t="n"/>
      <c r="BX28" s="1574" t="n"/>
      <c r="BY28" s="1574" t="n"/>
      <c r="BZ28" s="1574" t="n"/>
      <c r="CA28" s="1574" t="n"/>
      <c r="CB28" s="1574" t="n"/>
    </row>
    <row r="29" ht="14.25" customHeight="1" s="1158">
      <c r="A29" s="1534" t="n"/>
      <c r="B29" s="1588">
        <f>'MS2'!F15</f>
        <v/>
      </c>
      <c r="C29" s="1588">
        <f>'MS2'!G15</f>
        <v/>
      </c>
      <c r="D29" s="1585" t="n"/>
      <c r="E29" s="1585" t="n"/>
      <c r="F29" s="1585" t="n"/>
      <c r="G29" s="1585" t="n"/>
      <c r="H29" s="1585" t="n"/>
      <c r="I29" s="1585" t="n"/>
      <c r="J29" s="1585" t="n"/>
      <c r="K29" s="1585" t="n"/>
      <c r="L29" s="1585" t="n"/>
      <c r="M29" s="1585" t="n"/>
      <c r="N29" s="1585" t="n"/>
      <c r="O29" s="1585" t="n"/>
      <c r="P29" s="1585" t="n"/>
      <c r="Q29" s="1585" t="n"/>
      <c r="R29" s="1585" t="n"/>
      <c r="S29" s="1585" t="n"/>
      <c r="T29" s="1585" t="n"/>
      <c r="U29" s="1585" t="n"/>
      <c r="V29" s="1585" t="n"/>
      <c r="W29" s="1585" t="n"/>
      <c r="X29" s="1585" t="n"/>
      <c r="Y29" s="1585" t="n"/>
      <c r="Z29" s="1585" t="n"/>
      <c r="AA29" s="1585" t="n"/>
      <c r="AB29" s="1585" t="n"/>
      <c r="AC29" s="1585" t="n"/>
      <c r="AD29" s="1585" t="n"/>
      <c r="AE29" s="1585" t="n"/>
      <c r="AF29" s="1585" t="n"/>
      <c r="AG29" s="1585" t="n"/>
      <c r="AH29" s="1585" t="n"/>
      <c r="AI29" s="1585" t="n"/>
      <c r="AJ29" s="1585" t="n"/>
      <c r="AK29" s="1585" t="n"/>
      <c r="AL29" s="1585" t="n"/>
      <c r="AM29" s="1578">
        <f>IF(COUNTA(D29:AL29)=0,"",COUNTA(D29:AL29))</f>
        <v/>
      </c>
      <c r="AN29" s="1537" t="n"/>
      <c r="AO29" s="1543" t="n"/>
      <c r="AP29" s="1534" t="n"/>
      <c r="AR29" s="1574" t="n"/>
      <c r="AS29" s="1574" t="n"/>
      <c r="AT29" s="1574" t="n"/>
      <c r="AU29" s="1574" t="n"/>
      <c r="AV29" s="1574" t="n"/>
      <c r="AW29" s="1574" t="n"/>
      <c r="AX29" s="1574" t="n"/>
      <c r="AY29" s="1574" t="n"/>
      <c r="AZ29" s="1574" t="n"/>
      <c r="BA29" s="1574" t="n"/>
      <c r="BB29" s="1574" t="n"/>
      <c r="BC29" s="1574" t="n"/>
      <c r="BD29" s="1574" t="n"/>
      <c r="BE29" s="1574" t="n"/>
      <c r="BF29" s="1574" t="n"/>
      <c r="BG29" s="1574" t="n"/>
      <c r="BH29" s="1574" t="n"/>
      <c r="BI29" s="1574" t="n"/>
      <c r="BJ29" s="1574" t="n"/>
      <c r="BK29" s="1574" t="n"/>
      <c r="BL29" s="1574" t="n"/>
      <c r="BM29" s="1574" t="n"/>
      <c r="BN29" s="1574" t="n"/>
      <c r="BO29" s="1574" t="n"/>
      <c r="BP29" s="1574" t="n"/>
      <c r="BQ29" s="1574" t="n"/>
      <c r="BR29" s="1574" t="n"/>
      <c r="BS29" s="1574" t="n"/>
      <c r="BT29" s="1574" t="n"/>
      <c r="BU29" s="1574" t="n"/>
      <c r="BV29" s="1574" t="n"/>
      <c r="BW29" s="1574" t="n"/>
      <c r="BX29" s="1574" t="n"/>
      <c r="BY29" s="1574" t="n"/>
      <c r="BZ29" s="1574" t="n"/>
      <c r="CA29" s="1574" t="n"/>
      <c r="CB29" s="1574" t="n"/>
    </row>
    <row r="30" ht="14.25" customHeight="1" s="1158">
      <c r="A30" s="1534" t="n"/>
      <c r="B30" s="1588">
        <f>'MS2'!F16</f>
        <v/>
      </c>
      <c r="C30" s="1589">
        <f>'MS2'!D16</f>
        <v/>
      </c>
      <c r="D30" s="1585" t="n"/>
      <c r="E30" s="1585" t="n"/>
      <c r="F30" s="1585" t="n"/>
      <c r="G30" s="1585" t="n"/>
      <c r="H30" s="1585" t="n"/>
      <c r="I30" s="1585" t="n"/>
      <c r="J30" s="1585" t="n"/>
      <c r="K30" s="1585" t="n"/>
      <c r="L30" s="1585" t="n"/>
      <c r="M30" s="1585" t="n"/>
      <c r="N30" s="1585" t="n"/>
      <c r="O30" s="1585" t="n"/>
      <c r="P30" s="1585" t="n"/>
      <c r="Q30" s="1585" t="n"/>
      <c r="R30" s="1585" t="n"/>
      <c r="S30" s="1585" t="n"/>
      <c r="T30" s="1585" t="n"/>
      <c r="U30" s="1585" t="n"/>
      <c r="V30" s="1585" t="n"/>
      <c r="W30" s="1585" t="n"/>
      <c r="X30" s="1585" t="n"/>
      <c r="Y30" s="1585" t="n"/>
      <c r="Z30" s="1585" t="n"/>
      <c r="AA30" s="1585" t="n"/>
      <c r="AB30" s="1585" t="n"/>
      <c r="AC30" s="1585" t="n"/>
      <c r="AD30" s="1585" t="n"/>
      <c r="AE30" s="1585" t="n"/>
      <c r="AF30" s="1585" t="n"/>
      <c r="AG30" s="1585" t="n"/>
      <c r="AH30" s="1585" t="n"/>
      <c r="AI30" s="1585" t="n"/>
      <c r="AJ30" s="1585" t="n"/>
      <c r="AK30" s="1585" t="n"/>
      <c r="AL30" s="1585" t="n"/>
      <c r="AM30" s="1578">
        <f>IF(COUNTA(D30:AL30)=0,"",COUNTA(D30:AL30))</f>
        <v/>
      </c>
      <c r="AN30" s="1537" t="n"/>
      <c r="AO30" s="1543" t="n"/>
      <c r="AP30" s="1534" t="n"/>
      <c r="AR30" s="1574">
        <f>IF(D30="X",1,0)</f>
        <v/>
      </c>
      <c r="AS30" s="1574">
        <f>IF(E30="X",1,0)</f>
        <v/>
      </c>
      <c r="AT30" s="1574">
        <f>IF(F30="X",1,0)</f>
        <v/>
      </c>
      <c r="AU30" s="1574">
        <f>IF(G30="X",1,0)</f>
        <v/>
      </c>
      <c r="AV30" s="1574">
        <f>IF(H30="X",1,0)</f>
        <v/>
      </c>
      <c r="AW30" s="1574">
        <f>IF(I30="X",1,0)</f>
        <v/>
      </c>
      <c r="AX30" s="1574">
        <f>IF(J30="X",1,0)</f>
        <v/>
      </c>
      <c r="AY30" s="1574">
        <f>IF(K30="X",1,0)</f>
        <v/>
      </c>
      <c r="AZ30" s="1574">
        <f>IF(L30="X",1,0)</f>
        <v/>
      </c>
      <c r="BA30" s="1574">
        <f>IF(M30="X",1,0)</f>
        <v/>
      </c>
      <c r="BB30" s="1574">
        <f>IF(N30="X",1,0)</f>
        <v/>
      </c>
      <c r="BC30" s="1574">
        <f>IF(O30="X",1,0)</f>
        <v/>
      </c>
      <c r="BD30" s="1574">
        <f>IF(P30="X",1,0)</f>
        <v/>
      </c>
      <c r="BE30" s="1574">
        <f>IF(Q30="X",1,0)</f>
        <v/>
      </c>
      <c r="BF30" s="1574">
        <f>IF(R30="X",1,0)</f>
        <v/>
      </c>
      <c r="BG30" s="1574">
        <f>IF(S30="X",1,0)</f>
        <v/>
      </c>
      <c r="BH30" s="1574">
        <f>IF(T30="X",1,0)</f>
        <v/>
      </c>
      <c r="BI30" s="1574">
        <f>IF(U30="X",1,0)</f>
        <v/>
      </c>
      <c r="BJ30" s="1574">
        <f>IF(V30="X",1,0)</f>
        <v/>
      </c>
      <c r="BK30" s="1574">
        <f>IF(W30="X",1,0)</f>
        <v/>
      </c>
      <c r="BL30" s="1574">
        <f>IF(X30="X",1,0)</f>
        <v/>
      </c>
      <c r="BM30" s="1574">
        <f>IF(Y30="X",1,0)</f>
        <v/>
      </c>
      <c r="BN30" s="1574">
        <f>IF(Z30="X",1,0)</f>
        <v/>
      </c>
      <c r="BO30" s="1574">
        <f>IF(AA30="X",1,0)</f>
        <v/>
      </c>
      <c r="BP30" s="1574">
        <f>IF(AB30="X",1,0)</f>
        <v/>
      </c>
      <c r="BQ30" s="1574">
        <f>IF(AC30="X",1,0)</f>
        <v/>
      </c>
      <c r="BR30" s="1574">
        <f>IF(AD30="X",1,0)</f>
        <v/>
      </c>
      <c r="BS30" s="1574">
        <f>IF(AE30="X",1,0)</f>
        <v/>
      </c>
      <c r="BT30" s="1574">
        <f>IF(AF30="X",1,0)</f>
        <v/>
      </c>
      <c r="BU30" s="1574">
        <f>IF(AG30="X",1,0)</f>
        <v/>
      </c>
      <c r="BV30" s="1574">
        <f>IF(AH30="X",1,0)</f>
        <v/>
      </c>
      <c r="BW30" s="1574">
        <f>IF(AI30="X",1,0)</f>
        <v/>
      </c>
      <c r="BX30" s="1574">
        <f>IF(AJ30="X",1,0)</f>
        <v/>
      </c>
      <c r="BY30" s="1574">
        <f>IF(AK30="X",1,0)</f>
        <v/>
      </c>
      <c r="BZ30" s="1574">
        <f>IF(AL30="X",1,0)</f>
        <v/>
      </c>
      <c r="CA30" s="1574">
        <f>IF(AM30="X",1,0)</f>
        <v/>
      </c>
      <c r="CB30" s="1574">
        <f>IF(AN30="X",1,0)</f>
        <v/>
      </c>
    </row>
    <row r="31" ht="14.25" customHeight="1" s="1158">
      <c r="A31" s="1534" t="n"/>
      <c r="B31" s="1588">
        <f>'MS2'!F17</f>
        <v/>
      </c>
      <c r="C31" s="1589">
        <f>'MS2'!D17</f>
        <v/>
      </c>
      <c r="D31" s="1585" t="n"/>
      <c r="E31" s="1585" t="n"/>
      <c r="F31" s="1585" t="n"/>
      <c r="G31" s="1585" t="n"/>
      <c r="H31" s="1585" t="n"/>
      <c r="I31" s="1585" t="n"/>
      <c r="J31" s="1585" t="n"/>
      <c r="K31" s="1585" t="n"/>
      <c r="L31" s="1585" t="n"/>
      <c r="M31" s="1585" t="n"/>
      <c r="N31" s="1585" t="n"/>
      <c r="O31" s="1585" t="n"/>
      <c r="P31" s="1585" t="n"/>
      <c r="Q31" s="1585" t="n"/>
      <c r="R31" s="1585" t="n"/>
      <c r="S31" s="1585" t="n"/>
      <c r="T31" s="1585" t="n"/>
      <c r="U31" s="1585" t="n"/>
      <c r="V31" s="1585" t="n"/>
      <c r="W31" s="1585" t="n"/>
      <c r="X31" s="1585" t="n"/>
      <c r="Y31" s="1585" t="n"/>
      <c r="Z31" s="1585" t="n"/>
      <c r="AA31" s="1585" t="n"/>
      <c r="AB31" s="1585" t="n"/>
      <c r="AC31" s="1585" t="n"/>
      <c r="AD31" s="1585" t="n"/>
      <c r="AE31" s="1585" t="n"/>
      <c r="AF31" s="1585" t="n"/>
      <c r="AG31" s="1585" t="n"/>
      <c r="AH31" s="1585" t="n"/>
      <c r="AI31" s="1585" t="n"/>
      <c r="AJ31" s="1585" t="n"/>
      <c r="AK31" s="1585" t="n"/>
      <c r="AL31" s="1585" t="n"/>
      <c r="AM31" s="1578">
        <f>IF(COUNTA(D31:AL31)=0,"",COUNTA(D31:AL31))</f>
        <v/>
      </c>
      <c r="AN31" s="1537" t="n"/>
      <c r="AO31" s="1543" t="n"/>
      <c r="AP31" s="1534" t="n"/>
      <c r="AR31" s="1574" t="n"/>
      <c r="AS31" s="1574" t="n"/>
      <c r="AT31" s="1574" t="n"/>
      <c r="AU31" s="1574" t="n"/>
      <c r="AV31" s="1574" t="n"/>
      <c r="AW31" s="1574" t="n"/>
      <c r="AX31" s="1574" t="n"/>
      <c r="AY31" s="1574" t="n"/>
      <c r="AZ31" s="1574" t="n"/>
      <c r="BA31" s="1574" t="n"/>
      <c r="BB31" s="1574" t="n"/>
      <c r="BC31" s="1574" t="n"/>
      <c r="BD31" s="1574" t="n"/>
      <c r="BE31" s="1574" t="n"/>
      <c r="BF31" s="1574" t="n"/>
      <c r="BG31" s="1574" t="n"/>
      <c r="BH31" s="1574" t="n"/>
      <c r="BI31" s="1574" t="n"/>
      <c r="BJ31" s="1574" t="n"/>
      <c r="BK31" s="1574" t="n"/>
      <c r="BL31" s="1574" t="n"/>
      <c r="BM31" s="1574" t="n"/>
      <c r="BN31" s="1574" t="n"/>
      <c r="BO31" s="1574" t="n"/>
      <c r="BP31" s="1574" t="n"/>
      <c r="BQ31" s="1574" t="n"/>
      <c r="BR31" s="1574" t="n"/>
      <c r="BS31" s="1574" t="n"/>
      <c r="BT31" s="1574" t="n"/>
      <c r="BU31" s="1574" t="n"/>
      <c r="BV31" s="1574" t="n"/>
      <c r="BW31" s="1574" t="n"/>
      <c r="BX31" s="1574" t="n"/>
      <c r="BY31" s="1574" t="n"/>
      <c r="BZ31" s="1574" t="n"/>
      <c r="CA31" s="1574" t="n"/>
      <c r="CB31" s="1574" t="n"/>
    </row>
    <row r="32" ht="14.25" customHeight="1" s="1158">
      <c r="A32" s="1534" t="n"/>
      <c r="B32" s="1586" t="n"/>
      <c r="C32" s="1586" t="n"/>
      <c r="D32" s="1585" t="n"/>
      <c r="E32" s="1585" t="n"/>
      <c r="F32" s="1585" t="n"/>
      <c r="G32" s="1585" t="n"/>
      <c r="H32" s="1585" t="n"/>
      <c r="I32" s="1585" t="n"/>
      <c r="J32" s="1585" t="n"/>
      <c r="K32" s="1585" t="n"/>
      <c r="L32" s="1585" t="n"/>
      <c r="M32" s="1585" t="n"/>
      <c r="N32" s="1585" t="n"/>
      <c r="O32" s="1585" t="n"/>
      <c r="P32" s="1585" t="n"/>
      <c r="Q32" s="1585" t="n"/>
      <c r="R32" s="1585" t="n"/>
      <c r="S32" s="1585" t="n"/>
      <c r="T32" s="1585" t="n"/>
      <c r="U32" s="1585" t="n"/>
      <c r="V32" s="1585" t="n"/>
      <c r="W32" s="1585" t="n"/>
      <c r="X32" s="1585" t="n"/>
      <c r="Y32" s="1585" t="n"/>
      <c r="Z32" s="1585" t="n"/>
      <c r="AA32" s="1585" t="n"/>
      <c r="AB32" s="1585" t="n"/>
      <c r="AC32" s="1585" t="n"/>
      <c r="AD32" s="1585" t="n"/>
      <c r="AE32" s="1585" t="n"/>
      <c r="AF32" s="1585" t="n"/>
      <c r="AG32" s="1585" t="n"/>
      <c r="AH32" s="1585" t="n"/>
      <c r="AI32" s="1585" t="n"/>
      <c r="AJ32" s="1585" t="n"/>
      <c r="AK32" s="1585" t="n"/>
      <c r="AL32" s="1585" t="n"/>
      <c r="AM32" s="1578">
        <f>IF(COUNTA(D32:AL32)=0,"",COUNTA(D32:AL32))</f>
        <v/>
      </c>
      <c r="AN32" s="1537" t="n"/>
      <c r="AO32" s="1543" t="n"/>
      <c r="AP32" s="1534" t="n"/>
      <c r="AR32" s="1574" t="n"/>
      <c r="AS32" s="1574" t="n"/>
      <c r="AT32" s="1574" t="n"/>
      <c r="AU32" s="1574" t="n"/>
      <c r="AV32" s="1574" t="n"/>
      <c r="AW32" s="1574" t="n"/>
      <c r="AX32" s="1574" t="n"/>
      <c r="AY32" s="1574" t="n"/>
      <c r="AZ32" s="1574" t="n"/>
      <c r="BA32" s="1574" t="n"/>
      <c r="BB32" s="1574" t="n"/>
      <c r="BC32" s="1574" t="n"/>
      <c r="BD32" s="1574" t="n"/>
      <c r="BE32" s="1574" t="n"/>
      <c r="BF32" s="1574" t="n"/>
      <c r="BG32" s="1574" t="n"/>
      <c r="BH32" s="1574" t="n"/>
      <c r="BI32" s="1574" t="n"/>
      <c r="BJ32" s="1574" t="n"/>
      <c r="BK32" s="1574" t="n"/>
      <c r="BL32" s="1574" t="n"/>
      <c r="BM32" s="1574" t="n"/>
      <c r="BN32" s="1574" t="n"/>
      <c r="BO32" s="1574" t="n"/>
      <c r="BP32" s="1574" t="n"/>
      <c r="BQ32" s="1574" t="n"/>
      <c r="BR32" s="1574" t="n"/>
      <c r="BS32" s="1574" t="n"/>
      <c r="BT32" s="1574" t="n"/>
      <c r="BU32" s="1574" t="n"/>
      <c r="BV32" s="1574" t="n"/>
      <c r="BW32" s="1574" t="n"/>
      <c r="BX32" s="1574" t="n"/>
      <c r="BY32" s="1574" t="n"/>
      <c r="BZ32" s="1574" t="n"/>
      <c r="CA32" s="1574" t="n"/>
      <c r="CB32" s="1574" t="n"/>
    </row>
    <row r="33" ht="14.25" customHeight="1" s="1158">
      <c r="A33" s="1534" t="n"/>
      <c r="B33" s="1586" t="n"/>
      <c r="C33" s="1586" t="n"/>
      <c r="D33" s="1585" t="n"/>
      <c r="E33" s="1585" t="n"/>
      <c r="F33" s="1585" t="n"/>
      <c r="G33" s="1585" t="n"/>
      <c r="H33" s="1585" t="n"/>
      <c r="I33" s="1585" t="n"/>
      <c r="J33" s="1585" t="n"/>
      <c r="K33" s="1585" t="n"/>
      <c r="L33" s="1585" t="n"/>
      <c r="M33" s="1585" t="n"/>
      <c r="N33" s="1585" t="n"/>
      <c r="O33" s="1585" t="n"/>
      <c r="P33" s="1585" t="n"/>
      <c r="Q33" s="1585" t="n"/>
      <c r="R33" s="1585" t="n"/>
      <c r="S33" s="1585" t="n"/>
      <c r="T33" s="1585" t="n"/>
      <c r="U33" s="1585" t="n"/>
      <c r="V33" s="1585" t="n"/>
      <c r="W33" s="1585" t="n"/>
      <c r="X33" s="1585" t="n"/>
      <c r="Y33" s="1585" t="n"/>
      <c r="Z33" s="1585" t="n"/>
      <c r="AA33" s="1585" t="n"/>
      <c r="AB33" s="1585" t="n"/>
      <c r="AC33" s="1585" t="n"/>
      <c r="AD33" s="1585" t="n"/>
      <c r="AE33" s="1585" t="n"/>
      <c r="AF33" s="1585" t="n"/>
      <c r="AG33" s="1585" t="n"/>
      <c r="AH33" s="1585" t="n"/>
      <c r="AI33" s="1585" t="n"/>
      <c r="AJ33" s="1585" t="n"/>
      <c r="AK33" s="1585" t="n"/>
      <c r="AL33" s="1585" t="n"/>
      <c r="AM33" s="1578">
        <f>IF(COUNTA(D33:AL33)=0,"",COUNTA(D33:AL33))</f>
        <v/>
      </c>
      <c r="AN33" s="1537" t="n"/>
      <c r="AO33" s="1543" t="n"/>
      <c r="AP33" s="1534" t="n"/>
      <c r="AR33" s="1574">
        <f>IF(D33="X",1,0)</f>
        <v/>
      </c>
      <c r="AS33" s="1574">
        <f>IF(E33="X",1,0)</f>
        <v/>
      </c>
      <c r="AT33" s="1574">
        <f>IF(F33="X",1,0)</f>
        <v/>
      </c>
      <c r="AU33" s="1574">
        <f>IF(G33="X",1,0)</f>
        <v/>
      </c>
      <c r="AV33" s="1574">
        <f>IF(H33="X",1,0)</f>
        <v/>
      </c>
      <c r="AW33" s="1574">
        <f>IF(I33="X",1,0)</f>
        <v/>
      </c>
      <c r="AX33" s="1574">
        <f>IF(J33="X",1,0)</f>
        <v/>
      </c>
      <c r="AY33" s="1574">
        <f>IF(K33="X",1,0)</f>
        <v/>
      </c>
      <c r="AZ33" s="1574">
        <f>IF(L33="X",1,0)</f>
        <v/>
      </c>
      <c r="BA33" s="1574">
        <f>IF(M33="X",1,0)</f>
        <v/>
      </c>
      <c r="BB33" s="1574">
        <f>IF(N33="X",1,0)</f>
        <v/>
      </c>
      <c r="BC33" s="1574">
        <f>IF(O33="X",1,0)</f>
        <v/>
      </c>
      <c r="BD33" s="1574">
        <f>IF(P33="X",1,0)</f>
        <v/>
      </c>
      <c r="BE33" s="1574">
        <f>IF(Q33="X",1,0)</f>
        <v/>
      </c>
      <c r="BF33" s="1574">
        <f>IF(R33="X",1,0)</f>
        <v/>
      </c>
      <c r="BG33" s="1574">
        <f>IF(S33="X",1,0)</f>
        <v/>
      </c>
      <c r="BH33" s="1574">
        <f>IF(T33="X",1,0)</f>
        <v/>
      </c>
      <c r="BI33" s="1574">
        <f>IF(U33="X",1,0)</f>
        <v/>
      </c>
      <c r="BJ33" s="1574">
        <f>IF(V33="X",1,0)</f>
        <v/>
      </c>
      <c r="BK33" s="1574">
        <f>IF(W33="X",1,0)</f>
        <v/>
      </c>
      <c r="BL33" s="1574">
        <f>IF(X33="X",1,0)</f>
        <v/>
      </c>
      <c r="BM33" s="1574">
        <f>IF(Y33="X",1,0)</f>
        <v/>
      </c>
      <c r="BN33" s="1574">
        <f>IF(Z33="X",1,0)</f>
        <v/>
      </c>
      <c r="BO33" s="1574">
        <f>IF(AA33="X",1,0)</f>
        <v/>
      </c>
      <c r="BP33" s="1574">
        <f>IF(AB33="X",1,0)</f>
        <v/>
      </c>
      <c r="BQ33" s="1574">
        <f>IF(AC33="X",1,0)</f>
        <v/>
      </c>
      <c r="BR33" s="1574">
        <f>IF(AD33="X",1,0)</f>
        <v/>
      </c>
      <c r="BS33" s="1574">
        <f>IF(AE33="X",1,0)</f>
        <v/>
      </c>
      <c r="BT33" s="1574">
        <f>IF(AF33="X",1,0)</f>
        <v/>
      </c>
      <c r="BU33" s="1574">
        <f>IF(AG33="X",1,0)</f>
        <v/>
      </c>
      <c r="BV33" s="1574">
        <f>IF(AH33="X",1,0)</f>
        <v/>
      </c>
      <c r="BW33" s="1574">
        <f>IF(AI33="X",1,0)</f>
        <v/>
      </c>
      <c r="BX33" s="1574">
        <f>IF(AJ33="X",1,0)</f>
        <v/>
      </c>
      <c r="BY33" s="1574">
        <f>IF(AK33="X",1,0)</f>
        <v/>
      </c>
      <c r="BZ33" s="1574">
        <f>IF(AL33="X",1,0)</f>
        <v/>
      </c>
      <c r="CA33" s="1574">
        <f>IF(AM33="X",1,0)</f>
        <v/>
      </c>
      <c r="CB33" s="1574">
        <f>IF(AN33="X",1,0)</f>
        <v/>
      </c>
    </row>
    <row r="34" ht="14.25" customHeight="1" s="1158">
      <c r="A34" s="1534" t="n"/>
      <c r="B34" s="1586" t="n"/>
      <c r="C34" s="1586" t="n"/>
      <c r="D34" s="1585" t="n"/>
      <c r="E34" s="1585" t="n"/>
      <c r="F34" s="1585" t="n"/>
      <c r="G34" s="1585" t="n"/>
      <c r="H34" s="1585" t="n"/>
      <c r="I34" s="1585" t="n"/>
      <c r="J34" s="1585" t="n"/>
      <c r="K34" s="1585" t="n"/>
      <c r="L34" s="1585" t="n"/>
      <c r="M34" s="1585" t="n"/>
      <c r="N34" s="1585" t="n"/>
      <c r="O34" s="1585" t="n"/>
      <c r="P34" s="1585" t="n"/>
      <c r="Q34" s="1585" t="n"/>
      <c r="R34" s="1585" t="n"/>
      <c r="S34" s="1585" t="n"/>
      <c r="T34" s="1585" t="n"/>
      <c r="U34" s="1585" t="n"/>
      <c r="V34" s="1585" t="n"/>
      <c r="W34" s="1585" t="n"/>
      <c r="X34" s="1585" t="n"/>
      <c r="Y34" s="1585" t="n"/>
      <c r="Z34" s="1585" t="n"/>
      <c r="AA34" s="1585" t="n"/>
      <c r="AB34" s="1585" t="n"/>
      <c r="AC34" s="1585" t="n"/>
      <c r="AD34" s="1585" t="n"/>
      <c r="AE34" s="1585" t="n"/>
      <c r="AF34" s="1585" t="n"/>
      <c r="AG34" s="1585" t="n"/>
      <c r="AH34" s="1585" t="n"/>
      <c r="AI34" s="1585" t="n"/>
      <c r="AJ34" s="1585" t="n"/>
      <c r="AK34" s="1585" t="n"/>
      <c r="AL34" s="1585" t="n"/>
      <c r="AM34" s="1578">
        <f>IF(COUNTA(D34:AL34)=0,"",COUNTA(D34:AL34))</f>
        <v/>
      </c>
      <c r="AN34" s="1537" t="n"/>
      <c r="AO34" s="1543" t="n"/>
      <c r="AP34" s="1534" t="n"/>
      <c r="AR34" s="1574">
        <f>IF(D34="X",1,0)</f>
        <v/>
      </c>
      <c r="AS34" s="1574">
        <f>IF(E34="X",1,0)</f>
        <v/>
      </c>
      <c r="AT34" s="1574">
        <f>IF(F34="X",1,0)</f>
        <v/>
      </c>
      <c r="AU34" s="1574">
        <f>IF(G34="X",1,0)</f>
        <v/>
      </c>
      <c r="AV34" s="1574">
        <f>IF(H34="X",1,0)</f>
        <v/>
      </c>
      <c r="AW34" s="1574">
        <f>IF(I34="X",1,0)</f>
        <v/>
      </c>
      <c r="AX34" s="1574">
        <f>IF(J34="X",1,0)</f>
        <v/>
      </c>
      <c r="AY34" s="1574">
        <f>IF(K34="X",1,0)</f>
        <v/>
      </c>
      <c r="AZ34" s="1574">
        <f>IF(L34="X",1,0)</f>
        <v/>
      </c>
      <c r="BA34" s="1574">
        <f>IF(M34="X",1,0)</f>
        <v/>
      </c>
      <c r="BB34" s="1574">
        <f>IF(N34="X",1,0)</f>
        <v/>
      </c>
      <c r="BC34" s="1574">
        <f>IF(O34="X",1,0)</f>
        <v/>
      </c>
      <c r="BD34" s="1574">
        <f>IF(P34="X",1,0)</f>
        <v/>
      </c>
      <c r="BE34" s="1574">
        <f>IF(Q34="X",1,0)</f>
        <v/>
      </c>
      <c r="BF34" s="1574">
        <f>IF(R34="X",1,0)</f>
        <v/>
      </c>
      <c r="BG34" s="1574">
        <f>IF(S34="X",1,0)</f>
        <v/>
      </c>
      <c r="BH34" s="1574">
        <f>IF(T34="X",1,0)</f>
        <v/>
      </c>
      <c r="BI34" s="1574">
        <f>IF(U34="X",1,0)</f>
        <v/>
      </c>
      <c r="BJ34" s="1574">
        <f>IF(V34="X",1,0)</f>
        <v/>
      </c>
      <c r="BK34" s="1574">
        <f>IF(W34="X",1,0)</f>
        <v/>
      </c>
      <c r="BL34" s="1574">
        <f>IF(X34="X",1,0)</f>
        <v/>
      </c>
      <c r="BM34" s="1574">
        <f>IF(Y34="X",1,0)</f>
        <v/>
      </c>
      <c r="BN34" s="1574">
        <f>IF(Z34="X",1,0)</f>
        <v/>
      </c>
      <c r="BO34" s="1574">
        <f>IF(AA34="X",1,0)</f>
        <v/>
      </c>
      <c r="BP34" s="1574">
        <f>IF(AB34="X",1,0)</f>
        <v/>
      </c>
      <c r="BQ34" s="1574">
        <f>IF(AC34="X",1,0)</f>
        <v/>
      </c>
      <c r="BR34" s="1574">
        <f>IF(AD34="X",1,0)</f>
        <v/>
      </c>
      <c r="BS34" s="1574">
        <f>IF(AE34="X",1,0)</f>
        <v/>
      </c>
      <c r="BT34" s="1574">
        <f>IF(AF34="X",1,0)</f>
        <v/>
      </c>
      <c r="BU34" s="1574">
        <f>IF(AG34="X",1,0)</f>
        <v/>
      </c>
      <c r="BV34" s="1574">
        <f>IF(AH34="X",1,0)</f>
        <v/>
      </c>
      <c r="BW34" s="1574">
        <f>IF(AI34="X",1,0)</f>
        <v/>
      </c>
      <c r="BX34" s="1574">
        <f>IF(AJ34="X",1,0)</f>
        <v/>
      </c>
      <c r="BY34" s="1574">
        <f>IF(AK34="X",1,0)</f>
        <v/>
      </c>
      <c r="BZ34" s="1574">
        <f>IF(AL34="X",1,0)</f>
        <v/>
      </c>
      <c r="CA34" s="1574">
        <f>IF(AM34="X",1,0)</f>
        <v/>
      </c>
      <c r="CB34" s="1574">
        <f>IF(AN34="X",1,0)</f>
        <v/>
      </c>
    </row>
    <row r="35" ht="9.75" customHeight="1" s="1158">
      <c r="A35" s="1534" t="n"/>
      <c r="B35" s="1590" t="inlineStr">
        <is>
          <t>Operational Hours:</t>
        </is>
      </c>
      <c r="C35" s="1540" t="n"/>
      <c r="D35" s="1591" t="n"/>
      <c r="E35" s="1539" t="n"/>
      <c r="F35" s="1539" t="n"/>
      <c r="G35" s="1539" t="n"/>
      <c r="H35" s="1539" t="n"/>
      <c r="I35" s="1539" t="n"/>
      <c r="J35" s="1539" t="n"/>
      <c r="K35" s="1539" t="n"/>
      <c r="L35" s="1539" t="n"/>
      <c r="M35" s="1539" t="n"/>
      <c r="N35" s="1539" t="n"/>
      <c r="O35" s="1539" t="n"/>
      <c r="P35" s="1539" t="n"/>
      <c r="Q35" s="1539" t="n"/>
      <c r="R35" s="1539" t="n"/>
      <c r="S35" s="1539" t="n"/>
      <c r="T35" s="1539" t="n"/>
      <c r="U35" s="1539" t="n"/>
      <c r="V35" s="1539" t="n"/>
      <c r="W35" s="1539" t="n"/>
      <c r="X35" s="1539" t="n"/>
      <c r="Y35" s="1539" t="n"/>
      <c r="Z35" s="1539" t="n"/>
      <c r="AA35" s="1539" t="n"/>
      <c r="AB35" s="1539" t="n"/>
      <c r="AC35" s="1539" t="n"/>
      <c r="AD35" s="1539" t="n"/>
      <c r="AE35" s="1539" t="n"/>
      <c r="AF35" s="1539" t="n"/>
      <c r="AG35" s="1539" t="n"/>
      <c r="AH35" s="1539" t="n"/>
      <c r="AI35" s="1539" t="n"/>
      <c r="AJ35" s="1539" t="n"/>
      <c r="AK35" s="1539" t="n"/>
      <c r="AL35" s="1539" t="n"/>
      <c r="AM35" s="1539" t="n"/>
      <c r="AN35" s="1539" t="n"/>
      <c r="AO35" s="1540" t="n"/>
      <c r="AP35" s="1534" t="n"/>
    </row>
    <row r="36" ht="9.75" customHeight="1" s="1158">
      <c r="A36" s="1534" t="n"/>
      <c r="B36" s="1560" t="n"/>
      <c r="C36" s="1562" t="n"/>
      <c r="D36" s="1560" t="n"/>
      <c r="E36" s="1561" t="n"/>
      <c r="F36" s="1561" t="n"/>
      <c r="G36" s="1561" t="n"/>
      <c r="H36" s="1561" t="n"/>
      <c r="I36" s="1561" t="n"/>
      <c r="J36" s="1561" t="n"/>
      <c r="K36" s="1561" t="n"/>
      <c r="L36" s="1561" t="n"/>
      <c r="M36" s="1561" t="n"/>
      <c r="N36" s="1561" t="n"/>
      <c r="O36" s="1561" t="n"/>
      <c r="P36" s="1561" t="n"/>
      <c r="Q36" s="1561" t="n"/>
      <c r="R36" s="1561" t="n"/>
      <c r="S36" s="1561" t="n"/>
      <c r="T36" s="1561" t="n"/>
      <c r="U36" s="1561" t="n"/>
      <c r="V36" s="1561" t="n"/>
      <c r="W36" s="1561" t="n"/>
      <c r="X36" s="1561" t="n"/>
      <c r="Y36" s="1561" t="n"/>
      <c r="Z36" s="1561" t="n"/>
      <c r="AA36" s="1561" t="n"/>
      <c r="AB36" s="1561" t="n"/>
      <c r="AC36" s="1561" t="n"/>
      <c r="AD36" s="1561" t="n"/>
      <c r="AE36" s="1561" t="n"/>
      <c r="AF36" s="1561" t="n"/>
      <c r="AG36" s="1561" t="n"/>
      <c r="AH36" s="1561" t="n"/>
      <c r="AI36" s="1561" t="n"/>
      <c r="AJ36" s="1561" t="n"/>
      <c r="AK36" s="1561" t="n"/>
      <c r="AL36" s="1561" t="n"/>
      <c r="AM36" s="1561" t="n"/>
      <c r="AN36" s="1561" t="n"/>
      <c r="AO36" s="1562" t="n"/>
      <c r="AP36" s="1534" t="n"/>
    </row>
    <row r="37" ht="19.5" customHeight="1" s="1158">
      <c r="A37" s="1534" t="n"/>
      <c r="B37" s="1592" t="inlineStr">
        <is>
          <t xml:space="preserve">Supplier - Rep. </t>
        </is>
      </c>
      <c r="C37" s="1593">
        <f>'Master Data'!B21</f>
        <v/>
      </c>
      <c r="D37" s="1537" t="n"/>
      <c r="E37" s="1537" t="n"/>
      <c r="F37" s="1537" t="n"/>
      <c r="G37" s="1537" t="n"/>
      <c r="H37" s="1543" t="n"/>
      <c r="I37" s="1594" t="inlineStr">
        <is>
          <t>Customer Rep.</t>
        </is>
      </c>
      <c r="J37" s="1537" t="n"/>
      <c r="K37" s="1537" t="n"/>
      <c r="L37" s="1537" t="n"/>
      <c r="M37" s="1537" t="n"/>
      <c r="N37" s="1537" t="n"/>
      <c r="O37" s="1537" t="n"/>
      <c r="P37" s="1537" t="n"/>
      <c r="Q37" s="1537" t="n"/>
      <c r="R37" s="1537" t="n"/>
      <c r="S37" s="1537" t="n"/>
      <c r="T37" s="1537" t="n"/>
      <c r="U37" s="1543" t="n"/>
      <c r="V37" s="1594">
        <f>'Master Data'!B4</f>
        <v/>
      </c>
      <c r="W37" s="1537" t="n"/>
      <c r="X37" s="1537" t="n"/>
      <c r="Y37" s="1537" t="n"/>
      <c r="Z37" s="1537" t="n"/>
      <c r="AA37" s="1537" t="n"/>
      <c r="AB37" s="1537" t="n"/>
      <c r="AC37" s="1537" t="n"/>
      <c r="AD37" s="1537" t="n"/>
      <c r="AE37" s="1537" t="n"/>
      <c r="AF37" s="1537" t="n"/>
      <c r="AG37" s="1543" t="n"/>
      <c r="AH37" s="1595" t="inlineStr">
        <is>
          <t xml:space="preserve">Customer Stamp </t>
        </is>
      </c>
      <c r="AI37" s="1539" t="n"/>
      <c r="AJ37" s="1539" t="n"/>
      <c r="AK37" s="1539" t="n"/>
      <c r="AL37" s="1539" t="n"/>
      <c r="AM37" s="1539" t="n"/>
      <c r="AN37" s="1539" t="n"/>
      <c r="AO37" s="1540" t="n"/>
      <c r="AP37" s="1534" t="n"/>
    </row>
    <row r="38" ht="19.5" customHeight="1" s="1158">
      <c r="A38" s="1534" t="n"/>
      <c r="B38" s="1592" t="inlineStr">
        <is>
          <t>Signature</t>
        </is>
      </c>
      <c r="C38" s="1593" t="n"/>
      <c r="D38" s="1537" t="n"/>
      <c r="E38" s="1537" t="n"/>
      <c r="F38" s="1537" t="n"/>
      <c r="G38" s="1537" t="n"/>
      <c r="H38" s="1543" t="n"/>
      <c r="I38" s="1594" t="inlineStr">
        <is>
          <t>Signature</t>
        </is>
      </c>
      <c r="J38" s="1537" t="n"/>
      <c r="K38" s="1537" t="n"/>
      <c r="L38" s="1537" t="n"/>
      <c r="M38" s="1537" t="n"/>
      <c r="N38" s="1537" t="n"/>
      <c r="O38" s="1537" t="n"/>
      <c r="P38" s="1537" t="n"/>
      <c r="Q38" s="1537" t="n"/>
      <c r="R38" s="1537" t="n"/>
      <c r="S38" s="1537" t="n"/>
      <c r="T38" s="1537" t="n"/>
      <c r="U38" s="1543" t="n"/>
      <c r="V38" s="1594" t="n"/>
      <c r="W38" s="1537" t="n"/>
      <c r="X38" s="1537" t="n"/>
      <c r="Y38" s="1537" t="n"/>
      <c r="Z38" s="1537" t="n"/>
      <c r="AA38" s="1537" t="n"/>
      <c r="AB38" s="1537" t="n"/>
      <c r="AC38" s="1537" t="n"/>
      <c r="AD38" s="1537" t="n"/>
      <c r="AE38" s="1537" t="n"/>
      <c r="AF38" s="1537" t="n"/>
      <c r="AG38" s="1543" t="n"/>
      <c r="AH38" s="1544" t="n"/>
      <c r="AI38" s="1545" t="n"/>
      <c r="AJ38" s="1545" t="n"/>
      <c r="AK38" s="1545" t="n"/>
      <c r="AL38" s="1545" t="n"/>
      <c r="AM38" s="1545" t="n"/>
      <c r="AN38" s="1545" t="n"/>
      <c r="AO38" s="1546" t="n"/>
      <c r="AP38" s="1534" t="n"/>
    </row>
    <row r="39" ht="18.75" customHeight="1" s="1158">
      <c r="A39" s="1534" t="n"/>
      <c r="B39" s="1592" t="inlineStr">
        <is>
          <t xml:space="preserve">Date :- </t>
        </is>
      </c>
      <c r="C39" s="1596">
        <f>'Master Data'!E24</f>
        <v/>
      </c>
      <c r="D39" s="1277" t="n"/>
      <c r="E39" s="1277" t="n"/>
      <c r="F39" s="1277" t="n"/>
      <c r="G39" s="1277" t="n"/>
      <c r="H39" s="1278" t="n"/>
      <c r="I39" s="1593" t="inlineStr">
        <is>
          <t xml:space="preserve">Date :- </t>
        </is>
      </c>
      <c r="J39" s="1537" t="n"/>
      <c r="K39" s="1537" t="n"/>
      <c r="L39" s="1537" t="n"/>
      <c r="M39" s="1537" t="n"/>
      <c r="N39" s="1537" t="n"/>
      <c r="O39" s="1537" t="n"/>
      <c r="P39" s="1537" t="n"/>
      <c r="Q39" s="1537" t="n"/>
      <c r="R39" s="1537" t="n"/>
      <c r="S39" s="1537" t="n"/>
      <c r="T39" s="1537" t="n"/>
      <c r="U39" s="1543" t="n"/>
      <c r="V39" s="1596">
        <f>'Master Data'!E24</f>
        <v/>
      </c>
      <c r="W39" s="1277" t="n"/>
      <c r="X39" s="1277" t="n"/>
      <c r="Y39" s="1277" t="n"/>
      <c r="Z39" s="1277" t="n"/>
      <c r="AA39" s="1277" t="n"/>
      <c r="AB39" s="1277" t="n"/>
      <c r="AC39" s="1277" t="n"/>
      <c r="AD39" s="1277" t="n"/>
      <c r="AE39" s="1277" t="n"/>
      <c r="AF39" s="1277" t="n"/>
      <c r="AG39" s="1278" t="n"/>
      <c r="AH39" s="1560" t="n"/>
      <c r="AI39" s="1561" t="n"/>
      <c r="AJ39" s="1561" t="n"/>
      <c r="AK39" s="1561" t="n"/>
      <c r="AL39" s="1561" t="n"/>
      <c r="AM39" s="1561" t="n"/>
      <c r="AN39" s="1561" t="n"/>
      <c r="AO39" s="1562" t="n"/>
      <c r="AP39" s="1534" t="n"/>
      <c r="AR39" s="1574" t="n"/>
      <c r="AS39" s="1574" t="n"/>
      <c r="AT39" s="1574" t="n"/>
      <c r="AU39" s="1574" t="n"/>
      <c r="AV39" s="1574" t="n"/>
      <c r="AW39" s="1574" t="n"/>
      <c r="AX39" s="1574" t="n"/>
      <c r="AY39" s="1574" t="n"/>
      <c r="AZ39" s="1574" t="n"/>
      <c r="BA39" s="1574" t="n"/>
      <c r="BB39" s="1574" t="n"/>
      <c r="BC39" s="1574" t="n"/>
      <c r="BD39" s="1574" t="n"/>
      <c r="BE39" s="1574" t="n"/>
      <c r="BF39" s="1574" t="n"/>
      <c r="BG39" s="1574" t="n"/>
      <c r="BH39" s="1574" t="n"/>
      <c r="BI39" s="1574" t="n"/>
      <c r="BJ39" s="1574" t="n"/>
      <c r="BK39" s="1574" t="n"/>
      <c r="BL39" s="1574" t="n"/>
      <c r="BM39" s="1574" t="n"/>
      <c r="BN39" s="1574" t="n"/>
      <c r="BO39" s="1574" t="n"/>
      <c r="BP39" s="1574" t="n"/>
      <c r="BQ39" s="1574" t="n"/>
      <c r="BR39" s="1574" t="n"/>
      <c r="BS39" s="1574" t="n"/>
      <c r="BT39" s="1574" t="n"/>
      <c r="BU39" s="1574" t="n"/>
      <c r="BV39" s="1574" t="n"/>
      <c r="BW39" s="1574" t="n"/>
      <c r="BX39" s="1574" t="n"/>
      <c r="BY39" s="1574" t="n"/>
      <c r="BZ39" s="1574" t="n"/>
      <c r="CA39" s="1574" t="n"/>
      <c r="CB39" s="1574" t="n"/>
    </row>
    <row r="40" ht="14.25" customHeight="1" s="1158">
      <c r="A40" s="1534" t="n"/>
      <c r="B40" s="1534" t="n"/>
      <c r="C40" s="1534" t="n"/>
      <c r="D40" s="1534" t="n"/>
      <c r="E40" s="1534" t="n"/>
      <c r="F40" s="1534" t="n"/>
      <c r="G40" s="1534" t="n"/>
      <c r="H40" s="1534" t="n"/>
      <c r="I40" s="1534" t="n"/>
      <c r="J40" s="1534" t="n"/>
      <c r="K40" s="1534" t="n"/>
      <c r="L40" s="1534" t="n"/>
      <c r="M40" s="1534" t="n"/>
      <c r="N40" s="1534" t="n"/>
      <c r="O40" s="1534" t="n"/>
      <c r="P40" s="1534" t="n"/>
      <c r="Q40" s="1534" t="n"/>
      <c r="R40" s="1534" t="n"/>
      <c r="S40" s="1534" t="n"/>
      <c r="T40" s="1534" t="n"/>
      <c r="U40" s="1534" t="n"/>
      <c r="V40" s="1534" t="n"/>
      <c r="W40" s="1534" t="n"/>
      <c r="X40" s="1534" t="n"/>
      <c r="Y40" s="1534" t="n"/>
      <c r="Z40" s="1534" t="n"/>
      <c r="AA40" s="1534" t="n"/>
      <c r="AB40" s="1534" t="n"/>
      <c r="AC40" s="1534" t="n"/>
      <c r="AD40" s="1534" t="n"/>
      <c r="AE40" s="1534" t="n"/>
      <c r="AF40" s="1534" t="n"/>
      <c r="AG40" s="1534" t="n"/>
      <c r="AH40" s="1534" t="n"/>
      <c r="AI40" s="1534" t="n"/>
      <c r="AJ40" s="1534" t="n"/>
      <c r="AK40" s="1534" t="n"/>
      <c r="AL40" s="1534" t="n"/>
      <c r="AM40" s="1534" t="n"/>
      <c r="AN40" s="1534" t="n"/>
      <c r="AO40" s="1534" t="n"/>
      <c r="AP40" s="1534" t="n"/>
    </row>
    <row r="43" ht="14.25" customHeight="1" s="1158">
      <c r="E43" s="159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9"/>
  <sheetViews>
    <sheetView showFormulas="0" showGridLines="0" showRowColHeaders="1" showZeros="1" rightToLeft="0" tabSelected="0" showOutlineSymbols="1" defaultGridColor="1" view="pageBreakPreview" topLeftCell="A9" colorId="64" zoomScale="115" zoomScaleNormal="100" zoomScalePageLayoutView="115" workbookViewId="0">
      <selection pane="topLeft" activeCell="A19" activeCellId="0" sqref="A11:S58"/>
    </sheetView>
  </sheetViews>
  <sheetFormatPr baseColWidth="8" defaultColWidth="8.59765625" defaultRowHeight="14.25" customHeight="0" zeroHeight="0" outlineLevelRow="0"/>
  <cols>
    <col width="6.56" customWidth="1" style="1207" min="3" max="3"/>
    <col width="17.56" customWidth="1" style="1207" min="4" max="5"/>
    <col width="5.44" customWidth="1" style="1207" min="6" max="6"/>
    <col width="14.78" customWidth="1" style="1207" min="7" max="7"/>
    <col width="6.67" customWidth="1" style="1207" min="8" max="8"/>
    <col width="6.56" customWidth="1" style="1207" min="9" max="9"/>
    <col width="9.220000000000001" customWidth="1" style="1207" min="10" max="10"/>
    <col width="8.33" customWidth="1" style="1207" min="11" max="11"/>
  </cols>
  <sheetData>
    <row r="1" ht="45.75" customHeight="1" s="1158">
      <c r="A1" s="1598" t="n"/>
      <c r="B1" s="1163" t="n"/>
      <c r="C1" s="1599" t="inlineStr">
        <is>
          <t>1 of 1</t>
        </is>
      </c>
      <c r="D1" s="1600" t="inlineStr">
        <is>
          <t>Tools Backload Sheet</t>
        </is>
      </c>
      <c r="E1" s="1162" t="n"/>
      <c r="F1" s="1162" t="n"/>
      <c r="G1" s="1162" t="n"/>
      <c r="H1" s="1162" t="n"/>
      <c r="I1" s="1163" t="n"/>
      <c r="J1" s="1600" t="n"/>
      <c r="K1" s="1163" t="n"/>
    </row>
    <row r="2" ht="14.25" customHeight="1" s="1158">
      <c r="A2" s="1599" t="inlineStr">
        <is>
          <t>DOCUMENT NUMBER</t>
        </is>
      </c>
      <c r="B2" s="1163" t="n"/>
      <c r="C2" s="1599" t="inlineStr">
        <is>
          <t>CLASSIFICATION</t>
        </is>
      </c>
      <c r="D2" s="1163" t="n"/>
      <c r="E2" s="1599" t="inlineStr">
        <is>
          <t>DOCUMENT LEVEL</t>
        </is>
      </c>
      <c r="F2" s="1163" t="n"/>
      <c r="G2" s="1599" t="inlineStr">
        <is>
          <t>REVISION NUMBER</t>
        </is>
      </c>
      <c r="H2" s="1599" t="inlineStr">
        <is>
          <t>ISSUE DATE</t>
        </is>
      </c>
      <c r="I2" s="1163" t="n"/>
      <c r="J2" s="1599" t="inlineStr">
        <is>
          <t>PREPARED BY</t>
        </is>
      </c>
      <c r="K2" s="1599" t="inlineStr">
        <is>
          <t>APPROVAL</t>
        </is>
      </c>
    </row>
    <row r="3" ht="18.75" customHeight="1" s="1158">
      <c r="A3" s="1601" t="inlineStr">
        <is>
          <t>GL-COMP-OEPS-L4-15.10</t>
        </is>
      </c>
      <c r="B3" s="1163" t="n"/>
      <c r="C3" s="1602" t="inlineStr">
        <is>
          <t>CONTROLLED</t>
        </is>
      </c>
      <c r="D3" s="1163" t="n"/>
      <c r="E3" s="1602" t="inlineStr">
        <is>
          <t>L5</t>
        </is>
      </c>
      <c r="F3" s="1163" t="n"/>
      <c r="G3" s="1602" t="n">
        <v>0</v>
      </c>
      <c r="H3" s="1602" t="inlineStr">
        <is>
          <t>6th September 2015</t>
        </is>
      </c>
      <c r="I3" s="1163" t="n"/>
      <c r="J3" s="1602" t="inlineStr">
        <is>
          <t>WCT TAC</t>
        </is>
      </c>
      <c r="K3" s="1602" t="inlineStr">
        <is>
          <t>WCT TWIC</t>
        </is>
      </c>
    </row>
    <row r="5" ht="14.9" customHeight="1" s="1158">
      <c r="A5" s="1603" t="inlineStr">
        <is>
          <t xml:space="preserve"> Backload From:</t>
        </is>
      </c>
      <c r="B5" s="1163" t="n"/>
      <c r="C5" s="1604">
        <f>'Master Data'!E10</f>
        <v/>
      </c>
      <c r="D5" s="1162" t="n"/>
      <c r="E5" s="1163" t="n"/>
      <c r="F5" s="1603" t="inlineStr">
        <is>
          <t xml:space="preserve"> Job Number</t>
        </is>
      </c>
      <c r="G5" s="1603" t="n"/>
      <c r="H5" s="1604">
        <f>'Master Data'!B11</f>
        <v/>
      </c>
      <c r="I5" s="1162" t="n"/>
      <c r="J5" s="1162" t="n"/>
      <c r="K5" s="1163" t="n"/>
    </row>
    <row r="6" ht="14.9" customHeight="1" s="1158">
      <c r="A6" s="1603" t="inlineStr">
        <is>
          <t xml:space="preserve"> Backload to:</t>
        </is>
      </c>
      <c r="B6" s="1163" t="n"/>
      <c r="C6" s="1605" t="inlineStr">
        <is>
          <t xml:space="preserve">Weatherford ICAD Base </t>
        </is>
      </c>
      <c r="D6" s="1606" t="n"/>
      <c r="E6" s="1607" t="n"/>
      <c r="F6" s="1603" t="inlineStr">
        <is>
          <t xml:space="preserve"> Rig/Well No.</t>
        </is>
      </c>
      <c r="G6" s="1603" t="n"/>
      <c r="H6" s="1608">
        <f>_xlfn.CONCAT('Master Data'!E11," / ", 'Master Data'!E10)</f>
        <v/>
      </c>
      <c r="I6" s="1609" t="n"/>
      <c r="J6" s="1609" t="n"/>
      <c r="K6" s="1610" t="n"/>
    </row>
    <row r="7" ht="14.25" customHeight="1" s="1158">
      <c r="A7" s="1604" t="inlineStr">
        <is>
          <t>Backload Delivery</t>
        </is>
      </c>
      <c r="B7" s="1162" t="n"/>
      <c r="C7" s="1162" t="n"/>
      <c r="D7" s="1162" t="n"/>
      <c r="E7" s="1162" t="n"/>
      <c r="F7" s="1162" t="n"/>
      <c r="G7" s="1162" t="n"/>
      <c r="H7" s="1162" t="n"/>
      <c r="I7" s="1162" t="n"/>
      <c r="J7" s="1162" t="n"/>
      <c r="K7" s="1163" t="n"/>
    </row>
    <row r="8" ht="14.25" customHeight="1" s="1158">
      <c r="A8" s="1604" t="inlineStr">
        <is>
          <t>Item</t>
        </is>
      </c>
      <c r="B8" s="1604" t="inlineStr">
        <is>
          <t>Description</t>
        </is>
      </c>
      <c r="C8" s="1162" t="n"/>
      <c r="D8" s="1162" t="n"/>
      <c r="E8" s="1163" t="n"/>
      <c r="F8" s="1604" t="inlineStr">
        <is>
          <t>Serial Number</t>
        </is>
      </c>
      <c r="G8" s="1163" t="n"/>
      <c r="H8" s="1604" t="inlineStr">
        <is>
          <t>Status</t>
        </is>
      </c>
      <c r="I8" s="1162" t="n"/>
      <c r="J8" s="1163" t="n"/>
      <c r="K8" s="1604" t="inlineStr">
        <is>
          <t>Quantity</t>
        </is>
      </c>
    </row>
    <row r="9" ht="14.25" customHeight="1" s="1158">
      <c r="A9" s="1611" t="inlineStr">
        <is>
          <t xml:space="preserve">RENTAL ITEMS </t>
        </is>
      </c>
      <c r="B9" s="1162" t="n"/>
      <c r="C9" s="1162" t="n"/>
      <c r="D9" s="1162" t="n"/>
      <c r="E9" s="1163" t="n"/>
      <c r="F9" s="1611" t="n"/>
      <c r="G9" s="1162" t="n"/>
      <c r="H9" s="1162" t="n"/>
      <c r="I9" s="1162" t="n"/>
      <c r="J9" s="1162" t="n"/>
      <c r="K9" s="1163" t="n"/>
    </row>
    <row r="10" ht="21" customHeight="1" s="1158">
      <c r="A10" s="1612">
        <f>'MS2'!A11</f>
        <v/>
      </c>
      <c r="B10" s="1613">
        <f>'MS2'!D11</f>
        <v/>
      </c>
      <c r="C10" s="1606" t="n"/>
      <c r="D10" s="1606" t="n"/>
      <c r="E10" s="1607" t="n"/>
      <c r="F10" s="1614">
        <f>'MS2'!F11</f>
        <v/>
      </c>
      <c r="G10" s="1607" t="n"/>
      <c r="H10" s="1614" t="n"/>
      <c r="I10" s="1606" t="n"/>
      <c r="J10" s="1607" t="n"/>
      <c r="K10" s="1614" t="inlineStr">
        <is>
          <t>1 EA</t>
        </is>
      </c>
    </row>
    <row r="11" ht="21" customHeight="1" s="1158">
      <c r="A11" s="1615">
        <f>'MS2'!A12</f>
        <v/>
      </c>
      <c r="B11" s="1613">
        <f>'MS2'!D12</f>
        <v/>
      </c>
      <c r="C11" s="1606" t="n"/>
      <c r="D11" s="1606" t="n"/>
      <c r="E11" s="1607" t="n"/>
      <c r="F11" s="1616">
        <f>'MS2'!F12</f>
        <v/>
      </c>
      <c r="G11" s="1617" t="n"/>
      <c r="H11" s="1616" t="n"/>
      <c r="I11" s="1618" t="n"/>
      <c r="J11" s="1617" t="n"/>
      <c r="K11" s="1616" t="inlineStr">
        <is>
          <t>1 EA</t>
        </is>
      </c>
    </row>
    <row r="12" ht="21" customHeight="1" s="1158">
      <c r="A12" s="1614">
        <f>'MS2'!A13</f>
        <v/>
      </c>
      <c r="B12" s="1613">
        <f>'MS2'!D13</f>
        <v/>
      </c>
      <c r="C12" s="1606" t="n"/>
      <c r="D12" s="1606" t="n"/>
      <c r="E12" s="1607" t="n"/>
      <c r="F12" s="1614">
        <f>'MS2'!F13</f>
        <v/>
      </c>
      <c r="G12" s="1607" t="n"/>
      <c r="H12" s="1614" t="n"/>
      <c r="I12" s="1606" t="n"/>
      <c r="J12" s="1607" t="n"/>
      <c r="K12" s="1614" t="inlineStr">
        <is>
          <t>1EA</t>
        </is>
      </c>
    </row>
    <row r="13" ht="21" customHeight="1" s="1158">
      <c r="A13" s="1619">
        <f>'MS2'!A14</f>
        <v/>
      </c>
      <c r="B13" s="1620">
        <f>'MS2'!D14</f>
        <v/>
      </c>
      <c r="C13" s="1606" t="n"/>
      <c r="D13" s="1606" t="n"/>
      <c r="E13" s="1607" t="n"/>
      <c r="F13" s="1619">
        <f>'MS2'!F14</f>
        <v/>
      </c>
      <c r="G13" s="1607" t="n"/>
      <c r="H13" s="1619" t="n"/>
      <c r="I13" s="1606" t="n"/>
      <c r="J13" s="1607" t="n"/>
      <c r="K13" s="1619" t="inlineStr">
        <is>
          <t>1EA</t>
        </is>
      </c>
      <c r="O13" s="1621" t="n"/>
    </row>
    <row r="14" ht="21" customHeight="1" s="1158">
      <c r="A14" s="1619">
        <f>'MS2'!A15</f>
        <v/>
      </c>
      <c r="B14" s="1622">
        <f>'MS2'!D15</f>
        <v/>
      </c>
      <c r="C14" s="1606" t="n"/>
      <c r="D14" s="1606" t="n"/>
      <c r="E14" s="1607" t="n"/>
      <c r="F14" s="1619">
        <f>'MS2'!F15</f>
        <v/>
      </c>
      <c r="G14" s="1607" t="n"/>
      <c r="H14" s="1619" t="n"/>
      <c r="I14" s="1606" t="n"/>
      <c r="J14" s="1607" t="n"/>
      <c r="K14" s="1619" t="inlineStr">
        <is>
          <t>1EA</t>
        </is>
      </c>
    </row>
    <row r="15" ht="21" customHeight="1" s="1158">
      <c r="A15" s="1623">
        <f>'MS2'!A16</f>
        <v/>
      </c>
      <c r="B15" s="1624">
        <f>'MS2'!D16</f>
        <v/>
      </c>
      <c r="C15" s="1606" t="n"/>
      <c r="D15" s="1606" t="n"/>
      <c r="E15" s="1607" t="n"/>
      <c r="F15" s="1619">
        <f>'MS2'!F16</f>
        <v/>
      </c>
      <c r="G15" s="1607" t="n"/>
      <c r="H15" s="1619" t="n"/>
      <c r="I15" s="1606" t="n"/>
      <c r="J15" s="1607" t="n"/>
      <c r="K15" s="1619">
        <f>K10</f>
        <v/>
      </c>
    </row>
    <row r="16" ht="21" customHeight="1" s="1158">
      <c r="A16" s="1623">
        <f>'MS2'!A17</f>
        <v/>
      </c>
      <c r="B16" s="1624">
        <f>'MS2'!D17</f>
        <v/>
      </c>
      <c r="C16" s="1606" t="n"/>
      <c r="D16" s="1606" t="n"/>
      <c r="E16" s="1607" t="n"/>
      <c r="F16" s="1619">
        <f>'MS2'!F17</f>
        <v/>
      </c>
      <c r="G16" s="1607" t="n"/>
      <c r="H16" s="1619" t="n"/>
      <c r="I16" s="1606" t="n"/>
      <c r="J16" s="1607" t="n"/>
      <c r="K16" s="1619">
        <f>K10</f>
        <v/>
      </c>
    </row>
    <row r="17" ht="21" customHeight="1" s="1158">
      <c r="A17" s="1623">
        <f>'MS2'!A18</f>
        <v/>
      </c>
      <c r="B17" s="1622">
        <f>'MS2'!D18</f>
        <v/>
      </c>
      <c r="C17" s="1606" t="n"/>
      <c r="D17" s="1606" t="n"/>
      <c r="E17" s="1607" t="n"/>
      <c r="F17" s="1619">
        <f>'MS2'!F18</f>
        <v/>
      </c>
      <c r="G17" s="1607" t="n"/>
      <c r="H17" s="1619" t="n"/>
      <c r="I17" s="1606" t="n"/>
      <c r="J17" s="1607" t="n"/>
      <c r="K17" s="1619">
        <f>K10</f>
        <v/>
      </c>
    </row>
    <row r="18" ht="21" customHeight="1" s="1158">
      <c r="A18" s="1623">
        <f>'MS2'!A19</f>
        <v/>
      </c>
      <c r="B18" s="1622">
        <f>'MS2'!D19</f>
        <v/>
      </c>
      <c r="C18" s="1606" t="n"/>
      <c r="D18" s="1606" t="n"/>
      <c r="E18" s="1607" t="n"/>
      <c r="F18" s="1619">
        <f>'MS2'!F19</f>
        <v/>
      </c>
      <c r="G18" s="1607" t="n"/>
      <c r="H18" s="1619" t="n"/>
      <c r="I18" s="1606" t="n"/>
      <c r="J18" s="1607" t="n"/>
      <c r="K18" s="1619">
        <f>K10</f>
        <v/>
      </c>
    </row>
    <row r="19" ht="14.25" customHeight="1" s="1158">
      <c r="A19" s="1625" t="inlineStr">
        <is>
          <t>REMARKS:</t>
        </is>
      </c>
      <c r="B19" s="1606" t="n"/>
      <c r="C19" s="1606" t="n"/>
      <c r="D19" s="1606" t="n"/>
      <c r="E19" s="1606" t="n"/>
      <c r="F19" s="1606" t="n"/>
      <c r="G19" s="1606" t="n"/>
      <c r="H19" s="1606" t="n"/>
      <c r="I19" s="1606" t="n"/>
      <c r="J19" s="1606" t="n"/>
      <c r="K19" s="1607" t="n"/>
    </row>
    <row r="20" ht="14.25" customHeight="1" s="1158">
      <c r="A20" s="1626" t="n"/>
      <c r="B20" s="1606" t="n"/>
      <c r="C20" s="1606" t="n"/>
      <c r="D20" s="1606" t="n"/>
      <c r="E20" s="1606" t="n"/>
      <c r="F20" s="1606" t="n"/>
      <c r="G20" s="1606" t="n"/>
      <c r="H20" s="1606" t="n"/>
      <c r="I20" s="1606" t="n"/>
      <c r="J20" s="1606" t="n"/>
      <c r="K20" s="1607" t="n"/>
    </row>
    <row r="21" ht="14.25" customHeight="1" s="1158">
      <c r="A21" s="1626" t="n"/>
      <c r="B21" s="1606" t="n"/>
      <c r="C21" s="1606" t="n"/>
      <c r="D21" s="1606" t="n"/>
      <c r="E21" s="1606" t="n"/>
      <c r="F21" s="1606" t="n"/>
      <c r="G21" s="1606" t="n"/>
      <c r="H21" s="1606" t="n"/>
      <c r="I21" s="1606" t="n"/>
      <c r="J21" s="1606" t="n"/>
      <c r="K21" s="1607" t="n"/>
    </row>
    <row r="22" ht="14.25" customHeight="1" s="1158">
      <c r="A22" s="1627" t="n"/>
      <c r="B22" s="1606" t="n"/>
      <c r="C22" s="1606" t="n"/>
      <c r="D22" s="1606" t="n"/>
      <c r="E22" s="1606" t="n"/>
      <c r="F22" s="1606" t="n"/>
      <c r="G22" s="1606" t="n"/>
      <c r="H22" s="1606" t="n"/>
      <c r="I22" s="1606" t="n"/>
      <c r="J22" s="1606" t="n"/>
      <c r="K22" s="1607" t="n"/>
    </row>
    <row r="23" ht="14.9" customHeight="1" s="1158">
      <c r="A23" s="1628" t="inlineStr">
        <is>
          <t>WFT Engineer:</t>
        </is>
      </c>
      <c r="B23" s="1162" t="n"/>
      <c r="C23" s="1163" t="n"/>
      <c r="D23" s="1629">
        <f>'Master Data'!B21</f>
        <v/>
      </c>
      <c r="E23" s="1162" t="n"/>
      <c r="F23" s="1162" t="n"/>
      <c r="G23" s="1163" t="n"/>
      <c r="H23" s="1630" t="inlineStr">
        <is>
          <t>Date :</t>
        </is>
      </c>
      <c r="I23" s="1631">
        <f>'Master Data'!E24</f>
        <v/>
      </c>
      <c r="J23" s="1606" t="n"/>
      <c r="K23" s="1607" t="n"/>
    </row>
    <row r="24" ht="14.9" customHeight="1" s="1158">
      <c r="A24" s="1628" t="inlineStr">
        <is>
          <t>Company Representative:</t>
        </is>
      </c>
      <c r="B24" s="1162" t="n"/>
      <c r="C24" s="1163" t="n"/>
      <c r="D24" s="1629" t="n"/>
      <c r="E24" s="1162" t="n"/>
      <c r="F24" s="1162" t="n"/>
      <c r="G24" s="1163" t="n"/>
      <c r="H24" s="1630" t="inlineStr">
        <is>
          <t>Date :</t>
        </is>
      </c>
      <c r="I24" s="1631">
        <f>'Master Data'!E24</f>
        <v/>
      </c>
      <c r="J24" s="1606" t="n"/>
      <c r="K24" s="1607" t="n"/>
    </row>
    <row r="25" ht="14.9" customHeight="1" s="1158">
      <c r="A25" s="1628" t="inlineStr">
        <is>
          <t>Delivery Method:</t>
        </is>
      </c>
      <c r="B25" s="1162" t="n"/>
      <c r="C25" s="1163" t="n"/>
      <c r="D25" s="1629" t="inlineStr">
        <is>
          <t> </t>
        </is>
      </c>
      <c r="E25" s="1162" t="n"/>
      <c r="F25" s="1162" t="n"/>
      <c r="G25" s="1163" t="n"/>
      <c r="H25" s="1630" t="inlineStr">
        <is>
          <t>Date :</t>
        </is>
      </c>
      <c r="I25" s="1632" t="n"/>
      <c r="J25" s="1162" t="n"/>
      <c r="K25" s="1163" t="n"/>
    </row>
    <row r="26" ht="14.9" customHeight="1" s="1158">
      <c r="A26" s="1633" t="n"/>
      <c r="B26" s="1162" t="n"/>
      <c r="C26" s="1163" t="n"/>
      <c r="D26" s="1629" t="n"/>
      <c r="E26" s="1162" t="n"/>
      <c r="F26" s="1162" t="n"/>
      <c r="G26" s="1163" t="n"/>
      <c r="H26" s="1630" t="inlineStr">
        <is>
          <t>Date :</t>
        </is>
      </c>
      <c r="I26" s="1632" t="n"/>
      <c r="J26" s="1162" t="n"/>
      <c r="K26" s="1163" t="n"/>
    </row>
    <row r="27" ht="12" customHeight="1" s="1158">
      <c r="A27" s="1634" t="n"/>
    </row>
    <row r="28" ht="14.25" customHeight="1" s="1158">
      <c r="A28" s="1635" t="inlineStr">
        <is>
          <t>© ©2015 WEATHERFORD ALL RIGHTS RESERVED PROPRIETARY AND CONFIDENTIAL.</t>
        </is>
      </c>
    </row>
    <row r="29" ht="42.75" customHeight="1" s="1158">
      <c r="A29" s="163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9">
    <mergeCell ref="A25:C25"/>
    <mergeCell ref="F11:G11"/>
    <mergeCell ref="F10:G10"/>
    <mergeCell ref="F16:G16"/>
    <mergeCell ref="D25:G25"/>
    <mergeCell ref="J1:K1"/>
    <mergeCell ref="B15:E15"/>
    <mergeCell ref="D24:G24"/>
    <mergeCell ref="A1:B1"/>
    <mergeCell ref="H17:J17"/>
    <mergeCell ref="H11:J11"/>
    <mergeCell ref="A6:B6"/>
    <mergeCell ref="A26:C26"/>
    <mergeCell ref="H5:K5"/>
    <mergeCell ref="H16:J16"/>
    <mergeCell ref="D23:G23"/>
    <mergeCell ref="F12:G12"/>
    <mergeCell ref="I24:K24"/>
    <mergeCell ref="D26:G26"/>
    <mergeCell ref="F15:G15"/>
    <mergeCell ref="A23:C23"/>
    <mergeCell ref="A7:K7"/>
    <mergeCell ref="H13:J13"/>
    <mergeCell ref="I23:K23"/>
    <mergeCell ref="B16:E16"/>
    <mergeCell ref="F18:G18"/>
    <mergeCell ref="F9:K9"/>
    <mergeCell ref="H12:J12"/>
    <mergeCell ref="A3:B3"/>
    <mergeCell ref="F17:G17"/>
    <mergeCell ref="A27:K27"/>
    <mergeCell ref="F8:G8"/>
    <mergeCell ref="H15:J15"/>
    <mergeCell ref="B18:E18"/>
    <mergeCell ref="A2:B2"/>
    <mergeCell ref="H2:I2"/>
    <mergeCell ref="C2:D2"/>
    <mergeCell ref="H18:J18"/>
    <mergeCell ref="H14:J14"/>
    <mergeCell ref="E2:F2"/>
    <mergeCell ref="B12:E12"/>
    <mergeCell ref="A21:K21"/>
    <mergeCell ref="A5:B5"/>
    <mergeCell ref="H8:J8"/>
    <mergeCell ref="H6:K6"/>
    <mergeCell ref="B11:E11"/>
    <mergeCell ref="F13:G13"/>
    <mergeCell ref="A24:C24"/>
    <mergeCell ref="C6:E6"/>
    <mergeCell ref="H3:I3"/>
    <mergeCell ref="D1:I1"/>
    <mergeCell ref="B14:E14"/>
    <mergeCell ref="B17:E17"/>
    <mergeCell ref="A22:K22"/>
    <mergeCell ref="H10:J10"/>
    <mergeCell ref="B8:E8"/>
    <mergeCell ref="C5:E5"/>
    <mergeCell ref="A20:K20"/>
    <mergeCell ref="B13:E13"/>
    <mergeCell ref="A29:K29"/>
    <mergeCell ref="A19:K19"/>
    <mergeCell ref="I26:K26"/>
    <mergeCell ref="F14:G14"/>
    <mergeCell ref="A28:K28"/>
    <mergeCell ref="B10:E10"/>
    <mergeCell ref="C3:D3"/>
    <mergeCell ref="A9:E9"/>
    <mergeCell ref="E3:F3"/>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31" colorId="64" zoomScale="100" zoomScaleNormal="72" zoomScalePageLayoutView="100" workbookViewId="0">
      <selection pane="topLeft" activeCell="I29" activeCellId="0" sqref="A11:S58"/>
    </sheetView>
  </sheetViews>
  <sheetFormatPr baseColWidth="8" defaultColWidth="8.890625" defaultRowHeight="12.75" customHeight="0" zeroHeight="0" outlineLevelRow="0"/>
  <cols>
    <col width="4.89" customWidth="1" style="1637" min="1" max="1"/>
    <col width="8.890000000000001" customWidth="1" style="1638" min="2" max="2"/>
    <col width="8.890000000000001" customWidth="1" style="1637" min="3" max="3"/>
    <col width="13.89" customWidth="1" style="1637" min="4" max="4"/>
    <col width="8.890000000000001" customWidth="1" style="1637" min="5" max="5"/>
    <col width="13.44" customWidth="1" style="1637" min="6" max="6"/>
    <col width="8.890000000000001" customWidth="1" style="1637" min="7" max="8"/>
    <col width="14" customWidth="1" style="1637" min="9" max="9"/>
    <col width="16.45" customWidth="1" style="1637" min="10" max="10"/>
    <col width="10.11" customWidth="1" style="1637" min="11" max="11"/>
    <col width="12.11" customWidth="1" style="1637" min="12" max="12"/>
    <col width="16.55" customWidth="1" style="1637" min="13" max="14"/>
    <col width="8.890000000000001" customWidth="1" style="1637" min="15" max="259"/>
    <col width="13.89" customWidth="1" style="1637" min="260" max="260"/>
    <col width="8.890000000000001" customWidth="1" style="1637" min="261" max="261"/>
    <col width="13.44" customWidth="1" style="1637" min="262" max="262"/>
    <col width="8.890000000000001" customWidth="1" style="1637" min="263" max="264"/>
    <col width="12.55" customWidth="1" style="1637" min="265" max="265"/>
    <col width="16.45" customWidth="1" style="1637" min="266" max="266"/>
    <col width="10.11" customWidth="1" style="1637" min="267" max="267"/>
    <col width="9.109999999999999" customWidth="1" style="1637" min="268" max="268"/>
    <col width="11.55" customWidth="1" style="1637" min="269" max="269"/>
    <col width="8.890000000000001" customWidth="1" style="1637" min="270" max="515"/>
    <col width="13.89" customWidth="1" style="1637" min="516" max="516"/>
    <col width="8.890000000000001" customWidth="1" style="1637" min="517" max="517"/>
    <col width="13.44" customWidth="1" style="1637" min="518" max="518"/>
    <col width="8.890000000000001" customWidth="1" style="1637" min="519" max="520"/>
    <col width="12.55" customWidth="1" style="1637" min="521" max="521"/>
    <col width="16.45" customWidth="1" style="1637" min="522" max="522"/>
    <col width="10.11" customWidth="1" style="1637" min="523" max="523"/>
    <col width="9.109999999999999" customWidth="1" style="1637" min="524" max="524"/>
    <col width="11.55" customWidth="1" style="1637" min="525" max="525"/>
    <col width="8.890000000000001" customWidth="1" style="1637" min="526" max="771"/>
    <col width="13.89" customWidth="1" style="1637" min="772" max="772"/>
    <col width="8.890000000000001" customWidth="1" style="1637" min="773" max="773"/>
    <col width="13.44" customWidth="1" style="1637" min="774" max="774"/>
    <col width="8.890000000000001" customWidth="1" style="1637" min="775" max="776"/>
    <col width="12.55" customWidth="1" style="1637" min="777" max="777"/>
    <col width="16.45" customWidth="1" style="1637" min="778" max="778"/>
    <col width="10.11" customWidth="1" style="1637" min="779" max="779"/>
    <col width="9.109999999999999" customWidth="1" style="1637" min="780" max="780"/>
    <col width="11.55" customWidth="1" style="1637" min="781" max="781"/>
    <col width="8.890000000000001" customWidth="1" style="1637" min="782" max="1027"/>
    <col width="13.89" customWidth="1" style="1637" min="1028" max="1028"/>
    <col width="8.890000000000001" customWidth="1" style="1637" min="1029" max="1029"/>
    <col width="13.44" customWidth="1" style="1637" min="1030" max="1030"/>
    <col width="8.890000000000001" customWidth="1" style="1637" min="1031" max="1032"/>
    <col width="12.55" customWidth="1" style="1637" min="1033" max="1033"/>
    <col width="16.45" customWidth="1" style="1637" min="1034" max="1034"/>
    <col width="10.11" customWidth="1" style="1637" min="1035" max="1035"/>
    <col width="9.109999999999999" customWidth="1" style="1637" min="1036" max="1036"/>
    <col width="11.55" customWidth="1" style="1637" min="1037" max="1037"/>
    <col width="8.890000000000001" customWidth="1" style="1637" min="1038" max="1283"/>
    <col width="13.89" customWidth="1" style="1637" min="1284" max="1284"/>
    <col width="8.890000000000001" customWidth="1" style="1637" min="1285" max="1285"/>
    <col width="13.44" customWidth="1" style="1637" min="1286" max="1286"/>
    <col width="8.890000000000001" customWidth="1" style="1637" min="1287" max="1288"/>
    <col width="12.55" customWidth="1" style="1637" min="1289" max="1289"/>
    <col width="16.45" customWidth="1" style="1637" min="1290" max="1290"/>
    <col width="10.11" customWidth="1" style="1637" min="1291" max="1291"/>
    <col width="9.109999999999999" customWidth="1" style="1637" min="1292" max="1292"/>
    <col width="11.55" customWidth="1" style="1637" min="1293" max="1293"/>
    <col width="8.890000000000001" customWidth="1" style="1637" min="1294" max="1539"/>
    <col width="13.89" customWidth="1" style="1637" min="1540" max="1540"/>
    <col width="8.890000000000001" customWidth="1" style="1637" min="1541" max="1541"/>
    <col width="13.44" customWidth="1" style="1637" min="1542" max="1542"/>
    <col width="8.890000000000001" customWidth="1" style="1637" min="1543" max="1544"/>
    <col width="12.55" customWidth="1" style="1637" min="1545" max="1545"/>
    <col width="16.45" customWidth="1" style="1637" min="1546" max="1546"/>
    <col width="10.11" customWidth="1" style="1637" min="1547" max="1547"/>
    <col width="9.109999999999999" customWidth="1" style="1637" min="1548" max="1548"/>
    <col width="11.55" customWidth="1" style="1637" min="1549" max="1549"/>
    <col width="8.890000000000001" customWidth="1" style="1637" min="1550" max="1795"/>
    <col width="13.89" customWidth="1" style="1637" min="1796" max="1796"/>
    <col width="8.890000000000001" customWidth="1" style="1637" min="1797" max="1797"/>
    <col width="13.44" customWidth="1" style="1637" min="1798" max="1798"/>
    <col width="8.890000000000001" customWidth="1" style="1637" min="1799" max="1800"/>
    <col width="12.55" customWidth="1" style="1637" min="1801" max="1801"/>
    <col width="16.45" customWidth="1" style="1637" min="1802" max="1802"/>
    <col width="10.11" customWidth="1" style="1637" min="1803" max="1803"/>
    <col width="9.109999999999999" customWidth="1" style="1637" min="1804" max="1804"/>
    <col width="11.55" customWidth="1" style="1637" min="1805" max="1805"/>
    <col width="8.890000000000001" customWidth="1" style="1637" min="1806" max="2051"/>
    <col width="13.89" customWidth="1" style="1637" min="2052" max="2052"/>
    <col width="8.890000000000001" customWidth="1" style="1637" min="2053" max="2053"/>
    <col width="13.44" customWidth="1" style="1637" min="2054" max="2054"/>
    <col width="8.890000000000001" customWidth="1" style="1637" min="2055" max="2056"/>
    <col width="12.55" customWidth="1" style="1637" min="2057" max="2057"/>
    <col width="16.45" customWidth="1" style="1637" min="2058" max="2058"/>
    <col width="10.11" customWidth="1" style="1637" min="2059" max="2059"/>
    <col width="9.109999999999999" customWidth="1" style="1637" min="2060" max="2060"/>
    <col width="11.55" customWidth="1" style="1637" min="2061" max="2061"/>
    <col width="8.890000000000001" customWidth="1" style="1637" min="2062" max="2307"/>
    <col width="13.89" customWidth="1" style="1637" min="2308" max="2308"/>
    <col width="8.890000000000001" customWidth="1" style="1637" min="2309" max="2309"/>
    <col width="13.44" customWidth="1" style="1637" min="2310" max="2310"/>
    <col width="8.890000000000001" customWidth="1" style="1637" min="2311" max="2312"/>
    <col width="12.55" customWidth="1" style="1637" min="2313" max="2313"/>
    <col width="16.45" customWidth="1" style="1637" min="2314" max="2314"/>
    <col width="10.11" customWidth="1" style="1637" min="2315" max="2315"/>
    <col width="9.109999999999999" customWidth="1" style="1637" min="2316" max="2316"/>
    <col width="11.55" customWidth="1" style="1637" min="2317" max="2317"/>
    <col width="8.890000000000001" customWidth="1" style="1637" min="2318" max="2563"/>
    <col width="13.89" customWidth="1" style="1637" min="2564" max="2564"/>
    <col width="8.890000000000001" customWidth="1" style="1637" min="2565" max="2565"/>
    <col width="13.44" customWidth="1" style="1637" min="2566" max="2566"/>
    <col width="8.890000000000001" customWidth="1" style="1637" min="2567" max="2568"/>
    <col width="12.55" customWidth="1" style="1637" min="2569" max="2569"/>
    <col width="16.45" customWidth="1" style="1637" min="2570" max="2570"/>
    <col width="10.11" customWidth="1" style="1637" min="2571" max="2571"/>
    <col width="9.109999999999999" customWidth="1" style="1637" min="2572" max="2572"/>
    <col width="11.55" customWidth="1" style="1637" min="2573" max="2573"/>
    <col width="8.890000000000001" customWidth="1" style="1637" min="2574" max="2819"/>
    <col width="13.89" customWidth="1" style="1637" min="2820" max="2820"/>
    <col width="8.890000000000001" customWidth="1" style="1637" min="2821" max="2821"/>
    <col width="13.44" customWidth="1" style="1637" min="2822" max="2822"/>
    <col width="8.890000000000001" customWidth="1" style="1637" min="2823" max="2824"/>
    <col width="12.55" customWidth="1" style="1637" min="2825" max="2825"/>
    <col width="16.45" customWidth="1" style="1637" min="2826" max="2826"/>
    <col width="10.11" customWidth="1" style="1637" min="2827" max="2827"/>
    <col width="9.109999999999999" customWidth="1" style="1637" min="2828" max="2828"/>
    <col width="11.55" customWidth="1" style="1637" min="2829" max="2829"/>
    <col width="8.890000000000001" customWidth="1" style="1637" min="2830" max="3075"/>
    <col width="13.89" customWidth="1" style="1637" min="3076" max="3076"/>
    <col width="8.890000000000001" customWidth="1" style="1637" min="3077" max="3077"/>
    <col width="13.44" customWidth="1" style="1637" min="3078" max="3078"/>
    <col width="8.890000000000001" customWidth="1" style="1637" min="3079" max="3080"/>
    <col width="12.55" customWidth="1" style="1637" min="3081" max="3081"/>
    <col width="16.45" customWidth="1" style="1637" min="3082" max="3082"/>
    <col width="10.11" customWidth="1" style="1637" min="3083" max="3083"/>
    <col width="9.109999999999999" customWidth="1" style="1637" min="3084" max="3084"/>
    <col width="11.55" customWidth="1" style="1637" min="3085" max="3085"/>
    <col width="8.890000000000001" customWidth="1" style="1637" min="3086" max="3331"/>
    <col width="13.89" customWidth="1" style="1637" min="3332" max="3332"/>
    <col width="8.890000000000001" customWidth="1" style="1637" min="3333" max="3333"/>
    <col width="13.44" customWidth="1" style="1637" min="3334" max="3334"/>
    <col width="8.890000000000001" customWidth="1" style="1637" min="3335" max="3336"/>
    <col width="12.55" customWidth="1" style="1637" min="3337" max="3337"/>
    <col width="16.45" customWidth="1" style="1637" min="3338" max="3338"/>
    <col width="10.11" customWidth="1" style="1637" min="3339" max="3339"/>
    <col width="9.109999999999999" customWidth="1" style="1637" min="3340" max="3340"/>
    <col width="11.55" customWidth="1" style="1637" min="3341" max="3341"/>
    <col width="8.890000000000001" customWidth="1" style="1637" min="3342" max="3587"/>
    <col width="13.89" customWidth="1" style="1637" min="3588" max="3588"/>
    <col width="8.890000000000001" customWidth="1" style="1637" min="3589" max="3589"/>
    <col width="13.44" customWidth="1" style="1637" min="3590" max="3590"/>
    <col width="8.890000000000001" customWidth="1" style="1637" min="3591" max="3592"/>
    <col width="12.55" customWidth="1" style="1637" min="3593" max="3593"/>
    <col width="16.45" customWidth="1" style="1637" min="3594" max="3594"/>
    <col width="10.11" customWidth="1" style="1637" min="3595" max="3595"/>
    <col width="9.109999999999999" customWidth="1" style="1637" min="3596" max="3596"/>
    <col width="11.55" customWidth="1" style="1637" min="3597" max="3597"/>
    <col width="8.890000000000001" customWidth="1" style="1637" min="3598" max="3843"/>
    <col width="13.89" customWidth="1" style="1637" min="3844" max="3844"/>
    <col width="8.890000000000001" customWidth="1" style="1637" min="3845" max="3845"/>
    <col width="13.44" customWidth="1" style="1637" min="3846" max="3846"/>
    <col width="8.890000000000001" customWidth="1" style="1637" min="3847" max="3848"/>
    <col width="12.55" customWidth="1" style="1637" min="3849" max="3849"/>
    <col width="16.45" customWidth="1" style="1637" min="3850" max="3850"/>
    <col width="10.11" customWidth="1" style="1637" min="3851" max="3851"/>
    <col width="9.109999999999999" customWidth="1" style="1637" min="3852" max="3852"/>
    <col width="11.55" customWidth="1" style="1637" min="3853" max="3853"/>
    <col width="8.890000000000001" customWidth="1" style="1637" min="3854" max="4099"/>
    <col width="13.89" customWidth="1" style="1637" min="4100" max="4100"/>
    <col width="8.890000000000001" customWidth="1" style="1637" min="4101" max="4101"/>
    <col width="13.44" customWidth="1" style="1637" min="4102" max="4102"/>
    <col width="8.890000000000001" customWidth="1" style="1637" min="4103" max="4104"/>
    <col width="12.55" customWidth="1" style="1637" min="4105" max="4105"/>
    <col width="16.45" customWidth="1" style="1637" min="4106" max="4106"/>
    <col width="10.11" customWidth="1" style="1637" min="4107" max="4107"/>
    <col width="9.109999999999999" customWidth="1" style="1637" min="4108" max="4108"/>
    <col width="11.55" customWidth="1" style="1637" min="4109" max="4109"/>
    <col width="8.890000000000001" customWidth="1" style="1637" min="4110" max="4355"/>
    <col width="13.89" customWidth="1" style="1637" min="4356" max="4356"/>
    <col width="8.890000000000001" customWidth="1" style="1637" min="4357" max="4357"/>
    <col width="13.44" customWidth="1" style="1637" min="4358" max="4358"/>
    <col width="8.890000000000001" customWidth="1" style="1637" min="4359" max="4360"/>
    <col width="12.55" customWidth="1" style="1637" min="4361" max="4361"/>
    <col width="16.45" customWidth="1" style="1637" min="4362" max="4362"/>
    <col width="10.11" customWidth="1" style="1637" min="4363" max="4363"/>
    <col width="9.109999999999999" customWidth="1" style="1637" min="4364" max="4364"/>
    <col width="11.55" customWidth="1" style="1637" min="4365" max="4365"/>
    <col width="8.890000000000001" customWidth="1" style="1637" min="4366" max="4611"/>
    <col width="13.89" customWidth="1" style="1637" min="4612" max="4612"/>
    <col width="8.890000000000001" customWidth="1" style="1637" min="4613" max="4613"/>
    <col width="13.44" customWidth="1" style="1637" min="4614" max="4614"/>
    <col width="8.890000000000001" customWidth="1" style="1637" min="4615" max="4616"/>
    <col width="12.55" customWidth="1" style="1637" min="4617" max="4617"/>
    <col width="16.45" customWidth="1" style="1637" min="4618" max="4618"/>
    <col width="10.11" customWidth="1" style="1637" min="4619" max="4619"/>
    <col width="9.109999999999999" customWidth="1" style="1637" min="4620" max="4620"/>
    <col width="11.55" customWidth="1" style="1637" min="4621" max="4621"/>
    <col width="8.890000000000001" customWidth="1" style="1637" min="4622" max="4867"/>
    <col width="13.89" customWidth="1" style="1637" min="4868" max="4868"/>
    <col width="8.890000000000001" customWidth="1" style="1637" min="4869" max="4869"/>
    <col width="13.44" customWidth="1" style="1637" min="4870" max="4870"/>
    <col width="8.890000000000001" customWidth="1" style="1637" min="4871" max="4872"/>
    <col width="12.55" customWidth="1" style="1637" min="4873" max="4873"/>
    <col width="16.45" customWidth="1" style="1637" min="4874" max="4874"/>
    <col width="10.11" customWidth="1" style="1637" min="4875" max="4875"/>
    <col width="9.109999999999999" customWidth="1" style="1637" min="4876" max="4876"/>
    <col width="11.55" customWidth="1" style="1637" min="4877" max="4877"/>
    <col width="8.890000000000001" customWidth="1" style="1637" min="4878" max="5123"/>
    <col width="13.89" customWidth="1" style="1637" min="5124" max="5124"/>
    <col width="8.890000000000001" customWidth="1" style="1637" min="5125" max="5125"/>
    <col width="13.44" customWidth="1" style="1637" min="5126" max="5126"/>
    <col width="8.890000000000001" customWidth="1" style="1637" min="5127" max="5128"/>
    <col width="12.55" customWidth="1" style="1637" min="5129" max="5129"/>
    <col width="16.45" customWidth="1" style="1637" min="5130" max="5130"/>
    <col width="10.11" customWidth="1" style="1637" min="5131" max="5131"/>
    <col width="9.109999999999999" customWidth="1" style="1637" min="5132" max="5132"/>
    <col width="11.55" customWidth="1" style="1637" min="5133" max="5133"/>
    <col width="8.890000000000001" customWidth="1" style="1637" min="5134" max="5379"/>
    <col width="13.89" customWidth="1" style="1637" min="5380" max="5380"/>
    <col width="8.890000000000001" customWidth="1" style="1637" min="5381" max="5381"/>
    <col width="13.44" customWidth="1" style="1637" min="5382" max="5382"/>
    <col width="8.890000000000001" customWidth="1" style="1637" min="5383" max="5384"/>
    <col width="12.55" customWidth="1" style="1637" min="5385" max="5385"/>
    <col width="16.45" customWidth="1" style="1637" min="5386" max="5386"/>
    <col width="10.11" customWidth="1" style="1637" min="5387" max="5387"/>
    <col width="9.109999999999999" customWidth="1" style="1637" min="5388" max="5388"/>
    <col width="11.55" customWidth="1" style="1637" min="5389" max="5389"/>
    <col width="8.890000000000001" customWidth="1" style="1637" min="5390" max="5635"/>
    <col width="13.89" customWidth="1" style="1637" min="5636" max="5636"/>
    <col width="8.890000000000001" customWidth="1" style="1637" min="5637" max="5637"/>
    <col width="13.44" customWidth="1" style="1637" min="5638" max="5638"/>
    <col width="8.890000000000001" customWidth="1" style="1637" min="5639" max="5640"/>
    <col width="12.55" customWidth="1" style="1637" min="5641" max="5641"/>
    <col width="16.45" customWidth="1" style="1637" min="5642" max="5642"/>
    <col width="10.11" customWidth="1" style="1637" min="5643" max="5643"/>
    <col width="9.109999999999999" customWidth="1" style="1637" min="5644" max="5644"/>
    <col width="11.55" customWidth="1" style="1637" min="5645" max="5645"/>
    <col width="8.890000000000001" customWidth="1" style="1637" min="5646" max="5891"/>
    <col width="13.89" customWidth="1" style="1637" min="5892" max="5892"/>
    <col width="8.890000000000001" customWidth="1" style="1637" min="5893" max="5893"/>
    <col width="13.44" customWidth="1" style="1637" min="5894" max="5894"/>
    <col width="8.890000000000001" customWidth="1" style="1637" min="5895" max="5896"/>
    <col width="12.55" customWidth="1" style="1637" min="5897" max="5897"/>
    <col width="16.45" customWidth="1" style="1637" min="5898" max="5898"/>
    <col width="10.11" customWidth="1" style="1637" min="5899" max="5899"/>
    <col width="9.109999999999999" customWidth="1" style="1637" min="5900" max="5900"/>
    <col width="11.55" customWidth="1" style="1637" min="5901" max="5901"/>
    <col width="8.890000000000001" customWidth="1" style="1637" min="5902" max="6147"/>
    <col width="13.89" customWidth="1" style="1637" min="6148" max="6148"/>
    <col width="8.890000000000001" customWidth="1" style="1637" min="6149" max="6149"/>
    <col width="13.44" customWidth="1" style="1637" min="6150" max="6150"/>
    <col width="8.890000000000001" customWidth="1" style="1637" min="6151" max="6152"/>
    <col width="12.55" customWidth="1" style="1637" min="6153" max="6153"/>
    <col width="16.45" customWidth="1" style="1637" min="6154" max="6154"/>
    <col width="10.11" customWidth="1" style="1637" min="6155" max="6155"/>
    <col width="9.109999999999999" customWidth="1" style="1637" min="6156" max="6156"/>
    <col width="11.55" customWidth="1" style="1637" min="6157" max="6157"/>
    <col width="8.890000000000001" customWidth="1" style="1637" min="6158" max="6403"/>
    <col width="13.89" customWidth="1" style="1637" min="6404" max="6404"/>
    <col width="8.890000000000001" customWidth="1" style="1637" min="6405" max="6405"/>
    <col width="13.44" customWidth="1" style="1637" min="6406" max="6406"/>
    <col width="8.890000000000001" customWidth="1" style="1637" min="6407" max="6408"/>
    <col width="12.55" customWidth="1" style="1637" min="6409" max="6409"/>
    <col width="16.45" customWidth="1" style="1637" min="6410" max="6410"/>
    <col width="10.11" customWidth="1" style="1637" min="6411" max="6411"/>
    <col width="9.109999999999999" customWidth="1" style="1637" min="6412" max="6412"/>
    <col width="11.55" customWidth="1" style="1637" min="6413" max="6413"/>
    <col width="8.890000000000001" customWidth="1" style="1637" min="6414" max="6659"/>
    <col width="13.89" customWidth="1" style="1637" min="6660" max="6660"/>
    <col width="8.890000000000001" customWidth="1" style="1637" min="6661" max="6661"/>
    <col width="13.44" customWidth="1" style="1637" min="6662" max="6662"/>
    <col width="8.890000000000001" customWidth="1" style="1637" min="6663" max="6664"/>
    <col width="12.55" customWidth="1" style="1637" min="6665" max="6665"/>
    <col width="16.45" customWidth="1" style="1637" min="6666" max="6666"/>
    <col width="10.11" customWidth="1" style="1637" min="6667" max="6667"/>
    <col width="9.109999999999999" customWidth="1" style="1637" min="6668" max="6668"/>
    <col width="11.55" customWidth="1" style="1637" min="6669" max="6669"/>
    <col width="8.890000000000001" customWidth="1" style="1637" min="6670" max="6915"/>
    <col width="13.89" customWidth="1" style="1637" min="6916" max="6916"/>
    <col width="8.890000000000001" customWidth="1" style="1637" min="6917" max="6917"/>
    <col width="13.44" customWidth="1" style="1637" min="6918" max="6918"/>
    <col width="8.890000000000001" customWidth="1" style="1637" min="6919" max="6920"/>
    <col width="12.55" customWidth="1" style="1637" min="6921" max="6921"/>
    <col width="16.45" customWidth="1" style="1637" min="6922" max="6922"/>
    <col width="10.11" customWidth="1" style="1637" min="6923" max="6923"/>
    <col width="9.109999999999999" customWidth="1" style="1637" min="6924" max="6924"/>
    <col width="11.55" customWidth="1" style="1637" min="6925" max="6925"/>
    <col width="8.890000000000001" customWidth="1" style="1637" min="6926" max="7171"/>
    <col width="13.89" customWidth="1" style="1637" min="7172" max="7172"/>
    <col width="8.890000000000001" customWidth="1" style="1637" min="7173" max="7173"/>
    <col width="13.44" customWidth="1" style="1637" min="7174" max="7174"/>
    <col width="8.890000000000001" customWidth="1" style="1637" min="7175" max="7176"/>
    <col width="12.55" customWidth="1" style="1637" min="7177" max="7177"/>
    <col width="16.45" customWidth="1" style="1637" min="7178" max="7178"/>
    <col width="10.11" customWidth="1" style="1637" min="7179" max="7179"/>
    <col width="9.109999999999999" customWidth="1" style="1637" min="7180" max="7180"/>
    <col width="11.55" customWidth="1" style="1637" min="7181" max="7181"/>
    <col width="8.890000000000001" customWidth="1" style="1637" min="7182" max="7427"/>
    <col width="13.89" customWidth="1" style="1637" min="7428" max="7428"/>
    <col width="8.890000000000001" customWidth="1" style="1637" min="7429" max="7429"/>
    <col width="13.44" customWidth="1" style="1637" min="7430" max="7430"/>
    <col width="8.890000000000001" customWidth="1" style="1637" min="7431" max="7432"/>
    <col width="12.55" customWidth="1" style="1637" min="7433" max="7433"/>
    <col width="16.45" customWidth="1" style="1637" min="7434" max="7434"/>
    <col width="10.11" customWidth="1" style="1637" min="7435" max="7435"/>
    <col width="9.109999999999999" customWidth="1" style="1637" min="7436" max="7436"/>
    <col width="11.55" customWidth="1" style="1637" min="7437" max="7437"/>
    <col width="8.890000000000001" customWidth="1" style="1637" min="7438" max="7683"/>
    <col width="13.89" customWidth="1" style="1637" min="7684" max="7684"/>
    <col width="8.890000000000001" customWidth="1" style="1637" min="7685" max="7685"/>
    <col width="13.44" customWidth="1" style="1637" min="7686" max="7686"/>
    <col width="8.890000000000001" customWidth="1" style="1637" min="7687" max="7688"/>
    <col width="12.55" customWidth="1" style="1637" min="7689" max="7689"/>
    <col width="16.45" customWidth="1" style="1637" min="7690" max="7690"/>
    <col width="10.11" customWidth="1" style="1637" min="7691" max="7691"/>
    <col width="9.109999999999999" customWidth="1" style="1637" min="7692" max="7692"/>
    <col width="11.55" customWidth="1" style="1637" min="7693" max="7693"/>
    <col width="8.890000000000001" customWidth="1" style="1637" min="7694" max="7939"/>
    <col width="13.89" customWidth="1" style="1637" min="7940" max="7940"/>
    <col width="8.890000000000001" customWidth="1" style="1637" min="7941" max="7941"/>
    <col width="13.44" customWidth="1" style="1637" min="7942" max="7942"/>
    <col width="8.890000000000001" customWidth="1" style="1637" min="7943" max="7944"/>
    <col width="12.55" customWidth="1" style="1637" min="7945" max="7945"/>
    <col width="16.45" customWidth="1" style="1637" min="7946" max="7946"/>
    <col width="10.11" customWidth="1" style="1637" min="7947" max="7947"/>
    <col width="9.109999999999999" customWidth="1" style="1637" min="7948" max="7948"/>
    <col width="11.55" customWidth="1" style="1637" min="7949" max="7949"/>
    <col width="8.890000000000001" customWidth="1" style="1637" min="7950" max="8195"/>
    <col width="13.89" customWidth="1" style="1637" min="8196" max="8196"/>
    <col width="8.890000000000001" customWidth="1" style="1637" min="8197" max="8197"/>
    <col width="13.44" customWidth="1" style="1637" min="8198" max="8198"/>
    <col width="8.890000000000001" customWidth="1" style="1637" min="8199" max="8200"/>
    <col width="12.55" customWidth="1" style="1637" min="8201" max="8201"/>
    <col width="16.45" customWidth="1" style="1637" min="8202" max="8202"/>
    <col width="10.11" customWidth="1" style="1637" min="8203" max="8203"/>
    <col width="9.109999999999999" customWidth="1" style="1637" min="8204" max="8204"/>
    <col width="11.55" customWidth="1" style="1637" min="8205" max="8205"/>
    <col width="8.890000000000001" customWidth="1" style="1637" min="8206" max="8451"/>
    <col width="13.89" customWidth="1" style="1637" min="8452" max="8452"/>
    <col width="8.890000000000001" customWidth="1" style="1637" min="8453" max="8453"/>
    <col width="13.44" customWidth="1" style="1637" min="8454" max="8454"/>
    <col width="8.890000000000001" customWidth="1" style="1637" min="8455" max="8456"/>
    <col width="12.55" customWidth="1" style="1637" min="8457" max="8457"/>
    <col width="16.45" customWidth="1" style="1637" min="8458" max="8458"/>
    <col width="10.11" customWidth="1" style="1637" min="8459" max="8459"/>
    <col width="9.109999999999999" customWidth="1" style="1637" min="8460" max="8460"/>
    <col width="11.55" customWidth="1" style="1637" min="8461" max="8461"/>
    <col width="8.890000000000001" customWidth="1" style="1637" min="8462" max="8707"/>
    <col width="13.89" customWidth="1" style="1637" min="8708" max="8708"/>
    <col width="8.890000000000001" customWidth="1" style="1637" min="8709" max="8709"/>
    <col width="13.44" customWidth="1" style="1637" min="8710" max="8710"/>
    <col width="8.890000000000001" customWidth="1" style="1637" min="8711" max="8712"/>
    <col width="12.55" customWidth="1" style="1637" min="8713" max="8713"/>
    <col width="16.45" customWidth="1" style="1637" min="8714" max="8714"/>
    <col width="10.11" customWidth="1" style="1637" min="8715" max="8715"/>
    <col width="9.109999999999999" customWidth="1" style="1637" min="8716" max="8716"/>
    <col width="11.55" customWidth="1" style="1637" min="8717" max="8717"/>
    <col width="8.890000000000001" customWidth="1" style="1637" min="8718" max="8963"/>
    <col width="13.89" customWidth="1" style="1637" min="8964" max="8964"/>
    <col width="8.890000000000001" customWidth="1" style="1637" min="8965" max="8965"/>
    <col width="13.44" customWidth="1" style="1637" min="8966" max="8966"/>
    <col width="8.890000000000001" customWidth="1" style="1637" min="8967" max="8968"/>
    <col width="12.55" customWidth="1" style="1637" min="8969" max="8969"/>
    <col width="16.45" customWidth="1" style="1637" min="8970" max="8970"/>
    <col width="10.11" customWidth="1" style="1637" min="8971" max="8971"/>
    <col width="9.109999999999999" customWidth="1" style="1637" min="8972" max="8972"/>
    <col width="11.55" customWidth="1" style="1637" min="8973" max="8973"/>
    <col width="8.890000000000001" customWidth="1" style="1637" min="8974" max="9219"/>
    <col width="13.89" customWidth="1" style="1637" min="9220" max="9220"/>
    <col width="8.890000000000001" customWidth="1" style="1637" min="9221" max="9221"/>
    <col width="13.44" customWidth="1" style="1637" min="9222" max="9222"/>
    <col width="8.890000000000001" customWidth="1" style="1637" min="9223" max="9224"/>
    <col width="12.55" customWidth="1" style="1637" min="9225" max="9225"/>
    <col width="16.45" customWidth="1" style="1637" min="9226" max="9226"/>
    <col width="10.11" customWidth="1" style="1637" min="9227" max="9227"/>
    <col width="9.109999999999999" customWidth="1" style="1637" min="9228" max="9228"/>
    <col width="11.55" customWidth="1" style="1637" min="9229" max="9229"/>
    <col width="8.890000000000001" customWidth="1" style="1637" min="9230" max="9475"/>
    <col width="13.89" customWidth="1" style="1637" min="9476" max="9476"/>
    <col width="8.890000000000001" customWidth="1" style="1637" min="9477" max="9477"/>
    <col width="13.44" customWidth="1" style="1637" min="9478" max="9478"/>
    <col width="8.890000000000001" customWidth="1" style="1637" min="9479" max="9480"/>
    <col width="12.55" customWidth="1" style="1637" min="9481" max="9481"/>
    <col width="16.45" customWidth="1" style="1637" min="9482" max="9482"/>
    <col width="10.11" customWidth="1" style="1637" min="9483" max="9483"/>
    <col width="9.109999999999999" customWidth="1" style="1637" min="9484" max="9484"/>
    <col width="11.55" customWidth="1" style="1637" min="9485" max="9485"/>
    <col width="8.890000000000001" customWidth="1" style="1637" min="9486" max="9731"/>
    <col width="13.89" customWidth="1" style="1637" min="9732" max="9732"/>
    <col width="8.890000000000001" customWidth="1" style="1637" min="9733" max="9733"/>
    <col width="13.44" customWidth="1" style="1637" min="9734" max="9734"/>
    <col width="8.890000000000001" customWidth="1" style="1637" min="9735" max="9736"/>
    <col width="12.55" customWidth="1" style="1637" min="9737" max="9737"/>
    <col width="16.45" customWidth="1" style="1637" min="9738" max="9738"/>
    <col width="10.11" customWidth="1" style="1637" min="9739" max="9739"/>
    <col width="9.109999999999999" customWidth="1" style="1637" min="9740" max="9740"/>
    <col width="11.55" customWidth="1" style="1637" min="9741" max="9741"/>
    <col width="8.890000000000001" customWidth="1" style="1637" min="9742" max="9987"/>
    <col width="13.89" customWidth="1" style="1637" min="9988" max="9988"/>
    <col width="8.890000000000001" customWidth="1" style="1637" min="9989" max="9989"/>
    <col width="13.44" customWidth="1" style="1637" min="9990" max="9990"/>
    <col width="8.890000000000001" customWidth="1" style="1637" min="9991" max="9992"/>
    <col width="12.55" customWidth="1" style="1637" min="9993" max="9993"/>
    <col width="16.45" customWidth="1" style="1637" min="9994" max="9994"/>
    <col width="10.11" customWidth="1" style="1637" min="9995" max="9995"/>
    <col width="9.109999999999999" customWidth="1" style="1637" min="9996" max="9996"/>
    <col width="11.55" customWidth="1" style="1637" min="9997" max="9997"/>
    <col width="8.890000000000001" customWidth="1" style="1637" min="9998" max="10243"/>
    <col width="13.89" customWidth="1" style="1637" min="10244" max="10244"/>
    <col width="8.890000000000001" customWidth="1" style="1637" min="10245" max="10245"/>
    <col width="13.44" customWidth="1" style="1637" min="10246" max="10246"/>
    <col width="8.890000000000001" customWidth="1" style="1637" min="10247" max="10248"/>
    <col width="12.55" customWidth="1" style="1637" min="10249" max="10249"/>
    <col width="16.45" customWidth="1" style="1637" min="10250" max="10250"/>
    <col width="10.11" customWidth="1" style="1637" min="10251" max="10251"/>
    <col width="9.109999999999999" customWidth="1" style="1637" min="10252" max="10252"/>
    <col width="11.55" customWidth="1" style="1637" min="10253" max="10253"/>
    <col width="8.890000000000001" customWidth="1" style="1637" min="10254" max="10499"/>
    <col width="13.89" customWidth="1" style="1637" min="10500" max="10500"/>
    <col width="8.890000000000001" customWidth="1" style="1637" min="10501" max="10501"/>
    <col width="13.44" customWidth="1" style="1637" min="10502" max="10502"/>
    <col width="8.890000000000001" customWidth="1" style="1637" min="10503" max="10504"/>
    <col width="12.55" customWidth="1" style="1637" min="10505" max="10505"/>
    <col width="16.45" customWidth="1" style="1637" min="10506" max="10506"/>
    <col width="10.11" customWidth="1" style="1637" min="10507" max="10507"/>
    <col width="9.109999999999999" customWidth="1" style="1637" min="10508" max="10508"/>
    <col width="11.55" customWidth="1" style="1637" min="10509" max="10509"/>
    <col width="8.890000000000001" customWidth="1" style="1637" min="10510" max="10755"/>
    <col width="13.89" customWidth="1" style="1637" min="10756" max="10756"/>
    <col width="8.890000000000001" customWidth="1" style="1637" min="10757" max="10757"/>
    <col width="13.44" customWidth="1" style="1637" min="10758" max="10758"/>
    <col width="8.890000000000001" customWidth="1" style="1637" min="10759" max="10760"/>
    <col width="12.55" customWidth="1" style="1637" min="10761" max="10761"/>
    <col width="16.45" customWidth="1" style="1637" min="10762" max="10762"/>
    <col width="10.11" customWidth="1" style="1637" min="10763" max="10763"/>
    <col width="9.109999999999999" customWidth="1" style="1637" min="10764" max="10764"/>
    <col width="11.55" customWidth="1" style="1637" min="10765" max="10765"/>
    <col width="8.890000000000001" customWidth="1" style="1637" min="10766" max="11011"/>
    <col width="13.89" customWidth="1" style="1637" min="11012" max="11012"/>
    <col width="8.890000000000001" customWidth="1" style="1637" min="11013" max="11013"/>
    <col width="13.44" customWidth="1" style="1637" min="11014" max="11014"/>
    <col width="8.890000000000001" customWidth="1" style="1637" min="11015" max="11016"/>
    <col width="12.55" customWidth="1" style="1637" min="11017" max="11017"/>
    <col width="16.45" customWidth="1" style="1637" min="11018" max="11018"/>
    <col width="10.11" customWidth="1" style="1637" min="11019" max="11019"/>
    <col width="9.109999999999999" customWidth="1" style="1637" min="11020" max="11020"/>
    <col width="11.55" customWidth="1" style="1637" min="11021" max="11021"/>
    <col width="8.890000000000001" customWidth="1" style="1637" min="11022" max="11267"/>
    <col width="13.89" customWidth="1" style="1637" min="11268" max="11268"/>
    <col width="8.890000000000001" customWidth="1" style="1637" min="11269" max="11269"/>
    <col width="13.44" customWidth="1" style="1637" min="11270" max="11270"/>
    <col width="8.890000000000001" customWidth="1" style="1637" min="11271" max="11272"/>
    <col width="12.55" customWidth="1" style="1637" min="11273" max="11273"/>
    <col width="16.45" customWidth="1" style="1637" min="11274" max="11274"/>
    <col width="10.11" customWidth="1" style="1637" min="11275" max="11275"/>
    <col width="9.109999999999999" customWidth="1" style="1637" min="11276" max="11276"/>
    <col width="11.55" customWidth="1" style="1637" min="11277" max="11277"/>
    <col width="8.890000000000001" customWidth="1" style="1637" min="11278" max="11523"/>
    <col width="13.89" customWidth="1" style="1637" min="11524" max="11524"/>
    <col width="8.890000000000001" customWidth="1" style="1637" min="11525" max="11525"/>
    <col width="13.44" customWidth="1" style="1637" min="11526" max="11526"/>
    <col width="8.890000000000001" customWidth="1" style="1637" min="11527" max="11528"/>
    <col width="12.55" customWidth="1" style="1637" min="11529" max="11529"/>
    <col width="16.45" customWidth="1" style="1637" min="11530" max="11530"/>
    <col width="10.11" customWidth="1" style="1637" min="11531" max="11531"/>
    <col width="9.109999999999999" customWidth="1" style="1637" min="11532" max="11532"/>
    <col width="11.55" customWidth="1" style="1637" min="11533" max="11533"/>
    <col width="8.890000000000001" customWidth="1" style="1637" min="11534" max="11779"/>
    <col width="13.89" customWidth="1" style="1637" min="11780" max="11780"/>
    <col width="8.890000000000001" customWidth="1" style="1637" min="11781" max="11781"/>
    <col width="13.44" customWidth="1" style="1637" min="11782" max="11782"/>
    <col width="8.890000000000001" customWidth="1" style="1637" min="11783" max="11784"/>
    <col width="12.55" customWidth="1" style="1637" min="11785" max="11785"/>
    <col width="16.45" customWidth="1" style="1637" min="11786" max="11786"/>
    <col width="10.11" customWidth="1" style="1637" min="11787" max="11787"/>
    <col width="9.109999999999999" customWidth="1" style="1637" min="11788" max="11788"/>
    <col width="11.55" customWidth="1" style="1637" min="11789" max="11789"/>
    <col width="8.890000000000001" customWidth="1" style="1637" min="11790" max="12035"/>
    <col width="13.89" customWidth="1" style="1637" min="12036" max="12036"/>
    <col width="8.890000000000001" customWidth="1" style="1637" min="12037" max="12037"/>
    <col width="13.44" customWidth="1" style="1637" min="12038" max="12038"/>
    <col width="8.890000000000001" customWidth="1" style="1637" min="12039" max="12040"/>
    <col width="12.55" customWidth="1" style="1637" min="12041" max="12041"/>
    <col width="16.45" customWidth="1" style="1637" min="12042" max="12042"/>
    <col width="10.11" customWidth="1" style="1637" min="12043" max="12043"/>
    <col width="9.109999999999999" customWidth="1" style="1637" min="12044" max="12044"/>
    <col width="11.55" customWidth="1" style="1637" min="12045" max="12045"/>
    <col width="8.890000000000001" customWidth="1" style="1637" min="12046" max="12291"/>
    <col width="13.89" customWidth="1" style="1637" min="12292" max="12292"/>
    <col width="8.890000000000001" customWidth="1" style="1637" min="12293" max="12293"/>
    <col width="13.44" customWidth="1" style="1637" min="12294" max="12294"/>
    <col width="8.890000000000001" customWidth="1" style="1637" min="12295" max="12296"/>
    <col width="12.55" customWidth="1" style="1637" min="12297" max="12297"/>
    <col width="16.45" customWidth="1" style="1637" min="12298" max="12298"/>
    <col width="10.11" customWidth="1" style="1637" min="12299" max="12299"/>
    <col width="9.109999999999999" customWidth="1" style="1637" min="12300" max="12300"/>
    <col width="11.55" customWidth="1" style="1637" min="12301" max="12301"/>
    <col width="8.890000000000001" customWidth="1" style="1637" min="12302" max="12547"/>
    <col width="13.89" customWidth="1" style="1637" min="12548" max="12548"/>
    <col width="8.890000000000001" customWidth="1" style="1637" min="12549" max="12549"/>
    <col width="13.44" customWidth="1" style="1637" min="12550" max="12550"/>
    <col width="8.890000000000001" customWidth="1" style="1637" min="12551" max="12552"/>
    <col width="12.55" customWidth="1" style="1637" min="12553" max="12553"/>
    <col width="16.45" customWidth="1" style="1637" min="12554" max="12554"/>
    <col width="10.11" customWidth="1" style="1637" min="12555" max="12555"/>
    <col width="9.109999999999999" customWidth="1" style="1637" min="12556" max="12556"/>
    <col width="11.55" customWidth="1" style="1637" min="12557" max="12557"/>
    <col width="8.890000000000001" customWidth="1" style="1637" min="12558" max="12803"/>
    <col width="13.89" customWidth="1" style="1637" min="12804" max="12804"/>
    <col width="8.890000000000001" customWidth="1" style="1637" min="12805" max="12805"/>
    <col width="13.44" customWidth="1" style="1637" min="12806" max="12806"/>
    <col width="8.890000000000001" customWidth="1" style="1637" min="12807" max="12808"/>
    <col width="12.55" customWidth="1" style="1637" min="12809" max="12809"/>
    <col width="16.45" customWidth="1" style="1637" min="12810" max="12810"/>
    <col width="10.11" customWidth="1" style="1637" min="12811" max="12811"/>
    <col width="9.109999999999999" customWidth="1" style="1637" min="12812" max="12812"/>
    <col width="11.55" customWidth="1" style="1637" min="12813" max="12813"/>
    <col width="8.890000000000001" customWidth="1" style="1637" min="12814" max="13059"/>
    <col width="13.89" customWidth="1" style="1637" min="13060" max="13060"/>
    <col width="8.890000000000001" customWidth="1" style="1637" min="13061" max="13061"/>
    <col width="13.44" customWidth="1" style="1637" min="13062" max="13062"/>
    <col width="8.890000000000001" customWidth="1" style="1637" min="13063" max="13064"/>
    <col width="12.55" customWidth="1" style="1637" min="13065" max="13065"/>
    <col width="16.45" customWidth="1" style="1637" min="13066" max="13066"/>
    <col width="10.11" customWidth="1" style="1637" min="13067" max="13067"/>
    <col width="9.109999999999999" customWidth="1" style="1637" min="13068" max="13068"/>
    <col width="11.55" customWidth="1" style="1637" min="13069" max="13069"/>
    <col width="8.890000000000001" customWidth="1" style="1637" min="13070" max="13315"/>
    <col width="13.89" customWidth="1" style="1637" min="13316" max="13316"/>
    <col width="8.890000000000001" customWidth="1" style="1637" min="13317" max="13317"/>
    <col width="13.44" customWidth="1" style="1637" min="13318" max="13318"/>
    <col width="8.890000000000001" customWidth="1" style="1637" min="13319" max="13320"/>
    <col width="12.55" customWidth="1" style="1637" min="13321" max="13321"/>
    <col width="16.45" customWidth="1" style="1637" min="13322" max="13322"/>
    <col width="10.11" customWidth="1" style="1637" min="13323" max="13323"/>
    <col width="9.109999999999999" customWidth="1" style="1637" min="13324" max="13324"/>
    <col width="11.55" customWidth="1" style="1637" min="13325" max="13325"/>
    <col width="8.890000000000001" customWidth="1" style="1637" min="13326" max="13571"/>
    <col width="13.89" customWidth="1" style="1637" min="13572" max="13572"/>
    <col width="8.890000000000001" customWidth="1" style="1637" min="13573" max="13573"/>
    <col width="13.44" customWidth="1" style="1637" min="13574" max="13574"/>
    <col width="8.890000000000001" customWidth="1" style="1637" min="13575" max="13576"/>
    <col width="12.55" customWidth="1" style="1637" min="13577" max="13577"/>
    <col width="16.45" customWidth="1" style="1637" min="13578" max="13578"/>
    <col width="10.11" customWidth="1" style="1637" min="13579" max="13579"/>
    <col width="9.109999999999999" customWidth="1" style="1637" min="13580" max="13580"/>
    <col width="11.55" customWidth="1" style="1637" min="13581" max="13581"/>
    <col width="8.890000000000001" customWidth="1" style="1637" min="13582" max="13827"/>
    <col width="13.89" customWidth="1" style="1637" min="13828" max="13828"/>
    <col width="8.890000000000001" customWidth="1" style="1637" min="13829" max="13829"/>
    <col width="13.44" customWidth="1" style="1637" min="13830" max="13830"/>
    <col width="8.890000000000001" customWidth="1" style="1637" min="13831" max="13832"/>
    <col width="12.55" customWidth="1" style="1637" min="13833" max="13833"/>
    <col width="16.45" customWidth="1" style="1637" min="13834" max="13834"/>
    <col width="10.11" customWidth="1" style="1637" min="13835" max="13835"/>
    <col width="9.109999999999999" customWidth="1" style="1637" min="13836" max="13836"/>
    <col width="11.55" customWidth="1" style="1637" min="13837" max="13837"/>
    <col width="8.890000000000001" customWidth="1" style="1637" min="13838" max="14083"/>
    <col width="13.89" customWidth="1" style="1637" min="14084" max="14084"/>
    <col width="8.890000000000001" customWidth="1" style="1637" min="14085" max="14085"/>
    <col width="13.44" customWidth="1" style="1637" min="14086" max="14086"/>
    <col width="8.890000000000001" customWidth="1" style="1637" min="14087" max="14088"/>
    <col width="12.55" customWidth="1" style="1637" min="14089" max="14089"/>
    <col width="16.45" customWidth="1" style="1637" min="14090" max="14090"/>
    <col width="10.11" customWidth="1" style="1637" min="14091" max="14091"/>
    <col width="9.109999999999999" customWidth="1" style="1637" min="14092" max="14092"/>
    <col width="11.55" customWidth="1" style="1637" min="14093" max="14093"/>
    <col width="8.890000000000001" customWidth="1" style="1637" min="14094" max="14339"/>
    <col width="13.89" customWidth="1" style="1637" min="14340" max="14340"/>
    <col width="8.890000000000001" customWidth="1" style="1637" min="14341" max="14341"/>
    <col width="13.44" customWidth="1" style="1637" min="14342" max="14342"/>
    <col width="8.890000000000001" customWidth="1" style="1637" min="14343" max="14344"/>
    <col width="12.55" customWidth="1" style="1637" min="14345" max="14345"/>
    <col width="16.45" customWidth="1" style="1637" min="14346" max="14346"/>
    <col width="10.11" customWidth="1" style="1637" min="14347" max="14347"/>
    <col width="9.109999999999999" customWidth="1" style="1637" min="14348" max="14348"/>
    <col width="11.55" customWidth="1" style="1637" min="14349" max="14349"/>
    <col width="8.890000000000001" customWidth="1" style="1637" min="14350" max="14595"/>
    <col width="13.89" customWidth="1" style="1637" min="14596" max="14596"/>
    <col width="8.890000000000001" customWidth="1" style="1637" min="14597" max="14597"/>
    <col width="13.44" customWidth="1" style="1637" min="14598" max="14598"/>
    <col width="8.890000000000001" customWidth="1" style="1637" min="14599" max="14600"/>
    <col width="12.55" customWidth="1" style="1637" min="14601" max="14601"/>
    <col width="16.45" customWidth="1" style="1637" min="14602" max="14602"/>
    <col width="10.11" customWidth="1" style="1637" min="14603" max="14603"/>
    <col width="9.109999999999999" customWidth="1" style="1637" min="14604" max="14604"/>
    <col width="11.55" customWidth="1" style="1637" min="14605" max="14605"/>
    <col width="8.890000000000001" customWidth="1" style="1637" min="14606" max="14851"/>
    <col width="13.89" customWidth="1" style="1637" min="14852" max="14852"/>
    <col width="8.890000000000001" customWidth="1" style="1637" min="14853" max="14853"/>
    <col width="13.44" customWidth="1" style="1637" min="14854" max="14854"/>
    <col width="8.890000000000001" customWidth="1" style="1637" min="14855" max="14856"/>
    <col width="12.55" customWidth="1" style="1637" min="14857" max="14857"/>
    <col width="16.45" customWidth="1" style="1637" min="14858" max="14858"/>
    <col width="10.11" customWidth="1" style="1637" min="14859" max="14859"/>
    <col width="9.109999999999999" customWidth="1" style="1637" min="14860" max="14860"/>
    <col width="11.55" customWidth="1" style="1637" min="14861" max="14861"/>
    <col width="8.890000000000001" customWidth="1" style="1637" min="14862" max="15107"/>
    <col width="13.89" customWidth="1" style="1637" min="15108" max="15108"/>
    <col width="8.890000000000001" customWidth="1" style="1637" min="15109" max="15109"/>
    <col width="13.44" customWidth="1" style="1637" min="15110" max="15110"/>
    <col width="8.890000000000001" customWidth="1" style="1637" min="15111" max="15112"/>
    <col width="12.55" customWidth="1" style="1637" min="15113" max="15113"/>
    <col width="16.45" customWidth="1" style="1637" min="15114" max="15114"/>
    <col width="10.11" customWidth="1" style="1637" min="15115" max="15115"/>
    <col width="9.109999999999999" customWidth="1" style="1637" min="15116" max="15116"/>
    <col width="11.55" customWidth="1" style="1637" min="15117" max="15117"/>
    <col width="8.890000000000001" customWidth="1" style="1637" min="15118" max="15363"/>
    <col width="13.89" customWidth="1" style="1637" min="15364" max="15364"/>
    <col width="8.890000000000001" customWidth="1" style="1637" min="15365" max="15365"/>
    <col width="13.44" customWidth="1" style="1637" min="15366" max="15366"/>
    <col width="8.890000000000001" customWidth="1" style="1637" min="15367" max="15368"/>
    <col width="12.55" customWidth="1" style="1637" min="15369" max="15369"/>
    <col width="16.45" customWidth="1" style="1637" min="15370" max="15370"/>
    <col width="10.11" customWidth="1" style="1637" min="15371" max="15371"/>
    <col width="9.109999999999999" customWidth="1" style="1637" min="15372" max="15372"/>
    <col width="11.55" customWidth="1" style="1637" min="15373" max="15373"/>
    <col width="8.890000000000001" customWidth="1" style="1637" min="15374" max="15619"/>
    <col width="13.89" customWidth="1" style="1637" min="15620" max="15620"/>
    <col width="8.890000000000001" customWidth="1" style="1637" min="15621" max="15621"/>
    <col width="13.44" customWidth="1" style="1637" min="15622" max="15622"/>
    <col width="8.890000000000001" customWidth="1" style="1637" min="15623" max="15624"/>
    <col width="12.55" customWidth="1" style="1637" min="15625" max="15625"/>
    <col width="16.45" customWidth="1" style="1637" min="15626" max="15626"/>
    <col width="10.11" customWidth="1" style="1637" min="15627" max="15627"/>
    <col width="9.109999999999999" customWidth="1" style="1637" min="15628" max="15628"/>
    <col width="11.55" customWidth="1" style="1637" min="15629" max="15629"/>
    <col width="8.890000000000001" customWidth="1" style="1637" min="15630" max="15875"/>
    <col width="13.89" customWidth="1" style="1637" min="15876" max="15876"/>
    <col width="8.890000000000001" customWidth="1" style="1637" min="15877" max="15877"/>
    <col width="13.44" customWidth="1" style="1637" min="15878" max="15878"/>
    <col width="8.890000000000001" customWidth="1" style="1637" min="15879" max="15880"/>
    <col width="12.55" customWidth="1" style="1637" min="15881" max="15881"/>
    <col width="16.45" customWidth="1" style="1637" min="15882" max="15882"/>
    <col width="10.11" customWidth="1" style="1637" min="15883" max="15883"/>
    <col width="9.109999999999999" customWidth="1" style="1637" min="15884" max="15884"/>
    <col width="11.55" customWidth="1" style="1637" min="15885" max="15885"/>
    <col width="8.890000000000001" customWidth="1" style="1637" min="15886" max="16131"/>
    <col width="13.89" customWidth="1" style="1637" min="16132" max="16132"/>
    <col width="8.890000000000001" customWidth="1" style="1637" min="16133" max="16133"/>
    <col width="13.44" customWidth="1" style="1637" min="16134" max="16134"/>
    <col width="8.890000000000001" customWidth="1" style="1637" min="16135" max="16136"/>
    <col width="12.55" customWidth="1" style="1637" min="16137" max="16137"/>
    <col width="16.45" customWidth="1" style="1637" min="16138" max="16138"/>
    <col width="10.11" customWidth="1" style="1637" min="16139" max="16139"/>
    <col width="9.109999999999999" customWidth="1" style="1637" min="16140" max="16140"/>
    <col width="11.55" customWidth="1" style="1637" min="16141" max="16141"/>
    <col width="8.890000000000001" customWidth="1" style="1637" min="16142" max="16384"/>
  </cols>
  <sheetData>
    <row r="2" ht="12.75" customHeight="1" s="1158">
      <c r="A2" s="1639" t="n"/>
      <c r="B2" s="1640" t="n"/>
      <c r="C2" s="1641" t="n"/>
      <c r="D2" s="1641" t="n"/>
      <c r="E2" s="1641" t="n"/>
      <c r="F2" s="1641" t="n"/>
      <c r="G2" s="1641" t="n"/>
      <c r="H2" s="1641" t="n"/>
      <c r="I2" s="1641" t="n"/>
      <c r="J2" s="1641" t="n"/>
      <c r="K2" s="1641" t="n"/>
      <c r="L2" s="1641" t="n"/>
      <c r="M2" s="1641" t="n"/>
      <c r="N2" s="1642" t="n"/>
    </row>
    <row r="3" ht="12.75" customHeight="1" s="1158">
      <c r="A3" s="1643" t="n"/>
      <c r="N3" s="1644" t="n"/>
    </row>
    <row r="4" ht="12.75" customHeight="1" s="1158">
      <c r="A4" s="1643" t="n"/>
      <c r="N4" s="1644" t="n"/>
    </row>
    <row r="5" ht="12.75" customHeight="1" s="1158">
      <c r="A5" s="1643" t="n"/>
      <c r="N5" s="1644" t="n"/>
    </row>
    <row r="6" ht="12.75" customHeight="1" s="1158">
      <c r="A6" s="1643" t="n"/>
      <c r="N6" s="1644" t="n"/>
    </row>
    <row r="7" ht="12.75" customHeight="1" s="1158">
      <c r="A7" s="1643" t="n"/>
      <c r="N7" s="1644" t="n"/>
    </row>
    <row r="8" ht="19.5" customHeight="1" s="1158">
      <c r="A8" s="1643" t="n"/>
      <c r="L8" s="1645" t="n"/>
      <c r="N8" s="1644" t="n"/>
    </row>
    <row r="9" ht="12.75" customHeight="1" s="1158">
      <c r="A9" s="1643" t="n"/>
      <c r="N9" s="1644" t="n"/>
    </row>
    <row r="10" ht="12.75" customHeight="1" s="1158">
      <c r="A10" s="1643" t="n"/>
      <c r="N10" s="1644" t="n"/>
    </row>
    <row r="11" ht="12.75" customHeight="1" s="1158">
      <c r="A11" s="1643" t="n"/>
      <c r="N11" s="1644" t="n"/>
    </row>
    <row r="12" ht="12.75" customHeight="1" s="1158">
      <c r="A12" s="1643" t="n"/>
      <c r="N12" s="1644" t="n"/>
    </row>
    <row r="13" ht="12.75" customHeight="1" s="1158">
      <c r="A13" s="1643" t="n"/>
      <c r="N13" s="1644" t="n"/>
    </row>
    <row r="14" ht="24" customHeight="1" s="1158">
      <c r="A14" s="1643" t="n"/>
      <c r="B14" s="1646" t="inlineStr">
        <is>
          <t>Well Completion Report</t>
        </is>
      </c>
      <c r="N14" s="1647" t="n"/>
      <c r="O14" s="1648" t="n"/>
      <c r="P14" s="1648" t="n"/>
      <c r="Q14" s="1648" t="n"/>
      <c r="R14" s="1648" t="n"/>
      <c r="S14" s="1648" t="n"/>
      <c r="T14" s="1648" t="n"/>
    </row>
    <row r="15" ht="24" customHeight="1" s="1158">
      <c r="A15" s="1643" t="n"/>
      <c r="N15" s="1647" t="n"/>
      <c r="O15" s="1648" t="n"/>
      <c r="P15" s="1648" t="n"/>
      <c r="Q15" s="1648" t="n"/>
      <c r="R15" s="1648" t="n"/>
      <c r="S15" s="1648" t="n"/>
      <c r="T15" s="1648" t="n"/>
    </row>
    <row r="16" ht="24" customHeight="1" s="1158">
      <c r="A16" s="1643" t="n"/>
      <c r="N16" s="1647" t="n"/>
      <c r="O16" s="1648" t="n"/>
      <c r="P16" s="1648" t="n"/>
      <c r="Q16" s="1648" t="n"/>
      <c r="R16" s="1648" t="n"/>
      <c r="S16" s="1648" t="n"/>
      <c r="T16" s="1648" t="n"/>
    </row>
    <row r="17" ht="24" customHeight="1" s="1158">
      <c r="A17" s="1643" t="n"/>
      <c r="N17" s="1647" t="n"/>
      <c r="O17" s="1648" t="n"/>
      <c r="P17" s="1648" t="n"/>
      <c r="Q17" s="1648" t="n"/>
      <c r="R17" s="1648" t="n"/>
      <c r="S17" s="1648" t="n"/>
      <c r="T17" s="1648" t="n"/>
    </row>
    <row r="18" ht="30" customHeight="1" s="1158">
      <c r="A18" s="1643" t="n"/>
      <c r="N18" s="1647" t="n"/>
      <c r="O18" s="1648" t="n"/>
      <c r="P18" s="1648" t="n"/>
      <c r="Q18" s="1648" t="n"/>
      <c r="R18" s="1648" t="n"/>
      <c r="S18" s="1648" t="n"/>
      <c r="T18" s="1648" t="n"/>
    </row>
    <row r="19" ht="30" customHeight="1" s="1158">
      <c r="A19" s="1643" t="n"/>
      <c r="N19" s="1647" t="n"/>
      <c r="O19" s="1648" t="n"/>
      <c r="P19" s="1648" t="n"/>
      <c r="Q19" s="1648" t="n"/>
      <c r="R19" s="1648" t="n"/>
      <c r="S19" s="1648" t="n"/>
      <c r="T19" s="1648" t="n"/>
    </row>
    <row r="20" ht="30" customHeight="1" s="1158">
      <c r="A20" s="1643" t="n"/>
      <c r="N20" s="1647" t="n"/>
      <c r="O20" s="1648" t="n"/>
      <c r="P20" s="1648" t="n"/>
      <c r="Q20" s="1648" t="n"/>
      <c r="R20" s="1648" t="n"/>
      <c r="S20" s="1648" t="n"/>
      <c r="T20" s="1648" t="n"/>
    </row>
    <row r="21" ht="25.5" customHeight="1" s="1158">
      <c r="A21" s="1643" t="n"/>
      <c r="B21" s="1649" t="n"/>
      <c r="C21" s="1649" t="n"/>
      <c r="D21" s="1649" t="n"/>
      <c r="E21" s="1649" t="n"/>
      <c r="F21" s="1649" t="n"/>
      <c r="G21" s="1649" t="n"/>
      <c r="H21" s="1649" t="n"/>
      <c r="I21" s="1649" t="n"/>
      <c r="J21" s="1649" t="n"/>
      <c r="K21" s="1649" t="n"/>
      <c r="L21" s="1649" t="n"/>
      <c r="M21" s="1649" t="n"/>
      <c r="N21" s="1647" t="n"/>
      <c r="O21" s="1648" t="n"/>
      <c r="P21" s="1648" t="n"/>
      <c r="Q21" s="1648" t="n"/>
      <c r="R21" s="1648" t="n"/>
      <c r="S21" s="1648" t="n"/>
      <c r="T21" s="1648" t="n"/>
    </row>
    <row r="22" ht="17.25" customHeight="1" s="1158">
      <c r="A22" s="1643" t="n"/>
      <c r="B22" s="1650" t="n"/>
      <c r="C22" s="1650" t="n"/>
      <c r="D22" s="1651" t="n"/>
      <c r="E22" s="1652" t="n"/>
      <c r="F22" s="1652" t="n"/>
      <c r="G22" s="1652" t="n"/>
      <c r="H22" s="1652" t="n"/>
      <c r="I22" s="1652" t="n"/>
      <c r="J22" s="1652" t="n"/>
      <c r="K22" s="1652" t="n"/>
      <c r="L22" s="1652" t="n"/>
      <c r="M22" s="1652" t="n"/>
      <c r="N22" s="1653" t="n"/>
      <c r="O22" s="1651" t="n"/>
      <c r="P22" s="1651" t="n"/>
    </row>
    <row r="23" ht="28.5" customHeight="1" s="1158">
      <c r="A23" s="1643" t="n"/>
      <c r="B23" s="1651" t="n"/>
      <c r="C23" s="1651" t="n"/>
      <c r="D23" s="1651" t="n"/>
      <c r="E23" s="1651" t="n"/>
      <c r="F23" s="1651" t="n"/>
      <c r="G23" s="1654" t="inlineStr">
        <is>
          <t>CUSTOMER:</t>
        </is>
      </c>
      <c r="H23" s="1655" t="n"/>
      <c r="I23" s="1656">
        <f>_xlfn.CONCAT('MS2'!C2:D2)</f>
        <v/>
      </c>
      <c r="N23" s="1653" t="n"/>
      <c r="O23" s="1651" t="n"/>
      <c r="P23" s="1651" t="n"/>
    </row>
    <row r="24" ht="28.5" customHeight="1" s="1158">
      <c r="A24" s="1643" t="n"/>
      <c r="B24" s="1657" t="n"/>
      <c r="C24" s="1651" t="n"/>
      <c r="D24" s="1651" t="n"/>
      <c r="E24" s="1651" t="n"/>
      <c r="F24" s="1651" t="n"/>
      <c r="G24" s="1655" t="n"/>
      <c r="H24" s="1655" t="n"/>
      <c r="I24" s="1656" t="n"/>
      <c r="J24" s="1656" t="n"/>
      <c r="K24" s="1656" t="n"/>
      <c r="L24" s="1656" t="n"/>
      <c r="M24" s="1656" t="n"/>
      <c r="N24" s="1653" t="n"/>
      <c r="O24" s="1651" t="n"/>
      <c r="P24" s="1651" t="n"/>
    </row>
    <row r="25" ht="28.5" customHeight="1" s="1158">
      <c r="A25" s="1643" t="n"/>
      <c r="B25" s="1657" t="n"/>
      <c r="C25" s="1651" t="n"/>
      <c r="D25" s="1651" t="n"/>
      <c r="E25" s="1651" t="n"/>
      <c r="F25" s="1651" t="n"/>
      <c r="G25" s="1654" t="inlineStr">
        <is>
          <t>FIELD:</t>
        </is>
      </c>
      <c r="H25" s="1655" t="n"/>
      <c r="I25" s="1656" t="inlineStr">
        <is>
          <t>BAB</t>
        </is>
      </c>
      <c r="N25" s="1653" t="n"/>
      <c r="O25" s="1651" t="n"/>
      <c r="P25" s="1651" t="n"/>
    </row>
    <row r="26" ht="28.5" customHeight="1" s="1158">
      <c r="A26" s="1643" t="n"/>
      <c r="B26" s="1657" t="n"/>
      <c r="C26" s="1651" t="n"/>
      <c r="D26" s="1651" t="n"/>
      <c r="E26" s="1651" t="n"/>
      <c r="F26" s="1651" t="n"/>
      <c r="G26" s="1655" t="n"/>
      <c r="H26" s="1655" t="n"/>
      <c r="I26" s="1656" t="n"/>
      <c r="J26" s="1656" t="n"/>
      <c r="K26" s="1656" t="n"/>
      <c r="L26" s="1656" t="n"/>
      <c r="M26" s="1656" t="n"/>
      <c r="N26" s="1653" t="n"/>
      <c r="O26" s="1651" t="n"/>
      <c r="P26" s="1651" t="n"/>
    </row>
    <row r="27" ht="28.5" customHeight="1" s="1158">
      <c r="A27" s="1643" t="n"/>
      <c r="B27" s="1651" t="n"/>
      <c r="C27" s="1651" t="n"/>
      <c r="D27" s="1651" t="n"/>
      <c r="E27" s="1651" t="n"/>
      <c r="F27" s="1651" t="n"/>
      <c r="G27" s="1654" t="inlineStr">
        <is>
          <t>WELL:</t>
        </is>
      </c>
      <c r="H27" s="1655" t="n"/>
      <c r="I27" s="1656">
        <f>'MS2'!I9</f>
        <v/>
      </c>
      <c r="N27" s="1653" t="n"/>
      <c r="O27" s="1651" t="n"/>
      <c r="P27" s="1651" t="n"/>
    </row>
    <row r="28" ht="28.5" customHeight="1" s="1158">
      <c r="A28" s="1643" t="n"/>
      <c r="B28" s="1657" t="n"/>
      <c r="C28" s="1651" t="n"/>
      <c r="D28" s="1651" t="n"/>
      <c r="E28" s="1651" t="n"/>
      <c r="F28" s="1651" t="n"/>
      <c r="G28" s="1655" t="n"/>
      <c r="H28" s="1655" t="n"/>
      <c r="I28" s="1656" t="n"/>
      <c r="J28" s="1656" t="n"/>
      <c r="K28" s="1656" t="n"/>
      <c r="L28" s="1656" t="n"/>
      <c r="M28" s="1656" t="n"/>
      <c r="N28" s="1653" t="n"/>
      <c r="O28" s="1651" t="n"/>
      <c r="P28" s="1651" t="n"/>
    </row>
    <row r="29" ht="120" customHeight="1" s="1158">
      <c r="A29" s="1643" t="n"/>
      <c r="B29" s="1651" t="n"/>
      <c r="C29" s="1651" t="n"/>
      <c r="D29" s="1651" t="n"/>
      <c r="E29" s="1651" t="n"/>
      <c r="F29" s="1651" t="n"/>
      <c r="G29" s="1658" t="inlineStr">
        <is>
          <t>COMPLETION TYPE:</t>
        </is>
      </c>
      <c r="H29" s="1655" t="n"/>
      <c r="I29" s="1659" t="inlineStr">
        <is>
          <t xml:space="preserve">3-1/2" Single Oil Producer, Alloy-28 Tubing, 3-1/2" TRSV, Permanent Conventional Packer, W/ Gas Lift, W/ Actuated Wellhead, Y-Shape
 </t>
        </is>
      </c>
      <c r="N29" s="1653" t="n"/>
      <c r="O29" s="1651" t="n"/>
      <c r="P29" s="1651" t="n"/>
    </row>
    <row r="30" ht="28.5" customHeight="1" s="1158">
      <c r="A30" s="1643" t="n"/>
      <c r="B30" s="1651" t="n"/>
      <c r="C30" s="1651" t="n"/>
      <c r="D30" s="1651" t="n"/>
      <c r="E30" s="1651" t="n"/>
      <c r="F30" s="1651" t="n"/>
      <c r="G30" s="1654" t="n"/>
      <c r="H30" s="1655" t="n"/>
      <c r="I30" s="1656" t="n"/>
      <c r="J30" s="1656" t="n"/>
      <c r="K30" s="1656" t="n"/>
      <c r="L30" s="1656" t="n"/>
      <c r="M30" s="1656" t="n"/>
      <c r="N30" s="1653" t="n"/>
      <c r="O30" s="1651" t="n"/>
      <c r="P30" s="1651" t="n"/>
    </row>
    <row r="31" ht="28.5" customHeight="1" s="1158">
      <c r="A31" s="1643" t="n"/>
      <c r="B31" s="1651" t="n"/>
      <c r="C31" s="1651" t="n"/>
      <c r="D31" s="1651" t="n"/>
      <c r="E31" s="1651" t="n"/>
      <c r="F31" s="1651" t="n"/>
      <c r="G31" s="1654" t="inlineStr">
        <is>
          <t>COMPLETION DATE:</t>
        </is>
      </c>
      <c r="H31" s="1655" t="n"/>
      <c r="I31" s="1656">
        <f>_xlfn.CONCAT('MS2'!C5:D5)</f>
        <v/>
      </c>
      <c r="N31" s="1653" t="n"/>
      <c r="O31" s="1651" t="n"/>
      <c r="P31" s="1651" t="n"/>
    </row>
    <row r="32" ht="28.5" customHeight="1" s="1158">
      <c r="A32" s="1643" t="n"/>
      <c r="B32" s="1651" t="n"/>
      <c r="C32" s="1651" t="n"/>
      <c r="D32" s="1651" t="n"/>
      <c r="E32" s="1651" t="n"/>
      <c r="F32" s="1651" t="n"/>
      <c r="G32" s="1654" t="n"/>
      <c r="H32" s="1655" t="n"/>
      <c r="I32" s="1656" t="n"/>
      <c r="N32" s="1653" t="n"/>
      <c r="O32" s="1651" t="n"/>
      <c r="P32" s="1651" t="n"/>
    </row>
    <row r="33" ht="28.5" customHeight="1" s="1158">
      <c r="A33" s="1643" t="n"/>
      <c r="B33" s="1651" t="n"/>
      <c r="C33" s="1651" t="n"/>
      <c r="D33" s="1651" t="n"/>
      <c r="E33" s="1651" t="n"/>
      <c r="F33" s="1651" t="n"/>
      <c r="G33" s="1654" t="inlineStr">
        <is>
          <t>DRILLING CONTRACTOR:</t>
        </is>
      </c>
      <c r="H33" s="1655" t="n"/>
      <c r="I33" s="1656" t="inlineStr">
        <is>
          <t>ADNOC DRILLING</t>
        </is>
      </c>
      <c r="N33" s="1653" t="n"/>
      <c r="O33" s="1651" t="n"/>
      <c r="P33" s="1651" t="n"/>
    </row>
    <row r="34" ht="28.5" customHeight="1" s="1158">
      <c r="A34" s="1643" t="n"/>
      <c r="B34" s="1651" t="n"/>
      <c r="C34" s="1651" t="n"/>
      <c r="D34" s="1651" t="n"/>
      <c r="E34" s="1651" t="n"/>
      <c r="F34" s="1651" t="n"/>
      <c r="G34" s="1654" t="n"/>
      <c r="H34" s="1655" t="n"/>
      <c r="I34" s="1656" t="n"/>
      <c r="J34" s="1656" t="n"/>
      <c r="K34" s="1656" t="n"/>
      <c r="L34" s="1656" t="n"/>
      <c r="M34" s="1656" t="n"/>
      <c r="N34" s="1653" t="n"/>
      <c r="O34" s="1651" t="n"/>
      <c r="P34" s="1651" t="n"/>
    </row>
    <row r="35" ht="28.5" customHeight="1" s="1158">
      <c r="A35" s="1643" t="n"/>
      <c r="B35" s="1651" t="n"/>
      <c r="C35" s="1651" t="n"/>
      <c r="D35" s="1651" t="n"/>
      <c r="E35" s="1651" t="n"/>
      <c r="F35" s="1651" t="n"/>
      <c r="G35" s="1654" t="inlineStr">
        <is>
          <t>RIG:</t>
        </is>
      </c>
      <c r="H35" s="1655" t="n"/>
      <c r="I35" s="1656">
        <f>'MS2'!I8</f>
        <v/>
      </c>
      <c r="N35" s="1653" t="n"/>
      <c r="O35" s="1651" t="n"/>
      <c r="P35" s="1651" t="n"/>
    </row>
    <row r="36" ht="28.5" customHeight="1" s="1158">
      <c r="A36" s="1643" t="n"/>
      <c r="B36" s="1651" t="n"/>
      <c r="C36" s="1651" t="n"/>
      <c r="D36" s="1651" t="n"/>
      <c r="E36" s="1651" t="n"/>
      <c r="F36" s="1651" t="n"/>
      <c r="G36" s="1654" t="n"/>
      <c r="H36" s="1655" t="n"/>
      <c r="I36" s="1656" t="n"/>
      <c r="J36" s="1656" t="n"/>
      <c r="K36" s="1656" t="n"/>
      <c r="L36" s="1656" t="n"/>
      <c r="M36" s="1656" t="n"/>
      <c r="N36" s="1653" t="n"/>
      <c r="O36" s="1651" t="n"/>
      <c r="P36" s="1651" t="n"/>
    </row>
    <row r="37" ht="28.5" customHeight="1" s="1158">
      <c r="A37" s="1643" t="n"/>
      <c r="B37" s="1651" t="n"/>
      <c r="C37" s="1651" t="n"/>
      <c r="D37" s="1651" t="n"/>
      <c r="E37" s="1651" t="n"/>
      <c r="F37" s="1651" t="n"/>
      <c r="G37" s="1654" t="inlineStr">
        <is>
          <t>ADNOC COMPLETION ENGINEER:</t>
        </is>
      </c>
      <c r="H37" s="1655" t="n"/>
      <c r="I37" s="1656" t="inlineStr">
        <is>
          <t xml:space="preserve">Mariam Rashed Alnuaimi </t>
        </is>
      </c>
      <c r="N37" s="1653" t="n"/>
      <c r="O37" s="1651" t="n"/>
      <c r="P37" s="1651" t="n"/>
    </row>
    <row r="38" ht="28.5" customHeight="1" s="1158">
      <c r="A38" s="1643" t="n"/>
      <c r="B38" s="1651" t="n"/>
      <c r="C38" s="1651" t="n"/>
      <c r="D38" s="1651" t="n"/>
      <c r="E38" s="1651" t="n"/>
      <c r="F38" s="1651" t="n"/>
      <c r="G38" s="1654" t="n"/>
      <c r="H38" s="1655" t="n"/>
      <c r="I38" s="1656" t="n"/>
      <c r="J38" s="1656" t="n"/>
      <c r="K38" s="1656" t="n"/>
      <c r="L38" s="1656" t="n"/>
      <c r="M38" s="1656" t="n"/>
      <c r="N38" s="1653" t="n"/>
      <c r="O38" s="1651" t="n"/>
      <c r="P38" s="1651" t="n"/>
    </row>
    <row r="39" ht="28.5" customHeight="1" s="1158">
      <c r="A39" s="1643" t="n"/>
      <c r="B39" s="1651" t="n"/>
      <c r="C39" s="1651" t="n"/>
      <c r="D39" s="1651" t="n"/>
      <c r="E39" s="1651" t="n"/>
      <c r="F39" s="1651" t="n"/>
      <c r="G39" s="1654" t="inlineStr">
        <is>
          <t>DRILLING SUPERVISOR:</t>
        </is>
      </c>
      <c r="H39" s="1655" t="n"/>
      <c r="I39" s="1656">
        <f>'Master Data'!B4</f>
        <v/>
      </c>
      <c r="N39" s="1653" t="n"/>
      <c r="O39" s="1651" t="n"/>
      <c r="P39" s="1651" t="n"/>
    </row>
    <row r="40" ht="28.5" customHeight="1" s="1158">
      <c r="A40" s="1643" t="n"/>
      <c r="B40" s="1651" t="n"/>
      <c r="C40" s="1651" t="n"/>
      <c r="D40" s="1651" t="n"/>
      <c r="E40" s="1651" t="n"/>
      <c r="F40" s="1651" t="n"/>
      <c r="G40" s="1660" t="n"/>
      <c r="H40" s="1655" t="n"/>
      <c r="I40" s="1656" t="n"/>
      <c r="J40" s="1656" t="n"/>
      <c r="K40" s="1656" t="n"/>
      <c r="L40" s="1656" t="n"/>
      <c r="M40" s="1656" t="n"/>
      <c r="N40" s="1653" t="n"/>
      <c r="O40" s="1651" t="n"/>
      <c r="P40" s="1651" t="n"/>
    </row>
    <row r="41" ht="28.5" customHeight="1" s="1158">
      <c r="A41" s="1643" t="n"/>
      <c r="B41" s="1651" t="n"/>
      <c r="C41" s="1651" t="n"/>
      <c r="D41" s="1661" t="n"/>
      <c r="E41" s="1651" t="n"/>
      <c r="F41" s="1651" t="n"/>
      <c r="G41" s="1654" t="inlineStr">
        <is>
          <t>WEATHERFORD ENGINEER:</t>
        </is>
      </c>
      <c r="H41" s="1655" t="n"/>
      <c r="I41" s="1656" t="inlineStr">
        <is>
          <t xml:space="preserve">MAHMOUD ALI </t>
        </is>
      </c>
      <c r="N41" s="1653" t="n"/>
      <c r="O41" s="1651" t="n"/>
      <c r="P41" s="1651" t="n"/>
    </row>
    <row r="42" ht="28.5" customHeight="1" s="1158">
      <c r="A42" s="1643" t="n"/>
      <c r="B42" s="1662" t="n"/>
      <c r="C42" s="1651" t="n"/>
      <c r="D42" s="1651" t="n"/>
      <c r="E42" s="1651" t="n"/>
      <c r="F42" s="1651" t="n"/>
      <c r="G42" s="1663" t="n"/>
      <c r="H42" s="1663" t="n"/>
      <c r="I42" s="1664" t="n"/>
      <c r="J42" s="1665" t="n"/>
      <c r="K42" s="1665" t="n"/>
      <c r="L42" s="1665" t="n"/>
      <c r="M42" s="1665" t="n"/>
      <c r="N42" s="1653" t="n"/>
      <c r="O42" s="1651" t="n"/>
      <c r="P42" s="1651" t="n"/>
    </row>
    <row r="43" ht="28.5" customHeight="1" s="1158">
      <c r="A43" s="1643" t="n"/>
      <c r="B43" s="1662" t="n"/>
      <c r="C43" s="1651" t="n"/>
      <c r="D43" s="1651" t="n"/>
      <c r="E43" s="1651" t="n"/>
      <c r="F43" s="1651" t="n"/>
      <c r="G43" s="1654" t="inlineStr">
        <is>
          <t>COMPLETION CODE:</t>
        </is>
      </c>
      <c r="H43" s="1655" t="n"/>
      <c r="I43" s="1666" t="inlineStr">
        <is>
          <t xml:space="preserve">OP307/28CBB30 
</t>
        </is>
      </c>
      <c r="J43" s="1333" t="n"/>
      <c r="K43" s="1333" t="n"/>
      <c r="L43" s="1333" t="n"/>
      <c r="M43" s="1333" t="n"/>
      <c r="N43" s="1333" t="n"/>
      <c r="O43" s="1333" t="n"/>
      <c r="P43" s="1337" t="n"/>
    </row>
    <row r="44" ht="17.35" customHeight="1" s="1158">
      <c r="A44" s="1643" t="n"/>
      <c r="B44" s="1662" t="n"/>
      <c r="C44" s="1651" t="n"/>
      <c r="D44" s="1651" t="n"/>
      <c r="E44" s="1665" t="n"/>
      <c r="F44" s="1665" t="n"/>
      <c r="G44" s="1665" t="n"/>
      <c r="H44" s="1665" t="n"/>
      <c r="I44" s="1296" t="n"/>
      <c r="J44" s="1295" t="n"/>
      <c r="K44" s="1295" t="n"/>
      <c r="L44" s="1295" t="n"/>
      <c r="M44" s="1295" t="n"/>
      <c r="N44" s="1295" t="n"/>
      <c r="O44" s="1295" t="n"/>
      <c r="P44" s="1345" t="n"/>
    </row>
    <row r="45" ht="17.35" customHeight="1" s="1158">
      <c r="A45" s="1643" t="n"/>
      <c r="B45" s="1662" t="n"/>
      <c r="C45" s="1651" t="n"/>
      <c r="D45" s="1651" t="n"/>
      <c r="E45" s="1665" t="n"/>
      <c r="F45" s="1665" t="n"/>
      <c r="G45" s="1665" t="n"/>
      <c r="H45" s="1665" t="n"/>
      <c r="I45" s="1665" t="n"/>
      <c r="J45" s="1665" t="n"/>
      <c r="K45" s="1665" t="n"/>
      <c r="L45" s="1665" t="n"/>
      <c r="M45" s="1665" t="n"/>
      <c r="N45" s="1653" t="n"/>
      <c r="O45" s="1651" t="n"/>
      <c r="P45" s="1651" t="n"/>
    </row>
    <row r="46" ht="12.75" customHeight="1" s="1158">
      <c r="A46" s="1667" t="n"/>
      <c r="B46" s="1668" t="n"/>
      <c r="C46" s="1669" t="n"/>
      <c r="D46" s="1669" t="n"/>
      <c r="E46" s="1669" t="n"/>
      <c r="F46" s="1669" t="n"/>
      <c r="G46" s="1669" t="n"/>
      <c r="H46" s="1669" t="n"/>
      <c r="I46" s="1669" t="n"/>
      <c r="J46" s="1669" t="n"/>
      <c r="K46" s="1669" t="n"/>
      <c r="L46" s="1669" t="n"/>
      <c r="M46" s="1669" t="n"/>
      <c r="N46" s="167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65" colorId="64" zoomScale="40" zoomScaleNormal="55" zoomScalePageLayoutView="40" workbookViewId="0">
      <selection pane="topLeft" activeCell="D167" activeCellId="1" sqref="A11:S58 D167"/>
    </sheetView>
  </sheetViews>
  <sheetFormatPr baseColWidth="8" defaultColWidth="8.78125" defaultRowHeight="12.75" customHeight="0" zeroHeight="0" outlineLevelRow="0"/>
  <cols>
    <col width="29.33" customWidth="1" style="1671" min="1" max="1"/>
    <col width="78.22" customWidth="1" style="1672" min="2" max="2"/>
    <col width="20.22" customWidth="1" style="1671" min="3" max="3"/>
    <col width="27.11" customWidth="1" style="1673" min="4" max="4"/>
    <col width="26.67" customWidth="1" style="1673" min="5" max="5"/>
    <col width="33.22" customWidth="1" style="1673" min="6" max="6"/>
    <col width="33.44" customWidth="1" style="1673" min="7" max="7"/>
    <col width="35.78" customWidth="1" style="1673" min="8" max="8"/>
    <col width="18.78" customWidth="1" style="1673" min="9" max="9"/>
    <col width="19.67" customWidth="1" style="1673" min="10" max="10"/>
    <col width="6.67" customWidth="1" style="1673" min="11" max="11"/>
    <col hidden="1" width="8.779999999999999" customWidth="1" style="1673" min="12" max="13"/>
    <col hidden="1" width="10.16" customWidth="1" style="1673" min="14" max="14"/>
    <col width="47.45" customWidth="1" style="1673" min="15" max="15"/>
    <col width="17.66" customWidth="1" style="1673" min="16" max="16"/>
    <col width="8.779999999999999" customWidth="1" style="1673" min="17" max="16384"/>
  </cols>
  <sheetData>
    <row r="1" ht="39.75" customHeight="1" s="1158">
      <c r="A1" s="1674" t="n"/>
      <c r="B1" s="1675" t="inlineStr">
        <is>
          <t>1 of 1</t>
        </is>
      </c>
      <c r="C1" s="1676" t="inlineStr">
        <is>
          <t xml:space="preserve">Completion Runninng Tally </t>
        </is>
      </c>
      <c r="D1" s="1239" t="n"/>
      <c r="E1" s="1239" t="n"/>
      <c r="F1" s="1239" t="n"/>
      <c r="G1" s="1166" t="n"/>
      <c r="H1" s="1677" t="n"/>
      <c r="I1" s="1678" t="n"/>
    </row>
    <row r="2" ht="39.75" customHeight="1" s="1158">
      <c r="A2" s="1679" t="n"/>
      <c r="B2" s="1675" t="n"/>
      <c r="C2" s="1679" t="inlineStr">
        <is>
          <t>CLASSIFICATION</t>
        </is>
      </c>
      <c r="D2" s="1680" t="inlineStr">
        <is>
          <t>DOCUMENT LEVEL</t>
        </is>
      </c>
      <c r="E2" s="1681" t="inlineStr">
        <is>
          <t>REVISION NUMBER</t>
        </is>
      </c>
      <c r="F2" s="1681" t="inlineStr">
        <is>
          <t>ISSUE DATE</t>
        </is>
      </c>
      <c r="G2" s="1681" t="inlineStr">
        <is>
          <t>PREPARED BY</t>
        </is>
      </c>
      <c r="H2" s="1682" t="inlineStr">
        <is>
          <t>APPROVAL</t>
        </is>
      </c>
      <c r="I2" s="1678" t="n"/>
    </row>
    <row r="3" ht="39.75" customHeight="1" s="1158">
      <c r="A3" s="1683" t="inlineStr">
        <is>
          <t>AE- COMP -OEPS-L4-090</t>
        </is>
      </c>
      <c r="B3" s="1675" t="n"/>
      <c r="C3" s="1674" t="inlineStr">
        <is>
          <t>CONTROLLED</t>
        </is>
      </c>
      <c r="D3" s="1684" t="inlineStr">
        <is>
          <t>L5</t>
        </is>
      </c>
      <c r="E3" s="1685" t="inlineStr">
        <is>
          <t>FINAL</t>
        </is>
      </c>
      <c r="F3" s="1686" t="n">
        <v>43382</v>
      </c>
      <c r="G3" s="1685" t="inlineStr">
        <is>
          <t>WCT UAE</t>
        </is>
      </c>
      <c r="H3" s="1687" t="inlineStr">
        <is>
          <t>WCT TWIC</t>
        </is>
      </c>
      <c r="I3" s="1678" t="n"/>
      <c r="K3" s="1688" t="n"/>
    </row>
    <row r="4" ht="39.75" customHeight="1" s="1158">
      <c r="A4" s="1689" t="n"/>
      <c r="B4" s="1246" t="n"/>
      <c r="C4" s="1246" t="n"/>
      <c r="D4" s="1246" t="n"/>
      <c r="E4" s="1246" t="n"/>
      <c r="F4" s="1246" t="n"/>
      <c r="G4" s="1246" t="n"/>
      <c r="H4" s="1311" t="n"/>
      <c r="I4" s="1690" t="n"/>
      <c r="O4" s="1691" t="n"/>
    </row>
    <row r="5" ht="97.5" customHeight="1" s="1158">
      <c r="A5" s="1692" t="inlineStr">
        <is>
          <t xml:space="preserve">Customer </t>
        </is>
      </c>
      <c r="B5" s="1693">
        <f>_xlfn.CONCAT('MS2'!C2:D2)</f>
        <v/>
      </c>
      <c r="C5" s="1692" t="inlineStr">
        <is>
          <t xml:space="preserve">Start Date </t>
        </is>
      </c>
      <c r="D5" s="1694">
        <f t="array" ref="D5:D5">_xlfn.CONCAT('MS2'!C4:D4+2)</f>
        <v/>
      </c>
      <c r="E5" s="1695" t="inlineStr">
        <is>
          <t xml:space="preserve">Completion Type </t>
        </is>
      </c>
      <c r="F5" s="1696" t="inlineStr">
        <is>
          <t>3-1/2" Single Oil Producer, Alloy-28 Tubing, 3-1/2" TRSV,Packer, W/
Gas Lift, W/ Actuated Wellhead, Y-Shape</t>
        </is>
      </c>
      <c r="G5" s="1695" t="inlineStr">
        <is>
          <t>Co.man Representative</t>
        </is>
      </c>
      <c r="H5" s="1697">
        <f>'Master Data'!B4</f>
        <v/>
      </c>
      <c r="I5" s="1690" t="n"/>
    </row>
    <row r="6" ht="39.75" customHeight="1" s="1158">
      <c r="A6" s="1692" t="inlineStr">
        <is>
          <t xml:space="preserve">Rig Name </t>
        </is>
      </c>
      <c r="B6" s="1693">
        <f>'MS2'!I8</f>
        <v/>
      </c>
      <c r="C6" s="1692" t="inlineStr">
        <is>
          <t xml:space="preserve">Field Name </t>
        </is>
      </c>
      <c r="D6" s="1698" t="inlineStr">
        <is>
          <t>BAB</t>
        </is>
      </c>
      <c r="E6" s="1692" t="inlineStr">
        <is>
          <t>Rig Type</t>
        </is>
      </c>
      <c r="F6" s="1699" t="inlineStr">
        <is>
          <t>LAND RIG</t>
        </is>
      </c>
      <c r="G6" s="1700" t="inlineStr">
        <is>
          <t xml:space="preserve">ADNOC Eng. </t>
        </is>
      </c>
      <c r="H6" s="1701" t="inlineStr">
        <is>
          <t xml:space="preserve">Mariam Rashed Alnuaimi </t>
        </is>
      </c>
      <c r="I6" s="1690" t="n"/>
      <c r="O6" s="1702" t="n"/>
      <c r="P6" s="1702" t="n"/>
    </row>
    <row r="7" ht="39.75" customHeight="1" s="1158">
      <c r="A7" s="1692" t="inlineStr">
        <is>
          <t xml:space="preserve">Well Name </t>
        </is>
      </c>
      <c r="B7" s="1693">
        <f>'MS2'!I9</f>
        <v/>
      </c>
      <c r="C7" s="1692" t="inlineStr">
        <is>
          <t xml:space="preserve">Rig Location </t>
        </is>
      </c>
      <c r="D7" s="1703" t="inlineStr">
        <is>
          <t>ABU DHABI</t>
        </is>
      </c>
      <c r="E7" s="1704" t="inlineStr">
        <is>
          <t xml:space="preserve">Drilling Enginner </t>
        </is>
      </c>
      <c r="F7" s="1705" t="n"/>
      <c r="G7" s="1706" t="inlineStr">
        <is>
          <t xml:space="preserve">WFD Eng. </t>
        </is>
      </c>
      <c r="H7" s="1707">
        <f t="array" ref="H7:K7">'MS2'!F6:I6</f>
        <v/>
      </c>
      <c r="I7" s="1708" t="n">
        <v>0</v>
      </c>
      <c r="J7" s="1673" t="n">
        <v>0</v>
      </c>
      <c r="K7" s="1673" t="n">
        <v>0</v>
      </c>
      <c r="O7" s="1702" t="n"/>
      <c r="P7" s="1702" t="n"/>
    </row>
    <row r="8" ht="39.75" customFormat="1" customHeight="1" s="1709">
      <c r="A8" s="1710" t="inlineStr">
        <is>
          <t>Top Of Packr</t>
        </is>
      </c>
      <c r="B8" s="1711">
        <f>G175</f>
        <v/>
      </c>
      <c r="C8" s="1712" t="n"/>
      <c r="D8" s="1713" t="n"/>
      <c r="E8" s="1714" t="n"/>
      <c r="F8" s="1713" t="n"/>
      <c r="G8" s="1715" t="n"/>
      <c r="H8" s="1716" t="n"/>
      <c r="O8" s="1717" t="n"/>
      <c r="P8" s="1717" t="n"/>
    </row>
    <row r="9" ht="39.75" customHeight="1" s="1158">
      <c r="A9" s="1710" t="inlineStr">
        <is>
          <t>Top Of Packr to Top of Element</t>
        </is>
      </c>
      <c r="B9" s="1718">
        <f>B8+2.75</f>
        <v/>
      </c>
      <c r="C9" s="1719" t="inlineStr">
        <is>
          <t>TOP DRIVE Wt.</t>
        </is>
      </c>
      <c r="D9" s="1720" t="inlineStr">
        <is>
          <t>5,000 LBS</t>
        </is>
      </c>
      <c r="E9" s="1721" t="inlineStr">
        <is>
          <t xml:space="preserve">PUW </t>
        </is>
      </c>
      <c r="F9" s="1722" t="n"/>
      <c r="G9" s="1723" t="inlineStr">
        <is>
          <t xml:space="preserve">Tubing Size, Weight, Grade </t>
        </is>
      </c>
      <c r="H9" s="1724" t="inlineStr">
        <is>
          <t>3-1/2" TUBING 9.2 LB/FT ALLOY 28 TSH BL</t>
        </is>
      </c>
      <c r="O9" s="1725" t="n"/>
      <c r="P9" s="1702" t="n"/>
    </row>
    <row r="10" ht="39.75" customHeight="1" s="1158">
      <c r="A10" s="1710" t="inlineStr">
        <is>
          <t>Top of Packr to Top of CTR</t>
        </is>
      </c>
      <c r="B10" s="1726">
        <f>B9+5.98</f>
        <v/>
      </c>
      <c r="C10" s="1719" t="inlineStr">
        <is>
          <t>7" CASING COLLAR</t>
        </is>
      </c>
      <c r="D10" s="1727" t="inlineStr">
        <is>
          <t>6863.71' -6906.28'</t>
        </is>
      </c>
      <c r="E10" s="1719" t="inlineStr">
        <is>
          <t>SOW</t>
        </is>
      </c>
      <c r="F10" s="1728" t="n"/>
      <c r="G10" s="1729" t="inlineStr">
        <is>
          <t xml:space="preserve">Tubing Connection </t>
        </is>
      </c>
      <c r="H10" s="1730" t="inlineStr">
        <is>
          <t xml:space="preserve">TSH BLUE </t>
        </is>
      </c>
      <c r="I10" s="1691" t="n"/>
      <c r="O10" s="1725" t="n"/>
      <c r="P10" s="1702" t="n"/>
    </row>
    <row r="11" ht="39.75" customHeight="1" s="1158">
      <c r="A11" s="1731" t="inlineStr">
        <is>
          <t>length of CTR Target</t>
        </is>
      </c>
      <c r="B11" s="1732">
        <f>B10+2</f>
        <v/>
      </c>
      <c r="C11" s="1733" t="inlineStr">
        <is>
          <t>Packer Away From Collar</t>
        </is>
      </c>
      <c r="D11" s="1194" t="n"/>
      <c r="E11" s="1734">
        <f>I2-B9</f>
        <v/>
      </c>
      <c r="F11" s="1735" t="n"/>
      <c r="G11" s="1736" t="inlineStr">
        <is>
          <t>M/UP LOSS</t>
        </is>
      </c>
      <c r="H11" s="1737" t="n">
        <v>0.301</v>
      </c>
      <c r="I11" s="1738" t="n"/>
      <c r="O11" s="1690" t="n"/>
    </row>
    <row r="12" ht="39.75" customHeight="1" s="1158">
      <c r="A12" s="1731" t="inlineStr">
        <is>
          <t>Top of Packer to PIP Tag</t>
        </is>
      </c>
      <c r="B12" s="1732">
        <f>B8+8.68</f>
        <v/>
      </c>
      <c r="C12" s="1739" t="n"/>
      <c r="D12" s="1740" t="n"/>
      <c r="E12" s="1740" t="n"/>
      <c r="F12" s="1740" t="n"/>
      <c r="G12" s="1736" t="inlineStr">
        <is>
          <t>3 1/2" V.TOP 9.2 ,L80</t>
        </is>
      </c>
      <c r="H12" s="1737" t="inlineStr">
        <is>
          <t xml:space="preserve">3 1/2" V.TOP 9.2 ,L80 TUBING </t>
        </is>
      </c>
      <c r="O12" s="1690" t="n"/>
    </row>
    <row r="13" ht="72.75" customFormat="1" customHeight="1" s="1741">
      <c r="A13" s="1742" t="inlineStr">
        <is>
          <t xml:space="preserve">Run No </t>
        </is>
      </c>
      <c r="B13" s="1742" t="inlineStr">
        <is>
          <t>Description</t>
        </is>
      </c>
      <c r="C13" s="1742" t="inlineStr">
        <is>
          <t>Item Length [ft]</t>
        </is>
      </c>
      <c r="D13" s="1743" t="inlineStr">
        <is>
          <t>Net Length [ft]</t>
        </is>
      </c>
      <c r="E13" s="1744" t="inlineStr">
        <is>
          <t>Cum Length [ft]</t>
        </is>
      </c>
      <c r="F13" s="1744" t="inlineStr">
        <is>
          <t>Bottom Depth [ft]</t>
        </is>
      </c>
      <c r="G13" s="1744" t="inlineStr">
        <is>
          <t>Top Depth [ft]</t>
        </is>
      </c>
      <c r="H13" s="1745" t="inlineStr">
        <is>
          <t xml:space="preserve">Assembly number and equipment details </t>
        </is>
      </c>
      <c r="I13" s="1746" t="n"/>
    </row>
    <row r="14" ht="123" customFormat="1" customHeight="1" s="1747">
      <c r="A14" s="1748" t="inlineStr">
        <is>
          <t>A</t>
        </is>
      </c>
      <c r="B14" s="1749" t="inlineStr">
        <is>
          <t>UPPER CONN. 3-1/2" VAM TOP 9.2#PPF BOX VM 28 110 KSI
DESCRIPTION: WIRELINE ENTRY GUIDE
SN: 16339547-10-008
PN 2996481
SAP: 130010036277
SUPPLIER: WEATHERFORD</t>
        </is>
      </c>
      <c r="C14" s="1750" t="n">
        <v>0.6</v>
      </c>
      <c r="D14" s="1751">
        <f>C14</f>
        <v/>
      </c>
      <c r="E14" s="1752">
        <f>D14</f>
        <v/>
      </c>
      <c r="F14" s="1753" t="n">
        <v>11538.89</v>
      </c>
      <c r="G14" s="1753">
        <f>F14-D14</f>
        <v/>
      </c>
      <c r="H14" s="1754">
        <f>F423</f>
        <v/>
      </c>
      <c r="I14" s="1755" t="n"/>
      <c r="J14" s="1756" t="n"/>
      <c r="K14" s="1303" t="n"/>
      <c r="L14" s="1303" t="n"/>
      <c r="O14" s="1757" t="n"/>
    </row>
    <row r="15" ht="132" customFormat="1" customHeight="1" s="1747">
      <c r="A15" s="1450" t="n"/>
      <c r="B15" s="1749" t="inlineStr">
        <is>
          <t>UPPER CONN. 3-1/2" TSH BLUE BOX 9.2 PPF SN 28 110 KSI
DESCRIPTION: 5 FEET XOVER
SAP: 130005011340
SUPPLIER: TENARIS
LOWER CONN. 3-1/2" VAM TOP PIN 9.2 PPF SN 28 110 KSI</t>
        </is>
      </c>
      <c r="C15" s="1750" t="n">
        <v>4.96</v>
      </c>
      <c r="D15" s="1758">
        <f>C15</f>
        <v/>
      </c>
      <c r="E15" s="1759">
        <f>E14+D15</f>
        <v/>
      </c>
      <c r="F15" s="1759">
        <f>F14-D14</f>
        <v/>
      </c>
      <c r="G15" s="1760">
        <f>G14-D15</f>
        <v/>
      </c>
      <c r="H15" s="1761">
        <f>F14-H14</f>
        <v/>
      </c>
      <c r="I15" s="1762" t="n"/>
      <c r="J15" s="1756" t="n"/>
      <c r="K15" s="1763" t="n"/>
      <c r="L15" s="1763" t="n"/>
      <c r="O15" s="1764" t="n"/>
      <c r="P15" s="1765" t="n"/>
      <c r="Q15" s="1765" t="n"/>
      <c r="R15" s="1765" t="n"/>
      <c r="S15" s="1765" t="n"/>
      <c r="T15" s="1765" t="n"/>
    </row>
    <row r="16" ht="39" customFormat="1" customHeight="1" s="1747">
      <c r="A16" s="1766" t="inlineStr">
        <is>
          <t>JT.#1</t>
        </is>
      </c>
      <c r="B16" s="1766" t="inlineStr">
        <is>
          <t>3 1/2" TSH</t>
        </is>
      </c>
      <c r="C16" s="1767" t="n">
        <v>31</v>
      </c>
      <c r="D16" s="1768">
        <f>C16-0.301</f>
        <v/>
      </c>
      <c r="E16" s="1759">
        <f>E15+D16</f>
        <v/>
      </c>
      <c r="F16" s="1759">
        <f>F15-D15</f>
        <v/>
      </c>
      <c r="G16" s="1760">
        <f>G15-D16</f>
        <v/>
      </c>
      <c r="H16" s="1769" t="n"/>
      <c r="O16" s="1764" t="n"/>
      <c r="P16" s="1765" t="n"/>
      <c r="Q16" s="1765" t="n"/>
      <c r="R16" s="1765" t="n"/>
      <c r="S16" s="1765" t="n"/>
      <c r="T16" s="1765" t="n"/>
    </row>
    <row r="17" ht="39.75" customFormat="1" customHeight="1" s="1747">
      <c r="A17" s="1766" t="inlineStr">
        <is>
          <t>JT.#2</t>
        </is>
      </c>
      <c r="B17" s="1766" t="inlineStr">
        <is>
          <t>3 1/2" TSH</t>
        </is>
      </c>
      <c r="C17" s="1767" t="n">
        <v>31</v>
      </c>
      <c r="D17" s="1768">
        <f>C17-0.301</f>
        <v/>
      </c>
      <c r="E17" s="1759">
        <f>E16+D17</f>
        <v/>
      </c>
      <c r="F17" s="1759">
        <f>F16-D16</f>
        <v/>
      </c>
      <c r="G17" s="1760">
        <f>G16-D17</f>
        <v/>
      </c>
      <c r="H17" s="1770" t="n"/>
      <c r="O17" s="1764" t="n"/>
      <c r="P17" s="1765" t="n"/>
      <c r="Q17" s="1765" t="n"/>
      <c r="R17" s="1765" t="n"/>
      <c r="S17" s="1765" t="n"/>
      <c r="T17" s="1765" t="n"/>
    </row>
    <row r="18" ht="39.75" customFormat="1" customHeight="1" s="1747">
      <c r="A18" s="1766" t="inlineStr">
        <is>
          <t>JT.#3</t>
        </is>
      </c>
      <c r="B18" s="1766" t="inlineStr">
        <is>
          <t>3 1/2" TSH</t>
        </is>
      </c>
      <c r="C18" s="1767" t="n">
        <v>31</v>
      </c>
      <c r="D18" s="1768">
        <f>C18-0.301</f>
        <v/>
      </c>
      <c r="E18" s="1759">
        <f>E17+D18</f>
        <v/>
      </c>
      <c r="F18" s="1759">
        <f>F17-D17</f>
        <v/>
      </c>
      <c r="G18" s="1760">
        <f>G17-D18</f>
        <v/>
      </c>
      <c r="H18" s="1769" t="n"/>
      <c r="I18" s="1771" t="n"/>
      <c r="O18" s="1764" t="n"/>
      <c r="P18" s="1765" t="n"/>
      <c r="Q18" s="1765" t="n"/>
      <c r="R18" s="1765" t="n"/>
      <c r="S18" s="1765" t="n"/>
      <c r="T18" s="1765" t="n"/>
    </row>
    <row r="19" ht="39.75" customFormat="1" customHeight="1" s="1747">
      <c r="A19" s="1766" t="inlineStr">
        <is>
          <t>JT.#4</t>
        </is>
      </c>
      <c r="B19" s="1766" t="inlineStr">
        <is>
          <t>3 1/2" TSH</t>
        </is>
      </c>
      <c r="C19" s="1767" t="n">
        <v>31</v>
      </c>
      <c r="D19" s="1768">
        <f>C19-0.301</f>
        <v/>
      </c>
      <c r="E19" s="1759">
        <f>E18+D19</f>
        <v/>
      </c>
      <c r="F19" s="1759">
        <f>F18-D18</f>
        <v/>
      </c>
      <c r="G19" s="1760">
        <f>G18-D19</f>
        <v/>
      </c>
      <c r="H19" s="1770" t="n"/>
      <c r="O19" s="1764" t="n"/>
      <c r="P19" s="1765" t="n"/>
      <c r="Q19" s="1765" t="n"/>
      <c r="R19" s="1765" t="n"/>
      <c r="S19" s="1765" t="n"/>
      <c r="T19" s="1765" t="n"/>
    </row>
    <row r="20" ht="39.75" customFormat="1" customHeight="1" s="1747">
      <c r="A20" s="1766" t="inlineStr">
        <is>
          <t>JT.#5</t>
        </is>
      </c>
      <c r="B20" s="1766" t="inlineStr">
        <is>
          <t>3 1/2" TSH</t>
        </is>
      </c>
      <c r="C20" s="1767" t="n">
        <v>31</v>
      </c>
      <c r="D20" s="1768">
        <f>C20-0.301</f>
        <v/>
      </c>
      <c r="E20" s="1759">
        <f>E19+D20</f>
        <v/>
      </c>
      <c r="F20" s="1759">
        <f>F19-D19</f>
        <v/>
      </c>
      <c r="G20" s="1760">
        <f>G19-D20</f>
        <v/>
      </c>
      <c r="H20" s="1772" t="n"/>
      <c r="I20" s="1773" t="n"/>
      <c r="K20" s="1774" t="n"/>
      <c r="O20" s="1764" t="n"/>
      <c r="P20" s="1765" t="n"/>
      <c r="Q20" s="1765" t="n"/>
      <c r="R20" s="1765" t="n"/>
      <c r="S20" s="1765" t="n"/>
      <c r="T20" s="1765" t="n"/>
    </row>
    <row r="21" ht="39.75" customFormat="1" customHeight="1" s="1747">
      <c r="A21" s="1775" t="inlineStr">
        <is>
          <t>SP-01</t>
        </is>
      </c>
      <c r="B21" s="1776" t="inlineStr">
        <is>
          <t>UPPER CONN. 3-1/2" VAM TOP BOX 9.2 PPF SN 28 110 KSI
DESCRIPTION: 5 FEET XOVER
SAP: 130005011340
SUPPLIER: TENARIS
UPPER CONN. 3-1/2" TSH BLUE PIN 9.2 PPF SN 28 110 KSI</t>
        </is>
      </c>
      <c r="C21" s="1777" t="n">
        <v>5.18</v>
      </c>
      <c r="D21" s="1768">
        <f>C21-0.301</f>
        <v/>
      </c>
      <c r="E21" s="1759">
        <f>E20+D21</f>
        <v/>
      </c>
      <c r="F21" s="1759">
        <f>F20-D20</f>
        <v/>
      </c>
      <c r="G21" s="1760">
        <f>G20-D21</f>
        <v/>
      </c>
      <c r="H21" s="1772" t="n"/>
      <c r="I21" s="1773" t="n"/>
      <c r="K21" s="1774" t="n"/>
      <c r="O21" s="1764" t="n"/>
      <c r="P21" s="1765" t="n"/>
      <c r="Q21" s="1765" t="n"/>
      <c r="R21" s="1765" t="n"/>
      <c r="S21" s="1765" t="n"/>
      <c r="T21" s="1765" t="n"/>
    </row>
    <row r="22" ht="39.75" customFormat="1" customHeight="1" s="1747">
      <c r="A22" s="1778" t="n"/>
      <c r="B22" s="1776" t="inlineStr">
        <is>
          <t>UPPER CONN.
3-1/2 9.2 PPF, 110KSI VAM TOP BOX
DESCRIPTION:
PCKR, SWEL,6,3-1/2,A925, OIL
P/N: 2991712
S/N: RDT-UAE-1003629
SAP: 130010039426
SUPPLIER: WFD-REACTIVE
LOWER CONN.</t>
        </is>
      </c>
      <c r="C22" s="1777" t="n">
        <v>30.88</v>
      </c>
      <c r="D22" s="1768">
        <f>C22-0.301</f>
        <v/>
      </c>
      <c r="E22" s="1759">
        <f>E21+D22</f>
        <v/>
      </c>
      <c r="F22" s="1759">
        <f>F21-D21</f>
        <v/>
      </c>
      <c r="G22" s="1760">
        <f>G21-D22</f>
        <v/>
      </c>
      <c r="H22" s="1772" t="n"/>
      <c r="I22" s="1773" t="n"/>
      <c r="K22" s="1774" t="n"/>
      <c r="O22" s="1764" t="n"/>
      <c r="P22" s="1765" t="n"/>
      <c r="Q22" s="1765" t="n"/>
      <c r="R22" s="1765" t="n"/>
      <c r="S22" s="1765" t="n"/>
      <c r="T22" s="1765" t="n"/>
    </row>
    <row r="23" ht="39.75" customFormat="1" customHeight="1" s="1747">
      <c r="A23" s="1450" t="n"/>
      <c r="B23" s="1776" t="inlineStr">
        <is>
          <t>UPPER CONN . 3-1/2" TSH BLUE BOX 9.2 PPF SN 28 110 KSI
DESCRIPTION: 3 FEET XOVER
SAP: 130005011337
SUPPLIER: TENARIS
LOWER CONN. 3-1/2" VAM TOP PIN 9.2 PPF SN 28 110 KSI</t>
        </is>
      </c>
      <c r="C23" s="1777" t="n">
        <v>2.78</v>
      </c>
      <c r="D23" s="1768">
        <f>C23-0.301</f>
        <v/>
      </c>
      <c r="E23" s="1759">
        <f>E22+D23</f>
        <v/>
      </c>
      <c r="F23" s="1759">
        <f>F22-D22</f>
        <v/>
      </c>
      <c r="G23" s="1760">
        <f>G22-D23</f>
        <v/>
      </c>
      <c r="H23" s="1772" t="n"/>
      <c r="I23" s="1773" t="n"/>
      <c r="K23" s="1774" t="n"/>
      <c r="O23" s="1764" t="n"/>
      <c r="P23" s="1765" t="n"/>
      <c r="Q23" s="1765" t="n"/>
      <c r="R23" s="1765" t="n"/>
      <c r="S23" s="1765" t="n"/>
      <c r="T23" s="1765" t="n"/>
    </row>
    <row r="24" ht="39.75" customFormat="1" customHeight="1" s="1747">
      <c r="A24" s="1766" t="inlineStr">
        <is>
          <t>JT.#6</t>
        </is>
      </c>
      <c r="B24" s="1766" t="inlineStr">
        <is>
          <t>3 1/2" TSH</t>
        </is>
      </c>
      <c r="C24" s="1767" t="n">
        <v>31</v>
      </c>
      <c r="D24" s="1768">
        <f>C24-0.301</f>
        <v/>
      </c>
      <c r="E24" s="1759">
        <f>E23+D24</f>
        <v/>
      </c>
      <c r="F24" s="1759">
        <f>F23-D23</f>
        <v/>
      </c>
      <c r="G24" s="1760">
        <f>G23-D24</f>
        <v/>
      </c>
      <c r="H24" s="1769" t="n"/>
      <c r="O24" s="1764" t="n"/>
      <c r="P24" s="1765" t="n"/>
      <c r="Q24" s="1765" t="n"/>
      <c r="R24" s="1765" t="n"/>
      <c r="S24" s="1765" t="n"/>
      <c r="T24" s="1765" t="n"/>
    </row>
    <row r="25" ht="39.75" customFormat="1" customHeight="1" s="1747">
      <c r="A25" s="1766" t="inlineStr">
        <is>
          <t>JT.#7</t>
        </is>
      </c>
      <c r="B25" s="1766" t="inlineStr">
        <is>
          <t>3 1/2" TSH</t>
        </is>
      </c>
      <c r="C25" s="1767" t="n">
        <v>31</v>
      </c>
      <c r="D25" s="1768">
        <f>C25-0.301</f>
        <v/>
      </c>
      <c r="E25" s="1759">
        <f>E24+D25</f>
        <v/>
      </c>
      <c r="F25" s="1759">
        <f>F24-D24</f>
        <v/>
      </c>
      <c r="G25" s="1760">
        <f>G24-D25</f>
        <v/>
      </c>
      <c r="H25" s="1769" t="n"/>
      <c r="O25" s="1764" t="n"/>
      <c r="P25" s="1765" t="n"/>
      <c r="Q25" s="1765" t="n"/>
      <c r="R25" s="1765" t="n"/>
      <c r="S25" s="1765" t="n"/>
      <c r="T25" s="1765" t="n"/>
    </row>
    <row r="26" ht="39.75" customFormat="1" customHeight="1" s="1747">
      <c r="A26" s="1766" t="inlineStr">
        <is>
          <t>JT.#8</t>
        </is>
      </c>
      <c r="B26" s="1766" t="inlineStr">
        <is>
          <t>3 1/2" TSH</t>
        </is>
      </c>
      <c r="C26" s="1767" t="n">
        <v>31</v>
      </c>
      <c r="D26" s="1768">
        <f>C26-0.301</f>
        <v/>
      </c>
      <c r="E26" s="1759">
        <f>E25+D26</f>
        <v/>
      </c>
      <c r="F26" s="1759">
        <f>F25-D25</f>
        <v/>
      </c>
      <c r="G26" s="1760">
        <f>G25-D26</f>
        <v/>
      </c>
      <c r="H26" s="1769" t="n"/>
      <c r="O26" s="1764" t="n"/>
      <c r="P26" s="1765" t="n"/>
      <c r="Q26" s="1765" t="n"/>
      <c r="R26" s="1765" t="n"/>
      <c r="S26" s="1765" t="n"/>
      <c r="T26" s="1765" t="n"/>
    </row>
    <row r="27" ht="39" customFormat="1" customHeight="1" s="1747">
      <c r="A27" s="1766" t="inlineStr">
        <is>
          <t>JT.#9</t>
        </is>
      </c>
      <c r="B27" s="1766" t="inlineStr">
        <is>
          <t>3 1/2" TSH</t>
        </is>
      </c>
      <c r="C27" s="1767" t="n">
        <v>31</v>
      </c>
      <c r="D27" s="1768">
        <f>C27-0.301</f>
        <v/>
      </c>
      <c r="E27" s="1759">
        <f>E26+D27</f>
        <v/>
      </c>
      <c r="F27" s="1759">
        <f>F26-D26</f>
        <v/>
      </c>
      <c r="G27" s="1760">
        <f>G26-D27</f>
        <v/>
      </c>
      <c r="H27" s="1769" t="n"/>
      <c r="O27" s="1764" t="n"/>
      <c r="P27" s="1765" t="n"/>
      <c r="Q27" s="1765" t="n"/>
      <c r="R27" s="1765" t="n"/>
      <c r="S27" s="1765" t="n"/>
      <c r="T27" s="1765" t="n"/>
    </row>
    <row r="28" ht="39.75" customFormat="1" customHeight="1" s="1747">
      <c r="A28" s="1766" t="inlineStr">
        <is>
          <t>JT.#10</t>
        </is>
      </c>
      <c r="B28" s="1766" t="inlineStr">
        <is>
          <t>3 1/2" TSH</t>
        </is>
      </c>
      <c r="C28" s="1767" t="n">
        <v>31</v>
      </c>
      <c r="D28" s="1768">
        <f>C28-0.301</f>
        <v/>
      </c>
      <c r="E28" s="1759">
        <f>E27+D28</f>
        <v/>
      </c>
      <c r="F28" s="1759">
        <f>F27-D27</f>
        <v/>
      </c>
      <c r="G28" s="1760">
        <f>G27-D28</f>
        <v/>
      </c>
      <c r="H28" s="1769" t="n"/>
      <c r="O28" s="1764" t="n"/>
      <c r="P28" s="1765" t="n"/>
      <c r="Q28" s="1765" t="n"/>
      <c r="R28" s="1765" t="n"/>
      <c r="S28" s="1765" t="n"/>
      <c r="T28" s="1765" t="n"/>
    </row>
    <row r="29" ht="39.75" customFormat="1" customHeight="1" s="1747">
      <c r="A29" s="1766" t="inlineStr">
        <is>
          <t>JT.#11</t>
        </is>
      </c>
      <c r="B29" s="1766" t="inlineStr">
        <is>
          <t>3 1/2" TSH</t>
        </is>
      </c>
      <c r="C29" s="1767" t="n">
        <v>31</v>
      </c>
      <c r="D29" s="1768">
        <f>C29-0.301</f>
        <v/>
      </c>
      <c r="E29" s="1759">
        <f>E28+D29</f>
        <v/>
      </c>
      <c r="F29" s="1759">
        <f>F28-D28</f>
        <v/>
      </c>
      <c r="G29" s="1760">
        <f>G28-D29</f>
        <v/>
      </c>
      <c r="H29" s="1769" t="n"/>
      <c r="O29" s="1764" t="n"/>
    </row>
    <row r="30" ht="39.75" customFormat="1" customHeight="1" s="1747">
      <c r="A30" s="1766" t="inlineStr">
        <is>
          <t>JT.#12</t>
        </is>
      </c>
      <c r="B30" s="1766" t="inlineStr">
        <is>
          <t>3 1/2" TSH</t>
        </is>
      </c>
      <c r="C30" s="1767" t="n">
        <v>31</v>
      </c>
      <c r="D30" s="1768">
        <f>C30-0.301</f>
        <v/>
      </c>
      <c r="E30" s="1759">
        <f>E29+D30</f>
        <v/>
      </c>
      <c r="F30" s="1759">
        <f>F29-D29</f>
        <v/>
      </c>
      <c r="G30" s="1760">
        <f>G29-D30</f>
        <v/>
      </c>
      <c r="H30" s="1769" t="n"/>
      <c r="O30" s="1764" t="n"/>
    </row>
    <row r="31" ht="39.75" customFormat="1" customHeight="1" s="1747">
      <c r="A31" s="1766" t="inlineStr">
        <is>
          <t>JT.#13</t>
        </is>
      </c>
      <c r="B31" s="1766" t="inlineStr">
        <is>
          <t>3 1/2" TSH</t>
        </is>
      </c>
      <c r="C31" s="1767" t="n">
        <v>31</v>
      </c>
      <c r="D31" s="1768">
        <f>C31-0.301</f>
        <v/>
      </c>
      <c r="E31" s="1759">
        <f>E30+D31</f>
        <v/>
      </c>
      <c r="F31" s="1759">
        <f>F30-D30</f>
        <v/>
      </c>
      <c r="G31" s="1760">
        <f>G30-D31</f>
        <v/>
      </c>
      <c r="H31" s="1769" t="n"/>
      <c r="O31" s="1764" t="n"/>
    </row>
    <row r="32" ht="39.75" customFormat="1" customHeight="1" s="1747">
      <c r="A32" s="1766" t="inlineStr">
        <is>
          <t>JT.#14</t>
        </is>
      </c>
      <c r="B32" s="1766" t="inlineStr">
        <is>
          <t>3 1/2" TSH</t>
        </is>
      </c>
      <c r="C32" s="1767" t="n">
        <v>31</v>
      </c>
      <c r="D32" s="1768">
        <f>C32-0.301</f>
        <v/>
      </c>
      <c r="E32" s="1759">
        <f>E31+D32</f>
        <v/>
      </c>
      <c r="F32" s="1759">
        <f>F31-D31</f>
        <v/>
      </c>
      <c r="G32" s="1760">
        <f>G31-D32</f>
        <v/>
      </c>
      <c r="H32" s="1769" t="n"/>
    </row>
    <row r="33" ht="39.75" customFormat="1" customHeight="1" s="1747">
      <c r="A33" s="1766" t="inlineStr">
        <is>
          <t>JT.#15</t>
        </is>
      </c>
      <c r="B33" s="1766" t="inlineStr">
        <is>
          <t>3 1/2" TSH</t>
        </is>
      </c>
      <c r="C33" s="1767" t="n">
        <v>31</v>
      </c>
      <c r="D33" s="1768">
        <f>C33-0.301</f>
        <v/>
      </c>
      <c r="E33" s="1759">
        <f>E32+D33</f>
        <v/>
      </c>
      <c r="F33" s="1759">
        <f>F32-D32</f>
        <v/>
      </c>
      <c r="G33" s="1760">
        <f>G32-D33</f>
        <v/>
      </c>
      <c r="H33" s="1769" t="n"/>
    </row>
    <row r="34" ht="39.75" customFormat="1" customHeight="1" s="1747">
      <c r="A34" s="1779" t="inlineStr">
        <is>
          <t>B</t>
        </is>
      </c>
      <c r="B34" s="1780" t="inlineStr">
        <is>
          <t>UPPER CONN. 3-1/2" VAM TOP BOX 9.2 PPF SN 28 110 KSI
DESCRIPTION: 5 FEET XOVER
SAP: 130005011340
SUPPLIER: TENARIS
LOWER CONN. 3-1/2" TSH BLUE PIN 9.2 PPF SN 28 110 KSI</t>
        </is>
      </c>
      <c r="C34" s="1781" t="n">
        <v>5.18</v>
      </c>
      <c r="D34" s="1768">
        <f>C34-0.301</f>
        <v/>
      </c>
      <c r="E34" s="1759">
        <f>E33+D34</f>
        <v/>
      </c>
      <c r="F34" s="1759">
        <f>F33-D33</f>
        <v/>
      </c>
      <c r="G34" s="1760">
        <f>G33-D34</f>
        <v/>
      </c>
      <c r="H34" s="1769" t="n"/>
    </row>
    <row r="35" ht="39.75" customFormat="1" customHeight="1" s="1747">
      <c r="A35" s="1778" t="n"/>
      <c r="B35" s="1780" t="inlineStr">
        <is>
          <t>UPPER CONN. 3-1/2" SENTINEL PRIME BOX 9.2 PPF TX28-110 KSI
DESCRIPTION: 5 FEET XOVER
SAP: 130013006385
SUPPLIER: TBX
LOWER CONN. 3-1/2" VAM TOP PIN 9.2 PPF TX28- 110 KSI</t>
        </is>
      </c>
      <c r="C35" s="1781" t="n">
        <v>4.91</v>
      </c>
      <c r="D35" s="1768">
        <f>C35-0.301</f>
        <v/>
      </c>
      <c r="E35" s="1759">
        <f>E34+D35</f>
        <v/>
      </c>
      <c r="F35" s="1759">
        <f>F34-D34</f>
        <v/>
      </c>
      <c r="G35" s="1760">
        <f>G34-D35</f>
        <v/>
      </c>
      <c r="H35" s="1769" t="n"/>
    </row>
    <row r="36" ht="39.75" customFormat="1" customHeight="1" s="1747">
      <c r="A36" s="1778" t="n"/>
      <c r="B36" s="1780" t="inlineStr">
        <is>
          <t>UPPER CONN. 3-1/2" SENTINEL PRIME 9.2#PPF INC 925 BOX
DESCRIPTION: NINE ENERGY MULTICYCLE BARRIER DEVICE
7 CYCLES REMAINING
P/N: 3207251
S/N: 100 086 877
SAP: 130010036003 SUPPLIER: NINE ENERGY
LOWER CONN- 3 1/2 9.2 SENTINEL PRIME 9.2 PPF INC 925 PIN</t>
        </is>
      </c>
      <c r="C36" s="1781" t="n">
        <v>5.22</v>
      </c>
      <c r="D36" s="1768">
        <f>C36-0.301</f>
        <v/>
      </c>
      <c r="E36" s="1759">
        <f>E35+D36</f>
        <v/>
      </c>
      <c r="F36" s="1759">
        <f>F35-D35</f>
        <v/>
      </c>
      <c r="G36" s="1760">
        <f>G35-D36</f>
        <v/>
      </c>
      <c r="H36" s="1769" t="n"/>
    </row>
    <row r="37" ht="39.75" customFormat="1" customHeight="1" s="1747">
      <c r="A37" s="1778" t="n"/>
      <c r="B37" s="1780" t="inlineStr">
        <is>
          <t>UPPER CONN. 3-1/2" VAM TOP BOX 9.2 PPF TX28- 110 KSI
DESCRIPTION: 5 FEET XOVER
SAP: 130013006383
SUPPLIER: TBX
LOWER CONN -3-1/2" SENTINEL PRIME PIN 9.2 PPF TX28-110 KSI</t>
        </is>
      </c>
      <c r="C37" s="1781" t="n">
        <v>4.8</v>
      </c>
      <c r="D37" s="1768">
        <f>C37-0.301</f>
        <v/>
      </c>
      <c r="E37" s="1759">
        <f>E36+D37</f>
        <v/>
      </c>
      <c r="F37" s="1759">
        <f>F36-D36</f>
        <v/>
      </c>
      <c r="G37" s="1760">
        <f>G36-D37</f>
        <v/>
      </c>
      <c r="H37" s="1769" t="n"/>
    </row>
    <row r="38" ht="39.75" customFormat="1" customHeight="1" s="1747">
      <c r="A38" s="1450" t="n"/>
      <c r="B38" s="1780" t="inlineStr">
        <is>
          <t>UPPER CONN. 3-1/2" TSH BLUE BOX 9.2 PPF SN 28 110 KSI
DESCRIPTION: 10 FEET XOVER
SAP: 130005011444
SUPPLIER: TENARIS
LOWER CONN. 3-1/2" VAM TOP PIN 9.2 PPF SN 28 110 KSI</t>
        </is>
      </c>
      <c r="C38" s="1781" t="n">
        <v>9.83</v>
      </c>
      <c r="D38" s="1768">
        <f>C38-0.301</f>
        <v/>
      </c>
      <c r="E38" s="1759">
        <f>E37+D38</f>
        <v/>
      </c>
      <c r="F38" s="1759">
        <f>F37-D37</f>
        <v/>
      </c>
      <c r="G38" s="1760">
        <f>G37-D38</f>
        <v/>
      </c>
      <c r="H38" s="1769" t="n"/>
    </row>
    <row r="39" ht="39.75" customFormat="1" customHeight="1" s="1747">
      <c r="A39" s="1766" t="inlineStr">
        <is>
          <t>JT.#16</t>
        </is>
      </c>
      <c r="B39" s="1766" t="inlineStr">
        <is>
          <t>3 1/2" TSH</t>
        </is>
      </c>
      <c r="C39" s="1767" t="n">
        <v>31</v>
      </c>
      <c r="D39" s="1768">
        <f>C39-0.301</f>
        <v/>
      </c>
      <c r="E39" s="1759">
        <f>E38+D39</f>
        <v/>
      </c>
      <c r="F39" s="1759">
        <f>F38-D38</f>
        <v/>
      </c>
      <c r="G39" s="1760">
        <f>G38-D39</f>
        <v/>
      </c>
      <c r="H39" s="1769" t="n"/>
    </row>
    <row r="40" ht="39.75" customFormat="1" customHeight="1" s="1747">
      <c r="A40" s="1766" t="inlineStr">
        <is>
          <t>JT.#17</t>
        </is>
      </c>
      <c r="B40" s="1766" t="inlineStr">
        <is>
          <t>3 1/2" TSH</t>
        </is>
      </c>
      <c r="C40" s="1767" t="n">
        <v>31</v>
      </c>
      <c r="D40" s="1768">
        <f>C40-0.301</f>
        <v/>
      </c>
      <c r="E40" s="1759">
        <f>E39+D40</f>
        <v/>
      </c>
      <c r="F40" s="1759">
        <f>F39-D39</f>
        <v/>
      </c>
      <c r="G40" s="1760">
        <f>G39-D40</f>
        <v/>
      </c>
      <c r="H40" s="1769" t="n"/>
    </row>
    <row r="41" ht="39.75" customFormat="1" customHeight="1" s="1747">
      <c r="A41" s="1766" t="inlineStr">
        <is>
          <t>JT.#18</t>
        </is>
      </c>
      <c r="B41" s="1766" t="inlineStr">
        <is>
          <t>3 1/2" TSH</t>
        </is>
      </c>
      <c r="C41" s="1767" t="n">
        <v>31</v>
      </c>
      <c r="D41" s="1768">
        <f>C41-0.301</f>
        <v/>
      </c>
      <c r="E41" s="1759">
        <f>E40+D41</f>
        <v/>
      </c>
      <c r="F41" s="1759">
        <f>F40-D40</f>
        <v/>
      </c>
      <c r="G41" s="1760">
        <f>G40-D41</f>
        <v/>
      </c>
      <c r="H41" s="1769" t="n"/>
    </row>
    <row r="42" ht="39.75" customFormat="1" customHeight="1" s="1747">
      <c r="A42" s="1766" t="inlineStr">
        <is>
          <t>JT.#19</t>
        </is>
      </c>
      <c r="B42" s="1766" t="inlineStr">
        <is>
          <t>3 1/2" TSH</t>
        </is>
      </c>
      <c r="C42" s="1767" t="n">
        <v>31</v>
      </c>
      <c r="D42" s="1768">
        <f>C42-0.301</f>
        <v/>
      </c>
      <c r="E42" s="1759">
        <f>E41+D42</f>
        <v/>
      </c>
      <c r="F42" s="1759">
        <f>F41-D41</f>
        <v/>
      </c>
      <c r="G42" s="1760">
        <f>G41-D42</f>
        <v/>
      </c>
      <c r="H42" s="1769" t="n"/>
    </row>
    <row r="43" ht="39.75" customFormat="1" customHeight="1" s="1747">
      <c r="A43" s="1766" t="inlineStr">
        <is>
          <t>JT.#20</t>
        </is>
      </c>
      <c r="B43" s="1766" t="inlineStr">
        <is>
          <t>3 1/2" TSH</t>
        </is>
      </c>
      <c r="C43" s="1767" t="n">
        <v>31</v>
      </c>
      <c r="D43" s="1768">
        <f>C43-0.301</f>
        <v/>
      </c>
      <c r="E43" s="1759">
        <f>E42+D43</f>
        <v/>
      </c>
      <c r="F43" s="1759">
        <f>F42-D42</f>
        <v/>
      </c>
      <c r="G43" s="1760">
        <f>G42-D43</f>
        <v/>
      </c>
      <c r="H43" s="1769" t="n"/>
    </row>
    <row r="44" ht="39.75" customFormat="1" customHeight="1" s="1747">
      <c r="A44" s="1766" t="inlineStr">
        <is>
          <t>JT.#21</t>
        </is>
      </c>
      <c r="B44" s="1766" t="inlineStr">
        <is>
          <t>3 1/2" TSH</t>
        </is>
      </c>
      <c r="C44" s="1767" t="n">
        <v>31</v>
      </c>
      <c r="D44" s="1768">
        <f>C44-0.301</f>
        <v/>
      </c>
      <c r="E44" s="1759">
        <f>E43+D44</f>
        <v/>
      </c>
      <c r="F44" s="1759">
        <f>F43-D43</f>
        <v/>
      </c>
      <c r="G44" s="1760">
        <f>G43-D44</f>
        <v/>
      </c>
      <c r="H44" s="1769" t="n"/>
    </row>
    <row r="45" ht="39.75" customFormat="1" customHeight="1" s="1747">
      <c r="A45" s="1766" t="inlineStr">
        <is>
          <t>JT.#22</t>
        </is>
      </c>
      <c r="B45" s="1766" t="inlineStr">
        <is>
          <t>3 1/2" TSH</t>
        </is>
      </c>
      <c r="C45" s="1767" t="n">
        <v>31</v>
      </c>
      <c r="D45" s="1768">
        <f>C45-0.301</f>
        <v/>
      </c>
      <c r="E45" s="1759">
        <f>E44+D45</f>
        <v/>
      </c>
      <c r="F45" s="1759">
        <f>F44-D44</f>
        <v/>
      </c>
      <c r="G45" s="1760">
        <f>G44-D45</f>
        <v/>
      </c>
      <c r="H45" s="1769" t="n"/>
    </row>
    <row r="46" ht="39.75" customFormat="1" customHeight="1" s="1747">
      <c r="A46" s="1766" t="inlineStr">
        <is>
          <t>JT.#23</t>
        </is>
      </c>
      <c r="B46" s="1766" t="inlineStr">
        <is>
          <t>3 1/2" TSH</t>
        </is>
      </c>
      <c r="C46" s="1767" t="n">
        <v>31</v>
      </c>
      <c r="D46" s="1768">
        <f>C46-0.301</f>
        <v/>
      </c>
      <c r="E46" s="1759">
        <f>E45+D46</f>
        <v/>
      </c>
      <c r="F46" s="1759">
        <f>F45-D45</f>
        <v/>
      </c>
      <c r="G46" s="1760">
        <f>G45-D46</f>
        <v/>
      </c>
      <c r="H46" s="1769" t="n"/>
    </row>
    <row r="47" ht="39.75" customFormat="1" customHeight="1" s="1747">
      <c r="A47" s="1766" t="inlineStr">
        <is>
          <t>JT.#24</t>
        </is>
      </c>
      <c r="B47" s="1766" t="inlineStr">
        <is>
          <t>3 1/2" TSH</t>
        </is>
      </c>
      <c r="C47" s="1767" t="n">
        <v>31</v>
      </c>
      <c r="D47" s="1768">
        <f>C47-0.301</f>
        <v/>
      </c>
      <c r="E47" s="1759">
        <f>E46+D47</f>
        <v/>
      </c>
      <c r="F47" s="1759">
        <f>F46-D46</f>
        <v/>
      </c>
      <c r="G47" s="1760">
        <f>G46-D47</f>
        <v/>
      </c>
      <c r="H47" s="1769" t="n"/>
    </row>
    <row r="48" ht="39.75" customFormat="1" customHeight="1" s="1747">
      <c r="A48" s="1766" t="inlineStr">
        <is>
          <t>JT.#25</t>
        </is>
      </c>
      <c r="B48" s="1766" t="inlineStr">
        <is>
          <t>3 1/2" TSH</t>
        </is>
      </c>
      <c r="C48" s="1767" t="n">
        <v>31</v>
      </c>
      <c r="D48" s="1768">
        <f>C48-0.301</f>
        <v/>
      </c>
      <c r="E48" s="1759">
        <f>E47+D48</f>
        <v/>
      </c>
      <c r="F48" s="1759">
        <f>F47-D47</f>
        <v/>
      </c>
      <c r="G48" s="1760">
        <f>G47-D48</f>
        <v/>
      </c>
      <c r="H48" s="1769" t="n"/>
    </row>
    <row r="49" ht="39.75" customFormat="1" customHeight="1" s="1747">
      <c r="A49" s="1766" t="inlineStr">
        <is>
          <t>JT.#26</t>
        </is>
      </c>
      <c r="B49" s="1766" t="inlineStr">
        <is>
          <t>3 1/2" TSH</t>
        </is>
      </c>
      <c r="C49" s="1767" t="n">
        <v>31</v>
      </c>
      <c r="D49" s="1768">
        <f>C49-0.301</f>
        <v/>
      </c>
      <c r="E49" s="1759">
        <f>E48+D49</f>
        <v/>
      </c>
      <c r="F49" s="1759">
        <f>F48-D48</f>
        <v/>
      </c>
      <c r="G49" s="1760">
        <f>G48-D49</f>
        <v/>
      </c>
      <c r="H49" s="1769" t="n"/>
    </row>
    <row r="50" ht="39.75" customFormat="1" customHeight="1" s="1747">
      <c r="A50" s="1766" t="inlineStr">
        <is>
          <t>JT.#27</t>
        </is>
      </c>
      <c r="B50" s="1766" t="inlineStr">
        <is>
          <t>3 1/2" TSH</t>
        </is>
      </c>
      <c r="C50" s="1767" t="n">
        <v>31</v>
      </c>
      <c r="D50" s="1768">
        <f>C50-0.301</f>
        <v/>
      </c>
      <c r="E50" s="1759">
        <f>E49+D50</f>
        <v/>
      </c>
      <c r="F50" s="1759">
        <f>F49-D49</f>
        <v/>
      </c>
      <c r="G50" s="1760">
        <f>G49-D50</f>
        <v/>
      </c>
      <c r="H50" s="1769" t="n"/>
    </row>
    <row r="51" ht="39.75" customFormat="1" customHeight="1" s="1747">
      <c r="A51" s="1766" t="inlineStr">
        <is>
          <t>JT.#28</t>
        </is>
      </c>
      <c r="B51" s="1766" t="inlineStr">
        <is>
          <t>3 1/2" TSH</t>
        </is>
      </c>
      <c r="C51" s="1767" t="n">
        <v>31</v>
      </c>
      <c r="D51" s="1768">
        <f>C51-0.301</f>
        <v/>
      </c>
      <c r="E51" s="1759">
        <f>E50+D51</f>
        <v/>
      </c>
      <c r="F51" s="1759">
        <f>F50-D50</f>
        <v/>
      </c>
      <c r="G51" s="1760">
        <f>G50-D51</f>
        <v/>
      </c>
      <c r="H51" s="1769" t="n"/>
    </row>
    <row r="52" ht="39.75" customFormat="1" customHeight="1" s="1747">
      <c r="A52" s="1766" t="inlineStr">
        <is>
          <t>JT.#29</t>
        </is>
      </c>
      <c r="B52" s="1766" t="inlineStr">
        <is>
          <t>3 1/2" TSH</t>
        </is>
      </c>
      <c r="C52" s="1767" t="n">
        <v>31</v>
      </c>
      <c r="D52" s="1768">
        <f>C52-0.301</f>
        <v/>
      </c>
      <c r="E52" s="1759">
        <f>E51+D52</f>
        <v/>
      </c>
      <c r="F52" s="1759">
        <f>F51-D51</f>
        <v/>
      </c>
      <c r="G52" s="1760">
        <f>G51-D52</f>
        <v/>
      </c>
      <c r="H52" s="1769" t="n"/>
    </row>
    <row r="53" ht="39.75" customFormat="1" customHeight="1" s="1747">
      <c r="A53" s="1766" t="inlineStr">
        <is>
          <t>JT.#30</t>
        </is>
      </c>
      <c r="B53" s="1766" t="inlineStr">
        <is>
          <t>3 1/2" TSH</t>
        </is>
      </c>
      <c r="C53" s="1767" t="n">
        <v>31</v>
      </c>
      <c r="D53" s="1768">
        <f>C53-0.301</f>
        <v/>
      </c>
      <c r="E53" s="1759">
        <f>E52+D53</f>
        <v/>
      </c>
      <c r="F53" s="1759">
        <f>F52-D52</f>
        <v/>
      </c>
      <c r="G53" s="1760">
        <f>G52-D53</f>
        <v/>
      </c>
      <c r="H53" s="1769" t="n"/>
    </row>
    <row r="54" ht="39.75" customFormat="1" customHeight="1" s="1747">
      <c r="A54" s="1766" t="inlineStr">
        <is>
          <t>JT.#31</t>
        </is>
      </c>
      <c r="B54" s="1766" t="inlineStr">
        <is>
          <t>3 1/2" TSH</t>
        </is>
      </c>
      <c r="C54" s="1767" t="n">
        <v>31</v>
      </c>
      <c r="D54" s="1768">
        <f>C54-0.301</f>
        <v/>
      </c>
      <c r="E54" s="1759">
        <f>E53+D54</f>
        <v/>
      </c>
      <c r="F54" s="1759">
        <f>F53-D53</f>
        <v/>
      </c>
      <c r="G54" s="1760">
        <f>G53-D54</f>
        <v/>
      </c>
      <c r="H54" s="1769" t="n"/>
    </row>
    <row r="55" ht="39.75" customFormat="1" customHeight="1" s="1747">
      <c r="A55" s="1766" t="inlineStr">
        <is>
          <t>JT.#32</t>
        </is>
      </c>
      <c r="B55" s="1766" t="inlineStr">
        <is>
          <t>3 1/2" TSH</t>
        </is>
      </c>
      <c r="C55" s="1767" t="n">
        <v>31</v>
      </c>
      <c r="D55" s="1768">
        <f>C55-0.301</f>
        <v/>
      </c>
      <c r="E55" s="1759">
        <f>E54+D55</f>
        <v/>
      </c>
      <c r="F55" s="1759">
        <f>F54-D54</f>
        <v/>
      </c>
      <c r="G55" s="1760">
        <f>G54-D55</f>
        <v/>
      </c>
      <c r="H55" s="1769" t="n"/>
    </row>
    <row r="56" ht="39.75" customFormat="1" customHeight="1" s="1747">
      <c r="A56" s="1766" t="inlineStr">
        <is>
          <t>JT.#33</t>
        </is>
      </c>
      <c r="B56" s="1766" t="inlineStr">
        <is>
          <t>3 1/2" TSH</t>
        </is>
      </c>
      <c r="C56" s="1767" t="n">
        <v>31</v>
      </c>
      <c r="D56" s="1768">
        <f>C56-0.301</f>
        <v/>
      </c>
      <c r="E56" s="1759">
        <f>E55+D56</f>
        <v/>
      </c>
      <c r="F56" s="1759">
        <f>F55-D55</f>
        <v/>
      </c>
      <c r="G56" s="1760">
        <f>G55-D56</f>
        <v/>
      </c>
      <c r="H56" s="1769" t="n"/>
    </row>
    <row r="57" ht="39.75" customFormat="1" customHeight="1" s="1747">
      <c r="A57" s="1766" t="inlineStr">
        <is>
          <t>JT.#34</t>
        </is>
      </c>
      <c r="B57" s="1766" t="inlineStr">
        <is>
          <t>3 1/2" TSH</t>
        </is>
      </c>
      <c r="C57" s="1767" t="n">
        <v>31</v>
      </c>
      <c r="D57" s="1768">
        <f>C57-0.301</f>
        <v/>
      </c>
      <c r="E57" s="1759">
        <f>E56+D57</f>
        <v/>
      </c>
      <c r="F57" s="1759">
        <f>F56-D56</f>
        <v/>
      </c>
      <c r="G57" s="1760">
        <f>G56-D57</f>
        <v/>
      </c>
      <c r="H57" s="1769" t="n"/>
    </row>
    <row r="58" ht="39.75" customFormat="1" customHeight="1" s="1747">
      <c r="A58" s="1766" t="inlineStr">
        <is>
          <t>JT.#35</t>
        </is>
      </c>
      <c r="B58" s="1766" t="inlineStr">
        <is>
          <t>3 1/2" TSH</t>
        </is>
      </c>
      <c r="C58" s="1767" t="n">
        <v>31</v>
      </c>
      <c r="D58" s="1768">
        <f>C58-0.301</f>
        <v/>
      </c>
      <c r="E58" s="1759">
        <f>E57+D58</f>
        <v/>
      </c>
      <c r="F58" s="1759">
        <f>F57-D57</f>
        <v/>
      </c>
      <c r="G58" s="1760">
        <f>G57-D58</f>
        <v/>
      </c>
      <c r="H58" s="1769" t="n"/>
    </row>
    <row r="59" ht="39.75" customFormat="1" customHeight="1" s="1747">
      <c r="A59" s="1766" t="inlineStr">
        <is>
          <t>JT.#36</t>
        </is>
      </c>
      <c r="B59" s="1766" t="inlineStr">
        <is>
          <t>3 1/2" TSH</t>
        </is>
      </c>
      <c r="C59" s="1767" t="n">
        <v>31</v>
      </c>
      <c r="D59" s="1768">
        <f>C59-0.301</f>
        <v/>
      </c>
      <c r="E59" s="1759">
        <f>E58+D59</f>
        <v/>
      </c>
      <c r="F59" s="1759">
        <f>F58-D58</f>
        <v/>
      </c>
      <c r="G59" s="1760">
        <f>G58-D59</f>
        <v/>
      </c>
      <c r="H59" s="1769" t="n"/>
    </row>
    <row r="60" ht="39.75" customFormat="1" customHeight="1" s="1747">
      <c r="A60" s="1766" t="inlineStr">
        <is>
          <t>JT.#37</t>
        </is>
      </c>
      <c r="B60" s="1766" t="inlineStr">
        <is>
          <t>3 1/2" TSH</t>
        </is>
      </c>
      <c r="C60" s="1767" t="n">
        <v>31</v>
      </c>
      <c r="D60" s="1768">
        <f>C60-0.301</f>
        <v/>
      </c>
      <c r="E60" s="1759">
        <f>E59+D60</f>
        <v/>
      </c>
      <c r="F60" s="1759">
        <f>F59-D59</f>
        <v/>
      </c>
      <c r="G60" s="1760">
        <f>G59-D60</f>
        <v/>
      </c>
      <c r="H60" s="1769" t="n"/>
    </row>
    <row r="61" ht="39.75" customFormat="1" customHeight="1" s="1747">
      <c r="A61" s="1782" t="inlineStr">
        <is>
          <t>C</t>
        </is>
      </c>
      <c r="B61" s="1783" t="inlineStr">
        <is>
          <t>UPPER CONN. 3-1/2" VAM TOP BOX 9.2 PPF SN 28 110 KSI
DESCRIPTION: 5 FEET XOVER
SAP: 130005011340
SUPPLIER: TENARIS
LOWER CONN. 3-1/2" TSH BLUE PIN 9.2 PPF SN 28 110 KSI</t>
        </is>
      </c>
      <c r="C61" s="1784" t="n">
        <v>5.16</v>
      </c>
      <c r="D61" s="1768">
        <f>C61-0.301</f>
        <v/>
      </c>
      <c r="E61" s="1759">
        <f>E60+D61</f>
        <v/>
      </c>
      <c r="F61" s="1759">
        <f>F60-D60</f>
        <v/>
      </c>
      <c r="G61" s="1760">
        <f>G60-D61</f>
        <v/>
      </c>
      <c r="H61" s="1769" t="n"/>
    </row>
    <row r="62" ht="39.75" customFormat="1" customHeight="1" s="1747">
      <c r="A62" s="1778" t="n"/>
      <c r="B62" s="1783" t="inlineStr">
        <is>
          <t>UPPER CONN. 3-1/2" VAM TOP 9.2#PPF INC 925 KSI BOX
DESCRIPTION: 2.750 WXN Nipple
PN: 2963809
S/N :12527047-08
SAP: 130010036868
SUPPLIER: WEATHERFORD
LOWER CONN.3-1/2" VAM TOP 9.2#PPF INC 925KSI PIN</t>
        </is>
      </c>
      <c r="C62" s="1784" t="n">
        <v>1.15</v>
      </c>
      <c r="D62" s="1768">
        <f>C62-0.301</f>
        <v/>
      </c>
      <c r="E62" s="1759">
        <f>E61+D62</f>
        <v/>
      </c>
      <c r="F62" s="1759">
        <f>F61-D61</f>
        <v/>
      </c>
      <c r="G62" s="1760">
        <f>G61-D62</f>
        <v/>
      </c>
      <c r="H62" s="1769" t="n"/>
    </row>
    <row r="63" ht="39.75" customFormat="1" customHeight="1" s="1747">
      <c r="A63" s="1778" t="n"/>
      <c r="B63" s="1783" t="inlineStr">
        <is>
          <t>UPPER CONN. 3-1/2" VAM TOP 9.2#PPF SM 2535 BOX
DESCRIPTION: 5 FEET PUP JOINT
SAP: 130005002758
SUPPLIER: VAM
LOWER CONN. 3-1/2" VAM TOP 9.2#PPF SM 2535 PIN</t>
        </is>
      </c>
      <c r="C63" s="1784" t="n">
        <v>4.92</v>
      </c>
      <c r="D63" s="1785">
        <f>C63-0.301</f>
        <v/>
      </c>
      <c r="E63" s="1759">
        <f>E62+D63</f>
        <v/>
      </c>
      <c r="F63" s="1759">
        <f>F62-D62</f>
        <v/>
      </c>
      <c r="G63" s="1760">
        <f>G62-D63</f>
        <v/>
      </c>
      <c r="H63" s="1786" t="n"/>
    </row>
    <row r="64" ht="39.75" customFormat="1" customHeight="1" s="1747">
      <c r="A64" s="1778" t="n"/>
      <c r="B64" s="1783" t="inlineStr">
        <is>
          <t>UPPER CONN. 3-1/2" VAM TOP 9.2#PPF SM2535 BOX
DESCRIPTION: 10 FEET PUP JOINT
SAP: 130013000213
SUPPLIER: VAM
LOWER CONN. 3-1/2" VAM TOP 9.2#PPF SM2535 PIN</t>
        </is>
      </c>
      <c r="C64" s="1784" t="n">
        <v>9.92</v>
      </c>
      <c r="D64" s="1768">
        <f>C64-0.301</f>
        <v/>
      </c>
      <c r="E64" s="1759">
        <f>E63+D64</f>
        <v/>
      </c>
      <c r="F64" s="1759">
        <f>F63-D63</f>
        <v/>
      </c>
      <c r="G64" s="1760">
        <f>G63-D64</f>
        <v/>
      </c>
      <c r="H64" s="1787" t="n"/>
      <c r="K64" s="1774" t="n"/>
    </row>
    <row r="65" ht="39.75" customFormat="1" customHeight="1" s="1747">
      <c r="A65" s="1778" t="n"/>
      <c r="B65" s="178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784" t="n">
        <v>9.710000000000001</v>
      </c>
      <c r="D65" s="1768">
        <f>C65-0.301</f>
        <v/>
      </c>
      <c r="E65" s="1759">
        <f>E64+D65</f>
        <v/>
      </c>
      <c r="F65" s="1759">
        <f>F64-D64</f>
        <v/>
      </c>
      <c r="G65" s="1760">
        <f>G64-D65</f>
        <v/>
      </c>
      <c r="H65" s="1787" t="n"/>
      <c r="K65" s="1774" t="n"/>
    </row>
    <row r="66" ht="39.75" customFormat="1" customHeight="1" s="1747">
      <c r="A66" s="1450" t="n"/>
      <c r="B66" s="1783" t="inlineStr">
        <is>
          <t>UPPER CONN. 3-1/2" TSH BLUE BOX 9.2 PPF SN 28 110 KSI
DESCRIPTION: 5 FEET XOVER
SAP: 130005011444
SUPPLIER: TENARIS
LOWER CONN. 3-1/2" VAM TOP PIN 9.2 PPF SN 28 110 KSI</t>
        </is>
      </c>
      <c r="C66" s="1784" t="n">
        <v>4.99</v>
      </c>
      <c r="D66" s="1785">
        <f>C66-0.301</f>
        <v/>
      </c>
      <c r="E66" s="1759">
        <f>E65+D66</f>
        <v/>
      </c>
      <c r="F66" s="1759">
        <f>F65-D65</f>
        <v/>
      </c>
      <c r="G66" s="1760">
        <f>G65-D66</f>
        <v/>
      </c>
      <c r="H66" s="1788" t="n"/>
      <c r="K66" s="1774" t="n"/>
    </row>
    <row r="67" ht="39.75" customFormat="1" customHeight="1" s="1747">
      <c r="A67" s="1766" t="inlineStr">
        <is>
          <t>JT.#38</t>
        </is>
      </c>
      <c r="B67" s="1766" t="inlineStr">
        <is>
          <t>3 1/2" TSH</t>
        </is>
      </c>
      <c r="C67" s="1767" t="n">
        <v>31</v>
      </c>
      <c r="D67" s="1768">
        <f>C67-0.301</f>
        <v/>
      </c>
      <c r="E67" s="1759">
        <f>E66+D67</f>
        <v/>
      </c>
      <c r="F67" s="1759">
        <f>F66-D66</f>
        <v/>
      </c>
      <c r="G67" s="1760">
        <f>G66-D67</f>
        <v/>
      </c>
      <c r="H67" s="1772" t="n"/>
      <c r="K67" s="1774" t="n"/>
    </row>
    <row r="68" ht="39.75" customFormat="1" customHeight="1" s="1747">
      <c r="A68" s="1766" t="inlineStr">
        <is>
          <t>JT.#39</t>
        </is>
      </c>
      <c r="B68" s="1766" t="inlineStr">
        <is>
          <t>3 1/2" TSH</t>
        </is>
      </c>
      <c r="C68" s="1767" t="n">
        <v>31</v>
      </c>
      <c r="D68" s="1768">
        <f>C68-0.301</f>
        <v/>
      </c>
      <c r="E68" s="1759">
        <f>E67+D68</f>
        <v/>
      </c>
      <c r="F68" s="1759">
        <f>F67-D67</f>
        <v/>
      </c>
      <c r="G68" s="1760">
        <f>G67-D68</f>
        <v/>
      </c>
      <c r="H68" s="1772" t="n"/>
      <c r="K68" s="1774" t="n"/>
    </row>
    <row r="69" ht="39.75" customFormat="1" customHeight="1" s="1747">
      <c r="A69" s="1766" t="inlineStr">
        <is>
          <t>JT.#40</t>
        </is>
      </c>
      <c r="B69" s="1766" t="inlineStr">
        <is>
          <t>3 1/2" TSH</t>
        </is>
      </c>
      <c r="C69" s="1767" t="n">
        <v>31</v>
      </c>
      <c r="D69" s="1768">
        <f>C69-0.301</f>
        <v/>
      </c>
      <c r="E69" s="1759">
        <f>E68+D69</f>
        <v/>
      </c>
      <c r="F69" s="1759">
        <f>F68-D68</f>
        <v/>
      </c>
      <c r="G69" s="1760">
        <f>G68-D69</f>
        <v/>
      </c>
      <c r="H69" s="1772" t="n"/>
      <c r="K69" s="1774" t="n"/>
    </row>
    <row r="70" ht="39.75" customFormat="1" customHeight="1" s="1747">
      <c r="A70" s="1766" t="inlineStr">
        <is>
          <t>JT.#41</t>
        </is>
      </c>
      <c r="B70" s="1766" t="inlineStr">
        <is>
          <t>3 1/2" TSH</t>
        </is>
      </c>
      <c r="C70" s="1767" t="n">
        <v>31</v>
      </c>
      <c r="D70" s="1768">
        <f>C70-0.301</f>
        <v/>
      </c>
      <c r="E70" s="1759">
        <f>E69+D70</f>
        <v/>
      </c>
      <c r="F70" s="1759">
        <f>F69-D69</f>
        <v/>
      </c>
      <c r="G70" s="1760">
        <f>G69-D70</f>
        <v/>
      </c>
      <c r="H70" s="1772" t="n"/>
      <c r="K70" s="1774" t="n"/>
    </row>
    <row r="71" ht="39.75" customFormat="1" customHeight="1" s="1747">
      <c r="A71" s="1766" t="inlineStr">
        <is>
          <t>JT.#42</t>
        </is>
      </c>
      <c r="B71" s="1766" t="inlineStr">
        <is>
          <t>3 1/2" TSH</t>
        </is>
      </c>
      <c r="C71" s="1767" t="n">
        <v>31</v>
      </c>
      <c r="D71" s="1768">
        <f>C71-0.301</f>
        <v/>
      </c>
      <c r="E71" s="1759">
        <f>E70+D71</f>
        <v/>
      </c>
      <c r="F71" s="1759">
        <f>F70-D70</f>
        <v/>
      </c>
      <c r="G71" s="1760">
        <f>G70-D71</f>
        <v/>
      </c>
      <c r="H71" s="1772" t="n"/>
      <c r="K71" s="1774" t="n"/>
    </row>
    <row r="72" ht="39.75" customFormat="1" customHeight="1" s="1747">
      <c r="A72" s="1766" t="inlineStr">
        <is>
          <t>JT.#43</t>
        </is>
      </c>
      <c r="B72" s="1766" t="inlineStr">
        <is>
          <t>3 1/2" TSH</t>
        </is>
      </c>
      <c r="C72" s="1767" t="n">
        <v>31</v>
      </c>
      <c r="D72" s="1768">
        <f>C72-0.301</f>
        <v/>
      </c>
      <c r="E72" s="1759">
        <f>E71+D72</f>
        <v/>
      </c>
      <c r="F72" s="1759">
        <f>F71-D71</f>
        <v/>
      </c>
      <c r="G72" s="1760">
        <f>G71-D72</f>
        <v/>
      </c>
      <c r="H72" s="1772" t="n"/>
      <c r="K72" s="1774" t="n"/>
    </row>
    <row r="73" ht="39.75" customFormat="1" customHeight="1" s="1747">
      <c r="A73" s="1766" t="inlineStr">
        <is>
          <t>JT.#44</t>
        </is>
      </c>
      <c r="B73" s="1766" t="inlineStr">
        <is>
          <t>3 1/2" TSH</t>
        </is>
      </c>
      <c r="C73" s="1767" t="n">
        <v>31</v>
      </c>
      <c r="D73" s="1768">
        <f>C73-0.301</f>
        <v/>
      </c>
      <c r="E73" s="1759">
        <f>E72+D73</f>
        <v/>
      </c>
      <c r="F73" s="1759">
        <f>F72-D72</f>
        <v/>
      </c>
      <c r="G73" s="1760">
        <f>G72-D73</f>
        <v/>
      </c>
      <c r="H73" s="1772" t="n"/>
      <c r="K73" s="1774" t="n"/>
    </row>
    <row r="74" ht="39.75" customFormat="1" customHeight="1" s="1747">
      <c r="A74" s="1766" t="inlineStr">
        <is>
          <t>JT.#45</t>
        </is>
      </c>
      <c r="B74" s="1766" t="inlineStr">
        <is>
          <t>3 1/2" TSH</t>
        </is>
      </c>
      <c r="C74" s="1767" t="n">
        <v>31</v>
      </c>
      <c r="D74" s="1768">
        <f>C74-0.301</f>
        <v/>
      </c>
      <c r="E74" s="1759">
        <f>E73+D74</f>
        <v/>
      </c>
      <c r="F74" s="1759">
        <f>F73-D73</f>
        <v/>
      </c>
      <c r="G74" s="1760">
        <f>G73-D74</f>
        <v/>
      </c>
      <c r="H74" s="1772" t="n"/>
      <c r="K74" s="1774" t="n"/>
    </row>
    <row r="75" ht="39.75" customFormat="1" customHeight="1" s="1747">
      <c r="A75" s="1766" t="inlineStr">
        <is>
          <t>JT.#46</t>
        </is>
      </c>
      <c r="B75" s="1766" t="inlineStr">
        <is>
          <t>3 1/2" TSH</t>
        </is>
      </c>
      <c r="C75" s="1767" t="n">
        <v>31</v>
      </c>
      <c r="D75" s="1768">
        <f>C75-0.301</f>
        <v/>
      </c>
      <c r="E75" s="1759">
        <f>E74+D75</f>
        <v/>
      </c>
      <c r="F75" s="1759">
        <f>F74-D74</f>
        <v/>
      </c>
      <c r="G75" s="1760">
        <f>G74-D75</f>
        <v/>
      </c>
      <c r="H75" s="1772" t="n"/>
      <c r="K75" s="1774" t="n"/>
    </row>
    <row r="76" ht="39.75" customFormat="1" customHeight="1" s="1747">
      <c r="A76" s="1766" t="inlineStr">
        <is>
          <t>JT.#47</t>
        </is>
      </c>
      <c r="B76" s="1766" t="inlineStr">
        <is>
          <t>3 1/2" TSH</t>
        </is>
      </c>
      <c r="C76" s="1767" t="n">
        <v>31</v>
      </c>
      <c r="D76" s="1768">
        <f>C76-0.301</f>
        <v/>
      </c>
      <c r="E76" s="1759">
        <f>E75+D76</f>
        <v/>
      </c>
      <c r="F76" s="1759">
        <f>F75-D75</f>
        <v/>
      </c>
      <c r="G76" s="1760">
        <f>G75-D76</f>
        <v/>
      </c>
      <c r="H76" s="1772" t="n"/>
      <c r="K76" s="1774" t="n"/>
    </row>
    <row r="77" ht="39.75" customFormat="1" customHeight="1" s="1747">
      <c r="A77" s="1766" t="inlineStr">
        <is>
          <t>JT.#48</t>
        </is>
      </c>
      <c r="B77" s="1766" t="inlineStr">
        <is>
          <t>3 1/2" TSH</t>
        </is>
      </c>
      <c r="C77" s="1767" t="n">
        <v>31</v>
      </c>
      <c r="D77" s="1768">
        <f>C77-0.301</f>
        <v/>
      </c>
      <c r="E77" s="1759">
        <f>E76+D77</f>
        <v/>
      </c>
      <c r="F77" s="1759">
        <f>F76-D76</f>
        <v/>
      </c>
      <c r="G77" s="1760">
        <f>G76-D77</f>
        <v/>
      </c>
      <c r="H77" s="1772" t="n"/>
      <c r="K77" s="1774" t="n"/>
    </row>
    <row r="78" ht="39.75" customFormat="1" customHeight="1" s="1747">
      <c r="A78" s="1766" t="inlineStr">
        <is>
          <t>JT.#49</t>
        </is>
      </c>
      <c r="B78" s="1766" t="inlineStr">
        <is>
          <t>3 1/2" TSH</t>
        </is>
      </c>
      <c r="C78" s="1767" t="n">
        <v>31</v>
      </c>
      <c r="D78" s="1768">
        <f>C78-0.301</f>
        <v/>
      </c>
      <c r="E78" s="1759">
        <f>E77+D78</f>
        <v/>
      </c>
      <c r="F78" s="1759">
        <f>F77-D77</f>
        <v/>
      </c>
      <c r="G78" s="1760">
        <f>G77-D78</f>
        <v/>
      </c>
      <c r="H78" s="1772" t="n"/>
      <c r="K78" s="1774" t="n"/>
    </row>
    <row r="79" ht="39.75" customFormat="1" customHeight="1" s="1747">
      <c r="A79" s="1766" t="inlineStr">
        <is>
          <t>JT.#50</t>
        </is>
      </c>
      <c r="B79" s="1766" t="inlineStr">
        <is>
          <t>3 1/2" TSH</t>
        </is>
      </c>
      <c r="C79" s="1767" t="n">
        <v>31</v>
      </c>
      <c r="D79" s="1768">
        <f>C79-0.301</f>
        <v/>
      </c>
      <c r="E79" s="1759">
        <f>E78+D79</f>
        <v/>
      </c>
      <c r="F79" s="1759">
        <f>F78-D78</f>
        <v/>
      </c>
      <c r="G79" s="1760">
        <f>G78-D79</f>
        <v/>
      </c>
      <c r="H79" s="1789" t="n"/>
      <c r="K79" s="1774" t="n"/>
    </row>
    <row r="80" ht="39.75" customFormat="1" customHeight="1" s="1747">
      <c r="A80" s="1766" t="inlineStr">
        <is>
          <t>JT.#51</t>
        </is>
      </c>
      <c r="B80" s="1766" t="inlineStr">
        <is>
          <t>3 1/2" TSH</t>
        </is>
      </c>
      <c r="C80" s="1767" t="n">
        <v>31</v>
      </c>
      <c r="D80" s="1785">
        <f>C80-0.301</f>
        <v/>
      </c>
      <c r="E80" s="1759">
        <f>E79+D80</f>
        <v/>
      </c>
      <c r="F80" s="1759">
        <f>F79-D79</f>
        <v/>
      </c>
      <c r="G80" s="1760">
        <f>G79-D80</f>
        <v/>
      </c>
      <c r="H80" s="1789" t="n"/>
      <c r="K80" s="1774" t="n"/>
    </row>
    <row r="81" ht="39.75" customFormat="1" customHeight="1" s="1747">
      <c r="A81" s="1766" t="inlineStr">
        <is>
          <t>JT.#52</t>
        </is>
      </c>
      <c r="B81" s="1766" t="inlineStr">
        <is>
          <t>3 1/2" TSH</t>
        </is>
      </c>
      <c r="C81" s="1767" t="n">
        <v>31</v>
      </c>
      <c r="D81" s="1768">
        <f>C81-0.301</f>
        <v/>
      </c>
      <c r="E81" s="1759">
        <f>E80+D81</f>
        <v/>
      </c>
      <c r="F81" s="1759">
        <f>F80-D80</f>
        <v/>
      </c>
      <c r="G81" s="1760">
        <f>G80-D81</f>
        <v/>
      </c>
      <c r="H81" s="1789" t="n"/>
      <c r="K81" s="1774" t="n"/>
    </row>
    <row r="82" ht="39.75" customFormat="1" customHeight="1" s="1747">
      <c r="A82" s="1766" t="inlineStr">
        <is>
          <t>JT.#53</t>
        </is>
      </c>
      <c r="B82" s="1766" t="inlineStr">
        <is>
          <t>3 1/2" TSH</t>
        </is>
      </c>
      <c r="C82" s="1767" t="n">
        <v>31</v>
      </c>
      <c r="D82" s="1768">
        <f>C82-0.301</f>
        <v/>
      </c>
      <c r="E82" s="1759">
        <f>E81+D82</f>
        <v/>
      </c>
      <c r="F82" s="1759">
        <f>F81-D81</f>
        <v/>
      </c>
      <c r="G82" s="1760">
        <f>G81-D82</f>
        <v/>
      </c>
      <c r="H82" s="1790" t="n"/>
      <c r="I82" s="1771" t="n"/>
      <c r="J82" s="1756" t="n"/>
      <c r="K82" s="1303" t="n"/>
      <c r="L82" s="1303" t="n"/>
      <c r="O82" s="1765" t="n"/>
      <c r="P82" s="1765" t="n"/>
      <c r="Q82" s="1765" t="n"/>
      <c r="R82" s="1765" t="n"/>
      <c r="S82" s="1765" t="n"/>
      <c r="T82" s="1765" t="n"/>
    </row>
    <row r="83" ht="36" customFormat="1" customHeight="1" s="1747">
      <c r="A83" s="1766" t="inlineStr">
        <is>
          <t>JT.#54</t>
        </is>
      </c>
      <c r="B83" s="1766" t="inlineStr">
        <is>
          <t>3 1/2" TSH</t>
        </is>
      </c>
      <c r="C83" s="1767" t="n">
        <v>31</v>
      </c>
      <c r="D83" s="1758">
        <f>C83</f>
        <v/>
      </c>
      <c r="E83" s="1759">
        <f>E82+D83</f>
        <v/>
      </c>
      <c r="F83" s="1759">
        <f>F82-D82</f>
        <v/>
      </c>
      <c r="G83" s="1760">
        <f>G82-D83</f>
        <v/>
      </c>
      <c r="H83" s="1791" t="n"/>
      <c r="J83" s="1756" t="n"/>
      <c r="K83" s="1763" t="n"/>
      <c r="L83" s="1763" t="n"/>
      <c r="O83" s="1765" t="n"/>
      <c r="P83" s="1765" t="n"/>
      <c r="Q83" s="1765" t="n"/>
      <c r="R83" s="1765" t="n"/>
      <c r="S83" s="1765" t="n"/>
      <c r="T83" s="1765" t="n"/>
    </row>
    <row r="84" ht="30.75" customFormat="1" customHeight="1" s="1747">
      <c r="A84" s="1766" t="inlineStr">
        <is>
          <t>JT.#55</t>
        </is>
      </c>
      <c r="B84" s="1766" t="inlineStr">
        <is>
          <t>3 1/2" TSH</t>
        </is>
      </c>
      <c r="C84" s="1767" t="n">
        <v>31</v>
      </c>
      <c r="D84" s="1758">
        <f>C84</f>
        <v/>
      </c>
      <c r="E84" s="1759">
        <f>E83+D84</f>
        <v/>
      </c>
      <c r="F84" s="1759">
        <f>F83-D83</f>
        <v/>
      </c>
      <c r="G84" s="1760">
        <f>G83-D84</f>
        <v/>
      </c>
      <c r="H84" s="1792" t="n"/>
      <c r="J84" s="1756" t="n"/>
      <c r="K84" s="1763" t="n"/>
      <c r="L84" s="1763" t="n"/>
      <c r="O84" s="1765" t="n"/>
      <c r="P84" s="1765" t="n"/>
      <c r="Q84" s="1765" t="n"/>
      <c r="R84" s="1765" t="n"/>
      <c r="S84" s="1765" t="n"/>
      <c r="T84" s="1765" t="n"/>
    </row>
    <row r="85" ht="39.75" customFormat="1" customHeight="1" s="1747">
      <c r="A85" s="1766" t="inlineStr">
        <is>
          <t>JT.#56</t>
        </is>
      </c>
      <c r="B85" s="1766" t="inlineStr">
        <is>
          <t>3 1/2" TSH</t>
        </is>
      </c>
      <c r="C85" s="1767" t="n">
        <v>31</v>
      </c>
      <c r="D85" s="1768">
        <f>C85-0.301</f>
        <v/>
      </c>
      <c r="E85" s="1759">
        <f>E84+D85</f>
        <v/>
      </c>
      <c r="F85" s="1759">
        <f>F84-D84</f>
        <v/>
      </c>
      <c r="G85" s="1760">
        <f>G84-D85</f>
        <v/>
      </c>
      <c r="H85" s="1772" t="n"/>
      <c r="K85" s="1774" t="n"/>
    </row>
    <row r="86" ht="39.75" customFormat="1" customHeight="1" s="1747">
      <c r="A86" s="1766" t="inlineStr">
        <is>
          <t>JT.#57</t>
        </is>
      </c>
      <c r="B86" s="1766" t="inlineStr">
        <is>
          <t>3 1/2" TSH</t>
        </is>
      </c>
      <c r="C86" s="1767" t="n">
        <v>31</v>
      </c>
      <c r="D86" s="1768">
        <f>C86-0.301</f>
        <v/>
      </c>
      <c r="E86" s="1759">
        <f>E85+D86</f>
        <v/>
      </c>
      <c r="F86" s="1759">
        <f>F85-D85</f>
        <v/>
      </c>
      <c r="G86" s="1760">
        <f>G85-D86</f>
        <v/>
      </c>
      <c r="H86" s="1772" t="n"/>
      <c r="K86" s="1774" t="n"/>
    </row>
    <row r="87" ht="39.75" customFormat="1" customHeight="1" s="1747">
      <c r="A87" s="1793" t="inlineStr">
        <is>
          <t>D1</t>
        </is>
      </c>
      <c r="B87" s="1794" t="inlineStr">
        <is>
          <t>UPPER CONN. 3-1/2" VAM TOP BOX 9.2 PPF SN 28 110 KSI
DESCRIPTION: 5 FEET XOVER
SAP: 130005011340
SUPPLIER: TENARIS
LOWER CONN. 3-1/2" TSH BLUE PIN 9.2 PPF SN 28 110 KSI</t>
        </is>
      </c>
      <c r="C87" s="1795" t="n">
        <v>5.2</v>
      </c>
      <c r="D87" s="1768">
        <f>C87-0.301</f>
        <v/>
      </c>
      <c r="E87" s="1759">
        <f>E86+D87</f>
        <v/>
      </c>
      <c r="F87" s="1759">
        <f>F86-D86</f>
        <v/>
      </c>
      <c r="G87" s="1760">
        <f>G86-D87</f>
        <v/>
      </c>
      <c r="H87" s="1772" t="n"/>
      <c r="K87" s="1774" t="n"/>
    </row>
    <row r="88" ht="39.75" customFormat="1" customHeight="1" s="1747">
      <c r="A88" s="1778" t="n"/>
      <c r="B88" s="1794" t="inlineStr">
        <is>
          <t>UPPER CONN. 3-1/2" SENTINEL PRIME BOX 9.2 PPF TX28-110 KSI
DESCRIPTION: 5 FEET XOVER
SAP: 130013006385
SUPPLIER: TBX
LOWER CONN. 3-1/2" VAM TOP PIN 9.2 PPF TX28-110 KSI</t>
        </is>
      </c>
      <c r="C88" s="1795" t="n">
        <v>4.96</v>
      </c>
      <c r="D88" s="1768">
        <f>C88-0.301</f>
        <v/>
      </c>
      <c r="E88" s="1759">
        <f>E87+D88</f>
        <v/>
      </c>
      <c r="F88" s="1759">
        <f>F87-D87</f>
        <v/>
      </c>
      <c r="G88" s="1760">
        <f>G87-D88</f>
        <v/>
      </c>
      <c r="H88" s="1772" t="n"/>
      <c r="K88" s="1774" t="n"/>
    </row>
    <row r="89" ht="39.75" customFormat="1" customHeight="1" s="1747">
      <c r="A89" s="1778" t="n"/>
      <c r="B89" s="179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795" t="n">
        <v>8.69</v>
      </c>
      <c r="D89" s="1768">
        <f>C89-0.301</f>
        <v/>
      </c>
      <c r="E89" s="1759">
        <f>E88+D89</f>
        <v/>
      </c>
      <c r="F89" s="1759">
        <f>F88-D88</f>
        <v/>
      </c>
      <c r="G89" s="1760">
        <f>G88-D89</f>
        <v/>
      </c>
      <c r="H89" s="1772" t="n"/>
      <c r="K89" s="1774" t="n"/>
    </row>
    <row r="90" ht="39.75" customFormat="1" customHeight="1" s="1747">
      <c r="A90" s="1778" t="n"/>
      <c r="B90" s="1794" t="inlineStr">
        <is>
          <t>UPPER CONN. 3-1/2" VAM TOP BOX 9.2 PPF TX28- 110 KSI
DESCRIPTION: 5 FEET XOVER
SAP: 130013006383
SUPPLIER: TBX
LOWER CONN -3-1/2" SENTINEL PRIME PIN 9.2 PPF TX28-110 KSI</t>
        </is>
      </c>
      <c r="C90" s="1795" t="n">
        <v>4.85</v>
      </c>
      <c r="D90" s="1768">
        <f>C90-0.301</f>
        <v/>
      </c>
      <c r="E90" s="1759">
        <f>E89+D90</f>
        <v/>
      </c>
      <c r="F90" s="1759">
        <f>F89-D89</f>
        <v/>
      </c>
      <c r="G90" s="1760">
        <f>G89-D90</f>
        <v/>
      </c>
      <c r="H90" s="1772" t="n"/>
      <c r="K90" s="1774" t="n"/>
    </row>
    <row r="91" ht="39.75" customFormat="1" customHeight="1" s="1747">
      <c r="A91" s="1450" t="n"/>
      <c r="B91" s="1794" t="inlineStr">
        <is>
          <t>UPPER CONN. 3-1/2" TSH BLUE BOX 9.2 PPF SN 28 110 KSI
DESCRIPTION: 10 FEET XOVER
SAP: 130005012487
SUPPLIER: TENARIS
LOWER CONN. 3-1/2" VAM TOP PIN 9.2 PPF SN 28 110 KSI</t>
        </is>
      </c>
      <c r="C91" s="1795" t="n">
        <v>9.949999999999999</v>
      </c>
      <c r="D91" s="1768">
        <f>C91-0.301</f>
        <v/>
      </c>
      <c r="E91" s="1759">
        <f>E90+D91</f>
        <v/>
      </c>
      <c r="F91" s="1759">
        <f>F90-D90</f>
        <v/>
      </c>
      <c r="G91" s="1760">
        <f>G90-D91</f>
        <v/>
      </c>
      <c r="H91" s="1772" t="n"/>
      <c r="K91" s="1774" t="n"/>
    </row>
    <row r="92" ht="39.75" customFormat="1" customHeight="1" s="1747">
      <c r="A92" s="1766" t="inlineStr">
        <is>
          <t>JT.#58</t>
        </is>
      </c>
      <c r="B92" s="1766" t="inlineStr">
        <is>
          <t>3 1/2" TSH</t>
        </is>
      </c>
      <c r="C92" s="1767" t="n">
        <v>31</v>
      </c>
      <c r="D92" s="1768">
        <f>C92-0.301</f>
        <v/>
      </c>
      <c r="E92" s="1759">
        <f>E91+D92</f>
        <v/>
      </c>
      <c r="F92" s="1759">
        <f>F91-D91</f>
        <v/>
      </c>
      <c r="G92" s="1760">
        <f>G91-D92</f>
        <v/>
      </c>
      <c r="H92" s="1772" t="n"/>
      <c r="K92" s="1774" t="n"/>
    </row>
    <row r="93" ht="39.75" customFormat="1" customHeight="1" s="1747">
      <c r="A93" s="1766" t="inlineStr">
        <is>
          <t>JT.#59</t>
        </is>
      </c>
      <c r="B93" s="1766" t="inlineStr">
        <is>
          <t>3 1/2" TSH</t>
        </is>
      </c>
      <c r="C93" s="1767" t="n">
        <v>31</v>
      </c>
      <c r="D93" s="1768">
        <f>C93-0.301</f>
        <v/>
      </c>
      <c r="E93" s="1759">
        <f>E92+D93</f>
        <v/>
      </c>
      <c r="F93" s="1759">
        <f>F92-D92</f>
        <v/>
      </c>
      <c r="G93" s="1760">
        <f>G92-D93</f>
        <v/>
      </c>
      <c r="H93" s="1772" t="n"/>
      <c r="K93" s="1774" t="n"/>
    </row>
    <row r="94" ht="39.75" customFormat="1" customHeight="1" s="1747">
      <c r="A94" s="1766" t="inlineStr">
        <is>
          <t>JT.#60</t>
        </is>
      </c>
      <c r="B94" s="1766" t="inlineStr">
        <is>
          <t>3 1/2" TSH</t>
        </is>
      </c>
      <c r="C94" s="1767" t="n">
        <v>31</v>
      </c>
      <c r="D94" s="1768">
        <f>C94-0.301</f>
        <v/>
      </c>
      <c r="E94" s="1759">
        <f>E93+D94</f>
        <v/>
      </c>
      <c r="F94" s="1759">
        <f>F93-D93</f>
        <v/>
      </c>
      <c r="G94" s="1760">
        <f>G93-D94</f>
        <v/>
      </c>
      <c r="H94" s="1772" t="n"/>
      <c r="K94" s="1774" t="n"/>
    </row>
    <row r="95" ht="39.75" customFormat="1" customHeight="1" s="1747">
      <c r="A95" s="1766" t="inlineStr">
        <is>
          <t>JT.#61</t>
        </is>
      </c>
      <c r="B95" s="1766" t="inlineStr">
        <is>
          <t>3 1/2" TSH</t>
        </is>
      </c>
      <c r="C95" s="1767" t="n">
        <v>31</v>
      </c>
      <c r="D95" s="1768">
        <f>C95-0.301</f>
        <v/>
      </c>
      <c r="E95" s="1759">
        <f>E94+D95</f>
        <v/>
      </c>
      <c r="F95" s="1759">
        <f>F94-D94</f>
        <v/>
      </c>
      <c r="G95" s="1760">
        <f>G94-D95</f>
        <v/>
      </c>
      <c r="H95" s="1772" t="n"/>
      <c r="K95" s="1774" t="n"/>
    </row>
    <row r="96" ht="39.75" customFormat="1" customHeight="1" s="1747">
      <c r="A96" s="1766" t="inlineStr">
        <is>
          <t>JT.#62</t>
        </is>
      </c>
      <c r="B96" s="1766" t="inlineStr">
        <is>
          <t>3 1/2" TSH</t>
        </is>
      </c>
      <c r="C96" s="1767" t="n">
        <v>31</v>
      </c>
      <c r="D96" s="1768">
        <f>C96-0.301</f>
        <v/>
      </c>
      <c r="E96" s="1759">
        <f>E95+D96</f>
        <v/>
      </c>
      <c r="F96" s="1759">
        <f>F95-D95</f>
        <v/>
      </c>
      <c r="G96" s="1760">
        <f>G95-D96</f>
        <v/>
      </c>
      <c r="H96" s="1772" t="n"/>
      <c r="I96" s="1796" t="n"/>
      <c r="K96" s="1774" t="n"/>
    </row>
    <row r="97" ht="39.75" customFormat="1" customHeight="1" s="1747">
      <c r="A97" s="1766" t="inlineStr">
        <is>
          <t>JT.#63</t>
        </is>
      </c>
      <c r="B97" s="1766" t="inlineStr">
        <is>
          <t>3 1/2" TSH</t>
        </is>
      </c>
      <c r="C97" s="1767" t="n">
        <v>31</v>
      </c>
      <c r="D97" s="1768">
        <f>C97-0.301</f>
        <v/>
      </c>
      <c r="E97" s="1759">
        <f>E96+D97</f>
        <v/>
      </c>
      <c r="F97" s="1759">
        <f>F96-D96</f>
        <v/>
      </c>
      <c r="G97" s="1760">
        <f>G96-D97</f>
        <v/>
      </c>
      <c r="H97" s="1772" t="n"/>
      <c r="I97" s="1796" t="n"/>
      <c r="K97" s="1774" t="n"/>
    </row>
    <row r="98" ht="39.75" customFormat="1" customHeight="1" s="1747">
      <c r="A98" s="1766" t="inlineStr">
        <is>
          <t>JT.#64</t>
        </is>
      </c>
      <c r="B98" s="1766" t="inlineStr">
        <is>
          <t>3 1/2" TSH</t>
        </is>
      </c>
      <c r="C98" s="1767" t="n">
        <v>31</v>
      </c>
      <c r="D98" s="1768">
        <f>C98-0.301</f>
        <v/>
      </c>
      <c r="E98" s="1759">
        <f>E97+D98</f>
        <v/>
      </c>
      <c r="F98" s="1759">
        <f>F97-D97</f>
        <v/>
      </c>
      <c r="G98" s="1760">
        <f>G97-D98</f>
        <v/>
      </c>
      <c r="H98" s="1772" t="n"/>
      <c r="I98" s="1796" t="n"/>
      <c r="K98" s="1774" t="n"/>
    </row>
    <row r="99" ht="39.75" customFormat="1" customHeight="1" s="1747">
      <c r="A99" s="1766" t="inlineStr">
        <is>
          <t>JT.#65</t>
        </is>
      </c>
      <c r="B99" s="1766" t="inlineStr">
        <is>
          <t>3 1/2" TSH</t>
        </is>
      </c>
      <c r="C99" s="1767" t="n">
        <v>31</v>
      </c>
      <c r="D99" s="1768">
        <f>C99-0.301</f>
        <v/>
      </c>
      <c r="E99" s="1759">
        <f>E98+D99</f>
        <v/>
      </c>
      <c r="F99" s="1759">
        <f>F98-D98</f>
        <v/>
      </c>
      <c r="G99" s="1760">
        <f>G98-D99</f>
        <v/>
      </c>
      <c r="H99" s="1772" t="n"/>
      <c r="I99" s="1796" t="n"/>
      <c r="K99" s="1774" t="n"/>
    </row>
    <row r="100" ht="39.75" customFormat="1" customHeight="1" s="1747">
      <c r="A100" s="1766" t="inlineStr">
        <is>
          <t>JT.#66</t>
        </is>
      </c>
      <c r="B100" s="1766" t="inlineStr">
        <is>
          <t>3 1/2" TSH</t>
        </is>
      </c>
      <c r="C100" s="1767" t="n">
        <v>31</v>
      </c>
      <c r="D100" s="1768">
        <f>C100-0.301</f>
        <v/>
      </c>
      <c r="E100" s="1759">
        <f>E99+D100</f>
        <v/>
      </c>
      <c r="F100" s="1759">
        <f>F99-D99</f>
        <v/>
      </c>
      <c r="G100" s="1760">
        <f>G99-D100</f>
        <v/>
      </c>
      <c r="H100" s="1772" t="n"/>
      <c r="I100" s="1796" t="n"/>
      <c r="K100" s="1774" t="n"/>
    </row>
    <row r="101" ht="39.75" customFormat="1" customHeight="1" s="1747">
      <c r="A101" s="1766" t="inlineStr">
        <is>
          <t>JT.#67</t>
        </is>
      </c>
      <c r="B101" s="1766" t="inlineStr">
        <is>
          <t>3 1/2" TSH</t>
        </is>
      </c>
      <c r="C101" s="1767" t="n">
        <v>31</v>
      </c>
      <c r="D101" s="1768">
        <f>C101-0.301</f>
        <v/>
      </c>
      <c r="E101" s="1759">
        <f>E100+D101</f>
        <v/>
      </c>
      <c r="F101" s="1759">
        <f>F100-D100</f>
        <v/>
      </c>
      <c r="G101" s="1760">
        <f>G100-D101</f>
        <v/>
      </c>
      <c r="H101" s="1772" t="n"/>
      <c r="K101" s="1774" t="n"/>
    </row>
    <row r="102" ht="39.75" customFormat="1" customHeight="1" s="1747">
      <c r="A102" s="1766" t="inlineStr">
        <is>
          <t>JT.#68</t>
        </is>
      </c>
      <c r="B102" s="1766" t="inlineStr">
        <is>
          <t>3 1/2" TSH</t>
        </is>
      </c>
      <c r="C102" s="1767" t="n">
        <v>31</v>
      </c>
      <c r="D102" s="1768">
        <f>C102-0.301</f>
        <v/>
      </c>
      <c r="E102" s="1759">
        <f>E101+D102</f>
        <v/>
      </c>
      <c r="F102" s="1759">
        <f>F101-D101</f>
        <v/>
      </c>
      <c r="G102" s="1760">
        <f>G101-D102</f>
        <v/>
      </c>
      <c r="H102" s="1772" t="n"/>
      <c r="K102" s="1774" t="n"/>
    </row>
    <row r="103" ht="39.75" customFormat="1" customHeight="1" s="1747">
      <c r="A103" s="1766" t="inlineStr">
        <is>
          <t>JT.#69</t>
        </is>
      </c>
      <c r="B103" s="1766" t="inlineStr">
        <is>
          <t>3 1/2" TSH</t>
        </is>
      </c>
      <c r="C103" s="1767" t="n">
        <v>31</v>
      </c>
      <c r="D103" s="1768">
        <f>C103-0.301</f>
        <v/>
      </c>
      <c r="E103" s="1759">
        <f>E102+D103</f>
        <v/>
      </c>
      <c r="F103" s="1759">
        <f>F102-D102</f>
        <v/>
      </c>
      <c r="G103" s="1760">
        <f>G102-D103</f>
        <v/>
      </c>
      <c r="H103" s="1772" t="n"/>
      <c r="K103" s="1774" t="n"/>
    </row>
    <row r="104" ht="39.75" customFormat="1" customHeight="1" s="1747">
      <c r="A104" s="1766" t="inlineStr">
        <is>
          <t>JT.#70</t>
        </is>
      </c>
      <c r="B104" s="1766" t="inlineStr">
        <is>
          <t>3 1/2" TSH</t>
        </is>
      </c>
      <c r="C104" s="1767" t="n">
        <v>31</v>
      </c>
      <c r="D104" s="1768">
        <f>C104-0.301</f>
        <v/>
      </c>
      <c r="E104" s="1759">
        <f>E103+D104</f>
        <v/>
      </c>
      <c r="F104" s="1759">
        <f>F103-D103</f>
        <v/>
      </c>
      <c r="G104" s="1760">
        <f>G103-D104</f>
        <v/>
      </c>
      <c r="H104" s="1772" t="n"/>
      <c r="K104" s="1774" t="n"/>
    </row>
    <row r="105" ht="39.75" customFormat="1" customHeight="1" s="1747">
      <c r="A105" s="1766" t="inlineStr">
        <is>
          <t>JT.#71</t>
        </is>
      </c>
      <c r="B105" s="1766" t="inlineStr">
        <is>
          <t>3 1/2" TSH</t>
        </is>
      </c>
      <c r="C105" s="1767" t="n">
        <v>31</v>
      </c>
      <c r="D105" s="1768">
        <f>C105-0.301</f>
        <v/>
      </c>
      <c r="E105" s="1759">
        <f>E104+D105</f>
        <v/>
      </c>
      <c r="F105" s="1759">
        <f>F104-D104</f>
        <v/>
      </c>
      <c r="G105" s="1760">
        <f>G104-D105</f>
        <v/>
      </c>
      <c r="H105" s="1772" t="n"/>
      <c r="K105" s="1774" t="n"/>
    </row>
    <row r="106" ht="39.75" customFormat="1" customHeight="1" s="1747">
      <c r="A106" s="1766" t="inlineStr">
        <is>
          <t>JT.#72</t>
        </is>
      </c>
      <c r="B106" s="1766" t="inlineStr">
        <is>
          <t>3 1/2" TSH</t>
        </is>
      </c>
      <c r="C106" s="1767" t="n">
        <v>31</v>
      </c>
      <c r="D106" s="1768">
        <f>C106-0.301</f>
        <v/>
      </c>
      <c r="E106" s="1759">
        <f>E105+D106</f>
        <v/>
      </c>
      <c r="F106" s="1759">
        <f>F105-D105</f>
        <v/>
      </c>
      <c r="G106" s="1760">
        <f>G105-D106</f>
        <v/>
      </c>
      <c r="H106" s="1772" t="n"/>
      <c r="K106" s="1774" t="n"/>
    </row>
    <row r="107" ht="39.75" customFormat="1" customHeight="1" s="1747">
      <c r="A107" s="1766" t="inlineStr">
        <is>
          <t>JT.#73</t>
        </is>
      </c>
      <c r="B107" s="1766" t="inlineStr">
        <is>
          <t>3 1/2" TSH</t>
        </is>
      </c>
      <c r="C107" s="1767" t="n">
        <v>31</v>
      </c>
      <c r="D107" s="1768">
        <f>C107-0.301</f>
        <v/>
      </c>
      <c r="E107" s="1759">
        <f>E106+D107</f>
        <v/>
      </c>
      <c r="F107" s="1759">
        <f>F106-D106</f>
        <v/>
      </c>
      <c r="G107" s="1760">
        <f>G106-D107</f>
        <v/>
      </c>
      <c r="H107" s="1772" t="n"/>
      <c r="K107" s="1774" t="n"/>
    </row>
    <row r="108" ht="39.75" customFormat="1" customHeight="1" s="1747">
      <c r="A108" s="1766" t="inlineStr">
        <is>
          <t>JT.#74</t>
        </is>
      </c>
      <c r="B108" s="1766" t="inlineStr">
        <is>
          <t>3 1/2" TSH</t>
        </is>
      </c>
      <c r="C108" s="1767" t="n">
        <v>31</v>
      </c>
      <c r="D108" s="1768">
        <f>C108-0.301</f>
        <v/>
      </c>
      <c r="E108" s="1759">
        <f>E107+D108</f>
        <v/>
      </c>
      <c r="F108" s="1759">
        <f>F107-D107</f>
        <v/>
      </c>
      <c r="G108" s="1760">
        <f>G107-D108</f>
        <v/>
      </c>
      <c r="H108" s="1772" t="n"/>
      <c r="K108" s="1774" t="n"/>
    </row>
    <row r="109" ht="39.75" customFormat="1" customHeight="1" s="1747">
      <c r="A109" s="1766" t="inlineStr">
        <is>
          <t>JT.#75</t>
        </is>
      </c>
      <c r="B109" s="1766" t="inlineStr">
        <is>
          <t>3 1/2" TSH</t>
        </is>
      </c>
      <c r="C109" s="1767" t="n">
        <v>31</v>
      </c>
      <c r="D109" s="1768">
        <f>C109-0.301</f>
        <v/>
      </c>
      <c r="E109" s="1759">
        <f>E108+D109</f>
        <v/>
      </c>
      <c r="F109" s="1759">
        <f>F108-D108</f>
        <v/>
      </c>
      <c r="G109" s="1760">
        <f>G108-D109</f>
        <v/>
      </c>
      <c r="H109" s="1772" t="n"/>
      <c r="K109" s="1774" t="n"/>
    </row>
    <row r="110" ht="39.75" customFormat="1" customHeight="1" s="1747">
      <c r="A110" s="1766" t="inlineStr">
        <is>
          <t>JT.#76</t>
        </is>
      </c>
      <c r="B110" s="1766" t="inlineStr">
        <is>
          <t>3 1/2" TSH</t>
        </is>
      </c>
      <c r="C110" s="1767" t="n">
        <v>31</v>
      </c>
      <c r="D110" s="1768">
        <f>C110-0.301</f>
        <v/>
      </c>
      <c r="E110" s="1759">
        <f>E109+D110</f>
        <v/>
      </c>
      <c r="F110" s="1759">
        <f>F109-D109</f>
        <v/>
      </c>
      <c r="G110" s="1760">
        <f>G109-D110</f>
        <v/>
      </c>
      <c r="H110" s="1772" t="n"/>
      <c r="K110" s="1774" t="n"/>
    </row>
    <row r="111" ht="39.75" customFormat="1" customHeight="1" s="1747">
      <c r="A111" s="1766" t="inlineStr">
        <is>
          <t>JT.#77</t>
        </is>
      </c>
      <c r="B111" s="1766" t="inlineStr">
        <is>
          <t>3 1/2" TSH</t>
        </is>
      </c>
      <c r="C111" s="1767" t="n">
        <v>31</v>
      </c>
      <c r="D111" s="1768">
        <f>C111-0.301</f>
        <v/>
      </c>
      <c r="E111" s="1759">
        <f>E110+D111</f>
        <v/>
      </c>
      <c r="F111" s="1759">
        <f>F110-D110</f>
        <v/>
      </c>
      <c r="G111" s="1760">
        <f>G110-D111</f>
        <v/>
      </c>
      <c r="H111" s="1772" t="n"/>
      <c r="K111" s="1774" t="n"/>
    </row>
    <row r="112" ht="39" customFormat="1" customHeight="1" s="1747">
      <c r="A112" s="1797" t="inlineStr">
        <is>
          <t>D2</t>
        </is>
      </c>
      <c r="B112" s="1798" t="inlineStr">
        <is>
          <t>UPPER CONN. 3-1/2" VAM TOP BOX 9.2 PPF SN 28 110 KSI
DESCRIPTION: 5 FEET XOVER
SAP: 130005011340
SUPPLIER: TENARIS
LOWER CONN. 3-1/2" TSH BLUE PIN 9.2 PPF SN 28 110 KSI</t>
        </is>
      </c>
      <c r="C112" s="1799" t="n">
        <v>5.18</v>
      </c>
      <c r="D112" s="1768">
        <f>C112-0.301</f>
        <v/>
      </c>
      <c r="E112" s="1759">
        <f>E111+D112</f>
        <v/>
      </c>
      <c r="F112" s="1759">
        <f>F111-D111</f>
        <v/>
      </c>
      <c r="G112" s="1760">
        <f>G111-D112</f>
        <v/>
      </c>
      <c r="H112" s="1772" t="n"/>
      <c r="K112" s="1774" t="n"/>
    </row>
    <row r="113" ht="39.75" customFormat="1" customHeight="1" s="1747">
      <c r="A113" s="1778" t="n"/>
      <c r="B113" s="1798" t="inlineStr">
        <is>
          <t>UPPER CONN. 3-1/2" SENTINEL PRIME BOX 9.2 PPF TX28- 110 KSI
DESCRIPTION: 5 FEET XOVER
SAP: 130013006385
SUPPLIER: TBX
LOWER CONN. 3-1/2" VAM TOP PIN 9.2 PPF TX28-110 KSI</t>
        </is>
      </c>
      <c r="C113" s="1799" t="n">
        <v>4.97</v>
      </c>
      <c r="D113" s="1768">
        <f>C113-0.301</f>
        <v/>
      </c>
      <c r="E113" s="1759">
        <f>E112+D113</f>
        <v/>
      </c>
      <c r="F113" s="1759">
        <f>F112-D112</f>
        <v/>
      </c>
      <c r="G113" s="1760">
        <f>G112-D113</f>
        <v/>
      </c>
      <c r="H113" s="1772" t="n"/>
      <c r="K113" s="1774" t="n"/>
    </row>
    <row r="114" ht="39.75" customFormat="1" customHeight="1" s="1747">
      <c r="A114" s="1778" t="n"/>
      <c r="B114" s="179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799" t="n">
        <v>8.69</v>
      </c>
      <c r="D114" s="1768">
        <f>C114-0.301</f>
        <v/>
      </c>
      <c r="E114" s="1759">
        <f>E113+D114</f>
        <v/>
      </c>
      <c r="F114" s="1759">
        <f>F113-D113</f>
        <v/>
      </c>
      <c r="G114" s="1760">
        <f>G113-D114</f>
        <v/>
      </c>
      <c r="H114" s="1772" t="n"/>
      <c r="K114" s="1774" t="n"/>
    </row>
    <row r="115" ht="39.75" customFormat="1" customHeight="1" s="1747">
      <c r="A115" s="1778" t="n"/>
      <c r="B115" s="1798" t="inlineStr">
        <is>
          <t>UPPER CONN. 3-1/2" VAM TOP BOX 9.2 PPF TX28- 110 KSI
DESCRIPTION: 5 FEET XOVER
SAP: 130013006383
SUPPLIER: TBX
LOWER CONN -3-1/2" SENTINEL PRIME PIN 9.2 PPF TX28-110 KSI</t>
        </is>
      </c>
      <c r="C115" s="1799" t="n">
        <v>4.8</v>
      </c>
      <c r="D115" s="1768">
        <f>C115-0.301</f>
        <v/>
      </c>
      <c r="E115" s="1759">
        <f>E114+D115</f>
        <v/>
      </c>
      <c r="F115" s="1759">
        <f>F114-D114</f>
        <v/>
      </c>
      <c r="G115" s="1760">
        <f>G114-D115</f>
        <v/>
      </c>
      <c r="H115" s="1772" t="n"/>
      <c r="K115" s="1774" t="n"/>
    </row>
    <row r="116" ht="39.75" customFormat="1" customHeight="1" s="1747">
      <c r="A116" s="1450" t="n"/>
      <c r="B116" s="1798" t="inlineStr">
        <is>
          <t>UPPER CONN. 3-1/2" TSH BLUE BOX 9.2 PPF SN 28 110 KSI
DESCRIPTION: 10 FEET XOVER
SAP: 130005012487
SUPPLIER: TENARIS
LOWER CONN. 3-1/2" VAM TOP PIN 9.2 PPF SN 28 110 KSI</t>
        </is>
      </c>
      <c r="C116" s="1799" t="n">
        <v>9.949999999999999</v>
      </c>
      <c r="D116" s="1768">
        <f>C116-0.301</f>
        <v/>
      </c>
      <c r="E116" s="1759">
        <f>E115+D116</f>
        <v/>
      </c>
      <c r="F116" s="1759">
        <f>F115-D115</f>
        <v/>
      </c>
      <c r="G116" s="1760">
        <f>G115-D116</f>
        <v/>
      </c>
      <c r="H116" s="1772" t="n"/>
      <c r="K116" s="1774" t="n"/>
    </row>
    <row r="117" ht="39.75" customFormat="1" customHeight="1" s="1747">
      <c r="A117" s="1766" t="inlineStr">
        <is>
          <t>JT.#78</t>
        </is>
      </c>
      <c r="B117" s="1766" t="inlineStr">
        <is>
          <t>3 1/2" TSH</t>
        </is>
      </c>
      <c r="C117" s="1767" t="n">
        <v>31</v>
      </c>
      <c r="D117" s="1768">
        <f>C117-0.301</f>
        <v/>
      </c>
      <c r="E117" s="1759">
        <f>E116+D117</f>
        <v/>
      </c>
      <c r="F117" s="1759">
        <f>F116-D116</f>
        <v/>
      </c>
      <c r="G117" s="1760">
        <f>G116-D117</f>
        <v/>
      </c>
      <c r="H117" s="1772" t="n"/>
      <c r="K117" s="1774" t="n"/>
    </row>
    <row r="118" ht="39.75" customFormat="1" customHeight="1" s="1747">
      <c r="A118" s="1766" t="inlineStr">
        <is>
          <t>JT.#79</t>
        </is>
      </c>
      <c r="B118" s="1766" t="inlineStr">
        <is>
          <t>3 1/2" TSH</t>
        </is>
      </c>
      <c r="C118" s="1767" t="n">
        <v>31</v>
      </c>
      <c r="D118" s="1800">
        <f>C118-0.301</f>
        <v/>
      </c>
      <c r="E118" s="1759">
        <f>E117+D118</f>
        <v/>
      </c>
      <c r="F118" s="1759">
        <f>F117-D117</f>
        <v/>
      </c>
      <c r="G118" s="1760">
        <f>G117-D118</f>
        <v/>
      </c>
      <c r="H118" s="1788" t="n"/>
      <c r="K118" s="1774" t="n"/>
    </row>
    <row r="119" ht="39.75" customFormat="1" customHeight="1" s="1747">
      <c r="A119" s="1766" t="inlineStr">
        <is>
          <t>JT.#80</t>
        </is>
      </c>
      <c r="B119" s="1766" t="inlineStr">
        <is>
          <t>3 1/2" TSH</t>
        </is>
      </c>
      <c r="C119" s="1767" t="n">
        <v>31</v>
      </c>
      <c r="D119" s="1800">
        <f>C119-0.301</f>
        <v/>
      </c>
      <c r="E119" s="1759">
        <f>E118+D119</f>
        <v/>
      </c>
      <c r="F119" s="1759">
        <f>F118-D118</f>
        <v/>
      </c>
      <c r="G119" s="1760">
        <f>G118-D119</f>
        <v/>
      </c>
      <c r="H119" s="1772" t="n"/>
      <c r="K119" s="1774" t="n"/>
    </row>
    <row r="120" ht="39.75" customFormat="1" customHeight="1" s="1747">
      <c r="A120" s="1766" t="inlineStr">
        <is>
          <t>JT.#81</t>
        </is>
      </c>
      <c r="B120" s="1766" t="inlineStr">
        <is>
          <t>3 1/2" TSH</t>
        </is>
      </c>
      <c r="C120" s="1767" t="n">
        <v>31</v>
      </c>
      <c r="D120" s="1768">
        <f>C120-0.301</f>
        <v/>
      </c>
      <c r="E120" s="1759">
        <f>E119+D120</f>
        <v/>
      </c>
      <c r="F120" s="1759">
        <f>F119-D119</f>
        <v/>
      </c>
      <c r="G120" s="1760">
        <f>G119-D120</f>
        <v/>
      </c>
      <c r="H120" s="1772" t="n"/>
      <c r="K120" s="1774" t="n"/>
    </row>
    <row r="121" ht="39.75" customFormat="1" customHeight="1" s="1747">
      <c r="A121" s="1766" t="inlineStr">
        <is>
          <t>JT.#82</t>
        </is>
      </c>
      <c r="B121" s="1766" t="inlineStr">
        <is>
          <t>3 1/2" TSH</t>
        </is>
      </c>
      <c r="C121" s="1767" t="n">
        <v>31</v>
      </c>
      <c r="D121" s="1768">
        <f>C121-0.301</f>
        <v/>
      </c>
      <c r="E121" s="1759">
        <f>E120+D121</f>
        <v/>
      </c>
      <c r="F121" s="1759">
        <f>F120-D120</f>
        <v/>
      </c>
      <c r="G121" s="1760">
        <f>G120-D121</f>
        <v/>
      </c>
      <c r="H121" s="1772" t="n"/>
      <c r="K121" s="1774" t="n"/>
    </row>
    <row r="122" ht="39.75" customFormat="1" customHeight="1" s="1747">
      <c r="A122" s="1766" t="inlineStr">
        <is>
          <t>JT.#83</t>
        </is>
      </c>
      <c r="B122" s="1766" t="inlineStr">
        <is>
          <t>3 1/2" TSH</t>
        </is>
      </c>
      <c r="C122" s="1767" t="n">
        <v>31</v>
      </c>
      <c r="D122" s="1768">
        <f>C122-0.301</f>
        <v/>
      </c>
      <c r="E122" s="1759">
        <f>E121+D122</f>
        <v/>
      </c>
      <c r="F122" s="1759">
        <f>F121-D121</f>
        <v/>
      </c>
      <c r="G122" s="1760">
        <f>G121-D122</f>
        <v/>
      </c>
      <c r="H122" s="1772" t="n"/>
      <c r="K122" s="1774" t="n"/>
    </row>
    <row r="123" ht="39.75" customFormat="1" customHeight="1" s="1747">
      <c r="A123" s="1766" t="inlineStr">
        <is>
          <t>JT.#84</t>
        </is>
      </c>
      <c r="B123" s="1766" t="inlineStr">
        <is>
          <t>3 1/2" TSH</t>
        </is>
      </c>
      <c r="C123" s="1767" t="n">
        <v>31</v>
      </c>
      <c r="D123" s="1768">
        <f>C123-0.301</f>
        <v/>
      </c>
      <c r="E123" s="1759">
        <f>E122+D123</f>
        <v/>
      </c>
      <c r="F123" s="1759">
        <f>F122-D122</f>
        <v/>
      </c>
      <c r="G123" s="1760">
        <f>G122-D123</f>
        <v/>
      </c>
      <c r="H123" s="1772" t="n"/>
      <c r="K123" s="1774" t="n"/>
    </row>
    <row r="124" ht="39.75" customFormat="1" customHeight="1" s="1747">
      <c r="A124" s="1766" t="inlineStr">
        <is>
          <t>JT.#85</t>
        </is>
      </c>
      <c r="B124" s="1766" t="inlineStr">
        <is>
          <t>3 1/2" TSH</t>
        </is>
      </c>
      <c r="C124" s="1767" t="n">
        <v>31</v>
      </c>
      <c r="D124" s="1768">
        <f>C124-0.301</f>
        <v/>
      </c>
      <c r="E124" s="1759">
        <f>E123+D124</f>
        <v/>
      </c>
      <c r="F124" s="1759">
        <f>F123-D123</f>
        <v/>
      </c>
      <c r="G124" s="1760">
        <f>G123-D124</f>
        <v/>
      </c>
      <c r="H124" s="1772" t="n"/>
      <c r="K124" s="1774" t="n"/>
    </row>
    <row r="125" ht="39.75" customFormat="1" customHeight="1" s="1747">
      <c r="A125" s="1766" t="inlineStr">
        <is>
          <t>JT.#86</t>
        </is>
      </c>
      <c r="B125" s="1766" t="inlineStr">
        <is>
          <t>3 1/2" TSH</t>
        </is>
      </c>
      <c r="C125" s="1767" t="n">
        <v>31</v>
      </c>
      <c r="D125" s="1768">
        <f>C125-0.301</f>
        <v/>
      </c>
      <c r="E125" s="1759">
        <f>E124+D125</f>
        <v/>
      </c>
      <c r="F125" s="1759">
        <f>F124-D124</f>
        <v/>
      </c>
      <c r="G125" s="1760">
        <f>G124-D125</f>
        <v/>
      </c>
      <c r="H125" s="1772" t="n"/>
      <c r="K125" s="1774" t="n"/>
    </row>
    <row r="126" ht="39.75" customFormat="1" customHeight="1" s="1747">
      <c r="A126" s="1766" t="inlineStr">
        <is>
          <t>JT.#87</t>
        </is>
      </c>
      <c r="B126" s="1766" t="inlineStr">
        <is>
          <t>3 1/2" TSH</t>
        </is>
      </c>
      <c r="C126" s="1767" t="n">
        <v>31</v>
      </c>
      <c r="D126" s="1768">
        <f>C126-0.301</f>
        <v/>
      </c>
      <c r="E126" s="1759">
        <f>E125+D126</f>
        <v/>
      </c>
      <c r="F126" s="1759">
        <f>F125-D125</f>
        <v/>
      </c>
      <c r="G126" s="1760">
        <f>G125-D126</f>
        <v/>
      </c>
      <c r="H126" s="1772" t="n"/>
      <c r="K126" s="1774" t="n"/>
    </row>
    <row r="127" ht="39.75" customFormat="1" customHeight="1" s="1747">
      <c r="A127" s="1766" t="inlineStr">
        <is>
          <t>JT.#88</t>
        </is>
      </c>
      <c r="B127" s="1766" t="inlineStr">
        <is>
          <t>3 1/2" TSH</t>
        </is>
      </c>
      <c r="C127" s="1767" t="n">
        <v>31</v>
      </c>
      <c r="D127" s="1768">
        <f>C127-0.301</f>
        <v/>
      </c>
      <c r="E127" s="1759">
        <f>E126+D127</f>
        <v/>
      </c>
      <c r="F127" s="1759">
        <f>F126-D126</f>
        <v/>
      </c>
      <c r="G127" s="1760">
        <f>G126-D127</f>
        <v/>
      </c>
      <c r="H127" s="1772" t="n"/>
      <c r="K127" s="1774" t="n"/>
    </row>
    <row r="128" ht="39.75" customFormat="1" customHeight="1" s="1747">
      <c r="A128" s="1766" t="inlineStr">
        <is>
          <t>JT.#89</t>
        </is>
      </c>
      <c r="B128" s="1766" t="inlineStr">
        <is>
          <t>3 1/2" TSH</t>
        </is>
      </c>
      <c r="C128" s="1767" t="n">
        <v>31</v>
      </c>
      <c r="D128" s="1768">
        <f>C128-0.301</f>
        <v/>
      </c>
      <c r="E128" s="1759">
        <f>E127+D128</f>
        <v/>
      </c>
      <c r="F128" s="1759">
        <f>F127-D127</f>
        <v/>
      </c>
      <c r="G128" s="1760">
        <f>G127-D128</f>
        <v/>
      </c>
      <c r="H128" s="1772" t="n"/>
      <c r="K128" s="1774" t="n"/>
    </row>
    <row r="129" ht="39.75" customFormat="1" customHeight="1" s="1747">
      <c r="A129" s="1766" t="inlineStr">
        <is>
          <t>JT.#90</t>
        </is>
      </c>
      <c r="B129" s="1766" t="inlineStr">
        <is>
          <t>3 1/2" TSH</t>
        </is>
      </c>
      <c r="C129" s="1767" t="n">
        <v>31</v>
      </c>
      <c r="D129" s="1768">
        <f>C129-0.301</f>
        <v/>
      </c>
      <c r="E129" s="1759">
        <f>E128+D129</f>
        <v/>
      </c>
      <c r="F129" s="1759">
        <f>F128-D128</f>
        <v/>
      </c>
      <c r="G129" s="1760">
        <f>G128-D129</f>
        <v/>
      </c>
      <c r="H129" s="1772" t="n"/>
      <c r="K129" s="1774" t="n"/>
    </row>
    <row r="130" ht="39.75" customFormat="1" customHeight="1" s="1747">
      <c r="A130" s="1766" t="inlineStr">
        <is>
          <t>JT.#91</t>
        </is>
      </c>
      <c r="B130" s="1766" t="inlineStr">
        <is>
          <t>3 1/2" TSH</t>
        </is>
      </c>
      <c r="C130" s="1767" t="n">
        <v>31</v>
      </c>
      <c r="D130" s="1768">
        <f>C130-0.301</f>
        <v/>
      </c>
      <c r="E130" s="1759">
        <f>E129+D130</f>
        <v/>
      </c>
      <c r="F130" s="1759">
        <f>F129-D129</f>
        <v/>
      </c>
      <c r="G130" s="1760">
        <f>G129-D130</f>
        <v/>
      </c>
      <c r="H130" s="1772" t="n"/>
      <c r="K130" s="1774" t="n"/>
    </row>
    <row r="131" ht="39.75" customFormat="1" customHeight="1" s="1747">
      <c r="A131" s="1766" t="inlineStr">
        <is>
          <t>JT.#92</t>
        </is>
      </c>
      <c r="B131" s="1766" t="inlineStr">
        <is>
          <t>3 1/2" TSH</t>
        </is>
      </c>
      <c r="C131" s="1767" t="n">
        <v>31</v>
      </c>
      <c r="D131" s="1768">
        <f>C131-0.301</f>
        <v/>
      </c>
      <c r="E131" s="1759">
        <f>E130+D131</f>
        <v/>
      </c>
      <c r="F131" s="1759">
        <f>F130-D130</f>
        <v/>
      </c>
      <c r="G131" s="1760">
        <f>G130-D131</f>
        <v/>
      </c>
      <c r="H131" s="1772" t="n"/>
      <c r="K131" s="1774" t="n"/>
    </row>
    <row r="132" ht="39.75" customFormat="1" customHeight="1" s="1747">
      <c r="A132" s="1766" t="inlineStr">
        <is>
          <t>JT.#93</t>
        </is>
      </c>
      <c r="B132" s="1766" t="inlineStr">
        <is>
          <t>3 1/2" TSH</t>
        </is>
      </c>
      <c r="C132" s="1767" t="n">
        <v>31</v>
      </c>
      <c r="D132" s="1768">
        <f>C132-0.301</f>
        <v/>
      </c>
      <c r="E132" s="1759">
        <f>E131+D132</f>
        <v/>
      </c>
      <c r="F132" s="1759">
        <f>F131-D131</f>
        <v/>
      </c>
      <c r="G132" s="1760">
        <f>G131-D132</f>
        <v/>
      </c>
      <c r="H132" s="1772" t="n"/>
      <c r="K132" s="1774" t="n"/>
    </row>
    <row r="133" ht="39.75" customFormat="1" customHeight="1" s="1747">
      <c r="A133" s="1766" t="inlineStr">
        <is>
          <t>JT.#94</t>
        </is>
      </c>
      <c r="B133" s="1766" t="inlineStr">
        <is>
          <t>3 1/2" TSH</t>
        </is>
      </c>
      <c r="C133" s="1767" t="n">
        <v>31</v>
      </c>
      <c r="D133" s="1768">
        <f>C133-0.301</f>
        <v/>
      </c>
      <c r="E133" s="1759">
        <f>E132+D133</f>
        <v/>
      </c>
      <c r="F133" s="1759">
        <f>F132-D132</f>
        <v/>
      </c>
      <c r="G133" s="1760">
        <f>G132-D133</f>
        <v/>
      </c>
      <c r="H133" s="1772" t="n"/>
      <c r="K133" s="1774" t="n"/>
    </row>
    <row r="134" ht="39.75" customFormat="1" customHeight="1" s="1747">
      <c r="A134" s="1766" t="inlineStr">
        <is>
          <t>JT.#95</t>
        </is>
      </c>
      <c r="B134" s="1766" t="inlineStr">
        <is>
          <t>3 1/2" TSH</t>
        </is>
      </c>
      <c r="C134" s="1767" t="n">
        <v>31</v>
      </c>
      <c r="D134" s="1768">
        <f>C134-0.301</f>
        <v/>
      </c>
      <c r="E134" s="1759">
        <f>E133+D134</f>
        <v/>
      </c>
      <c r="F134" s="1759">
        <f>F133-D133</f>
        <v/>
      </c>
      <c r="G134" s="1760">
        <f>G133-D134</f>
        <v/>
      </c>
      <c r="H134" s="1772" t="n"/>
      <c r="K134" s="1774" t="n"/>
    </row>
    <row r="135" ht="39.75" customFormat="1" customHeight="1" s="1747">
      <c r="A135" s="1766" t="inlineStr">
        <is>
          <t>JT.#96</t>
        </is>
      </c>
      <c r="B135" s="1766" t="inlineStr">
        <is>
          <t>3 1/2" TSH</t>
        </is>
      </c>
      <c r="C135" s="1767" t="n">
        <v>31</v>
      </c>
      <c r="D135" s="1768">
        <f>C135-0.301</f>
        <v/>
      </c>
      <c r="E135" s="1759">
        <f>E134+D135</f>
        <v/>
      </c>
      <c r="F135" s="1759">
        <f>F134-D134</f>
        <v/>
      </c>
      <c r="G135" s="1760">
        <f>G134-D135</f>
        <v/>
      </c>
      <c r="H135" s="1772" t="n"/>
      <c r="K135" s="1774" t="n"/>
    </row>
    <row r="136" ht="39.75" customFormat="1" customHeight="1" s="1747">
      <c r="A136" s="1766" t="inlineStr">
        <is>
          <t>JT.#97</t>
        </is>
      </c>
      <c r="B136" s="1766" t="inlineStr">
        <is>
          <t>3 1/2" TSH</t>
        </is>
      </c>
      <c r="C136" s="1767" t="n">
        <v>31</v>
      </c>
      <c r="D136" s="1768">
        <f>C136-0.301</f>
        <v/>
      </c>
      <c r="E136" s="1759">
        <f>E135+D136</f>
        <v/>
      </c>
      <c r="F136" s="1759">
        <f>F135-D135</f>
        <v/>
      </c>
      <c r="G136" s="1760">
        <f>G135-D136</f>
        <v/>
      </c>
      <c r="H136" s="1772" t="n"/>
      <c r="K136" s="1774" t="n"/>
    </row>
    <row r="137" ht="39.75" customFormat="1" customHeight="1" s="1747">
      <c r="A137" s="1801" t="inlineStr">
        <is>
          <t>D3</t>
        </is>
      </c>
      <c r="B137" s="1802" t="inlineStr">
        <is>
          <t>UPPER CONN. 3-1/2" VAM TOP BOX 9.2 PPF SN 28 110 KSI
DESCRIPTION: 5 FEET XOVER
SAP: 130005011340
SUPPLIER: TENARIS
LOWER CONN. 3-1/2" TSH BLUE PIN 9.2 PPF SN 28 110 KSI</t>
        </is>
      </c>
      <c r="C137" s="1803" t="n">
        <v>5.19</v>
      </c>
      <c r="D137" s="1768">
        <f>C137-0.301</f>
        <v/>
      </c>
      <c r="E137" s="1759">
        <f>E136+D137</f>
        <v/>
      </c>
      <c r="F137" s="1759">
        <f>F136-D136</f>
        <v/>
      </c>
      <c r="G137" s="1760">
        <f>G136-D137</f>
        <v/>
      </c>
      <c r="H137" s="1772" t="n"/>
      <c r="K137" s="1774" t="n"/>
    </row>
    <row r="138" ht="39.75" customFormat="1" customHeight="1" s="1747">
      <c r="A138" s="1778" t="n"/>
      <c r="B138" s="1802" t="inlineStr">
        <is>
          <t>UPPER CONN. 3-1/2" SENTINEL PRIME BOX 9.2 PPF TX28-110 KSI
DESCRIPTION: 5 FEET XOVER
SAP: 130013006385
SUPPLIER: TBX
LOWER CONN. 3-1/2" VAM TOP PIN 9.2 PPF TX28-110 KSI</t>
        </is>
      </c>
      <c r="C138" s="1803" t="n">
        <v>4.96</v>
      </c>
      <c r="D138" s="1768">
        <f>C138-0.301</f>
        <v/>
      </c>
      <c r="E138" s="1759">
        <f>E137+D138</f>
        <v/>
      </c>
      <c r="F138" s="1759">
        <f>F137-D137</f>
        <v/>
      </c>
      <c r="G138" s="1760">
        <f>G137-D138</f>
        <v/>
      </c>
      <c r="H138" s="1772" t="n"/>
      <c r="K138" s="1774" t="n"/>
    </row>
    <row r="139" ht="39.75" customFormat="1" customHeight="1" s="1747">
      <c r="A139" s="1778" t="n"/>
      <c r="B139" s="180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803" t="n">
        <v>8.69</v>
      </c>
      <c r="D139" s="1768">
        <f>C139-0.301</f>
        <v/>
      </c>
      <c r="E139" s="1759">
        <f>E138+D139</f>
        <v/>
      </c>
      <c r="F139" s="1759">
        <f>F138-D138</f>
        <v/>
      </c>
      <c r="G139" s="1760">
        <f>G138-D139</f>
        <v/>
      </c>
      <c r="H139" s="1772" t="n"/>
      <c r="K139" s="1774" t="n"/>
    </row>
    <row r="140" ht="39.75" customFormat="1" customHeight="1" s="1747">
      <c r="A140" s="1778" t="n"/>
      <c r="B140" s="1802" t="inlineStr">
        <is>
          <t>UPPER CONN. 3-1/2" VAM TOP BOX 9.2 PPF TX28- 110 KSI
DESCRIPTION: 5 FEET XOVER
SAP: 130013006383
SUPPLIER: TBX
LOWER CONN -3-1/2" SENTINEL PRIME PIN 9.2 PPF TX28-110 KSI</t>
        </is>
      </c>
      <c r="C140" s="1803" t="n">
        <v>4.88</v>
      </c>
      <c r="D140" s="1768">
        <f>C140-0.301</f>
        <v/>
      </c>
      <c r="E140" s="1759">
        <f>E139+D140</f>
        <v/>
      </c>
      <c r="F140" s="1759">
        <f>F139-D139</f>
        <v/>
      </c>
      <c r="G140" s="1760">
        <f>G139-D140</f>
        <v/>
      </c>
      <c r="H140" s="1772" t="n"/>
      <c r="K140" s="1774" t="n"/>
    </row>
    <row r="141" ht="39.75" customFormat="1" customHeight="1" s="1747">
      <c r="A141" s="1450" t="n"/>
      <c r="B141" s="1802" t="inlineStr">
        <is>
          <t>UPPER CONN. 3-1/2" TSH BLUE BOX 9.2 PPF SN 28 110 KSI
DESCRIPTION: 10 FEET XOVER
SAP: 130005012487
SUPPLIER: TENARIS
LOWER CONN. 3-1/2" VAM TOP PIN 9.2 PPF SN 28 110 KSI</t>
        </is>
      </c>
      <c r="C141" s="1803" t="n">
        <v>9.93</v>
      </c>
      <c r="D141" s="1768">
        <f>C141-0.301</f>
        <v/>
      </c>
      <c r="E141" s="1759">
        <f>E140+D141</f>
        <v/>
      </c>
      <c r="F141" s="1759">
        <f>F140-D140</f>
        <v/>
      </c>
      <c r="G141" s="1760">
        <f>G140-D141</f>
        <v/>
      </c>
      <c r="H141" s="1772" t="n"/>
      <c r="K141" s="1774" t="n"/>
    </row>
    <row r="142" ht="39.75" customFormat="1" customHeight="1" s="1747">
      <c r="A142" s="1766" t="inlineStr">
        <is>
          <t>JT.#98</t>
        </is>
      </c>
      <c r="B142" s="1766" t="inlineStr">
        <is>
          <t>3 1/2" TSH</t>
        </is>
      </c>
      <c r="C142" s="1767" t="n">
        <v>31</v>
      </c>
      <c r="D142" s="1768">
        <f>C142-0.301</f>
        <v/>
      </c>
      <c r="E142" s="1759">
        <f>E141+D142</f>
        <v/>
      </c>
      <c r="F142" s="1759">
        <f>F141-D141</f>
        <v/>
      </c>
      <c r="G142" s="1760">
        <f>G141-D142</f>
        <v/>
      </c>
      <c r="H142" s="1772" t="n"/>
      <c r="K142" s="1774" t="n"/>
    </row>
    <row r="143" ht="39.75" customFormat="1" customHeight="1" s="1747">
      <c r="A143" s="1766" t="inlineStr">
        <is>
          <t>JT.#99</t>
        </is>
      </c>
      <c r="B143" s="1766" t="inlineStr">
        <is>
          <t>3 1/2" TSH</t>
        </is>
      </c>
      <c r="C143" s="1767" t="n">
        <v>31</v>
      </c>
      <c r="D143" s="1768">
        <f>C143-0.301</f>
        <v/>
      </c>
      <c r="E143" s="1759">
        <f>E142+D143</f>
        <v/>
      </c>
      <c r="F143" s="1759">
        <f>F142-D142</f>
        <v/>
      </c>
      <c r="G143" s="1760">
        <f>G142-D143</f>
        <v/>
      </c>
      <c r="H143" s="1772" t="n"/>
      <c r="K143" s="1774" t="n"/>
    </row>
    <row r="144" ht="39.75" customFormat="1" customHeight="1" s="1747">
      <c r="A144" s="1766" t="inlineStr">
        <is>
          <t>JT.#100</t>
        </is>
      </c>
      <c r="B144" s="1766" t="inlineStr">
        <is>
          <t>3 1/2" TSH</t>
        </is>
      </c>
      <c r="C144" s="1767" t="n">
        <v>31</v>
      </c>
      <c r="D144" s="1768">
        <f>C144-0.301</f>
        <v/>
      </c>
      <c r="E144" s="1759">
        <f>E143+D144</f>
        <v/>
      </c>
      <c r="F144" s="1759">
        <f>F143-D143</f>
        <v/>
      </c>
      <c r="G144" s="1760">
        <f>G143-D144</f>
        <v/>
      </c>
      <c r="H144" s="1772" t="n"/>
      <c r="K144" s="1774" t="n"/>
    </row>
    <row r="145" ht="39.75" customFormat="1" customHeight="1" s="1747">
      <c r="A145" s="1766" t="inlineStr">
        <is>
          <t>JT.#101</t>
        </is>
      </c>
      <c r="B145" s="1766" t="inlineStr">
        <is>
          <t>3 1/2" TSH</t>
        </is>
      </c>
      <c r="C145" s="1767" t="n">
        <v>31</v>
      </c>
      <c r="D145" s="1768">
        <f>C145-0.301</f>
        <v/>
      </c>
      <c r="E145" s="1759">
        <f>E144+D145</f>
        <v/>
      </c>
      <c r="F145" s="1759">
        <f>F144-D144</f>
        <v/>
      </c>
      <c r="G145" s="1760">
        <f>G144-D145</f>
        <v/>
      </c>
      <c r="H145" s="1772" t="n"/>
      <c r="K145" s="1774" t="n"/>
    </row>
    <row r="146" ht="39.75" customFormat="1" customHeight="1" s="1747">
      <c r="A146" s="1766" t="inlineStr">
        <is>
          <t>JT.#102</t>
        </is>
      </c>
      <c r="B146" s="1766" t="inlineStr">
        <is>
          <t>3 1/2" TSH</t>
        </is>
      </c>
      <c r="C146" s="1767" t="n">
        <v>31</v>
      </c>
      <c r="D146" s="1768">
        <f>C146-0.301</f>
        <v/>
      </c>
      <c r="E146" s="1759">
        <f>E145+D146</f>
        <v/>
      </c>
      <c r="F146" s="1759">
        <f>F145-D145</f>
        <v/>
      </c>
      <c r="G146" s="1760">
        <f>G145-D146</f>
        <v/>
      </c>
      <c r="H146" s="1772" t="n"/>
      <c r="K146" s="1774" t="n"/>
    </row>
    <row r="147" ht="39.75" customFormat="1" customHeight="1" s="1747">
      <c r="A147" s="1766" t="inlineStr">
        <is>
          <t>JT.#103</t>
        </is>
      </c>
      <c r="B147" s="1766" t="inlineStr">
        <is>
          <t>3 1/2" TSH</t>
        </is>
      </c>
      <c r="C147" s="1767" t="n">
        <v>31</v>
      </c>
      <c r="D147" s="1768">
        <f>C147-0.301</f>
        <v/>
      </c>
      <c r="E147" s="1759">
        <f>E146+D147</f>
        <v/>
      </c>
      <c r="F147" s="1759">
        <f>F146-D146</f>
        <v/>
      </c>
      <c r="G147" s="1760">
        <f>G146-D147</f>
        <v/>
      </c>
      <c r="H147" s="1772" t="n"/>
      <c r="K147" s="1774" t="n"/>
    </row>
    <row r="148" ht="39.75" customFormat="1" customHeight="1" s="1747">
      <c r="A148" s="1766" t="inlineStr">
        <is>
          <t>JT.#104</t>
        </is>
      </c>
      <c r="B148" s="1766" t="inlineStr">
        <is>
          <t>3 1/2" TSH</t>
        </is>
      </c>
      <c r="C148" s="1767" t="n">
        <v>31</v>
      </c>
      <c r="D148" s="1800">
        <f>C148-0.301</f>
        <v/>
      </c>
      <c r="E148" s="1759">
        <f>E147+D148</f>
        <v/>
      </c>
      <c r="F148" s="1759">
        <f>F147-D147</f>
        <v/>
      </c>
      <c r="G148" s="1760">
        <f>G147-D148</f>
        <v/>
      </c>
      <c r="H148" s="1788" t="n"/>
      <c r="K148" s="1774" t="n"/>
    </row>
    <row r="149" ht="39.75" customFormat="1" customHeight="1" s="1747">
      <c r="A149" s="1766" t="inlineStr">
        <is>
          <t>JT.#105</t>
        </is>
      </c>
      <c r="B149" s="1766" t="inlineStr">
        <is>
          <t>3 1/2" TSH</t>
        </is>
      </c>
      <c r="C149" s="1767" t="n">
        <v>31</v>
      </c>
      <c r="D149" s="1800">
        <f>C149-0.301</f>
        <v/>
      </c>
      <c r="E149" s="1759">
        <f>E148+D149</f>
        <v/>
      </c>
      <c r="F149" s="1759">
        <f>F148-D148</f>
        <v/>
      </c>
      <c r="G149" s="1760">
        <f>G148-D149</f>
        <v/>
      </c>
      <c r="H149" s="1804" t="n"/>
      <c r="K149" s="1774" t="n"/>
    </row>
    <row r="150" ht="39.75" customFormat="1" customHeight="1" s="1747">
      <c r="A150" s="1766" t="inlineStr">
        <is>
          <t>JT.#106</t>
        </is>
      </c>
      <c r="B150" s="1766" t="inlineStr">
        <is>
          <t>3 1/2" TSH</t>
        </is>
      </c>
      <c r="C150" s="1767" t="n">
        <v>31</v>
      </c>
      <c r="D150" s="1768">
        <f>C150-0.301</f>
        <v/>
      </c>
      <c r="E150" s="1759">
        <f>E149+D150</f>
        <v/>
      </c>
      <c r="F150" s="1759">
        <f>F149-D149</f>
        <v/>
      </c>
      <c r="G150" s="1760">
        <f>G149-D150</f>
        <v/>
      </c>
      <c r="H150" s="1772" t="n"/>
      <c r="K150" s="1774" t="n"/>
    </row>
    <row r="151" ht="39.75" customFormat="1" customHeight="1" s="1747">
      <c r="A151" s="1766" t="inlineStr">
        <is>
          <t>JT.#107</t>
        </is>
      </c>
      <c r="B151" s="1766" t="inlineStr">
        <is>
          <t>3 1/2" TSH</t>
        </is>
      </c>
      <c r="C151" s="1767" t="n">
        <v>31</v>
      </c>
      <c r="D151" s="1768">
        <f>C151-0.301</f>
        <v/>
      </c>
      <c r="E151" s="1759">
        <f>E150+D151</f>
        <v/>
      </c>
      <c r="F151" s="1759">
        <f>F150-D150</f>
        <v/>
      </c>
      <c r="G151" s="1760">
        <f>G150-D151</f>
        <v/>
      </c>
      <c r="H151" s="1772" t="n"/>
      <c r="K151" s="1774" t="n"/>
    </row>
    <row r="152" ht="39.75" customFormat="1" customHeight="1" s="1747">
      <c r="A152" s="1766" t="inlineStr">
        <is>
          <t>JT.#108</t>
        </is>
      </c>
      <c r="B152" s="1766" t="inlineStr">
        <is>
          <t>3 1/2" TSH</t>
        </is>
      </c>
      <c r="C152" s="1767" t="n">
        <v>31</v>
      </c>
      <c r="D152" s="1768">
        <f>C152-0.301</f>
        <v/>
      </c>
      <c r="E152" s="1759">
        <f>E151+D152</f>
        <v/>
      </c>
      <c r="F152" s="1759">
        <f>F151-D151</f>
        <v/>
      </c>
      <c r="G152" s="1760">
        <f>G151-D152</f>
        <v/>
      </c>
      <c r="H152" s="1772" t="n"/>
      <c r="K152" s="1774" t="n"/>
    </row>
    <row r="153" ht="39.75" customFormat="1" customHeight="1" s="1747">
      <c r="A153" s="1766" t="inlineStr">
        <is>
          <t>JT.#109</t>
        </is>
      </c>
      <c r="B153" s="1766" t="inlineStr">
        <is>
          <t>3 1/2" TSH</t>
        </is>
      </c>
      <c r="C153" s="1767" t="n">
        <v>31</v>
      </c>
      <c r="D153" s="1768">
        <f>C153-0.301</f>
        <v/>
      </c>
      <c r="E153" s="1759">
        <f>E152+D153</f>
        <v/>
      </c>
      <c r="F153" s="1759">
        <f>F152-D152</f>
        <v/>
      </c>
      <c r="G153" s="1760">
        <f>G152-D153</f>
        <v/>
      </c>
      <c r="H153" s="1772" t="n"/>
      <c r="K153" s="1774" t="n"/>
    </row>
    <row r="154" ht="39.75" customFormat="1" customHeight="1" s="1747">
      <c r="A154" s="1766" t="inlineStr">
        <is>
          <t>JT.#110</t>
        </is>
      </c>
      <c r="B154" s="1766" t="inlineStr">
        <is>
          <t>3 1/2" TSH</t>
        </is>
      </c>
      <c r="C154" s="1767" t="n">
        <v>31</v>
      </c>
      <c r="D154" s="1768">
        <f>C154-0.301</f>
        <v/>
      </c>
      <c r="E154" s="1759">
        <f>E153+D154</f>
        <v/>
      </c>
      <c r="F154" s="1759">
        <f>F153-D153</f>
        <v/>
      </c>
      <c r="G154" s="1760">
        <f>G153-D154</f>
        <v/>
      </c>
      <c r="H154" s="1772" t="n"/>
      <c r="K154" s="1774" t="n"/>
    </row>
    <row r="155" ht="39.75" customFormat="1" customHeight="1" s="1747">
      <c r="A155" s="1766" t="inlineStr">
        <is>
          <t>JT.#111</t>
        </is>
      </c>
      <c r="B155" s="1766" t="inlineStr">
        <is>
          <t>3 1/2" TSH</t>
        </is>
      </c>
      <c r="C155" s="1767" t="n">
        <v>31</v>
      </c>
      <c r="D155" s="1768">
        <f>C155-0.301</f>
        <v/>
      </c>
      <c r="E155" s="1759">
        <f>E154+D155</f>
        <v/>
      </c>
      <c r="F155" s="1759">
        <f>F154-D154</f>
        <v/>
      </c>
      <c r="G155" s="1760">
        <f>G154-D155</f>
        <v/>
      </c>
      <c r="H155" s="1772" t="n"/>
      <c r="K155" s="1774" t="n"/>
    </row>
    <row r="156" ht="39.75" customFormat="1" customHeight="1" s="1747">
      <c r="A156" s="1766" t="inlineStr">
        <is>
          <t>JT.#112</t>
        </is>
      </c>
      <c r="B156" s="1766" t="inlineStr">
        <is>
          <t>3 1/2" TSH</t>
        </is>
      </c>
      <c r="C156" s="1767" t="n">
        <v>31</v>
      </c>
      <c r="D156" s="1768">
        <f>C156-0.301</f>
        <v/>
      </c>
      <c r="E156" s="1759">
        <f>E155+D156</f>
        <v/>
      </c>
      <c r="F156" s="1759">
        <f>F155-D155</f>
        <v/>
      </c>
      <c r="G156" s="1760">
        <f>G155-D156</f>
        <v/>
      </c>
      <c r="H156" s="1772" t="n"/>
      <c r="K156" s="1774" t="n"/>
    </row>
    <row r="157" ht="39.75" customFormat="1" customHeight="1" s="1747">
      <c r="A157" s="1766" t="inlineStr">
        <is>
          <t>JT.#113</t>
        </is>
      </c>
      <c r="B157" s="1766" t="inlineStr">
        <is>
          <t>3 1/2" TSH</t>
        </is>
      </c>
      <c r="C157" s="1767" t="n">
        <v>31</v>
      </c>
      <c r="D157" s="1768">
        <f>C157-0.301</f>
        <v/>
      </c>
      <c r="E157" s="1759">
        <f>E156+D157</f>
        <v/>
      </c>
      <c r="F157" s="1759">
        <f>F156-D156</f>
        <v/>
      </c>
      <c r="G157" s="1760">
        <f>G156-D157</f>
        <v/>
      </c>
      <c r="H157" s="1772" t="n"/>
      <c r="K157" s="1774" t="n"/>
    </row>
    <row r="158" ht="39.75" customFormat="1" customHeight="1" s="1747">
      <c r="A158" s="1766" t="inlineStr">
        <is>
          <t>JT.#114</t>
        </is>
      </c>
      <c r="B158" s="1766" t="inlineStr">
        <is>
          <t>3 1/2" TSH</t>
        </is>
      </c>
      <c r="C158" s="1767" t="n">
        <v>31</v>
      </c>
      <c r="D158" s="1768">
        <f>C158-0.301</f>
        <v/>
      </c>
      <c r="E158" s="1759">
        <f>E157+D158</f>
        <v/>
      </c>
      <c r="F158" s="1759">
        <f>F157-D157</f>
        <v/>
      </c>
      <c r="G158" s="1760">
        <f>G157-D158</f>
        <v/>
      </c>
      <c r="H158" s="1772" t="n"/>
      <c r="K158" s="1774" t="n"/>
    </row>
    <row r="159" ht="39.75" customFormat="1" customHeight="1" s="1747">
      <c r="A159" s="1766" t="inlineStr">
        <is>
          <t>JT.#115</t>
        </is>
      </c>
      <c r="B159" s="1766" t="inlineStr">
        <is>
          <t>3 1/2" TSH</t>
        </is>
      </c>
      <c r="C159" s="1767" t="n">
        <v>31</v>
      </c>
      <c r="D159" s="1768">
        <f>C159-0.301</f>
        <v/>
      </c>
      <c r="E159" s="1759">
        <f>E158+D159</f>
        <v/>
      </c>
      <c r="F159" s="1759">
        <f>F158-D158</f>
        <v/>
      </c>
      <c r="G159" s="1760">
        <f>G158-D159</f>
        <v/>
      </c>
      <c r="H159" s="1772" t="n"/>
      <c r="K159" s="1774" t="n"/>
    </row>
    <row r="160" ht="39.75" customFormat="1" customHeight="1" s="1747">
      <c r="A160" s="1766" t="inlineStr">
        <is>
          <t>JT.#116</t>
        </is>
      </c>
      <c r="B160" s="1766" t="inlineStr">
        <is>
          <t>3 1/2" TSH</t>
        </is>
      </c>
      <c r="C160" s="1767" t="n">
        <v>31</v>
      </c>
      <c r="D160" s="1768">
        <f>C160-0.301</f>
        <v/>
      </c>
      <c r="E160" s="1759">
        <f>E159+D160</f>
        <v/>
      </c>
      <c r="F160" s="1759">
        <f>F159-D159</f>
        <v/>
      </c>
      <c r="G160" s="1760">
        <f>G159-D160</f>
        <v/>
      </c>
      <c r="H160" s="1772" t="n"/>
      <c r="K160" s="1774" t="n"/>
    </row>
    <row r="161" ht="39.75" customFormat="1" customHeight="1" s="1747">
      <c r="A161" s="1766" t="inlineStr">
        <is>
          <t>JT.#117</t>
        </is>
      </c>
      <c r="B161" s="1766" t="inlineStr">
        <is>
          <t>3 1/2" TSH</t>
        </is>
      </c>
      <c r="C161" s="1767" t="n">
        <v>31</v>
      </c>
      <c r="D161" s="1768">
        <f>C161-0.301</f>
        <v/>
      </c>
      <c r="E161" s="1759">
        <f>E160+D161</f>
        <v/>
      </c>
      <c r="F161" s="1759">
        <f>F160-D160</f>
        <v/>
      </c>
      <c r="G161" s="1760">
        <f>G160-D161</f>
        <v/>
      </c>
      <c r="H161" s="1772" t="n"/>
      <c r="K161" s="1774" t="n"/>
    </row>
    <row r="162" ht="39.75" customFormat="1" customHeight="1" s="1747">
      <c r="A162" s="1805" t="inlineStr">
        <is>
          <t>D4</t>
        </is>
      </c>
      <c r="B162" s="1806" t="inlineStr">
        <is>
          <t>UPPER CONN. 3-1/2" VAM TOP BOX 9.2 PPF SN 28 110 KSI
DESCRIPTION: 5 FEET XOVER
SAP: 130005011340
SUPPLIER: TENARIS
LOWER CONN. 3-1/2" TSH BLUE PIN 9.2 PPF SN 28 110 KSI</t>
        </is>
      </c>
      <c r="C162" s="1807" t="n">
        <v>5.18</v>
      </c>
      <c r="D162" s="1768">
        <f>C162-0.301</f>
        <v/>
      </c>
      <c r="E162" s="1759">
        <f>E161+D162</f>
        <v/>
      </c>
      <c r="F162" s="1759">
        <f>F161-D161</f>
        <v/>
      </c>
      <c r="G162" s="1760">
        <f>G161-D162</f>
        <v/>
      </c>
      <c r="H162" s="1772" t="n"/>
      <c r="K162" s="1774" t="n"/>
    </row>
    <row r="163" ht="39.75" customFormat="1" customHeight="1" s="1747">
      <c r="A163" s="1778" t="n"/>
      <c r="B163" s="1806" t="inlineStr">
        <is>
          <t>UPPER CONN. 3-1/2" SENTINEL PRIME BOX 9.2 PPF TX28-110 KSI
DESCRIPTION: 5 FEET XOVER
SAP: 130013006385
SUPPLIER: TBX
LOWER CONN. 3-1/2" VAM TOP PIN 9.2 PPF TX28-110 KSI</t>
        </is>
      </c>
      <c r="C163" s="1807" t="n">
        <v>4.96</v>
      </c>
      <c r="D163" s="1768">
        <f>C163-0.301</f>
        <v/>
      </c>
      <c r="E163" s="1759">
        <f>E162+D163</f>
        <v/>
      </c>
      <c r="F163" s="1759">
        <f>F162-D162</f>
        <v/>
      </c>
      <c r="G163" s="1760">
        <f>G162-D163</f>
        <v/>
      </c>
      <c r="H163" s="1808" t="n"/>
      <c r="K163" s="1774" t="n"/>
    </row>
    <row r="164" ht="129" customFormat="1" customHeight="1" s="1747">
      <c r="A164" s="1778" t="n"/>
      <c r="B164" s="18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807" t="n">
        <v>8.69</v>
      </c>
      <c r="D164" s="1809">
        <f>C164-0.301</f>
        <v/>
      </c>
      <c r="E164" s="1759">
        <f>E163+D164</f>
        <v/>
      </c>
      <c r="F164" s="1759">
        <f>F163-D163</f>
        <v/>
      </c>
      <c r="G164" s="1760">
        <f>G163-D164</f>
        <v/>
      </c>
      <c r="H164" s="1810" t="n"/>
    </row>
    <row r="165" ht="129" customFormat="1" customHeight="1" s="1747">
      <c r="A165" s="1778" t="n"/>
      <c r="B165" s="1806" t="inlineStr">
        <is>
          <t>UPPER CONN. 3-1/2" VAM TOP BOX 9.2 PPF TX28- 110 KSI
DESCRIPTION: 10 FEET XOVER
SAP: 1130013006387
SUPPLIER: TBX
LOWER CONN-3-1/2" SENTINELPRIME PIN 9.2 PPF TX28110 KSI</t>
        </is>
      </c>
      <c r="C165" s="1807" t="n">
        <v>9.779999999999999</v>
      </c>
      <c r="D165" s="1809">
        <f>C165</f>
        <v/>
      </c>
      <c r="E165" s="1759">
        <f>E164+D165</f>
        <v/>
      </c>
      <c r="F165" s="1759">
        <f>F164-D164</f>
        <v/>
      </c>
      <c r="G165" s="1760">
        <f>G164-D165</f>
        <v/>
      </c>
      <c r="H165" s="1810" t="n"/>
    </row>
    <row r="166" ht="204" customFormat="1" customHeight="1" s="1747">
      <c r="A166" s="1450" t="n"/>
      <c r="B166" s="1806" t="inlineStr">
        <is>
          <t>UPPER CONN. 3-1/2" TSH BLUE BOX 9.2 PPF SN 28 110 KSI
DESCRIPTION: 5 FEET XOVER
SAP: 130005011340
SUPPLIER: TENARIS
LOWER CONN. 3-1/2" VAM TOP PIN 9.2 PPF SN 28 110 KSI</t>
        </is>
      </c>
      <c r="C166" s="1807" t="n">
        <v>4.96</v>
      </c>
      <c r="D166" s="1800">
        <f>C166</f>
        <v/>
      </c>
      <c r="E166" s="1759">
        <f>E165+D166</f>
        <v/>
      </c>
      <c r="F166" s="1759">
        <f>F165-D165</f>
        <v/>
      </c>
      <c r="G166" s="1760">
        <f>G165-D166</f>
        <v/>
      </c>
      <c r="H166" s="1811" t="n"/>
    </row>
    <row r="167" ht="141.75" customFormat="1" customHeight="1" s="1747">
      <c r="A167" s="1766" t="inlineStr">
        <is>
          <t>JT.#118</t>
        </is>
      </c>
      <c r="B167" s="1766" t="inlineStr">
        <is>
          <t>3 1/2" TSH</t>
        </is>
      </c>
      <c r="C167" s="1767" t="n">
        <v>31</v>
      </c>
      <c r="D167" s="1812">
        <f>C167</f>
        <v/>
      </c>
      <c r="E167" s="1759">
        <f>E166+D167</f>
        <v/>
      </c>
      <c r="F167" s="1759">
        <f>F166-D166</f>
        <v/>
      </c>
      <c r="G167" s="1760">
        <f>G166-D167</f>
        <v/>
      </c>
      <c r="H167" s="1813" t="n"/>
      <c r="I167" s="1747">
        <f>364-146</f>
        <v/>
      </c>
    </row>
    <row r="168" ht="141.75" customFormat="1" customHeight="1" s="1747">
      <c r="A168" s="1766" t="inlineStr">
        <is>
          <t>JT.#119</t>
        </is>
      </c>
      <c r="B168" s="1766" t="inlineStr">
        <is>
          <t>3 1/2" TSH</t>
        </is>
      </c>
      <c r="C168" s="1767" t="n">
        <v>31</v>
      </c>
      <c r="D168" s="1812">
        <f>C168</f>
        <v/>
      </c>
      <c r="E168" s="1759">
        <f>E167+D168</f>
        <v/>
      </c>
      <c r="F168" s="1759">
        <f>F167-D167</f>
        <v/>
      </c>
      <c r="G168" s="1760">
        <f>G167-D168</f>
        <v/>
      </c>
      <c r="H168" s="1814" t="n"/>
      <c r="J168" s="1815">
        <f>I167/10</f>
        <v/>
      </c>
      <c r="O168" s="1747">
        <f>J167/10</f>
        <v/>
      </c>
    </row>
    <row r="169" ht="39.75" customFormat="1" customHeight="1" s="1747">
      <c r="A169" s="1766" t="inlineStr">
        <is>
          <t>JT.#120</t>
        </is>
      </c>
      <c r="B169" s="1766" t="inlineStr">
        <is>
          <t>3 1/2" TSH</t>
        </is>
      </c>
      <c r="C169" s="1767" t="n">
        <v>31</v>
      </c>
      <c r="D169" s="1768">
        <f>C169-0.301</f>
        <v/>
      </c>
      <c r="E169" s="1759">
        <f>E168+D169</f>
        <v/>
      </c>
      <c r="F169" s="1759">
        <f>F168-D168</f>
        <v/>
      </c>
      <c r="G169" s="1760">
        <f>G168-D169</f>
        <v/>
      </c>
      <c r="H169" s="1772" t="n"/>
      <c r="K169" s="1774" t="n"/>
    </row>
    <row r="170" ht="39" customFormat="1" customHeight="1" s="1747">
      <c r="A170" s="1766" t="inlineStr">
        <is>
          <t>JT.#121</t>
        </is>
      </c>
      <c r="B170" s="1766" t="inlineStr">
        <is>
          <t>3 1/2" TSH</t>
        </is>
      </c>
      <c r="C170" s="1767" t="n">
        <v>31</v>
      </c>
      <c r="D170" s="1768">
        <f>C170-0.301</f>
        <v/>
      </c>
      <c r="E170" s="1759">
        <f>E169+D170</f>
        <v/>
      </c>
      <c r="F170" s="1759">
        <f>F169-D169</f>
        <v/>
      </c>
      <c r="G170" s="1760">
        <f>G169-D170</f>
        <v/>
      </c>
      <c r="H170" s="1789" t="inlineStr">
        <is>
          <t xml:space="preserve">FILL UP STRING </t>
        </is>
      </c>
      <c r="K170" s="1774" t="n"/>
    </row>
    <row r="171" ht="123" customFormat="1" customHeight="1" s="1747">
      <c r="A171" s="1766" t="inlineStr">
        <is>
          <t>JT.#122</t>
        </is>
      </c>
      <c r="B171" s="1766" t="inlineStr">
        <is>
          <t>3 1/2" TSH</t>
        </is>
      </c>
      <c r="C171" s="1767" t="n">
        <v>31</v>
      </c>
      <c r="D171" s="1809">
        <f>C171-0.252</f>
        <v/>
      </c>
      <c r="E171" s="1759">
        <f>E170+D171</f>
        <v/>
      </c>
      <c r="F171" s="1759">
        <f>F170-D170</f>
        <v/>
      </c>
      <c r="G171" s="1760">
        <f>G170-D171</f>
        <v/>
      </c>
      <c r="H171" s="1816" t="n"/>
      <c r="J171" s="1747">
        <f>J168*4</f>
        <v/>
      </c>
    </row>
    <row r="172" ht="163.5" customFormat="1" customHeight="1" s="1747">
      <c r="A172" s="1766" t="inlineStr">
        <is>
          <t>JT.#123</t>
        </is>
      </c>
      <c r="B172" s="1766" t="inlineStr">
        <is>
          <t>3 1/2" TSH</t>
        </is>
      </c>
      <c r="C172" s="1767" t="n">
        <v>31</v>
      </c>
      <c r="D172" s="1800">
        <f>C172</f>
        <v/>
      </c>
      <c r="E172" s="1759">
        <f>E171+D172</f>
        <v/>
      </c>
      <c r="F172" s="1759">
        <f>F171-D171</f>
        <v/>
      </c>
      <c r="G172" s="1760">
        <f>G171-D172</f>
        <v/>
      </c>
      <c r="H172" s="1811" t="n"/>
      <c r="J172" s="1747">
        <f>J171/60</f>
        <v/>
      </c>
    </row>
    <row r="173" ht="180.75" customFormat="1" customHeight="1" s="1747">
      <c r="A173" s="1766" t="inlineStr">
        <is>
          <t>JT.#124</t>
        </is>
      </c>
      <c r="B173" s="1766" t="inlineStr">
        <is>
          <t>3 1/2" TSH</t>
        </is>
      </c>
      <c r="C173" s="1767" t="n">
        <v>31</v>
      </c>
      <c r="D173" s="1800">
        <f>C173</f>
        <v/>
      </c>
      <c r="E173" s="1759">
        <f>E172+D173</f>
        <v/>
      </c>
      <c r="F173" s="1759">
        <f>F172-D172</f>
        <v/>
      </c>
      <c r="G173" s="1760">
        <f>G172-D173</f>
        <v/>
      </c>
      <c r="H173" s="1817" t="n"/>
    </row>
    <row r="174" ht="135" customFormat="1" customHeight="1" s="1747">
      <c r="A174" s="1766" t="inlineStr">
        <is>
          <t>JT.#125</t>
        </is>
      </c>
      <c r="B174" s="1766" t="inlineStr">
        <is>
          <t>3 1/2" TSH</t>
        </is>
      </c>
      <c r="C174" s="1767" t="n">
        <v>31</v>
      </c>
      <c r="D174" s="1800">
        <f>C174</f>
        <v/>
      </c>
      <c r="E174" s="1759">
        <f>E173+D174</f>
        <v/>
      </c>
      <c r="F174" s="1759">
        <f>F173-D173</f>
        <v/>
      </c>
      <c r="G174" s="1760">
        <f>G173-D174</f>
        <v/>
      </c>
      <c r="H174" s="1818" t="n"/>
    </row>
    <row r="175" ht="333" customFormat="1" customHeight="1" s="1747">
      <c r="A175" s="1766" t="inlineStr">
        <is>
          <t>JT.#126</t>
        </is>
      </c>
      <c r="B175" s="1766" t="inlineStr">
        <is>
          <t>3 1/2" TSH</t>
        </is>
      </c>
      <c r="C175" s="1767" t="n">
        <v>31</v>
      </c>
      <c r="D175" s="1800">
        <f>C175</f>
        <v/>
      </c>
      <c r="E175" s="1759">
        <f>E174+D175</f>
        <v/>
      </c>
      <c r="F175" s="1759">
        <f>F174-D174</f>
        <v/>
      </c>
      <c r="G175" s="1760">
        <f>G174-D175</f>
        <v/>
      </c>
      <c r="H175" s="1819" t="inlineStr">
        <is>
          <t>TRAGET DEPTH 6875.00'
CASING COLAR  6863.71' -6906.28'</t>
        </is>
      </c>
      <c r="I175" s="1820" t="n"/>
      <c r="J175" s="1821" t="n"/>
    </row>
    <row r="176" ht="141.75" customFormat="1" customHeight="1" s="1747">
      <c r="A176" s="1766" t="inlineStr">
        <is>
          <t>JT.#127</t>
        </is>
      </c>
      <c r="B176" s="1766" t="inlineStr">
        <is>
          <t>3 1/2" TSH</t>
        </is>
      </c>
      <c r="C176" s="1767" t="n">
        <v>31</v>
      </c>
      <c r="D176" s="1812">
        <f>C176</f>
        <v/>
      </c>
      <c r="E176" s="1759">
        <f>E175+D176</f>
        <v/>
      </c>
      <c r="F176" s="1759">
        <f>F175-D175</f>
        <v/>
      </c>
      <c r="G176" s="1760">
        <f>G175-D176</f>
        <v/>
      </c>
      <c r="H176" s="1822" t="n"/>
      <c r="I176" s="1771" t="n"/>
    </row>
    <row r="177" ht="39.75" customFormat="1" customHeight="1" s="1747">
      <c r="A177" s="1766" t="inlineStr">
        <is>
          <t>JT.#128</t>
        </is>
      </c>
      <c r="B177" s="1766" t="inlineStr">
        <is>
          <t>3 1/2" TSH</t>
        </is>
      </c>
      <c r="C177" s="1767" t="n">
        <v>31</v>
      </c>
      <c r="D177" s="1768">
        <f>C177-0.301</f>
        <v/>
      </c>
      <c r="E177" s="1759">
        <f>E176+D177</f>
        <v/>
      </c>
      <c r="F177" s="1759">
        <f>F176-D176</f>
        <v/>
      </c>
      <c r="G177" s="1760">
        <f>G176-D177</f>
        <v/>
      </c>
      <c r="H177" s="1789" t="inlineStr">
        <is>
          <t xml:space="preserve">FILL UP STRING </t>
        </is>
      </c>
      <c r="K177" s="1774" t="n"/>
    </row>
    <row r="178" ht="39.75" customFormat="1" customHeight="1" s="1747">
      <c r="A178" s="1766" t="inlineStr">
        <is>
          <t>JT.#129</t>
        </is>
      </c>
      <c r="B178" s="1766" t="inlineStr">
        <is>
          <t>3 1/2" TSH</t>
        </is>
      </c>
      <c r="C178" s="1767" t="n">
        <v>31</v>
      </c>
      <c r="D178" s="1768">
        <f>C178-0.301</f>
        <v/>
      </c>
      <c r="E178" s="1759">
        <f>E177+D178</f>
        <v/>
      </c>
      <c r="F178" s="1759">
        <f>F177-D177</f>
        <v/>
      </c>
      <c r="G178" s="1760">
        <f>G177-D178</f>
        <v/>
      </c>
      <c r="H178" s="1772" t="n"/>
      <c r="K178" s="1774" t="n"/>
    </row>
    <row r="179" ht="39.75" customFormat="1" customHeight="1" s="1747">
      <c r="A179" s="1766" t="inlineStr">
        <is>
          <t>JT.#130</t>
        </is>
      </c>
      <c r="B179" s="1766" t="inlineStr">
        <is>
          <t>3 1/2" TSH</t>
        </is>
      </c>
      <c r="C179" s="1767" t="n">
        <v>31</v>
      </c>
      <c r="D179" s="1768">
        <f>C179-0.301</f>
        <v/>
      </c>
      <c r="E179" s="1759">
        <f>E178+D179</f>
        <v/>
      </c>
      <c r="F179" s="1759">
        <f>F178-D178</f>
        <v/>
      </c>
      <c r="G179" s="1760">
        <f>G178-D179</f>
        <v/>
      </c>
      <c r="H179" s="1772" t="n"/>
      <c r="K179" s="1774" t="n"/>
    </row>
    <row r="180" ht="39.75" customFormat="1" customHeight="1" s="1747">
      <c r="A180" s="1766" t="inlineStr">
        <is>
          <t>JT.#131</t>
        </is>
      </c>
      <c r="B180" s="1766" t="inlineStr">
        <is>
          <t>3 1/2" TSH</t>
        </is>
      </c>
      <c r="C180" s="1767" t="n">
        <v>31</v>
      </c>
      <c r="D180" s="1768">
        <f>C180-0.301</f>
        <v/>
      </c>
      <c r="E180" s="1759">
        <f>E179+D180</f>
        <v/>
      </c>
      <c r="F180" s="1759">
        <f>F179-D179</f>
        <v/>
      </c>
      <c r="G180" s="1760">
        <f>G179-D180</f>
        <v/>
      </c>
      <c r="H180" s="1772" t="n"/>
      <c r="K180" s="1774" t="n"/>
    </row>
    <row r="181" ht="39.75" customFormat="1" customHeight="1" s="1747">
      <c r="A181" s="1766" t="inlineStr">
        <is>
          <t>JT.#132</t>
        </is>
      </c>
      <c r="B181" s="1766" t="inlineStr">
        <is>
          <t>3 1/2" TSH</t>
        </is>
      </c>
      <c r="C181" s="1767" t="n">
        <v>31</v>
      </c>
      <c r="D181" s="1768">
        <f>C181-0.301</f>
        <v/>
      </c>
      <c r="E181" s="1759">
        <f>E180+D181</f>
        <v/>
      </c>
      <c r="F181" s="1759">
        <f>F180-D180</f>
        <v/>
      </c>
      <c r="G181" s="1760">
        <f>G180-D181</f>
        <v/>
      </c>
      <c r="H181" s="1772" t="n"/>
      <c r="K181" s="1774" t="n"/>
    </row>
    <row r="182" ht="39.75" customFormat="1" customHeight="1" s="1747">
      <c r="A182" s="1766" t="inlineStr">
        <is>
          <t>JT.#133</t>
        </is>
      </c>
      <c r="B182" s="1766" t="inlineStr">
        <is>
          <t>3 1/2" TSH</t>
        </is>
      </c>
      <c r="C182" s="1767" t="n">
        <v>31</v>
      </c>
      <c r="D182" s="1768">
        <f>C182-0.301</f>
        <v/>
      </c>
      <c r="E182" s="1759">
        <f>E181+D182</f>
        <v/>
      </c>
      <c r="F182" s="1759">
        <f>F181-D181</f>
        <v/>
      </c>
      <c r="G182" s="1760">
        <f>G181-D182</f>
        <v/>
      </c>
      <c r="H182" s="1772" t="n"/>
      <c r="K182" s="1774" t="n"/>
    </row>
    <row r="183" ht="39.75" customFormat="1" customHeight="1" s="1747">
      <c r="A183" s="1766" t="inlineStr">
        <is>
          <t>JT.#134</t>
        </is>
      </c>
      <c r="B183" s="1766" t="inlineStr">
        <is>
          <t>3 1/2" TSH</t>
        </is>
      </c>
      <c r="C183" s="1767" t="n">
        <v>31</v>
      </c>
      <c r="D183" s="1768">
        <f>C183-0.301</f>
        <v/>
      </c>
      <c r="E183" s="1759">
        <f>E182+D183</f>
        <v/>
      </c>
      <c r="F183" s="1759">
        <f>F182-D182</f>
        <v/>
      </c>
      <c r="G183" s="1760">
        <f>G182-D183</f>
        <v/>
      </c>
      <c r="H183" s="1772" t="n"/>
      <c r="K183" s="1774" t="n"/>
    </row>
    <row r="184" ht="39.75" customFormat="1" customHeight="1" s="1747">
      <c r="A184" s="1766" t="inlineStr">
        <is>
          <t>JT.#135</t>
        </is>
      </c>
      <c r="B184" s="1766" t="inlineStr">
        <is>
          <t>3 1/2" TSH</t>
        </is>
      </c>
      <c r="C184" s="1767" t="n">
        <v>31</v>
      </c>
      <c r="D184" s="1768">
        <f>C184-0.301</f>
        <v/>
      </c>
      <c r="E184" s="1759">
        <f>E183+D184</f>
        <v/>
      </c>
      <c r="F184" s="1759">
        <f>F183-D183</f>
        <v/>
      </c>
      <c r="G184" s="1760">
        <f>G183-D184</f>
        <v/>
      </c>
      <c r="H184" s="1772" t="n"/>
      <c r="K184" s="1774" t="n"/>
    </row>
    <row r="185" ht="39.75" customFormat="1" customHeight="1" s="1747">
      <c r="A185" s="1766" t="inlineStr">
        <is>
          <t>JT.#136</t>
        </is>
      </c>
      <c r="B185" s="1766" t="inlineStr">
        <is>
          <t>3 1/2" TSH</t>
        </is>
      </c>
      <c r="C185" s="1767" t="n">
        <v>31</v>
      </c>
      <c r="D185" s="1768">
        <f>C185-0.301</f>
        <v/>
      </c>
      <c r="E185" s="1759">
        <f>E184+D185</f>
        <v/>
      </c>
      <c r="F185" s="1759">
        <f>F184-D184</f>
        <v/>
      </c>
      <c r="G185" s="1760">
        <f>G184-D185</f>
        <v/>
      </c>
      <c r="H185" s="1772" t="n"/>
      <c r="K185" s="1774" t="n"/>
    </row>
    <row r="186" ht="39.75" customFormat="1" customHeight="1" s="1747">
      <c r="A186" s="1766" t="inlineStr">
        <is>
          <t>JT.#137</t>
        </is>
      </c>
      <c r="B186" s="1766" t="inlineStr">
        <is>
          <t>3 1/2" TSH</t>
        </is>
      </c>
      <c r="C186" s="1767" t="n">
        <v>31</v>
      </c>
      <c r="D186" s="1768">
        <f>C186-0.301</f>
        <v/>
      </c>
      <c r="E186" s="1759">
        <f>E185+D186</f>
        <v/>
      </c>
      <c r="F186" s="1759">
        <f>F185-D185</f>
        <v/>
      </c>
      <c r="G186" s="1760">
        <f>G185-D186</f>
        <v/>
      </c>
      <c r="H186" s="1772" t="n"/>
      <c r="K186" s="1774" t="n"/>
    </row>
    <row r="187" ht="39.75" customFormat="1" customHeight="1" s="1747">
      <c r="A187" s="1823" t="inlineStr">
        <is>
          <t>F</t>
        </is>
      </c>
      <c r="B187" s="1824" t="inlineStr">
        <is>
          <t>UPPER CONN. 3-1/2" VAM TOP BOX 9.2 PPF SN 28 110 KSI
DESCRIPTION: 5 FEET XOVER
SAP: 130005011340
SUPPLIER: TENARIS
UPPER CONN. 3-1/2" TSH BLUE PIN 9.2 PPF SN 28 110 KSI</t>
        </is>
      </c>
      <c r="C187" s="1825" t="n">
        <v>5.02</v>
      </c>
      <c r="D187" s="1768">
        <f>C187-0.301</f>
        <v/>
      </c>
      <c r="E187" s="1759">
        <f>E186+D187</f>
        <v/>
      </c>
      <c r="F187" s="1759">
        <f>F186-D186</f>
        <v/>
      </c>
      <c r="G187" s="1760">
        <f>G186-D187</f>
        <v/>
      </c>
      <c r="H187" s="1789" t="inlineStr">
        <is>
          <t xml:space="preserve">FILL UP STRING </t>
        </is>
      </c>
      <c r="K187" s="1774" t="n"/>
    </row>
    <row r="188" ht="39.75" customFormat="1" customHeight="1" s="1747">
      <c r="A188" s="1778" t="n"/>
      <c r="B188" s="1824" t="inlineStr">
        <is>
          <t>UPPER CONN. 3-1/2" VAM TOP 9.2#PPF INCOLOY 925 BOX
DESCRIPTION: FLOW COUPLING
PN: 2996124
S/N: 130777-04-001
SAP: 130010035671
S UPPLIER: WEATHERFORD
LOWER CONN. 3-1/2" VAM TOP 9.2#PPF</t>
        </is>
      </c>
      <c r="C188" s="1825" t="n">
        <v>5.75</v>
      </c>
      <c r="D188" s="1768">
        <f>C188-0.301</f>
        <v/>
      </c>
      <c r="E188" s="1759">
        <f>E187+D188</f>
        <v/>
      </c>
      <c r="F188" s="1759">
        <f>F187-D187</f>
        <v/>
      </c>
      <c r="G188" s="1760">
        <f>G187-D188</f>
        <v/>
      </c>
      <c r="H188" s="1772" t="n"/>
      <c r="K188" s="1774" t="n"/>
    </row>
    <row r="189" ht="39.75" customFormat="1" customHeight="1" s="1747">
      <c r="A189" s="1778" t="n"/>
      <c r="B189" s="1824" t="inlineStr">
        <is>
          <t>UPPER CONN. 3-1/2" VAM TOP 9.2#PPF
INCOLOY 925
BOX
DESCRIPTION: WEATHERFORD ASSY, TRSV,3.5WZPE-10
2.813WOR,2kSD,9.2# VAM TOP, WN302
PN: 2980845
S/N: 12777594-01
SAP: 130010038007
SUPPLIER: WEATHERFORD
LOWER CONN. 3-1/2" VAM TOP 9.2#PPF</t>
        </is>
      </c>
      <c r="C189" s="1825" t="n">
        <v>4.44</v>
      </c>
      <c r="D189" s="1768">
        <f>C189-0.301</f>
        <v/>
      </c>
      <c r="E189" s="1759">
        <f>E188+D189</f>
        <v/>
      </c>
      <c r="F189" s="1759">
        <f>F188-D188</f>
        <v/>
      </c>
      <c r="G189" s="1760">
        <f>G188-D189</f>
        <v/>
      </c>
      <c r="H189" s="1772" t="n"/>
      <c r="K189" s="1774" t="n"/>
    </row>
    <row r="190" ht="39.75" customFormat="1" customHeight="1" s="1747">
      <c r="A190" s="1778" t="n"/>
      <c r="B190" s="1824" t="inlineStr">
        <is>
          <t>UPPER CONN. 3-1/2" VAM TOP 9.2#PPF
INCOLOY 925
BOX
DESCRIPTION: FLOW COUPLING
P/N: 2996124
S/N: 130777-02-002
SAP: 130010035671
SUPPLIER: WEATHERFORD
LOWER CONN. 3-1/2" VAM TOP 9.2#PPF</t>
        </is>
      </c>
      <c r="C190" s="1825" t="n">
        <v>5.75</v>
      </c>
      <c r="D190" s="1768">
        <f>C190-0.301</f>
        <v/>
      </c>
      <c r="E190" s="1759">
        <f>E189+D190</f>
        <v/>
      </c>
      <c r="F190" s="1759">
        <f>F189-D189</f>
        <v/>
      </c>
      <c r="G190" s="1760">
        <f>G189-D190</f>
        <v/>
      </c>
      <c r="H190" s="1772" t="n"/>
      <c r="K190" s="1774" t="n"/>
    </row>
    <row r="191" ht="39.75" customFormat="1" customHeight="1" s="1747">
      <c r="A191" s="1450" t="n"/>
      <c r="B191" s="1824" t="inlineStr">
        <is>
          <t>UPPER CONN. 3-1/2" TSH BLUE BOX 9.2 PPF SN 28 110 KSI
DESCRIPTION: 10 FEET XOVER
SAP: 130005012487
SUPPLIER: TENARIS
LOWER CONN. 3-1/2" VAM TOP PIN 9.2 PPF SN 28 110 KSI</t>
        </is>
      </c>
      <c r="C191" s="1825" t="n">
        <v>9.93</v>
      </c>
      <c r="D191" s="1768">
        <f>C191-0.301</f>
        <v/>
      </c>
      <c r="E191" s="1759">
        <f>E190+D191</f>
        <v/>
      </c>
      <c r="F191" s="1759">
        <f>F190-D190</f>
        <v/>
      </c>
      <c r="G191" s="1760">
        <f>G190-D191</f>
        <v/>
      </c>
      <c r="H191" s="1772" t="n"/>
      <c r="K191" s="1774" t="n"/>
    </row>
    <row r="192" ht="39.75" customFormat="1" customHeight="1" s="1747">
      <c r="A192" s="1766" t="inlineStr">
        <is>
          <t>JT.#138</t>
        </is>
      </c>
      <c r="B192" s="1766" t="inlineStr">
        <is>
          <t>3 1/2" TSH</t>
        </is>
      </c>
      <c r="C192" s="1767" t="n">
        <v>31</v>
      </c>
      <c r="D192" s="1768">
        <f>C192-0.301</f>
        <v/>
      </c>
      <c r="E192" s="1759">
        <f>E191+D192</f>
        <v/>
      </c>
      <c r="F192" s="1759">
        <f>F191-D191</f>
        <v/>
      </c>
      <c r="G192" s="1760">
        <f>G191-D192</f>
        <v/>
      </c>
      <c r="H192" s="1772" t="n"/>
      <c r="K192" s="1774" t="n"/>
    </row>
    <row r="193" ht="39.75" customFormat="1" customHeight="1" s="1747">
      <c r="A193" s="1766" t="inlineStr">
        <is>
          <t>JT.#139</t>
        </is>
      </c>
      <c r="B193" s="1766" t="inlineStr">
        <is>
          <t>3 1/2" TSH</t>
        </is>
      </c>
      <c r="C193" s="1767" t="n">
        <v>31</v>
      </c>
      <c r="D193" s="1768">
        <f>C193-0.301</f>
        <v/>
      </c>
      <c r="E193" s="1759">
        <f>E192+D193</f>
        <v/>
      </c>
      <c r="F193" s="1759">
        <f>F192-D192</f>
        <v/>
      </c>
      <c r="G193" s="1760">
        <f>G192-D193</f>
        <v/>
      </c>
      <c r="H193" s="1772" t="n"/>
      <c r="K193" s="1774" t="n"/>
    </row>
    <row r="194" ht="39.75" customFormat="1" customHeight="1" s="1747">
      <c r="A194" s="1766" t="inlineStr">
        <is>
          <t>JT.#140</t>
        </is>
      </c>
      <c r="B194" s="1766" t="inlineStr">
        <is>
          <t>3 1/2" TSH</t>
        </is>
      </c>
      <c r="C194" s="1767" t="n">
        <v>31</v>
      </c>
      <c r="D194" s="1768">
        <f>C194-0.301</f>
        <v/>
      </c>
      <c r="E194" s="1759">
        <f>E193+D194</f>
        <v/>
      </c>
      <c r="F194" s="1759">
        <f>F193-D193</f>
        <v/>
      </c>
      <c r="G194" s="1760">
        <f>G193-D194</f>
        <v/>
      </c>
      <c r="H194" s="1772" t="n"/>
      <c r="K194" s="1774" t="n"/>
    </row>
    <row r="195" ht="39.75" customFormat="1" customHeight="1" s="1747">
      <c r="A195" s="1766" t="inlineStr">
        <is>
          <t>JT.#141</t>
        </is>
      </c>
      <c r="B195" s="1766" t="inlineStr">
        <is>
          <t>3 1/2" TSH</t>
        </is>
      </c>
      <c r="C195" s="1767" t="n">
        <v>31</v>
      </c>
      <c r="D195" s="1768">
        <f>C195-0.301</f>
        <v/>
      </c>
      <c r="E195" s="1759">
        <f>E194+D195</f>
        <v/>
      </c>
      <c r="F195" s="1759">
        <f>F194-D194</f>
        <v/>
      </c>
      <c r="G195" s="1760">
        <f>G194-D195</f>
        <v/>
      </c>
      <c r="H195" s="1772" t="n"/>
      <c r="K195" s="1774" t="n"/>
    </row>
    <row r="196" ht="39.75" customFormat="1" customHeight="1" s="1747">
      <c r="A196" s="1766" t="inlineStr">
        <is>
          <t>JT.#142</t>
        </is>
      </c>
      <c r="B196" s="1766" t="inlineStr">
        <is>
          <t>3 1/2" TSH</t>
        </is>
      </c>
      <c r="C196" s="1767" t="n">
        <v>31</v>
      </c>
      <c r="D196" s="1768">
        <f>C196-0.301</f>
        <v/>
      </c>
      <c r="E196" s="1759">
        <f>E195+D196</f>
        <v/>
      </c>
      <c r="F196" s="1759">
        <f>F195-D195</f>
        <v/>
      </c>
      <c r="G196" s="1760">
        <f>G195-D196</f>
        <v/>
      </c>
      <c r="H196" s="1772" t="n"/>
      <c r="K196" s="1774" t="n"/>
    </row>
    <row r="197" ht="39.75" customFormat="1" customHeight="1" s="1747">
      <c r="A197" s="1826" t="inlineStr">
        <is>
          <t>F - 1</t>
        </is>
      </c>
      <c r="B197" s="1827" t="inlineStr">
        <is>
          <t>UPPER CONN. 3-1/2" TENARIS BLUE 9.2#PPF SN 28 110 KSI
DESCRIPTION: 5 FEET PUP JOINT
SAP: 130005011338
SUPPLIER:TENARIS
LOWER CONN. 3-1/2" TENARIS BLUE 9.2#PPF SN 28 110 KSI</t>
        </is>
      </c>
      <c r="C197" s="1828" t="n">
        <v>5.08</v>
      </c>
      <c r="D197" s="1768">
        <f>C197-0.301</f>
        <v/>
      </c>
      <c r="E197" s="1759">
        <f>E196+D197</f>
        <v/>
      </c>
      <c r="F197" s="1759">
        <f>F196-D196</f>
        <v/>
      </c>
      <c r="G197" s="1760">
        <f>G196-D197</f>
        <v/>
      </c>
      <c r="H197" s="1789" t="inlineStr">
        <is>
          <t xml:space="preserve">FILL UP STRING </t>
        </is>
      </c>
      <c r="K197" s="1774" t="n"/>
    </row>
    <row r="198" ht="39.75" customFormat="1" customHeight="1" s="1747">
      <c r="A198" s="1778" t="n"/>
      <c r="B198" s="1827" t="inlineStr">
        <is>
          <t>UPPER CONN. 4-1/2" VAM TOP 12.6 #PPF SN 28 120 KSI BOX
DESCRIPTION : X OVER
4 1/2 PIN TOP X 3 1/2 PIN BTM
SAP: 130005012767 SUPPLIER: TENARIS
LOWER CONN. 3-1/2" TENARIS BLUE 9.2#PPF SN 28 120 KSI PIN</t>
        </is>
      </c>
      <c r="C198" s="1828" t="n">
        <v>2.48</v>
      </c>
      <c r="D198" s="1768">
        <f>C198-0.301</f>
        <v/>
      </c>
      <c r="E198" s="1759">
        <f>E197+D198</f>
        <v/>
      </c>
      <c r="F198" s="1759">
        <f>F197-D197</f>
        <v/>
      </c>
      <c r="G198" s="1760">
        <f>G197-D198</f>
        <v/>
      </c>
      <c r="H198" s="1772" t="n"/>
      <c r="K198" s="1774" t="n"/>
    </row>
    <row r="199" ht="39.75" customFormat="1" customHeight="1" s="1747">
      <c r="A199" s="1778" t="n"/>
      <c r="B199" s="182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828" t="n">
        <v>1.9</v>
      </c>
      <c r="D199" s="1768">
        <f>C199-0.301</f>
        <v/>
      </c>
      <c r="E199" s="1759">
        <f>E198+D199</f>
        <v/>
      </c>
      <c r="F199" s="1759">
        <f>F198-D198</f>
        <v/>
      </c>
      <c r="G199" s="1760">
        <f>G198-D199</f>
        <v/>
      </c>
      <c r="H199" s="1772" t="n"/>
      <c r="K199" s="1774" t="n"/>
    </row>
    <row r="200" ht="39.75" customFormat="1" customHeight="1" s="1747">
      <c r="A200" s="1450" t="n"/>
      <c r="B200" s="1827" t="inlineStr">
        <is>
          <t>UPPER CONN. 4-1/2" VAMTOP 12.6# L80
Box
DESCRIPTION: 30' LANDING JOINT
SAP: 130005009160
SUPPLIER:VAM
LOWER CONN. 4-1/2" VAMTOP 12.6# L80 PIN</t>
        </is>
      </c>
      <c r="C200" s="1828" t="n">
        <v>24.82</v>
      </c>
      <c r="D200" s="1768">
        <f>C200-0.301</f>
        <v/>
      </c>
      <c r="E200" s="1759">
        <f>E199+D200</f>
        <v/>
      </c>
      <c r="F200" s="1759">
        <f>F199-D199</f>
        <v/>
      </c>
      <c r="G200" s="1760">
        <f>G199-D200</f>
        <v/>
      </c>
      <c r="H200" s="1772" t="n"/>
      <c r="K200" s="1774" t="n"/>
    </row>
    <row r="201" ht="39.75" customFormat="1" customHeight="1" s="1747">
      <c r="A201" s="1766" t="n"/>
      <c r="B201" s="1766" t="n"/>
      <c r="C201" s="1766" t="n"/>
      <c r="D201" s="1768">
        <f>C201-0.301</f>
        <v/>
      </c>
      <c r="E201" s="1759">
        <f>E200+D201</f>
        <v/>
      </c>
      <c r="F201" s="1759">
        <f>F200-D200</f>
        <v/>
      </c>
      <c r="G201" s="1760">
        <f>G200-D201</f>
        <v/>
      </c>
      <c r="H201" s="1772" t="n"/>
      <c r="K201" s="1774" t="n"/>
    </row>
    <row r="202" ht="39.75" customFormat="1" customHeight="1" s="1747">
      <c r="A202" s="1829" t="inlineStr">
        <is>
          <t>A</t>
        </is>
      </c>
      <c r="B202" s="1830" t="inlineStr">
        <is>
          <t>UPPER CONN. 3-1/2" VAM TOP 9.2#PPF BOX VM 28 110 KSI
DESCRIPTION: WIRELINE ENTRY GUIDE
SN: 16339547-10-008
PN 2996481
SAP: 130010036277
SUPPLIER: WEATHERFORD</t>
        </is>
      </c>
      <c r="C202" s="1831" t="n">
        <v>0.6</v>
      </c>
      <c r="D202" s="1768">
        <f>C202-0.301</f>
        <v/>
      </c>
      <c r="E202" s="1759">
        <f>E201+D202</f>
        <v/>
      </c>
      <c r="F202" s="1759">
        <f>F201-D201</f>
        <v/>
      </c>
      <c r="G202" s="1760">
        <f>G201-D202</f>
        <v/>
      </c>
      <c r="H202" s="1772" t="n"/>
      <c r="K202" s="1774" t="n"/>
    </row>
    <row r="203" ht="39.75" customFormat="1" customHeight="1" s="1747">
      <c r="A203" s="1450" t="n"/>
      <c r="B203" s="1830" t="inlineStr">
        <is>
          <t>UPPER CONN. 3-1/2" TSH BLUE BOX 9.2 PPF SN 28 110 KSI
DESCRIPTION: 5 FEET XOVER
SAP: 130005011340
SUPPLIER: TENARIS
LOWER CONN. 3-1/2" VAM TOP PIN 9.2 PPF SN 28 110 KSI</t>
        </is>
      </c>
      <c r="C203" s="1831" t="n">
        <v>4.96</v>
      </c>
      <c r="D203" s="1768">
        <f>C203-0.301</f>
        <v/>
      </c>
      <c r="E203" s="1759">
        <f>E202+D203</f>
        <v/>
      </c>
      <c r="F203" s="1759">
        <f>F202-D202</f>
        <v/>
      </c>
      <c r="G203" s="1760">
        <f>G202-D203</f>
        <v/>
      </c>
      <c r="H203" s="1772" t="n"/>
      <c r="K203" s="1774" t="n"/>
    </row>
    <row r="204" ht="39.75" customFormat="1" customHeight="1" s="1747">
      <c r="A204" s="1766" t="inlineStr">
        <is>
          <t>JT.#1</t>
        </is>
      </c>
      <c r="B204" s="1766" t="inlineStr">
        <is>
          <t>3-1/2" TUBING 9.2 LB/FT ALLOY 28 TSH BL</t>
        </is>
      </c>
      <c r="C204" s="1767" t="n">
        <v>31</v>
      </c>
      <c r="D204" s="1768">
        <f>C204-0.301</f>
        <v/>
      </c>
      <c r="E204" s="1759">
        <f>E203+D204</f>
        <v/>
      </c>
      <c r="F204" s="1759">
        <f>F203-D203</f>
        <v/>
      </c>
      <c r="G204" s="1760">
        <f>G203-D204</f>
        <v/>
      </c>
      <c r="H204" s="1772" t="n"/>
      <c r="K204" s="1774" t="n"/>
    </row>
    <row r="205" ht="39.75" customFormat="1" customHeight="1" s="1747">
      <c r="A205" s="1766" t="inlineStr">
        <is>
          <t>JT.#2</t>
        </is>
      </c>
      <c r="B205" s="1766" t="inlineStr">
        <is>
          <t>3-1/2" TUBING 9.2 LB/FT ALLOY 28 TSH BL</t>
        </is>
      </c>
      <c r="C205" s="1767" t="n">
        <v>31</v>
      </c>
      <c r="D205" s="1768">
        <f>C205-0.301</f>
        <v/>
      </c>
      <c r="E205" s="1759">
        <f>E204+D205</f>
        <v/>
      </c>
      <c r="F205" s="1759">
        <f>F204-D204</f>
        <v/>
      </c>
      <c r="G205" s="1760">
        <f>G204-D205</f>
        <v/>
      </c>
      <c r="H205" s="1772" t="n"/>
      <c r="K205" s="1774" t="n"/>
    </row>
    <row r="206" ht="39.75" customFormat="1" customHeight="1" s="1747">
      <c r="A206" s="1766" t="inlineStr">
        <is>
          <t>JT.#3</t>
        </is>
      </c>
      <c r="B206" s="1766" t="inlineStr">
        <is>
          <t>3-1/2" TUBING 9.2 LB/FT ALLOY 28 TSH BL</t>
        </is>
      </c>
      <c r="C206" s="1767" t="n">
        <v>31</v>
      </c>
      <c r="D206" s="1768">
        <f>C206-0.301</f>
        <v/>
      </c>
      <c r="E206" s="1759">
        <f>E205+D206</f>
        <v/>
      </c>
      <c r="F206" s="1759">
        <f>F205-D205</f>
        <v/>
      </c>
      <c r="G206" s="1760">
        <f>G205-D206</f>
        <v/>
      </c>
      <c r="H206" s="1789" t="inlineStr">
        <is>
          <t xml:space="preserve">FILL UP STRING </t>
        </is>
      </c>
      <c r="K206" s="1774" t="n"/>
    </row>
    <row r="207" ht="39.75" customFormat="1" customHeight="1" s="1747">
      <c r="A207" s="1766" t="inlineStr">
        <is>
          <t>JT.#4</t>
        </is>
      </c>
      <c r="B207" s="1766" t="inlineStr">
        <is>
          <t>3-1/2" TUBING 9.2 LB/FT ALLOY 28 TSH BL</t>
        </is>
      </c>
      <c r="C207" s="1767" t="n">
        <v>31</v>
      </c>
      <c r="D207" s="1768">
        <f>C207-0.301</f>
        <v/>
      </c>
      <c r="E207" s="1759">
        <f>E206+D207</f>
        <v/>
      </c>
      <c r="F207" s="1759">
        <f>F206-D206</f>
        <v/>
      </c>
      <c r="G207" s="1760">
        <f>G206-D207</f>
        <v/>
      </c>
      <c r="H207" s="1772" t="n"/>
      <c r="K207" s="1774" t="n"/>
    </row>
    <row r="208" ht="39.75" customFormat="1" customHeight="1" s="1747">
      <c r="A208" s="1766" t="inlineStr">
        <is>
          <t>JT.#5</t>
        </is>
      </c>
      <c r="B208" s="1766" t="inlineStr">
        <is>
          <t>3-1/2" TUBING 9.2 LB/FT ALLOY 28 TSH BL</t>
        </is>
      </c>
      <c r="C208" s="1767" t="n">
        <v>31</v>
      </c>
      <c r="D208" s="1768">
        <f>C208-0.301</f>
        <v/>
      </c>
      <c r="E208" s="1759">
        <f>E207+D208</f>
        <v/>
      </c>
      <c r="F208" s="1759">
        <f>F207-D207</f>
        <v/>
      </c>
      <c r="G208" s="1760">
        <f>G207-D208</f>
        <v/>
      </c>
      <c r="H208" s="1772" t="n"/>
      <c r="K208" s="1774" t="n"/>
    </row>
    <row r="209" ht="39.75" customFormat="1" customHeight="1" s="1747">
      <c r="A209" s="1766" t="inlineStr">
        <is>
          <t>JT.#6</t>
        </is>
      </c>
      <c r="B209" s="1766" t="inlineStr">
        <is>
          <t>3-1/2" TUBING 9.2 LB/FT ALLOY 28 TSH BL</t>
        </is>
      </c>
      <c r="C209" s="1767" t="n">
        <v>31</v>
      </c>
      <c r="D209" s="1768">
        <f>C209-0.301</f>
        <v/>
      </c>
      <c r="E209" s="1759">
        <f>E208+D209</f>
        <v/>
      </c>
      <c r="F209" s="1759">
        <f>F208-D208</f>
        <v/>
      </c>
      <c r="G209" s="1760">
        <f>G208-D209</f>
        <v/>
      </c>
      <c r="H209" s="1772" t="n"/>
      <c r="K209" s="1774" t="n"/>
    </row>
    <row r="210" ht="39.75" customFormat="1" customHeight="1" s="1747">
      <c r="A210" s="1766" t="inlineStr">
        <is>
          <t>JT.#7</t>
        </is>
      </c>
      <c r="B210" s="1766" t="inlineStr">
        <is>
          <t>3-1/2" TUBING 9.2 LB/FT ALLOY 28 TSH BL</t>
        </is>
      </c>
      <c r="C210" s="1767" t="n">
        <v>31</v>
      </c>
      <c r="D210" s="1768">
        <f>C210-0.301</f>
        <v/>
      </c>
      <c r="E210" s="1759">
        <f>E209+D210</f>
        <v/>
      </c>
      <c r="F210" s="1759">
        <f>F209-D209</f>
        <v/>
      </c>
      <c r="G210" s="1760">
        <f>G209-D210</f>
        <v/>
      </c>
      <c r="H210" s="1832" t="n"/>
      <c r="K210" s="1774" t="n"/>
    </row>
    <row r="211" ht="39.75" customFormat="1" customHeight="1" s="1747">
      <c r="A211" s="1766" t="inlineStr">
        <is>
          <t>JT.#8</t>
        </is>
      </c>
      <c r="B211" s="1766" t="inlineStr">
        <is>
          <t>3-1/2" TUBING 9.2 LB/FT ALLOY 28 TSH BL</t>
        </is>
      </c>
      <c r="C211" s="1767" t="n">
        <v>31</v>
      </c>
      <c r="D211" s="1768">
        <f>C211-0.301</f>
        <v/>
      </c>
      <c r="E211" s="1759">
        <f>E210+D211</f>
        <v/>
      </c>
      <c r="F211" s="1759">
        <f>F210-D210</f>
        <v/>
      </c>
      <c r="G211" s="1760">
        <f>G210-D211</f>
        <v/>
      </c>
      <c r="H211" s="1832" t="n"/>
      <c r="K211" s="1774" t="n"/>
    </row>
    <row r="212" ht="39.75" customFormat="1" customHeight="1" s="1747">
      <c r="A212" s="1766" t="inlineStr">
        <is>
          <t>JT.#9</t>
        </is>
      </c>
      <c r="B212" s="1766" t="inlineStr">
        <is>
          <t>3-1/2" TUBING 9.2 LB/FT ALLOY 28 TSH BL</t>
        </is>
      </c>
      <c r="C212" s="1767" t="n">
        <v>31</v>
      </c>
      <c r="D212" s="1768">
        <f>C212-0.301</f>
        <v/>
      </c>
      <c r="E212" s="1759">
        <f>E211+D212</f>
        <v/>
      </c>
      <c r="F212" s="1759">
        <f>F211-D211</f>
        <v/>
      </c>
      <c r="G212" s="1760">
        <f>G211-D212</f>
        <v/>
      </c>
      <c r="H212" s="1832" t="n"/>
      <c r="K212" s="1774" t="n"/>
    </row>
    <row r="213" ht="39.75" customFormat="1" customHeight="1" s="1747">
      <c r="A213" s="1766" t="inlineStr">
        <is>
          <t>JT.#10</t>
        </is>
      </c>
      <c r="B213" s="1766" t="inlineStr">
        <is>
          <t>3-1/2" TUBING 9.2 LB/FT ALLOY 28 TSH BL</t>
        </is>
      </c>
      <c r="C213" s="1767" t="n">
        <v>31</v>
      </c>
      <c r="D213" s="1768">
        <f>C213-0.301</f>
        <v/>
      </c>
      <c r="E213" s="1759">
        <f>E212+D213</f>
        <v/>
      </c>
      <c r="F213" s="1759">
        <f>F212-D212</f>
        <v/>
      </c>
      <c r="G213" s="1760">
        <f>G212-D213</f>
        <v/>
      </c>
      <c r="H213" s="1832" t="n"/>
      <c r="K213" s="1774" t="n"/>
    </row>
    <row r="214" ht="39.75" customFormat="1" customHeight="1" s="1747">
      <c r="A214" s="1766" t="inlineStr">
        <is>
          <t>JT.#11</t>
        </is>
      </c>
      <c r="B214" s="1766" t="inlineStr">
        <is>
          <t>3-1/2" TUBING 9.2 LB/FT ALLOY 28 TSH BL</t>
        </is>
      </c>
      <c r="C214" s="1767" t="n">
        <v>31</v>
      </c>
      <c r="D214" s="1768">
        <f>C214-0.301</f>
        <v/>
      </c>
      <c r="E214" s="1759">
        <f>E213+D214</f>
        <v/>
      </c>
      <c r="F214" s="1759">
        <f>F213-D213</f>
        <v/>
      </c>
      <c r="G214" s="1760">
        <f>G213-D214</f>
        <v/>
      </c>
      <c r="H214" s="1832" t="n"/>
      <c r="K214" s="1774" t="n"/>
    </row>
    <row r="215" ht="39.75" customFormat="1" customHeight="1" s="1747">
      <c r="A215" s="1766" t="inlineStr">
        <is>
          <t>JT.#12</t>
        </is>
      </c>
      <c r="B215" s="1766" t="inlineStr">
        <is>
          <t>3-1/2" TUBING 9.2 LB/FT ALLOY 28 TSH BL</t>
        </is>
      </c>
      <c r="C215" s="1767" t="n">
        <v>31</v>
      </c>
      <c r="D215" s="1768">
        <f>C215-0.301</f>
        <v/>
      </c>
      <c r="E215" s="1759">
        <f>E214+D215</f>
        <v/>
      </c>
      <c r="F215" s="1759">
        <f>F214-D214</f>
        <v/>
      </c>
      <c r="G215" s="1760">
        <f>G214-D215</f>
        <v/>
      </c>
      <c r="H215" s="1772" t="n"/>
      <c r="K215" s="1774" t="n"/>
    </row>
    <row r="216" ht="39.75" customFormat="1" customHeight="1" s="1747">
      <c r="A216" s="1766" t="inlineStr">
        <is>
          <t>JT.#13</t>
        </is>
      </c>
      <c r="B216" s="1766" t="inlineStr">
        <is>
          <t>3-1/2" TUBING 9.2 LB/FT ALLOY 28 TSH BL</t>
        </is>
      </c>
      <c r="C216" s="1767" t="n">
        <v>31</v>
      </c>
      <c r="D216" s="1768">
        <f>C216-0.301</f>
        <v/>
      </c>
      <c r="E216" s="1759">
        <f>E215+D216</f>
        <v/>
      </c>
      <c r="F216" s="1759">
        <f>F215-D215</f>
        <v/>
      </c>
      <c r="G216" s="1760">
        <f>G215-D216</f>
        <v/>
      </c>
      <c r="H216" s="1832" t="n"/>
      <c r="K216" s="1774" t="n"/>
    </row>
    <row r="217" ht="39.75" customFormat="1" customHeight="1" s="1747">
      <c r="A217" s="1766" t="inlineStr">
        <is>
          <t>JT.#14</t>
        </is>
      </c>
      <c r="B217" s="1766" t="inlineStr">
        <is>
          <t>3-1/2" TUBING 9.2 LB/FT ALLOY 28 TSH BL</t>
        </is>
      </c>
      <c r="C217" s="1767" t="n">
        <v>31</v>
      </c>
      <c r="D217" s="1768">
        <f>C217-0.301</f>
        <v/>
      </c>
      <c r="E217" s="1759">
        <f>E216+D217</f>
        <v/>
      </c>
      <c r="F217" s="1759">
        <f>F216-D216</f>
        <v/>
      </c>
      <c r="G217" s="1760">
        <f>G216-D217</f>
        <v/>
      </c>
      <c r="H217" s="1789" t="inlineStr">
        <is>
          <t xml:space="preserve">FILL UP STRING </t>
        </is>
      </c>
      <c r="K217" s="1774" t="n"/>
    </row>
    <row r="218" ht="39.75" customFormat="1" customHeight="1" s="1747">
      <c r="A218" s="1766" t="inlineStr">
        <is>
          <t>JT.#15</t>
        </is>
      </c>
      <c r="B218" s="1766" t="inlineStr">
        <is>
          <t>3-1/2" TUBING 9.2 LB/FT ALLOY 28 TSH BL</t>
        </is>
      </c>
      <c r="C218" s="1767" t="n">
        <v>31</v>
      </c>
      <c r="D218" s="1768">
        <f>C218-0.301</f>
        <v/>
      </c>
      <c r="E218" s="1759">
        <f>E217+D218</f>
        <v/>
      </c>
      <c r="F218" s="1759">
        <f>F217-D217</f>
        <v/>
      </c>
      <c r="G218" s="1760">
        <f>G217-D218</f>
        <v/>
      </c>
      <c r="H218" s="1833" t="n"/>
      <c r="K218" s="1774" t="n"/>
    </row>
    <row r="219" ht="39.75" customFormat="1" customHeight="1" s="1747">
      <c r="A219" s="1766" t="inlineStr">
        <is>
          <t>JT.#16</t>
        </is>
      </c>
      <c r="B219" s="1766" t="inlineStr">
        <is>
          <t>3-1/2" TUBING 9.2 LB/FT ALLOY 28 TSH BL</t>
        </is>
      </c>
      <c r="C219" s="1767" t="n">
        <v>31</v>
      </c>
      <c r="D219" s="1768">
        <f>C219-0.301</f>
        <v/>
      </c>
      <c r="E219" s="1759">
        <f>E218+D219</f>
        <v/>
      </c>
      <c r="F219" s="1759">
        <f>F218-D218</f>
        <v/>
      </c>
      <c r="G219" s="1760">
        <f>G218-D219</f>
        <v/>
      </c>
      <c r="H219" s="1834" t="n"/>
      <c r="K219" s="1774" t="n"/>
    </row>
    <row r="220" ht="39.75" customFormat="1" customHeight="1" s="1747">
      <c r="A220" s="1766" t="inlineStr">
        <is>
          <t>JT.#17</t>
        </is>
      </c>
      <c r="B220" s="1766" t="inlineStr">
        <is>
          <t>3-1/2" TUBING 9.2 LB/FT ALLOY 28 TSH BL</t>
        </is>
      </c>
      <c r="C220" s="1767" t="n">
        <v>31</v>
      </c>
      <c r="D220" s="1768">
        <f>C220-0.301</f>
        <v/>
      </c>
      <c r="E220" s="1759">
        <f>E219+D220</f>
        <v/>
      </c>
      <c r="F220" s="1759">
        <f>F219-D219</f>
        <v/>
      </c>
      <c r="G220" s="1760">
        <f>G219-D220</f>
        <v/>
      </c>
      <c r="H220" s="1835" t="n"/>
      <c r="K220" s="1774" t="n"/>
    </row>
    <row r="221" ht="39.75" customFormat="1" customHeight="1" s="1747">
      <c r="A221" s="1766" t="inlineStr">
        <is>
          <t>JT.#18</t>
        </is>
      </c>
      <c r="B221" s="1766" t="inlineStr">
        <is>
          <t>3-1/2" TUBING 9.2 LB/FT ALLOY 28 TSH BL</t>
        </is>
      </c>
      <c r="C221" s="1767" t="n">
        <v>31</v>
      </c>
      <c r="D221" s="1768">
        <f>C221-0.301</f>
        <v/>
      </c>
      <c r="E221" s="1759">
        <f>E220+D221</f>
        <v/>
      </c>
      <c r="F221" s="1759">
        <f>F220-D220</f>
        <v/>
      </c>
      <c r="G221" s="1760">
        <f>G220-D221</f>
        <v/>
      </c>
      <c r="H221" s="1836" t="n"/>
      <c r="K221" s="1774" t="n"/>
    </row>
    <row r="222" ht="171" customFormat="1" customHeight="1" s="1747">
      <c r="A222" s="1766" t="inlineStr">
        <is>
          <t>JT.#19</t>
        </is>
      </c>
      <c r="B222" s="1766" t="inlineStr">
        <is>
          <t>3-1/2" TUBING 9.2 LB/FT ALLOY 28 TSH BL</t>
        </is>
      </c>
      <c r="C222" s="1767" t="n">
        <v>31</v>
      </c>
      <c r="D222" s="1809">
        <f>C222-0.301</f>
        <v/>
      </c>
      <c r="E222" s="1759">
        <f>E221+D222</f>
        <v/>
      </c>
      <c r="F222" s="1759">
        <f>F221-D221</f>
        <v/>
      </c>
      <c r="G222" s="1760">
        <f>G221-D222</f>
        <v/>
      </c>
      <c r="H222" s="1837" t="n"/>
    </row>
    <row r="223" ht="171" customFormat="1" customHeight="1" s="1747">
      <c r="A223" s="1766" t="inlineStr">
        <is>
          <t>JT.#20</t>
        </is>
      </c>
      <c r="B223" s="1766" t="inlineStr">
        <is>
          <t>3-1/2" TUBING 9.2 LB/FT ALLOY 28 TSH BL</t>
        </is>
      </c>
      <c r="C223" s="1767" t="n">
        <v>31</v>
      </c>
      <c r="D223" s="1809">
        <f>C223</f>
        <v/>
      </c>
      <c r="E223" s="1759">
        <f>E222+D223</f>
        <v/>
      </c>
      <c r="F223" s="1759">
        <f>F222-D222</f>
        <v/>
      </c>
      <c r="G223" s="1760">
        <f>G222-D223</f>
        <v/>
      </c>
      <c r="H223" s="1837" t="n"/>
    </row>
    <row r="224" ht="290.25" customFormat="1" customHeight="1" s="1747">
      <c r="A224" s="1766" t="inlineStr">
        <is>
          <t>JT.#21</t>
        </is>
      </c>
      <c r="B224" s="1766" t="inlineStr">
        <is>
          <t>3-1/2" TUBING 9.2 LB/FT ALLOY 28 TSH BL</t>
        </is>
      </c>
      <c r="C224" s="1767" t="n">
        <v>31</v>
      </c>
      <c r="D224" s="1812">
        <f>C224</f>
        <v/>
      </c>
      <c r="E224" s="1759">
        <f>E223+D224</f>
        <v/>
      </c>
      <c r="F224" s="1759">
        <f>F223-D223</f>
        <v/>
      </c>
      <c r="G224" s="1760">
        <f>G223-D224</f>
        <v/>
      </c>
      <c r="H224" s="1822" t="inlineStr">
        <is>
          <t>TARGET @5500'</t>
        </is>
      </c>
    </row>
    <row r="225" ht="174.75" customFormat="1" customHeight="1" s="1747">
      <c r="A225" s="1766" t="inlineStr">
        <is>
          <t>JT.#22</t>
        </is>
      </c>
      <c r="B225" s="1766" t="inlineStr">
        <is>
          <t>3-1/2" TUBING 9.2 LB/FT ALLOY 28 TSH BL</t>
        </is>
      </c>
      <c r="C225" s="1767" t="n">
        <v>31</v>
      </c>
      <c r="D225" s="1812">
        <f>C225</f>
        <v/>
      </c>
      <c r="E225" s="1759">
        <f>E224+D225</f>
        <v/>
      </c>
      <c r="F225" s="1759">
        <f>F224-D224</f>
        <v/>
      </c>
      <c r="G225" s="1760">
        <f>G224-D225</f>
        <v/>
      </c>
      <c r="H225" s="1822" t="n"/>
    </row>
    <row r="226" ht="171" customFormat="1" customHeight="1" s="1747">
      <c r="A226" s="1766" t="inlineStr">
        <is>
          <t>JT.#23</t>
        </is>
      </c>
      <c r="B226" s="1766" t="inlineStr">
        <is>
          <t>3-1/2" TUBING 9.2 LB/FT ALLOY 28 TSH BL</t>
        </is>
      </c>
      <c r="C226" s="1767" t="n">
        <v>31</v>
      </c>
      <c r="D226" s="1812">
        <f>C226</f>
        <v/>
      </c>
      <c r="E226" s="1759">
        <f>E225+D226</f>
        <v/>
      </c>
      <c r="F226" s="1759">
        <f>F225-D225</f>
        <v/>
      </c>
      <c r="G226" s="1760">
        <f>G225-D226</f>
        <v/>
      </c>
      <c r="H226" s="1822" t="n"/>
    </row>
    <row r="227" ht="39.75" customFormat="1" customHeight="1" s="1747">
      <c r="A227" s="1766" t="inlineStr">
        <is>
          <t>JT.#24</t>
        </is>
      </c>
      <c r="B227" s="1766" t="inlineStr">
        <is>
          <t>3-1/2" TUBING 9.2 LB/FT ALLOY 28 TSH BL</t>
        </is>
      </c>
      <c r="C227" s="1767" t="n">
        <v>31</v>
      </c>
      <c r="D227" s="1768">
        <f>C227-0.301</f>
        <v/>
      </c>
      <c r="E227" s="1759">
        <f>E226+D227</f>
        <v/>
      </c>
      <c r="F227" s="1759">
        <f>F226-D226</f>
        <v/>
      </c>
      <c r="G227" s="1760">
        <f>G226-D227</f>
        <v/>
      </c>
      <c r="H227" s="1832" t="n"/>
      <c r="K227" s="1774" t="n"/>
    </row>
    <row r="228" ht="39.75" customFormat="1" customHeight="1" s="1747">
      <c r="A228" s="1766" t="inlineStr">
        <is>
          <t>JT.#25</t>
        </is>
      </c>
      <c r="B228" s="1766" t="inlineStr">
        <is>
          <t>3-1/2" TUBING 9.2 LB/FT ALLOY 28 TSH BL</t>
        </is>
      </c>
      <c r="C228" s="1767" t="n">
        <v>31</v>
      </c>
      <c r="D228" s="1785">
        <f>C228-0.301</f>
        <v/>
      </c>
      <c r="E228" s="1759">
        <f>E227+D228</f>
        <v/>
      </c>
      <c r="F228" s="1759">
        <f>F227-D227</f>
        <v/>
      </c>
      <c r="G228" s="1760">
        <f>G227-D228</f>
        <v/>
      </c>
      <c r="H228" s="1833" t="n"/>
      <c r="K228" s="1774" t="n"/>
    </row>
    <row r="229" ht="39.75" customFormat="1" customHeight="1" s="1747">
      <c r="A229" s="1766" t="inlineStr">
        <is>
          <t>JT.#26</t>
        </is>
      </c>
      <c r="B229" s="1766" t="inlineStr">
        <is>
          <t>3-1/2" TUBING 9.2 LB/FT ALLOY 28 TSH BL</t>
        </is>
      </c>
      <c r="C229" s="1767" t="n">
        <v>31</v>
      </c>
      <c r="D229" s="1768">
        <f>C229-0.301</f>
        <v/>
      </c>
      <c r="E229" s="1759">
        <f>E228+D229</f>
        <v/>
      </c>
      <c r="F229" s="1759">
        <f>F228-D228</f>
        <v/>
      </c>
      <c r="G229" s="1760">
        <f>G228-D229</f>
        <v/>
      </c>
      <c r="H229" s="1836" t="n"/>
      <c r="K229" s="1774" t="n"/>
    </row>
    <row r="230" ht="39.75" customFormat="1" customHeight="1" s="1747">
      <c r="A230" s="1766" t="inlineStr">
        <is>
          <t>JT.#27</t>
        </is>
      </c>
      <c r="B230" s="1766" t="inlineStr">
        <is>
          <t>3-1/2" TUBING 9.2 LB/FT ALLOY 28 TSH BL</t>
        </is>
      </c>
      <c r="C230" s="1767" t="n">
        <v>31</v>
      </c>
      <c r="D230" s="1768">
        <f>C230-0.301</f>
        <v/>
      </c>
      <c r="E230" s="1759">
        <f>E229+D230</f>
        <v/>
      </c>
      <c r="F230" s="1759">
        <f>F229-D229</f>
        <v/>
      </c>
      <c r="G230" s="1760">
        <f>G229-D230</f>
        <v/>
      </c>
      <c r="H230" s="1772" t="n"/>
      <c r="K230" s="1774" t="n"/>
    </row>
    <row r="231" ht="39.75" customFormat="1" customHeight="1" s="1747">
      <c r="A231" s="1766" t="inlineStr">
        <is>
          <t>JT.#28</t>
        </is>
      </c>
      <c r="B231" s="1766" t="inlineStr">
        <is>
          <t>3-1/2" TUBING 9.2 LB/FT ALLOY 28 TSH BL</t>
        </is>
      </c>
      <c r="C231" s="1767" t="n">
        <v>31</v>
      </c>
      <c r="D231" s="1768">
        <f>C231-0.301</f>
        <v/>
      </c>
      <c r="E231" s="1759">
        <f>E230+D231</f>
        <v/>
      </c>
      <c r="F231" s="1759">
        <f>F230-D230</f>
        <v/>
      </c>
      <c r="G231" s="1760">
        <f>G230-D231</f>
        <v/>
      </c>
      <c r="H231" s="1808" t="n"/>
      <c r="K231" s="1774" t="n"/>
    </row>
    <row r="232" ht="39.75" customFormat="1" customHeight="1" s="1747">
      <c r="A232" s="1766" t="inlineStr">
        <is>
          <t>JT.#29</t>
        </is>
      </c>
      <c r="B232" s="1766" t="inlineStr">
        <is>
          <t>3-1/2" TUBING 9.2 LB/FT ALLOY 28 TSH BL</t>
        </is>
      </c>
      <c r="C232" s="1767" t="n">
        <v>31</v>
      </c>
      <c r="D232" s="1768">
        <f>C232-0.301</f>
        <v/>
      </c>
      <c r="E232" s="1759">
        <f>E231+D232</f>
        <v/>
      </c>
      <c r="F232" s="1759">
        <f>F231-D231</f>
        <v/>
      </c>
      <c r="G232" s="1760">
        <f>G231-D232</f>
        <v/>
      </c>
      <c r="H232" s="1789" t="inlineStr">
        <is>
          <t xml:space="preserve">FILL UP STRING </t>
        </is>
      </c>
      <c r="K232" s="1774" t="n"/>
    </row>
    <row r="233" ht="39.75" customFormat="1" customHeight="1" s="1747">
      <c r="A233" s="1766" t="inlineStr">
        <is>
          <t>JT.#30</t>
        </is>
      </c>
      <c r="B233" s="1766" t="inlineStr">
        <is>
          <t>3-1/2" TUBING 9.2 LB/FT ALLOY 28 TSH BL</t>
        </is>
      </c>
      <c r="C233" s="1767" t="n">
        <v>31</v>
      </c>
      <c r="D233" s="1768">
        <f>C233-0.301</f>
        <v/>
      </c>
      <c r="E233" s="1759">
        <f>E232+D233</f>
        <v/>
      </c>
      <c r="F233" s="1759">
        <f>F232-D232</f>
        <v/>
      </c>
      <c r="G233" s="1760">
        <f>G232-D233</f>
        <v/>
      </c>
      <c r="H233" s="1808" t="n"/>
      <c r="K233" s="1774" t="n"/>
    </row>
    <row r="234" ht="39.75" customFormat="1" customHeight="1" s="1747">
      <c r="A234" s="1766" t="inlineStr">
        <is>
          <t>JT.#31</t>
        </is>
      </c>
      <c r="B234" s="1766" t="inlineStr">
        <is>
          <t>3-1/2" TUBING 9.2 LB/FT ALLOY 28 TSH BL</t>
        </is>
      </c>
      <c r="C234" s="1767" t="n">
        <v>31</v>
      </c>
      <c r="D234" s="1768">
        <f>C234-0.301</f>
        <v/>
      </c>
      <c r="E234" s="1759">
        <f>E233+D234</f>
        <v/>
      </c>
      <c r="F234" s="1759">
        <f>F233-D233</f>
        <v/>
      </c>
      <c r="G234" s="1760">
        <f>G233-D234</f>
        <v/>
      </c>
      <c r="H234" s="1832" t="n"/>
      <c r="K234" s="1774" t="n"/>
    </row>
    <row r="235" ht="39.75" customFormat="1" customHeight="1" s="1747">
      <c r="A235" s="1766" t="inlineStr">
        <is>
          <t>JT.#32</t>
        </is>
      </c>
      <c r="B235" s="1766" t="inlineStr">
        <is>
          <t>3-1/2" TUBING 9.2 LB/FT ALLOY 28 TSH BL</t>
        </is>
      </c>
      <c r="C235" s="1767" t="n">
        <v>31</v>
      </c>
      <c r="D235" s="1768">
        <f>C235-0.301</f>
        <v/>
      </c>
      <c r="E235" s="1759">
        <f>E234+D235</f>
        <v/>
      </c>
      <c r="F235" s="1759">
        <f>F234-D234</f>
        <v/>
      </c>
      <c r="G235" s="1760">
        <f>G234-D235</f>
        <v/>
      </c>
      <c r="H235" s="1832" t="n"/>
      <c r="K235" s="1774" t="n"/>
    </row>
    <row r="236" ht="39.75" customFormat="1" customHeight="1" s="1747">
      <c r="A236" s="1766" t="inlineStr">
        <is>
          <t>JT.#33</t>
        </is>
      </c>
      <c r="B236" s="1766" t="inlineStr">
        <is>
          <t>3-1/2" TUBING 9.2 LB/FT ALLOY 28 TSH BL</t>
        </is>
      </c>
      <c r="C236" s="1767" t="n">
        <v>31</v>
      </c>
      <c r="D236" s="1768">
        <f>C236-0.301</f>
        <v/>
      </c>
      <c r="E236" s="1759">
        <f>E235+D236</f>
        <v/>
      </c>
      <c r="F236" s="1759">
        <f>F235-D235</f>
        <v/>
      </c>
      <c r="G236" s="1760">
        <f>G235-D236</f>
        <v/>
      </c>
      <c r="H236" s="1832" t="n"/>
      <c r="K236" s="1774" t="n"/>
    </row>
    <row r="237" ht="39.75" customFormat="1" customHeight="1" s="1747">
      <c r="A237" s="1766" t="inlineStr">
        <is>
          <t>JT.#34</t>
        </is>
      </c>
      <c r="B237" s="1766" t="inlineStr">
        <is>
          <t>3-1/2" TUBING 9.2 LB/FT ALLOY 28 TSH BL</t>
        </is>
      </c>
      <c r="C237" s="1767" t="n">
        <v>31</v>
      </c>
      <c r="D237" s="1768">
        <f>C237-0.301</f>
        <v/>
      </c>
      <c r="E237" s="1759">
        <f>E236+D237</f>
        <v/>
      </c>
      <c r="F237" s="1759">
        <f>F236-D236</f>
        <v/>
      </c>
      <c r="G237" s="1760">
        <f>G236-D237</f>
        <v/>
      </c>
      <c r="H237" s="1832" t="n"/>
      <c r="K237" s="1774" t="n"/>
    </row>
    <row r="238" ht="39.75" customFormat="1" customHeight="1" s="1747">
      <c r="A238" s="1766" t="inlineStr">
        <is>
          <t>JT.#35</t>
        </is>
      </c>
      <c r="B238" s="1766" t="inlineStr">
        <is>
          <t>3-1/2" TUBING 9.2 LB/FT ALLOY 28 TSH BL</t>
        </is>
      </c>
      <c r="C238" s="1767" t="n">
        <v>31</v>
      </c>
      <c r="D238" s="1768">
        <f>C238-0.301</f>
        <v/>
      </c>
      <c r="E238" s="1759">
        <f>E237+D238</f>
        <v/>
      </c>
      <c r="F238" s="1759">
        <f>F237-D237</f>
        <v/>
      </c>
      <c r="G238" s="1760">
        <f>G237-D238</f>
        <v/>
      </c>
      <c r="H238" s="1832" t="n"/>
      <c r="K238" s="1774" t="n"/>
    </row>
    <row r="239" ht="39.75" customFormat="1" customHeight="1" s="1747">
      <c r="A239" s="1766" t="inlineStr">
        <is>
          <t>JT.#36</t>
        </is>
      </c>
      <c r="B239" s="1766" t="inlineStr">
        <is>
          <t>3-1/2" TUBING 9.2 LB/FT ALLOY 28 TSH BL</t>
        </is>
      </c>
      <c r="C239" s="1767" t="n">
        <v>31</v>
      </c>
      <c r="D239" s="1768">
        <f>C239-0.301</f>
        <v/>
      </c>
      <c r="E239" s="1759">
        <f>E238+D239</f>
        <v/>
      </c>
      <c r="F239" s="1759">
        <f>F238-D238</f>
        <v/>
      </c>
      <c r="G239" s="1760">
        <f>G238-D239</f>
        <v/>
      </c>
      <c r="H239" s="1832" t="n"/>
      <c r="K239" s="1774" t="n"/>
    </row>
    <row r="240" ht="39.75" customFormat="1" customHeight="1" s="1747">
      <c r="A240" s="1766" t="inlineStr">
        <is>
          <t>JT.#37</t>
        </is>
      </c>
      <c r="B240" s="1766" t="inlineStr">
        <is>
          <t>3-1/2" TUBING 9.2 LB/FT ALLOY 28 TSH BL</t>
        </is>
      </c>
      <c r="C240" s="1767" t="n">
        <v>31</v>
      </c>
      <c r="D240" s="1768">
        <f>C240-0.301</f>
        <v/>
      </c>
      <c r="E240" s="1759">
        <f>E239+D240</f>
        <v/>
      </c>
      <c r="F240" s="1759">
        <f>F239-D239</f>
        <v/>
      </c>
      <c r="G240" s="1760">
        <f>G239-D240</f>
        <v/>
      </c>
      <c r="H240" s="1772" t="n"/>
      <c r="K240" s="1774" t="n"/>
    </row>
    <row r="241" ht="39.75" customFormat="1" customHeight="1" s="1747">
      <c r="A241" s="1766" t="inlineStr">
        <is>
          <t>JT.#38</t>
        </is>
      </c>
      <c r="B241" s="1766" t="inlineStr">
        <is>
          <t>3-1/2" TUBING 9.2 LB/FT ALLOY 28 TSH BL</t>
        </is>
      </c>
      <c r="C241" s="1767" t="n">
        <v>31</v>
      </c>
      <c r="D241" s="1768">
        <f>C241-0.301</f>
        <v/>
      </c>
      <c r="E241" s="1759">
        <f>E240+D241</f>
        <v/>
      </c>
      <c r="F241" s="1759">
        <f>F240-D240</f>
        <v/>
      </c>
      <c r="G241" s="1760">
        <f>G240-D241</f>
        <v/>
      </c>
      <c r="H241" s="1808" t="n"/>
      <c r="K241" s="1774" t="n"/>
    </row>
    <row r="242" ht="108" customFormat="1" customHeight="1" s="1747">
      <c r="A242" s="1766" t="inlineStr">
        <is>
          <t>JT.#39</t>
        </is>
      </c>
      <c r="B242" s="1766" t="inlineStr">
        <is>
          <t>3-1/2" TUBING 9.2 LB/FT ALLOY 28 TSH BL</t>
        </is>
      </c>
      <c r="C242" s="1767" t="n">
        <v>31</v>
      </c>
      <c r="D242" s="1809">
        <f>C242-0.301</f>
        <v/>
      </c>
      <c r="E242" s="1759">
        <f>E241+D242</f>
        <v/>
      </c>
      <c r="F242" s="1759">
        <f>F241-D241</f>
        <v/>
      </c>
      <c r="G242" s="1760">
        <f>G241-D242</f>
        <v/>
      </c>
      <c r="H242" s="1837" t="n"/>
    </row>
    <row r="243" ht="112.5" customFormat="1" customHeight="1" s="1747">
      <c r="A243" s="1766" t="inlineStr">
        <is>
          <t>JT.#40</t>
        </is>
      </c>
      <c r="B243" s="1766" t="inlineStr">
        <is>
          <t>3-1/2" TUBING 9.2 LB/FT ALLOY 28 TSH BL</t>
        </is>
      </c>
      <c r="C243" s="1767" t="n">
        <v>31</v>
      </c>
      <c r="D243" s="1809">
        <f>C243</f>
        <v/>
      </c>
      <c r="E243" s="1759">
        <f>E242+D243</f>
        <v/>
      </c>
      <c r="F243" s="1759">
        <f>F242-D242</f>
        <v/>
      </c>
      <c r="G243" s="1760">
        <f>G242-D243</f>
        <v/>
      </c>
      <c r="H243" s="1837" t="n"/>
    </row>
    <row r="244" ht="207" customFormat="1" customHeight="1" s="1747">
      <c r="A244" s="1766" t="inlineStr">
        <is>
          <t>JT.#41</t>
        </is>
      </c>
      <c r="B244" s="1766" t="inlineStr">
        <is>
          <t>3-1/2" TUBING 9.2 LB/FT ALLOY 28 TSH BL</t>
        </is>
      </c>
      <c r="C244" s="1767" t="n">
        <v>31</v>
      </c>
      <c r="D244" s="1812">
        <f>C244</f>
        <v/>
      </c>
      <c r="E244" s="1759">
        <f>E243+D244</f>
        <v/>
      </c>
      <c r="F244" s="1759">
        <f>F243-D243</f>
        <v/>
      </c>
      <c r="G244" s="1760">
        <f>G243-D244</f>
        <v/>
      </c>
      <c r="H244" s="1822" t="inlineStr">
        <is>
          <t>TARGET @5000'</t>
        </is>
      </c>
    </row>
    <row r="245" ht="131.25" customFormat="1" customHeight="1" s="1747">
      <c r="A245" s="1766" t="inlineStr">
        <is>
          <t>JT.#42</t>
        </is>
      </c>
      <c r="B245" s="1766" t="inlineStr">
        <is>
          <t>3-1/2" TUBING 9.2 LB/FT ALLOY 28 TSH BL</t>
        </is>
      </c>
      <c r="C245" s="1767" t="n">
        <v>31</v>
      </c>
      <c r="D245" s="1812">
        <f>C245</f>
        <v/>
      </c>
      <c r="E245" s="1759">
        <f>E244+D245</f>
        <v/>
      </c>
      <c r="F245" s="1759">
        <f>F244-D244</f>
        <v/>
      </c>
      <c r="G245" s="1760">
        <f>G244-D245</f>
        <v/>
      </c>
      <c r="H245" s="1822" t="n"/>
    </row>
    <row r="246" ht="131.25" customFormat="1" customHeight="1" s="1747">
      <c r="A246" s="1766" t="inlineStr">
        <is>
          <t>JT.#43</t>
        </is>
      </c>
      <c r="B246" s="1766" t="inlineStr">
        <is>
          <t>3-1/2" TUBING 9.2 LB/FT ALLOY 28 TSH BL</t>
        </is>
      </c>
      <c r="C246" s="1767" t="n">
        <v>31</v>
      </c>
      <c r="D246" s="1812">
        <f>C246</f>
        <v/>
      </c>
      <c r="E246" s="1759">
        <f>E245+D246</f>
        <v/>
      </c>
      <c r="F246" s="1759">
        <f>F245-D245</f>
        <v/>
      </c>
      <c r="G246" s="1760">
        <f>G245-D246</f>
        <v/>
      </c>
      <c r="H246" s="1822" t="n"/>
    </row>
    <row r="247" ht="39.75" customFormat="1" customHeight="1" s="1747">
      <c r="A247" s="1766" t="inlineStr">
        <is>
          <t>JT.#44</t>
        </is>
      </c>
      <c r="B247" s="1766" t="inlineStr">
        <is>
          <t>3-1/2" TUBING 9.2 LB/FT ALLOY 28 TSH BL</t>
        </is>
      </c>
      <c r="C247" s="1767" t="n">
        <v>31</v>
      </c>
      <c r="D247" s="1768">
        <f>C247-0.301</f>
        <v/>
      </c>
      <c r="E247" s="1759">
        <f>E246+D247</f>
        <v/>
      </c>
      <c r="F247" s="1759">
        <f>F246-D246</f>
        <v/>
      </c>
      <c r="G247" s="1760">
        <f>G246-D247</f>
        <v/>
      </c>
      <c r="H247" s="1789" t="inlineStr">
        <is>
          <t xml:space="preserve">FILL UP STRING </t>
        </is>
      </c>
      <c r="K247" s="1774" t="n"/>
    </row>
    <row r="248" ht="39.75" customFormat="1" customHeight="1" s="1747">
      <c r="A248" s="1766" t="inlineStr">
        <is>
          <t>JT.#45</t>
        </is>
      </c>
      <c r="B248" s="1766" t="inlineStr">
        <is>
          <t>3-1/2" TUBING 9.2 LB/FT ALLOY 28 TSH BL</t>
        </is>
      </c>
      <c r="C248" s="1767" t="n">
        <v>31</v>
      </c>
      <c r="D248" s="1768">
        <f>C248-0.301</f>
        <v/>
      </c>
      <c r="E248" s="1759">
        <f>E247+D248</f>
        <v/>
      </c>
      <c r="F248" s="1759">
        <f>F247-D247</f>
        <v/>
      </c>
      <c r="G248" s="1760">
        <f>G247-D248</f>
        <v/>
      </c>
      <c r="H248" s="1808" t="n"/>
      <c r="K248" s="1774" t="n"/>
    </row>
    <row r="249" ht="39.75" customFormat="1" customHeight="1" s="1747">
      <c r="A249" s="1766" t="inlineStr">
        <is>
          <t>JT.#46</t>
        </is>
      </c>
      <c r="B249" s="1766" t="inlineStr">
        <is>
          <t>3-1/2" TUBING 9.2 LB/FT ALLOY 28 TSH BL</t>
        </is>
      </c>
      <c r="C249" s="1767" t="n">
        <v>31</v>
      </c>
      <c r="D249" s="1768">
        <f>C249-0.301</f>
        <v/>
      </c>
      <c r="E249" s="1759">
        <f>E248+D249</f>
        <v/>
      </c>
      <c r="F249" s="1759">
        <f>F248-D248</f>
        <v/>
      </c>
      <c r="G249" s="1760">
        <f>G248-D249</f>
        <v/>
      </c>
      <c r="H249" s="1832" t="n"/>
      <c r="K249" s="1774" t="n"/>
    </row>
    <row r="250" ht="39.75" customFormat="1" customHeight="1" s="1747">
      <c r="A250" s="1766" t="inlineStr">
        <is>
          <t>JT.#47</t>
        </is>
      </c>
      <c r="B250" s="1766" t="inlineStr">
        <is>
          <t>3-1/2" TUBING 9.2 LB/FT ALLOY 28 TSH BL</t>
        </is>
      </c>
      <c r="C250" s="1767" t="n">
        <v>31</v>
      </c>
      <c r="D250" s="1768">
        <f>C250-0.301</f>
        <v/>
      </c>
      <c r="E250" s="1759">
        <f>E249+D250</f>
        <v/>
      </c>
      <c r="F250" s="1759">
        <f>F249-D249</f>
        <v/>
      </c>
      <c r="G250" s="1760">
        <f>G249-D250</f>
        <v/>
      </c>
      <c r="H250" s="1832" t="n"/>
      <c r="K250" s="1774" t="n"/>
    </row>
    <row r="251" ht="39.75" customFormat="1" customHeight="1" s="1747">
      <c r="A251" s="1766" t="inlineStr">
        <is>
          <t>JT.#48</t>
        </is>
      </c>
      <c r="B251" s="1766" t="inlineStr">
        <is>
          <t>3-1/2" TUBING 9.2 LB/FT ALLOY 28 TSH BL</t>
        </is>
      </c>
      <c r="C251" s="1767" t="n">
        <v>31</v>
      </c>
      <c r="D251" s="1768">
        <f>C251-0.301</f>
        <v/>
      </c>
      <c r="E251" s="1759">
        <f>E250+D251</f>
        <v/>
      </c>
      <c r="F251" s="1759">
        <f>F250-D250</f>
        <v/>
      </c>
      <c r="G251" s="1760">
        <f>G250-D251</f>
        <v/>
      </c>
      <c r="H251" s="1832" t="n"/>
      <c r="K251" s="1774" t="n"/>
    </row>
    <row r="252" ht="39.75" customFormat="1" customHeight="1" s="1747">
      <c r="A252" s="1766" t="inlineStr">
        <is>
          <t>JT.#49</t>
        </is>
      </c>
      <c r="B252" s="1766" t="inlineStr">
        <is>
          <t>3-1/2" TUBING 9.2 LB/FT ALLOY 28 TSH BL</t>
        </is>
      </c>
      <c r="C252" s="1767" t="n">
        <v>31</v>
      </c>
      <c r="D252" s="1768">
        <f>C252-0.301</f>
        <v/>
      </c>
      <c r="E252" s="1759">
        <f>E251+D252</f>
        <v/>
      </c>
      <c r="F252" s="1759">
        <f>F251-D251</f>
        <v/>
      </c>
      <c r="G252" s="1760">
        <f>G251-D252</f>
        <v/>
      </c>
      <c r="H252" s="1832" t="n"/>
      <c r="K252" s="1774" t="n"/>
    </row>
    <row r="253" ht="39.75" customFormat="1" customHeight="1" s="1747">
      <c r="A253" s="1766" t="inlineStr">
        <is>
          <t>JT.#50</t>
        </is>
      </c>
      <c r="B253" s="1766" t="inlineStr">
        <is>
          <t>3-1/2" TUBING 9.2 LB/FT ALLOY 28 TSH BL</t>
        </is>
      </c>
      <c r="C253" s="1767" t="n">
        <v>31</v>
      </c>
      <c r="D253" s="1768">
        <f>C253-0.301</f>
        <v/>
      </c>
      <c r="E253" s="1759">
        <f>E252+D253</f>
        <v/>
      </c>
      <c r="F253" s="1759">
        <f>F252-D252</f>
        <v/>
      </c>
      <c r="G253" s="1760">
        <f>G252-D253</f>
        <v/>
      </c>
      <c r="H253" s="1832" t="n"/>
      <c r="K253" s="1774" t="n"/>
    </row>
    <row r="254" ht="39.75" customFormat="1" customHeight="1" s="1747">
      <c r="A254" s="1766" t="inlineStr">
        <is>
          <t>JT.#51</t>
        </is>
      </c>
      <c r="B254" s="1766" t="inlineStr">
        <is>
          <t>3-1/2" TUBING 9.2 LB/FT ALLOY 28 TSH BL</t>
        </is>
      </c>
      <c r="C254" s="1767" t="n">
        <v>31</v>
      </c>
      <c r="D254" s="1768">
        <f>C254-0.301</f>
        <v/>
      </c>
      <c r="E254" s="1759">
        <f>E253+D254</f>
        <v/>
      </c>
      <c r="F254" s="1759">
        <f>F253-D253</f>
        <v/>
      </c>
      <c r="G254" s="1760">
        <f>G253-D254</f>
        <v/>
      </c>
      <c r="H254" s="1832" t="n"/>
      <c r="K254" s="1774" t="n"/>
    </row>
    <row r="255" ht="39.75" customFormat="1" customHeight="1" s="1747">
      <c r="A255" s="1766" t="inlineStr">
        <is>
          <t>JT.#52</t>
        </is>
      </c>
      <c r="B255" s="1766" t="inlineStr">
        <is>
          <t>3-1/2" TUBING 9.2 LB/FT ALLOY 28 TSH BL</t>
        </is>
      </c>
      <c r="C255" s="1767" t="n">
        <v>31</v>
      </c>
      <c r="D255" s="1768">
        <f>C255-0.301</f>
        <v/>
      </c>
      <c r="E255" s="1759">
        <f>E254+D255</f>
        <v/>
      </c>
      <c r="F255" s="1759">
        <f>F254-D254</f>
        <v/>
      </c>
      <c r="G255" s="1760">
        <f>G254-D255</f>
        <v/>
      </c>
      <c r="H255" s="1772" t="n"/>
      <c r="K255" s="1774" t="n"/>
    </row>
    <row r="256" ht="39.75" customFormat="1" customHeight="1" s="1747">
      <c r="A256" s="1766" t="inlineStr">
        <is>
          <t>JT.#53</t>
        </is>
      </c>
      <c r="B256" s="1766" t="inlineStr">
        <is>
          <t>3-1/2" TUBING 9.2 LB/FT ALLOY 28 TSH BL</t>
        </is>
      </c>
      <c r="C256" s="1767" t="n">
        <v>31</v>
      </c>
      <c r="D256" s="1768">
        <f>C256-0.301</f>
        <v/>
      </c>
      <c r="E256" s="1759">
        <f>E255+D256</f>
        <v/>
      </c>
      <c r="F256" s="1759">
        <f>F255-D255</f>
        <v/>
      </c>
      <c r="G256" s="1760">
        <f>G255-D256</f>
        <v/>
      </c>
      <c r="H256" s="1808" t="n"/>
      <c r="K256" s="1774" t="n"/>
    </row>
    <row r="257" ht="39.75" customFormat="1" customHeight="1" s="1747">
      <c r="A257" s="1766" t="inlineStr">
        <is>
          <t>JT.#54</t>
        </is>
      </c>
      <c r="B257" s="1766" t="inlineStr">
        <is>
          <t>3-1/2" TUBING 9.2 LB/FT ALLOY 28 TSH BL</t>
        </is>
      </c>
      <c r="C257" s="1767" t="n">
        <v>31</v>
      </c>
      <c r="D257" s="1768">
        <f>C257-0.301</f>
        <v/>
      </c>
      <c r="E257" s="1759">
        <f>E256+D257</f>
        <v/>
      </c>
      <c r="F257" s="1759">
        <f>F256-D256</f>
        <v/>
      </c>
      <c r="G257" s="1760">
        <f>G256-D257</f>
        <v/>
      </c>
      <c r="H257" s="1832" t="n"/>
      <c r="K257" s="1774" t="n"/>
    </row>
    <row r="258" ht="39.75" customFormat="1" customHeight="1" s="1747">
      <c r="A258" s="1766" t="inlineStr">
        <is>
          <t>JT.#55</t>
        </is>
      </c>
      <c r="B258" s="1766" t="inlineStr">
        <is>
          <t>3-1/2" TUBING 9.2 LB/FT ALLOY 28 TSH BL</t>
        </is>
      </c>
      <c r="C258" s="1767" t="n">
        <v>31</v>
      </c>
      <c r="D258" s="1768">
        <f>C258-0.301</f>
        <v/>
      </c>
      <c r="E258" s="1759">
        <f>E257+D258</f>
        <v/>
      </c>
      <c r="F258" s="1759">
        <f>F257-D257</f>
        <v/>
      </c>
      <c r="G258" s="1760">
        <f>G257-D258</f>
        <v/>
      </c>
      <c r="H258" s="1789" t="inlineStr">
        <is>
          <t xml:space="preserve">FILL UP STRING </t>
        </is>
      </c>
      <c r="K258" s="1774" t="n"/>
    </row>
    <row r="259" ht="39.75" customFormat="1" customHeight="1" s="1747">
      <c r="A259" s="1766" t="inlineStr">
        <is>
          <t>JT.#56</t>
        </is>
      </c>
      <c r="B259" s="1766" t="inlineStr">
        <is>
          <t>3-1/2" TUBING 9.2 LB/FT ALLOY 28 TSH BL</t>
        </is>
      </c>
      <c r="C259" s="1767" t="n">
        <v>31</v>
      </c>
      <c r="D259" s="1768">
        <f>C259-0.301</f>
        <v/>
      </c>
      <c r="E259" s="1759">
        <f>E258+D259</f>
        <v/>
      </c>
      <c r="F259" s="1759">
        <f>F258-D258</f>
        <v/>
      </c>
      <c r="G259" s="1760">
        <f>G258-D259</f>
        <v/>
      </c>
      <c r="H259" s="1832" t="n"/>
      <c r="K259" s="1774" t="n"/>
    </row>
    <row r="260" ht="39.75" customFormat="1" customHeight="1" s="1747">
      <c r="A260" s="1766" t="inlineStr">
        <is>
          <t>JT.#57</t>
        </is>
      </c>
      <c r="B260" s="1766" t="inlineStr">
        <is>
          <t>3-1/2" TUBING 9.2 LB/FT ALLOY 28 TSH BL</t>
        </is>
      </c>
      <c r="C260" s="1767" t="n">
        <v>31</v>
      </c>
      <c r="D260" s="1768">
        <f>C260-0.301</f>
        <v/>
      </c>
      <c r="E260" s="1759">
        <f>E259+D260</f>
        <v/>
      </c>
      <c r="F260" s="1759">
        <f>F259-D259</f>
        <v/>
      </c>
      <c r="G260" s="1760">
        <f>G259-D260</f>
        <v/>
      </c>
      <c r="H260" s="1832" t="n"/>
      <c r="K260" s="1774" t="n"/>
    </row>
    <row r="261" ht="39.75" customFormat="1" customHeight="1" s="1747">
      <c r="A261" s="1766" t="inlineStr">
        <is>
          <t>JT.#58</t>
        </is>
      </c>
      <c r="B261" s="1766" t="inlineStr">
        <is>
          <t>3-1/2" TUBING 9.2 LB/FT ALLOY 28 TSH BL</t>
        </is>
      </c>
      <c r="C261" s="1767" t="n">
        <v>31</v>
      </c>
      <c r="D261" s="1768">
        <f>C261-0.301</f>
        <v/>
      </c>
      <c r="E261" s="1759">
        <f>E260+D261</f>
        <v/>
      </c>
      <c r="F261" s="1759">
        <f>F260-D260</f>
        <v/>
      </c>
      <c r="G261" s="1760">
        <f>G260-D261</f>
        <v/>
      </c>
      <c r="H261" s="1832" t="n"/>
      <c r="K261" s="1774" t="n"/>
    </row>
    <row r="262" ht="39.75" customFormat="1" customHeight="1" s="1747">
      <c r="A262" s="1766" t="inlineStr">
        <is>
          <t>JT.#59</t>
        </is>
      </c>
      <c r="B262" s="1766" t="inlineStr">
        <is>
          <t>3-1/2" TUBING 9.2 LB/FT ALLOY 28 TSH BL</t>
        </is>
      </c>
      <c r="C262" s="1767" t="n">
        <v>31</v>
      </c>
      <c r="D262" s="1768">
        <f>C262-0.301</f>
        <v/>
      </c>
      <c r="E262" s="1759">
        <f>E261+D262</f>
        <v/>
      </c>
      <c r="F262" s="1759">
        <f>F261-D261</f>
        <v/>
      </c>
      <c r="G262" s="1760">
        <f>G261-D262</f>
        <v/>
      </c>
      <c r="H262" s="1832" t="n"/>
      <c r="K262" s="1774" t="n"/>
    </row>
    <row r="263" ht="39.75" customFormat="1" customHeight="1" s="1747">
      <c r="A263" s="1766" t="inlineStr">
        <is>
          <t>JT.#60</t>
        </is>
      </c>
      <c r="B263" s="1766" t="inlineStr">
        <is>
          <t>3-1/2" TUBING 9.2 LB/FT ALLOY 28 TSH BL</t>
        </is>
      </c>
      <c r="C263" s="1767" t="n">
        <v>31</v>
      </c>
      <c r="D263" s="1768">
        <f>C263-0.301</f>
        <v/>
      </c>
      <c r="E263" s="1759">
        <f>E262+D263</f>
        <v/>
      </c>
      <c r="F263" s="1759">
        <f>F262-D262</f>
        <v/>
      </c>
      <c r="G263" s="1760">
        <f>G262-D263</f>
        <v/>
      </c>
      <c r="H263" s="1832" t="n"/>
      <c r="K263" s="1774" t="n"/>
    </row>
    <row r="264" ht="39.75" customFormat="1" customHeight="1" s="1747">
      <c r="A264" s="1766" t="inlineStr">
        <is>
          <t>JT.#61</t>
        </is>
      </c>
      <c r="B264" s="1766" t="inlineStr">
        <is>
          <t>3-1/2" TUBING 9.2 LB/FT ALLOY 28 TSH BL</t>
        </is>
      </c>
      <c r="C264" s="1767" t="n">
        <v>31</v>
      </c>
      <c r="D264" s="1768">
        <f>C264-0.301</f>
        <v/>
      </c>
      <c r="E264" s="1759">
        <f>E263+D264</f>
        <v/>
      </c>
      <c r="F264" s="1759">
        <f>F263-D263</f>
        <v/>
      </c>
      <c r="G264" s="1760">
        <f>G263-D264</f>
        <v/>
      </c>
      <c r="H264" s="1832" t="n"/>
      <c r="K264" s="1774" t="n"/>
    </row>
    <row r="265" ht="39.75" customFormat="1" customHeight="1" s="1747">
      <c r="A265" s="1766" t="inlineStr">
        <is>
          <t>JT.#62</t>
        </is>
      </c>
      <c r="B265" s="1766" t="inlineStr">
        <is>
          <t>3-1/2" TUBING 9.2 LB/FT ALLOY 28 TSH BL</t>
        </is>
      </c>
      <c r="C265" s="1767" t="n">
        <v>31</v>
      </c>
      <c r="D265" s="1768">
        <f>C265-0.301</f>
        <v/>
      </c>
      <c r="E265" s="1759">
        <f>E264+D265</f>
        <v/>
      </c>
      <c r="F265" s="1759">
        <f>F264-D264</f>
        <v/>
      </c>
      <c r="G265" s="1760">
        <f>G264-D265</f>
        <v/>
      </c>
      <c r="H265" s="1772" t="inlineStr">
        <is>
          <t>.</t>
        </is>
      </c>
      <c r="K265" s="1774" t="n"/>
    </row>
    <row r="266" ht="39.75" customFormat="1" customHeight="1" s="1747">
      <c r="A266" s="1766" t="inlineStr">
        <is>
          <t>JT.#63</t>
        </is>
      </c>
      <c r="B266" s="1766" t="inlineStr">
        <is>
          <t>3-1/2" TUBING 9.2 LB/FT ALLOY 28 TSH BL</t>
        </is>
      </c>
      <c r="C266" s="1767" t="n">
        <v>31</v>
      </c>
      <c r="D266" s="1768">
        <f>C266-0.301</f>
        <v/>
      </c>
      <c r="E266" s="1759">
        <f>E265+D266</f>
        <v/>
      </c>
      <c r="F266" s="1759">
        <f>F265-D265</f>
        <v/>
      </c>
      <c r="G266" s="1760">
        <f>G265-D266</f>
        <v/>
      </c>
      <c r="H266" s="1808" t="n"/>
      <c r="K266" s="1774" t="n"/>
    </row>
    <row r="267" ht="39.75" customFormat="1" customHeight="1" s="1747">
      <c r="A267" s="1766" t="inlineStr">
        <is>
          <t>JT.#64</t>
        </is>
      </c>
      <c r="B267" s="1766" t="inlineStr">
        <is>
          <t>3-1/2" TUBING 9.2 LB/FT ALLOY 28 TSH BL</t>
        </is>
      </c>
      <c r="C267" s="1767" t="n">
        <v>31</v>
      </c>
      <c r="D267" s="1768">
        <f>C267-0.301</f>
        <v/>
      </c>
      <c r="E267" s="1759">
        <f>E266+D267</f>
        <v/>
      </c>
      <c r="F267" s="1759">
        <f>F266-D266</f>
        <v/>
      </c>
      <c r="G267" s="1760">
        <f>G266-D267</f>
        <v/>
      </c>
      <c r="H267" s="1789" t="inlineStr">
        <is>
          <t xml:space="preserve">FILL UP STRING </t>
        </is>
      </c>
      <c r="K267" s="1774" t="n"/>
    </row>
    <row r="268" ht="39.75" customFormat="1" customHeight="1" s="1747">
      <c r="A268" s="1766" t="inlineStr">
        <is>
          <t>JT.#65</t>
        </is>
      </c>
      <c r="B268" s="1766" t="inlineStr">
        <is>
          <t>3-1/2" TUBING 9.2 LB/FT ALLOY 28 TSH BL</t>
        </is>
      </c>
      <c r="C268" s="1767" t="n">
        <v>31</v>
      </c>
      <c r="D268" s="1768">
        <f>C268-0.301</f>
        <v/>
      </c>
      <c r="E268" s="1759">
        <f>E267+D268</f>
        <v/>
      </c>
      <c r="F268" s="1759">
        <f>F267-D267</f>
        <v/>
      </c>
      <c r="G268" s="1760">
        <f>G267-D268</f>
        <v/>
      </c>
      <c r="H268" s="1808" t="n"/>
      <c r="K268" s="1774" t="n"/>
    </row>
    <row r="269" ht="39.75" customFormat="1" customHeight="1" s="1747">
      <c r="A269" s="1766" t="inlineStr">
        <is>
          <t>JT.#66</t>
        </is>
      </c>
      <c r="B269" s="1766" t="inlineStr">
        <is>
          <t>3-1/2" TUBING 9.2 LB/FT ALLOY 28 TSH BL</t>
        </is>
      </c>
      <c r="C269" s="1767" t="n">
        <v>31</v>
      </c>
      <c r="D269" s="1768">
        <f>C269-0.301</f>
        <v/>
      </c>
      <c r="E269" s="1759">
        <f>E268+D269</f>
        <v/>
      </c>
      <c r="F269" s="1759">
        <f>F268-D268</f>
        <v/>
      </c>
      <c r="G269" s="1760">
        <f>G268-D269</f>
        <v/>
      </c>
      <c r="H269" s="1832" t="n"/>
      <c r="K269" s="1774" t="n"/>
    </row>
    <row r="270" ht="39.75" customFormat="1" customHeight="1" s="1747">
      <c r="A270" s="1838" t="inlineStr">
        <is>
          <t>SP-01</t>
        </is>
      </c>
      <c r="B270" s="1839" t="inlineStr">
        <is>
          <t>UPPER CONN. 3-1/2" VAM TOP BOX 9.2 PPF SN 28 110 KSI
DESCRIPTION: 5 FEET XOVER
SAP: 130005011340
SUPPLIER: TENARIS
UPPER CONN. 3-1/2" TSH BLUE PIN 9.2 PPF SN 28 110 KSI</t>
        </is>
      </c>
      <c r="C270" s="1840" t="n">
        <v>5.18</v>
      </c>
      <c r="D270" s="1768">
        <f>C270-0.301</f>
        <v/>
      </c>
      <c r="E270" s="1759">
        <f>E269+D270</f>
        <v/>
      </c>
      <c r="F270" s="1759">
        <f>F269-D269</f>
        <v/>
      </c>
      <c r="G270" s="1760">
        <f>G269-D270</f>
        <v/>
      </c>
      <c r="H270" s="1832" t="n"/>
      <c r="K270" s="1774" t="n"/>
    </row>
    <row r="271" ht="39.75" customFormat="1" customHeight="1" s="1747">
      <c r="A271" s="1778" t="n"/>
      <c r="B271" s="1839" t="inlineStr">
        <is>
          <t>UPPER CONN.
3-1/2 9.2 PPF, 110KSI VAM TOP BOX
DESCRIPTION:
PCKR, SWEL,6,3-1/2,A925, OIL
P/N: 2991712
S/N: RDT-UAE-1003629
SAP: 130010039426
SUPPLIER: WFD-REACTIVE
LOWER CONN.</t>
        </is>
      </c>
      <c r="C271" s="1840" t="n">
        <v>30.88</v>
      </c>
      <c r="D271" s="1768">
        <f>C271-0.301</f>
        <v/>
      </c>
      <c r="E271" s="1759">
        <f>E270+D271</f>
        <v/>
      </c>
      <c r="F271" s="1759">
        <f>F270-D270</f>
        <v/>
      </c>
      <c r="G271" s="1760">
        <f>G270-D271</f>
        <v/>
      </c>
      <c r="H271" s="1832" t="n"/>
      <c r="K271" s="1774" t="n"/>
    </row>
    <row r="272" ht="39.75" customFormat="1" customHeight="1" s="1747">
      <c r="A272" s="1450" t="n"/>
      <c r="B272" s="1839" t="inlineStr">
        <is>
          <t>UPPER CONN . 3-1/2" TSH BLUE BOX 9.2 PPF SN 28 110 KSI
DESCRIPTION: 3 FEET XOVER
SAP: 130005011337
SUPPLIER: TENARIS
LOWER CONN. 3-1/2" VAM TOP PIN 9.2 PPF SN 28 110 KSI</t>
        </is>
      </c>
      <c r="C272" s="1840" t="n">
        <v>2.78</v>
      </c>
      <c r="D272" s="1768">
        <f>C272-0.301</f>
        <v/>
      </c>
      <c r="E272" s="1759">
        <f>E271+D272</f>
        <v/>
      </c>
      <c r="F272" s="1759">
        <f>F271-D271</f>
        <v/>
      </c>
      <c r="G272" s="1760">
        <f>G271-D272</f>
        <v/>
      </c>
      <c r="H272" s="1832" t="n"/>
      <c r="K272" s="1774" t="n"/>
    </row>
    <row r="273" ht="39.75" customFormat="1" customHeight="1" s="1747">
      <c r="A273" s="1766" t="inlineStr">
        <is>
          <t>JT.#67</t>
        </is>
      </c>
      <c r="B273" s="1766" t="inlineStr">
        <is>
          <t>3-1/2" TUBING 9.2 LB/FT ALLOY 28 TSH BL</t>
        </is>
      </c>
      <c r="C273" s="1767" t="n">
        <v>31</v>
      </c>
      <c r="D273" s="1768">
        <f>C273-0.301</f>
        <v/>
      </c>
      <c r="E273" s="1759">
        <f>E272+D273</f>
        <v/>
      </c>
      <c r="F273" s="1759">
        <f>F272-D272</f>
        <v/>
      </c>
      <c r="G273" s="1760">
        <f>G272-D273</f>
        <v/>
      </c>
      <c r="H273" s="1832" t="n"/>
      <c r="K273" s="1774" t="n"/>
    </row>
    <row r="274" ht="39.75" customFormat="1" customHeight="1" s="1747">
      <c r="A274" s="1766" t="inlineStr">
        <is>
          <t>JT.#68</t>
        </is>
      </c>
      <c r="B274" s="1766" t="inlineStr">
        <is>
          <t>3-1/2" TUBING 9.2 LB/FT ALLOY 28 TSH BL</t>
        </is>
      </c>
      <c r="C274" s="1767" t="n">
        <v>31</v>
      </c>
      <c r="D274" s="1768">
        <f>C274-0.301</f>
        <v/>
      </c>
      <c r="E274" s="1759">
        <f>E273+D274</f>
        <v/>
      </c>
      <c r="F274" s="1759">
        <f>F273-D273</f>
        <v/>
      </c>
      <c r="G274" s="1760">
        <f>G273-D274</f>
        <v/>
      </c>
      <c r="H274" s="1841" t="n"/>
      <c r="K274" s="1774" t="n"/>
    </row>
    <row r="275" ht="153" customFormat="1" customHeight="1" s="1747">
      <c r="A275" s="1766" t="inlineStr">
        <is>
          <t>JT.#69</t>
        </is>
      </c>
      <c r="B275" s="1766" t="inlineStr">
        <is>
          <t>3-1/2" TUBING 9.2 LB/FT ALLOY 28 TSH BL</t>
        </is>
      </c>
      <c r="C275" s="1767" t="n">
        <v>31</v>
      </c>
      <c r="D275" s="1809">
        <f>C275-0.301</f>
        <v/>
      </c>
      <c r="E275" s="1759">
        <f>E274+D275</f>
        <v/>
      </c>
      <c r="F275" s="1759">
        <f>F274-D274</f>
        <v/>
      </c>
      <c r="G275" s="1760">
        <f>G274-D275</f>
        <v/>
      </c>
      <c r="H275" s="1837" t="n"/>
    </row>
    <row r="276" ht="103.5" customFormat="1" customHeight="1" s="1747">
      <c r="A276" s="1766" t="inlineStr">
        <is>
          <t>JT.#70</t>
        </is>
      </c>
      <c r="B276" s="1766" t="inlineStr">
        <is>
          <t>3-1/2" TUBING 9.2 LB/FT ALLOY 28 TSH BL</t>
        </is>
      </c>
      <c r="C276" s="1767" t="n">
        <v>31</v>
      </c>
      <c r="D276" s="1809">
        <f>C276</f>
        <v/>
      </c>
      <c r="E276" s="1759">
        <f>E275+D276</f>
        <v/>
      </c>
      <c r="F276" s="1759">
        <f>F275-D275</f>
        <v/>
      </c>
      <c r="G276" s="1760">
        <f>G275-D276</f>
        <v/>
      </c>
      <c r="H276" s="1837" t="n"/>
    </row>
    <row r="277" ht="226.5" customFormat="1" customHeight="1" s="1747">
      <c r="A277" s="1766" t="inlineStr">
        <is>
          <t>JT.#71</t>
        </is>
      </c>
      <c r="B277" s="1766" t="inlineStr">
        <is>
          <t>3-1/2" TUBING 9.2 LB/FT ALLOY 28 TSH BL</t>
        </is>
      </c>
      <c r="C277" s="1767" t="n">
        <v>31</v>
      </c>
      <c r="D277" s="1812">
        <f>C277</f>
        <v/>
      </c>
      <c r="E277" s="1759">
        <f>E276+D277</f>
        <v/>
      </c>
      <c r="F277" s="1759">
        <f>F276-D276</f>
        <v/>
      </c>
      <c r="G277" s="1760">
        <f>G276-D277</f>
        <v/>
      </c>
      <c r="H277" s="1822" t="inlineStr">
        <is>
          <t>TARGET @4100'</t>
        </is>
      </c>
    </row>
    <row r="278" ht="176.25" customFormat="1" customHeight="1" s="1747">
      <c r="A278" s="1766" t="inlineStr">
        <is>
          <t>JT.#72</t>
        </is>
      </c>
      <c r="B278" s="1766" t="inlineStr">
        <is>
          <t>3-1/2" TUBING 9.2 LB/FT ALLOY 28 TSH BL</t>
        </is>
      </c>
      <c r="C278" s="1767" t="n">
        <v>31</v>
      </c>
      <c r="D278" s="1812">
        <f>C278</f>
        <v/>
      </c>
      <c r="E278" s="1759">
        <f>E277+D278</f>
        <v/>
      </c>
      <c r="F278" s="1759">
        <f>F277-D277</f>
        <v/>
      </c>
      <c r="G278" s="1760">
        <f>G277-D278</f>
        <v/>
      </c>
      <c r="H278" s="1822" t="n"/>
    </row>
    <row r="279" ht="162.75" customFormat="1" customHeight="1" s="1747">
      <c r="A279" s="1766" t="inlineStr">
        <is>
          <t>JT.#73</t>
        </is>
      </c>
      <c r="B279" s="1766" t="inlineStr">
        <is>
          <t>3-1/2" TUBING 9.2 LB/FT ALLOY 28 TSH BL</t>
        </is>
      </c>
      <c r="C279" s="1767" t="n">
        <v>31</v>
      </c>
      <c r="D279" s="1812">
        <f>C279</f>
        <v/>
      </c>
      <c r="E279" s="1759">
        <f>E278+D279</f>
        <v/>
      </c>
      <c r="F279" s="1759">
        <f>F278-D278</f>
        <v/>
      </c>
      <c r="G279" s="1760">
        <f>G278-D279</f>
        <v/>
      </c>
      <c r="H279" s="1822" t="n"/>
    </row>
    <row r="280" ht="39.75" customFormat="1" customHeight="1" s="1747">
      <c r="A280" s="1766" t="inlineStr">
        <is>
          <t>JT.#74</t>
        </is>
      </c>
      <c r="B280" s="1766" t="inlineStr">
        <is>
          <t>3-1/2" TUBING 9.2 LB/FT ALLOY 28 TSH BL</t>
        </is>
      </c>
      <c r="C280" s="1767" t="n">
        <v>31</v>
      </c>
      <c r="D280" s="1768">
        <f>C280-0.301</f>
        <v/>
      </c>
      <c r="E280" s="1759">
        <f>E279+D280</f>
        <v/>
      </c>
      <c r="F280" s="1759">
        <f>F279-D279</f>
        <v/>
      </c>
      <c r="G280" s="1760">
        <f>G279-D280</f>
        <v/>
      </c>
      <c r="H280" s="1772" t="inlineStr">
        <is>
          <t>.</t>
        </is>
      </c>
      <c r="K280" s="1774" t="n"/>
    </row>
    <row r="281" ht="39.75" customFormat="1" customHeight="1" s="1747">
      <c r="A281" s="1766" t="inlineStr">
        <is>
          <t>JT.#75</t>
        </is>
      </c>
      <c r="B281" s="1766" t="inlineStr">
        <is>
          <t>3-1/2" TUBING 9.2 LB/FT ALLOY 28 TSH BL</t>
        </is>
      </c>
      <c r="C281" s="1767" t="n">
        <v>31</v>
      </c>
      <c r="D281" s="1768">
        <f>C281-0.301</f>
        <v/>
      </c>
      <c r="E281" s="1759">
        <f>E280+D281</f>
        <v/>
      </c>
      <c r="F281" s="1759">
        <f>F280-D280</f>
        <v/>
      </c>
      <c r="G281" s="1760">
        <f>G280-D281</f>
        <v/>
      </c>
      <c r="H281" s="1808" t="n"/>
      <c r="K281" s="1774" t="n"/>
    </row>
    <row r="282" ht="39.75" customFormat="1" customHeight="1" s="1747">
      <c r="A282" s="1766" t="inlineStr">
        <is>
          <t>JT.#76</t>
        </is>
      </c>
      <c r="B282" s="1766" t="inlineStr">
        <is>
          <t>3-1/2" TUBING 9.2 LB/FT ALLOY 28 TSH BL</t>
        </is>
      </c>
      <c r="C282" s="1767" t="n">
        <v>31</v>
      </c>
      <c r="D282" s="1768">
        <f>C282-0.301</f>
        <v/>
      </c>
      <c r="E282" s="1759">
        <f>E281+D282</f>
        <v/>
      </c>
      <c r="F282" s="1759">
        <f>F281-D281</f>
        <v/>
      </c>
      <c r="G282" s="1760">
        <f>G281-D282</f>
        <v/>
      </c>
      <c r="H282" s="1789" t="inlineStr">
        <is>
          <t xml:space="preserve">FILL UP STRING </t>
        </is>
      </c>
      <c r="K282" s="1774" t="n"/>
    </row>
    <row r="283" ht="39.75" customFormat="1" customHeight="1" s="1747">
      <c r="A283" s="1766" t="inlineStr">
        <is>
          <t>JT.#77</t>
        </is>
      </c>
      <c r="B283" s="1766" t="inlineStr">
        <is>
          <t>3-1/2" TUBING 9.2 LB/FT ALLOY 28 TSH BL</t>
        </is>
      </c>
      <c r="C283" s="1767" t="n">
        <v>31</v>
      </c>
      <c r="D283" s="1768">
        <f>C283-0.301</f>
        <v/>
      </c>
      <c r="E283" s="1759">
        <f>E282+D283</f>
        <v/>
      </c>
      <c r="F283" s="1759">
        <f>F282-D282</f>
        <v/>
      </c>
      <c r="G283" s="1760">
        <f>G282-D283</f>
        <v/>
      </c>
      <c r="H283" s="1808" t="n"/>
      <c r="K283" s="1774" t="n"/>
    </row>
    <row r="284" ht="39.75" customFormat="1" customHeight="1" s="1747">
      <c r="A284" s="1766" t="inlineStr">
        <is>
          <t>JT.#78</t>
        </is>
      </c>
      <c r="B284" s="1766" t="inlineStr">
        <is>
          <t>3-1/2" TUBING 9.2 LB/FT ALLOY 28 TSH BL</t>
        </is>
      </c>
      <c r="C284" s="1767" t="n">
        <v>31</v>
      </c>
      <c r="D284" s="1768">
        <f>C284-0.301</f>
        <v/>
      </c>
      <c r="E284" s="1759">
        <f>E283+D284</f>
        <v/>
      </c>
      <c r="F284" s="1759">
        <f>F283-D283</f>
        <v/>
      </c>
      <c r="G284" s="1760">
        <f>G283-D284</f>
        <v/>
      </c>
      <c r="H284" s="1832" t="n"/>
      <c r="K284" s="1774" t="n"/>
    </row>
    <row r="285" ht="39.75" customFormat="1" customHeight="1" s="1747">
      <c r="A285" s="1766" t="inlineStr">
        <is>
          <t>JT.#79</t>
        </is>
      </c>
      <c r="B285" s="1766" t="inlineStr">
        <is>
          <t>3-1/2" TUBING 9.2 LB/FT ALLOY 28 TSH BL</t>
        </is>
      </c>
      <c r="C285" s="1767" t="n">
        <v>31</v>
      </c>
      <c r="D285" s="1768">
        <f>C285-0.301</f>
        <v/>
      </c>
      <c r="E285" s="1759">
        <f>E284+D285</f>
        <v/>
      </c>
      <c r="F285" s="1759">
        <f>F284-D284</f>
        <v/>
      </c>
      <c r="G285" s="1760">
        <f>G284-D285</f>
        <v/>
      </c>
      <c r="H285" s="1832" t="n"/>
      <c r="K285" s="1774" t="n"/>
    </row>
    <row r="286" ht="39.75" customFormat="1" customHeight="1" s="1747">
      <c r="A286" s="1766" t="inlineStr">
        <is>
          <t>JT.#80</t>
        </is>
      </c>
      <c r="B286" s="1766" t="inlineStr">
        <is>
          <t>3-1/2" TUBING 9.2 LB/FT ALLOY 28 TSH BL</t>
        </is>
      </c>
      <c r="C286" s="1767" t="n">
        <v>31</v>
      </c>
      <c r="D286" s="1768">
        <f>C286-0.301</f>
        <v/>
      </c>
      <c r="E286" s="1759">
        <f>E285+D286</f>
        <v/>
      </c>
      <c r="F286" s="1759">
        <f>F285-D285</f>
        <v/>
      </c>
      <c r="G286" s="1760">
        <f>G285-D286</f>
        <v/>
      </c>
      <c r="H286" s="1832" t="n"/>
      <c r="K286" s="1774" t="n"/>
    </row>
    <row r="287" ht="39.75" customFormat="1" customHeight="1" s="1747">
      <c r="A287" s="1766" t="inlineStr">
        <is>
          <t>JT.#81</t>
        </is>
      </c>
      <c r="B287" s="1766" t="inlineStr">
        <is>
          <t>3-1/2" TUBING 9.2 LB/FT ALLOY 28 TSH BL</t>
        </is>
      </c>
      <c r="C287" s="1767" t="n">
        <v>31</v>
      </c>
      <c r="D287" s="1768">
        <f>C287-0.301</f>
        <v/>
      </c>
      <c r="E287" s="1759">
        <f>E286+D287</f>
        <v/>
      </c>
      <c r="F287" s="1759">
        <f>F286-D286</f>
        <v/>
      </c>
      <c r="G287" s="1760">
        <f>G286-D287</f>
        <v/>
      </c>
      <c r="H287" s="1832" t="n"/>
      <c r="K287" s="1774" t="n"/>
    </row>
    <row r="288" ht="39.75" customFormat="1" customHeight="1" s="1747">
      <c r="A288" s="1766" t="inlineStr">
        <is>
          <t>JT.#82</t>
        </is>
      </c>
      <c r="B288" s="1766" t="inlineStr">
        <is>
          <t>3-1/2" TUBING 9.2 LB/FT ALLOY 28 TSH BL</t>
        </is>
      </c>
      <c r="C288" s="1767" t="n">
        <v>31</v>
      </c>
      <c r="D288" s="1768">
        <f>C288-0.301</f>
        <v/>
      </c>
      <c r="E288" s="1759">
        <f>E287+D288</f>
        <v/>
      </c>
      <c r="F288" s="1759">
        <f>F287-D287</f>
        <v/>
      </c>
      <c r="G288" s="1760">
        <f>G287-D288</f>
        <v/>
      </c>
      <c r="H288" s="1832" t="n"/>
      <c r="K288" s="1774" t="n"/>
    </row>
    <row r="289" ht="39.75" customFormat="1" customHeight="1" s="1747">
      <c r="A289" s="1766" t="inlineStr">
        <is>
          <t>JT.#83</t>
        </is>
      </c>
      <c r="B289" s="1766" t="inlineStr">
        <is>
          <t>3-1/2" TUBING 9.2 LB/FT ALLOY 28 TSH BL</t>
        </is>
      </c>
      <c r="C289" s="1767" t="n">
        <v>31</v>
      </c>
      <c r="D289" s="1768">
        <f>C289-0.301</f>
        <v/>
      </c>
      <c r="E289" s="1759">
        <f>E288+D289</f>
        <v/>
      </c>
      <c r="F289" s="1759">
        <f>F288-D288</f>
        <v/>
      </c>
      <c r="G289" s="1760">
        <f>G288-D289</f>
        <v/>
      </c>
      <c r="H289" s="1832" t="n"/>
      <c r="K289" s="1774" t="n"/>
    </row>
    <row r="290" ht="39.75" customFormat="1" customHeight="1" s="1747">
      <c r="A290" s="1766" t="inlineStr">
        <is>
          <t>JT.#84</t>
        </is>
      </c>
      <c r="B290" s="1766" t="inlineStr">
        <is>
          <t>3-1/2" TUBING 9.2 LB/FT ALLOY 28 TSH BL</t>
        </is>
      </c>
      <c r="C290" s="1767" t="n">
        <v>31</v>
      </c>
      <c r="D290" s="1768">
        <f>C290-0.301</f>
        <v/>
      </c>
      <c r="E290" s="1759">
        <f>E289+D290</f>
        <v/>
      </c>
      <c r="F290" s="1759">
        <f>F289-D289</f>
        <v/>
      </c>
      <c r="G290" s="1760">
        <f>G289-D290</f>
        <v/>
      </c>
      <c r="H290" s="1772" t="inlineStr">
        <is>
          <t>.</t>
        </is>
      </c>
      <c r="K290" s="1774" t="n"/>
    </row>
    <row r="291" ht="39.75" customFormat="1" customHeight="1" s="1747">
      <c r="A291" s="1766" t="inlineStr">
        <is>
          <t>JT.#85</t>
        </is>
      </c>
      <c r="B291" s="1766" t="inlineStr">
        <is>
          <t>3-1/2" TUBING 9.2 LB/FT ALLOY 28 TSH BL</t>
        </is>
      </c>
      <c r="C291" s="1767" t="n">
        <v>31</v>
      </c>
      <c r="D291" s="1768">
        <f>C291-0.301</f>
        <v/>
      </c>
      <c r="E291" s="1759">
        <f>E290+D291</f>
        <v/>
      </c>
      <c r="F291" s="1759">
        <f>F290-D290</f>
        <v/>
      </c>
      <c r="G291" s="1760">
        <f>G290-D291</f>
        <v/>
      </c>
      <c r="H291" s="1808" t="n"/>
      <c r="K291" s="1774" t="n"/>
    </row>
    <row r="292" ht="39.75" customFormat="1" customHeight="1" s="1747">
      <c r="A292" s="1766" t="inlineStr">
        <is>
          <t>JT.#86</t>
        </is>
      </c>
      <c r="B292" s="1766" t="inlineStr">
        <is>
          <t>3-1/2" TUBING 9.2 LB/FT ALLOY 28 TSH BL</t>
        </is>
      </c>
      <c r="C292" s="1767" t="n">
        <v>31</v>
      </c>
      <c r="D292" s="1768">
        <f>C292-0.301</f>
        <v/>
      </c>
      <c r="E292" s="1759">
        <f>E291+D292</f>
        <v/>
      </c>
      <c r="F292" s="1759">
        <f>F291-D291</f>
        <v/>
      </c>
      <c r="G292" s="1760">
        <f>G291-D292</f>
        <v/>
      </c>
      <c r="H292" s="1789" t="inlineStr">
        <is>
          <t xml:space="preserve">FILL UP STRING </t>
        </is>
      </c>
      <c r="K292" s="1774" t="n"/>
    </row>
    <row r="293" ht="39.75" customFormat="1" customHeight="1" s="1747">
      <c r="A293" s="1766" t="inlineStr">
        <is>
          <t>JT.#87</t>
        </is>
      </c>
      <c r="B293" s="1766" t="inlineStr">
        <is>
          <t>3-1/2" TUBING 9.2 LB/FT ALLOY 28 TSH BL</t>
        </is>
      </c>
      <c r="C293" s="1767" t="n">
        <v>31</v>
      </c>
      <c r="D293" s="1768">
        <f>C293-0.301</f>
        <v/>
      </c>
      <c r="E293" s="1759">
        <f>E292+D293</f>
        <v/>
      </c>
      <c r="F293" s="1759">
        <f>F292-D292</f>
        <v/>
      </c>
      <c r="G293" s="1760">
        <f>G292-D293</f>
        <v/>
      </c>
      <c r="H293" s="1808" t="n"/>
      <c r="K293" s="1774" t="n"/>
    </row>
    <row r="294" ht="39.75" customFormat="1" customHeight="1" s="1747">
      <c r="A294" s="1766" t="inlineStr">
        <is>
          <t>JT.#88</t>
        </is>
      </c>
      <c r="B294" s="1766" t="inlineStr">
        <is>
          <t>3-1/2" TUBING 9.2 LB/FT ALLOY 28 TSH BL</t>
        </is>
      </c>
      <c r="C294" s="1767" t="n">
        <v>31</v>
      </c>
      <c r="D294" s="1768">
        <f>C294-0.301</f>
        <v/>
      </c>
      <c r="E294" s="1759">
        <f>E293+D294</f>
        <v/>
      </c>
      <c r="F294" s="1759">
        <f>F293-D293</f>
        <v/>
      </c>
      <c r="G294" s="1760">
        <f>G293-D294</f>
        <v/>
      </c>
      <c r="H294" s="1832" t="n"/>
      <c r="K294" s="1774" t="n"/>
    </row>
    <row r="295" ht="39.75" customFormat="1" customHeight="1" s="1747">
      <c r="A295" s="1766" t="inlineStr">
        <is>
          <t>JT.#89</t>
        </is>
      </c>
      <c r="B295" s="1766" t="inlineStr">
        <is>
          <t>3-1/2" TUBING 9.2 LB/FT ALLOY 28 TSH BL</t>
        </is>
      </c>
      <c r="C295" s="1767" t="n">
        <v>31</v>
      </c>
      <c r="D295" s="1768">
        <f>C295-0.301</f>
        <v/>
      </c>
      <c r="E295" s="1759">
        <f>E294+D295</f>
        <v/>
      </c>
      <c r="F295" s="1759">
        <f>F294-D294</f>
        <v/>
      </c>
      <c r="G295" s="1760">
        <f>G294-D295</f>
        <v/>
      </c>
      <c r="H295" s="1832" t="n"/>
      <c r="K295" s="1774" t="n"/>
    </row>
    <row r="296" ht="39.75" customFormat="1" customHeight="1" s="1747">
      <c r="A296" s="1766" t="inlineStr">
        <is>
          <t>JT.#90</t>
        </is>
      </c>
      <c r="B296" s="1766" t="inlineStr">
        <is>
          <t>3-1/2" TUBING 9.2 LB/FT ALLOY 28 TSH BL</t>
        </is>
      </c>
      <c r="C296" s="1767" t="n">
        <v>31</v>
      </c>
      <c r="D296" s="1768">
        <f>C296-0.301</f>
        <v/>
      </c>
      <c r="E296" s="1759">
        <f>E295+D296</f>
        <v/>
      </c>
      <c r="F296" s="1759">
        <f>F295-D295</f>
        <v/>
      </c>
      <c r="G296" s="1760">
        <f>G295-D296</f>
        <v/>
      </c>
      <c r="H296" s="1832" t="n"/>
      <c r="K296" s="1774" t="n"/>
    </row>
    <row r="297" ht="39.75" customFormat="1" customHeight="1" s="1747">
      <c r="A297" s="1766" t="inlineStr">
        <is>
          <t>JT.#91</t>
        </is>
      </c>
      <c r="B297" s="1766" t="inlineStr">
        <is>
          <t>3-1/2" TUBING 9.2 LB/FT ALLOY 28 TSH BL</t>
        </is>
      </c>
      <c r="C297" s="1767" t="n">
        <v>31</v>
      </c>
      <c r="D297" s="1768">
        <f>C297-0.301</f>
        <v/>
      </c>
      <c r="E297" s="1759">
        <f>E296+D297</f>
        <v/>
      </c>
      <c r="F297" s="1759">
        <f>F296-D296</f>
        <v/>
      </c>
      <c r="G297" s="1760">
        <f>G296-D297</f>
        <v/>
      </c>
      <c r="H297" s="1832" t="n"/>
      <c r="K297" s="1774" t="n"/>
    </row>
    <row r="298" ht="39.75" customFormat="1" customHeight="1" s="1747">
      <c r="A298" s="1766" t="inlineStr">
        <is>
          <t>JT.#92</t>
        </is>
      </c>
      <c r="B298" s="1766" t="inlineStr">
        <is>
          <t>3-1/2" TUBING 9.2 LB/FT ALLOY 28 TSH BL</t>
        </is>
      </c>
      <c r="C298" s="1767" t="n">
        <v>31</v>
      </c>
      <c r="D298" s="1768">
        <f>C298-0.301</f>
        <v/>
      </c>
      <c r="E298" s="1759">
        <f>E297+D298</f>
        <v/>
      </c>
      <c r="F298" s="1759">
        <f>F297-D297</f>
        <v/>
      </c>
      <c r="G298" s="1760">
        <f>G297-D298</f>
        <v/>
      </c>
      <c r="H298" s="1832" t="n"/>
      <c r="K298" s="1774" t="n"/>
    </row>
    <row r="299" ht="39.75" customFormat="1" customHeight="1" s="1747">
      <c r="A299" s="1766" t="inlineStr">
        <is>
          <t>JT.#93</t>
        </is>
      </c>
      <c r="B299" s="1766" t="inlineStr">
        <is>
          <t>3-1/2" TUBING 9.2 LB/FT ALLOY 28 TSH BL</t>
        </is>
      </c>
      <c r="C299" s="1767" t="n">
        <v>31</v>
      </c>
      <c r="D299" s="1768">
        <f>C299-0.301</f>
        <v/>
      </c>
      <c r="E299" s="1759">
        <f>E298+D299</f>
        <v/>
      </c>
      <c r="F299" s="1759">
        <f>F298-D298</f>
        <v/>
      </c>
      <c r="G299" s="1760">
        <f>G298-D299</f>
        <v/>
      </c>
      <c r="H299" s="1832" t="n"/>
      <c r="K299" s="1774" t="n"/>
    </row>
    <row r="300" ht="39.75" customFormat="1" customHeight="1" s="1747">
      <c r="A300" s="1766" t="inlineStr">
        <is>
          <t>JT.#94</t>
        </is>
      </c>
      <c r="B300" s="1766" t="inlineStr">
        <is>
          <t>3-1/2" TUBING 9.2 LB/FT ALLOY 28 TSH BL</t>
        </is>
      </c>
      <c r="C300" s="1767" t="n">
        <v>31</v>
      </c>
      <c r="D300" s="1768">
        <f>C300-0.301</f>
        <v/>
      </c>
      <c r="E300" s="1759">
        <f>E299+D300</f>
        <v/>
      </c>
      <c r="F300" s="1759">
        <f>F299-D299</f>
        <v/>
      </c>
      <c r="G300" s="1760">
        <f>G299-D300</f>
        <v/>
      </c>
      <c r="H300" s="1772" t="inlineStr">
        <is>
          <t>.</t>
        </is>
      </c>
      <c r="K300" s="1774" t="n"/>
    </row>
    <row r="301" ht="39.75" customFormat="1" customHeight="1" s="1747">
      <c r="A301" s="1766" t="inlineStr">
        <is>
          <t>JT.#95</t>
        </is>
      </c>
      <c r="B301" s="1766" t="inlineStr">
        <is>
          <t>3-1/2" TUBING 9.2 LB/FT ALLOY 28 TSH BL</t>
        </is>
      </c>
      <c r="C301" s="1767" t="n">
        <v>31</v>
      </c>
      <c r="D301" s="1768">
        <f>C301-0.301</f>
        <v/>
      </c>
      <c r="E301" s="1759">
        <f>E300+D301</f>
        <v/>
      </c>
      <c r="F301" s="1759">
        <f>F300-D300</f>
        <v/>
      </c>
      <c r="G301" s="1760">
        <f>G300-D301</f>
        <v/>
      </c>
      <c r="H301" s="1832" t="n"/>
      <c r="K301" s="1774" t="n"/>
    </row>
    <row r="302" ht="39.75" customFormat="1" customHeight="1" s="1747">
      <c r="A302" s="1766" t="inlineStr">
        <is>
          <t>JT.#96</t>
        </is>
      </c>
      <c r="B302" s="1766" t="inlineStr">
        <is>
          <t>3-1/2" TUBING 9.2 LB/FT ALLOY 28 TSH BL</t>
        </is>
      </c>
      <c r="C302" s="1767" t="n">
        <v>31</v>
      </c>
      <c r="D302" s="1768">
        <f>C302-0.301</f>
        <v/>
      </c>
      <c r="E302" s="1759">
        <f>E301+D302</f>
        <v/>
      </c>
      <c r="F302" s="1759">
        <f>F301-D301</f>
        <v/>
      </c>
      <c r="G302" s="1760">
        <f>G301-D302</f>
        <v/>
      </c>
      <c r="H302" s="1789" t="inlineStr">
        <is>
          <t xml:space="preserve">FILL UP STRING </t>
        </is>
      </c>
      <c r="K302" s="1774" t="n"/>
    </row>
    <row r="303" ht="39.75" customFormat="1" customHeight="1" s="1747">
      <c r="A303" s="1766" t="inlineStr">
        <is>
          <t>JT.#97</t>
        </is>
      </c>
      <c r="B303" s="1766" t="inlineStr">
        <is>
          <t>3-1/2" TUBING 9.2 LB/FT ALLOY 28 TSH BL</t>
        </is>
      </c>
      <c r="C303" s="1767" t="n">
        <v>31</v>
      </c>
      <c r="D303" s="1768">
        <f>C303-0.301</f>
        <v/>
      </c>
      <c r="E303" s="1759">
        <f>E302+D303</f>
        <v/>
      </c>
      <c r="F303" s="1759">
        <f>F302-D302</f>
        <v/>
      </c>
      <c r="G303" s="1760">
        <f>G302-D303</f>
        <v/>
      </c>
      <c r="H303" s="1808" t="n"/>
      <c r="K303" s="1774" t="n"/>
    </row>
    <row r="304" ht="39.75" customFormat="1" customHeight="1" s="1747">
      <c r="A304" s="1766" t="inlineStr">
        <is>
          <t>JT.#98</t>
        </is>
      </c>
      <c r="B304" s="1766" t="inlineStr">
        <is>
          <t>3-1/2" TUBING 9.2 LB/FT ALLOY 28 TSH BL</t>
        </is>
      </c>
      <c r="C304" s="1767" t="n">
        <v>31</v>
      </c>
      <c r="D304" s="1768">
        <f>C304-0.301</f>
        <v/>
      </c>
      <c r="E304" s="1759">
        <f>E303+D304</f>
        <v/>
      </c>
      <c r="F304" s="1759">
        <f>F303-D303</f>
        <v/>
      </c>
      <c r="G304" s="1760">
        <f>G303-D304</f>
        <v/>
      </c>
      <c r="H304" s="1832" t="n"/>
      <c r="K304" s="1774" t="n"/>
    </row>
    <row r="305" ht="39.75" customFormat="1" customHeight="1" s="1747">
      <c r="A305" s="1766" t="inlineStr">
        <is>
          <t>JT.#99</t>
        </is>
      </c>
      <c r="B305" s="1766" t="inlineStr">
        <is>
          <t>3-1/2" TUBING 9.2 LB/FT ALLOY 28 TSH BL</t>
        </is>
      </c>
      <c r="C305" s="1767" t="n">
        <v>31</v>
      </c>
      <c r="D305" s="1768">
        <f>C305-0.301</f>
        <v/>
      </c>
      <c r="E305" s="1759">
        <f>E304+D305</f>
        <v/>
      </c>
      <c r="F305" s="1759">
        <f>F304-D304</f>
        <v/>
      </c>
      <c r="G305" s="1760">
        <f>G304-D305</f>
        <v/>
      </c>
      <c r="H305" s="1832" t="n"/>
      <c r="K305" s="1774" t="n"/>
    </row>
    <row r="306" ht="39.75" customFormat="1" customHeight="1" s="1747">
      <c r="A306" s="1766" t="inlineStr">
        <is>
          <t>JT.#100</t>
        </is>
      </c>
      <c r="B306" s="1766" t="inlineStr">
        <is>
          <t>3-1/2" TUBING 9.2 LB/FT ALLOY 28 TSH BL</t>
        </is>
      </c>
      <c r="C306" s="1767" t="n">
        <v>31</v>
      </c>
      <c r="D306" s="1768">
        <f>C306-0.301</f>
        <v/>
      </c>
      <c r="E306" s="1759">
        <f>E305+D306</f>
        <v/>
      </c>
      <c r="F306" s="1759">
        <f>F305-D305</f>
        <v/>
      </c>
      <c r="G306" s="1760">
        <f>G305-D306</f>
        <v/>
      </c>
      <c r="H306" s="1832" t="n"/>
      <c r="K306" s="1774" t="n"/>
    </row>
    <row r="307" ht="39.75" customFormat="1" customHeight="1" s="1747">
      <c r="A307" s="1766" t="inlineStr">
        <is>
          <t>JT.#101</t>
        </is>
      </c>
      <c r="B307" s="1766" t="inlineStr">
        <is>
          <t>3-1/2" TUBING 9.2 LB/FT ALLOY 28 TSH BL</t>
        </is>
      </c>
      <c r="C307" s="1767" t="n">
        <v>31</v>
      </c>
      <c r="D307" s="1768">
        <f>C307-0.301</f>
        <v/>
      </c>
      <c r="E307" s="1759">
        <f>E306+D307</f>
        <v/>
      </c>
      <c r="F307" s="1759">
        <f>F306-D306</f>
        <v/>
      </c>
      <c r="G307" s="1760">
        <f>G306-D307</f>
        <v/>
      </c>
      <c r="H307" s="1832" t="n"/>
      <c r="K307" s="1774" t="n"/>
    </row>
    <row r="308" ht="39.75" customFormat="1" customHeight="1" s="1747">
      <c r="A308" s="1766" t="inlineStr">
        <is>
          <t>JT.#102</t>
        </is>
      </c>
      <c r="B308" s="1766" t="inlineStr">
        <is>
          <t>3-1/2" TUBING 9.2 LB/FT ALLOY 28 TSH BL</t>
        </is>
      </c>
      <c r="C308" s="1767" t="n">
        <v>31</v>
      </c>
      <c r="D308" s="1768">
        <f>C308-0.301</f>
        <v/>
      </c>
      <c r="E308" s="1759">
        <f>E307+D308</f>
        <v/>
      </c>
      <c r="F308" s="1759">
        <f>F307-D307</f>
        <v/>
      </c>
      <c r="G308" s="1760">
        <f>G307-D308</f>
        <v/>
      </c>
      <c r="H308" s="1832" t="n"/>
      <c r="K308" s="1774" t="n"/>
    </row>
    <row r="309" ht="39.75" customFormat="1" customHeight="1" s="1747">
      <c r="A309" s="1766" t="inlineStr">
        <is>
          <t>JT.#103</t>
        </is>
      </c>
      <c r="B309" s="1766" t="inlineStr">
        <is>
          <t>3-1/2" TUBING 9.2 LB/FT ALLOY 28 TSH BL</t>
        </is>
      </c>
      <c r="C309" s="1767" t="n">
        <v>31</v>
      </c>
      <c r="D309" s="1768">
        <f>C309-0.301</f>
        <v/>
      </c>
      <c r="E309" s="1759">
        <f>E308+D309</f>
        <v/>
      </c>
      <c r="F309" s="1759">
        <f>F308-D308</f>
        <v/>
      </c>
      <c r="G309" s="1760">
        <f>G308-D309</f>
        <v/>
      </c>
      <c r="H309" s="1832" t="n"/>
      <c r="K309" s="1774" t="n"/>
    </row>
    <row r="310" ht="39.75" customFormat="1" customHeight="1" s="1747">
      <c r="A310" s="1766" t="inlineStr">
        <is>
          <t>JT.#104</t>
        </is>
      </c>
      <c r="B310" s="1766" t="inlineStr">
        <is>
          <t>3-1/2" TUBING 9.2 LB/FT ALLOY 28 TSH BL</t>
        </is>
      </c>
      <c r="C310" s="1767" t="n">
        <v>31</v>
      </c>
      <c r="D310" s="1768">
        <f>C310-0.301</f>
        <v/>
      </c>
      <c r="E310" s="1759">
        <f>E309+D310</f>
        <v/>
      </c>
      <c r="F310" s="1759">
        <f>F309-D309</f>
        <v/>
      </c>
      <c r="G310" s="1760">
        <f>G309-D310</f>
        <v/>
      </c>
      <c r="H310" s="1772" t="inlineStr">
        <is>
          <t>.</t>
        </is>
      </c>
      <c r="K310" s="1774" t="n"/>
    </row>
    <row r="311" ht="39.75" customFormat="1" customHeight="1" s="1747">
      <c r="A311" s="1766" t="inlineStr">
        <is>
          <t>JT.#105</t>
        </is>
      </c>
      <c r="B311" s="1766" t="inlineStr">
        <is>
          <t>3-1/2" TUBING 9.2 LB/FT ALLOY 28 TSH BL</t>
        </is>
      </c>
      <c r="C311" s="1767" t="n">
        <v>31</v>
      </c>
      <c r="D311" s="1768">
        <f>C311-0.301</f>
        <v/>
      </c>
      <c r="E311" s="1759">
        <f>E310+D311</f>
        <v/>
      </c>
      <c r="F311" s="1759">
        <f>F310-D310</f>
        <v/>
      </c>
      <c r="G311" s="1760">
        <f>G310-D311</f>
        <v/>
      </c>
      <c r="H311" s="1832" t="n"/>
      <c r="K311" s="1774" t="n"/>
    </row>
    <row r="312" ht="39.75" customFormat="1" customHeight="1" s="1747">
      <c r="A312" s="1766" t="inlineStr">
        <is>
          <t>JT.#106</t>
        </is>
      </c>
      <c r="B312" s="1766" t="inlineStr">
        <is>
          <t>3-1/2" TUBING 9.2 LB/FT ALLOY 28 TSH BL</t>
        </is>
      </c>
      <c r="C312" s="1767" t="n">
        <v>31</v>
      </c>
      <c r="D312" s="1768">
        <f>C312-0.301</f>
        <v/>
      </c>
      <c r="E312" s="1759">
        <f>E311+D312</f>
        <v/>
      </c>
      <c r="F312" s="1759">
        <f>F311-D311</f>
        <v/>
      </c>
      <c r="G312" s="1760">
        <f>G311-D312</f>
        <v/>
      </c>
      <c r="H312" s="1789" t="inlineStr">
        <is>
          <t xml:space="preserve">FILL UP STRING </t>
        </is>
      </c>
      <c r="K312" s="1774" t="n"/>
    </row>
    <row r="313" ht="39.75" customFormat="1" customHeight="1" s="1747">
      <c r="A313" s="1766" t="inlineStr">
        <is>
          <t>JT.#107</t>
        </is>
      </c>
      <c r="B313" s="1766" t="inlineStr">
        <is>
          <t>3-1/2" TUBING 9.2 LB/FT ALLOY 28 TSH BL</t>
        </is>
      </c>
      <c r="C313" s="1767" t="n">
        <v>31</v>
      </c>
      <c r="D313" s="1768">
        <f>C313-0.301</f>
        <v/>
      </c>
      <c r="E313" s="1759">
        <f>E312+D313</f>
        <v/>
      </c>
      <c r="F313" s="1759">
        <f>F312-D312</f>
        <v/>
      </c>
      <c r="G313" s="1760">
        <f>G312-D313</f>
        <v/>
      </c>
      <c r="H313" s="1832" t="n"/>
      <c r="K313" s="1774" t="n"/>
    </row>
    <row r="314" ht="39.75" customFormat="1" customHeight="1" s="1747">
      <c r="A314" s="1766" t="inlineStr">
        <is>
          <t>JT.#108</t>
        </is>
      </c>
      <c r="B314" s="1766" t="inlineStr">
        <is>
          <t>3-1/2" TUBING 9.2 LB/FT ALLOY 28 TSH BL</t>
        </is>
      </c>
      <c r="C314" s="1767" t="n">
        <v>31</v>
      </c>
      <c r="D314" s="1768">
        <f>C314-0.301</f>
        <v/>
      </c>
      <c r="E314" s="1759">
        <f>E313+D314</f>
        <v/>
      </c>
      <c r="F314" s="1759">
        <f>F313-D313</f>
        <v/>
      </c>
      <c r="G314" s="1760">
        <f>G313-D314</f>
        <v/>
      </c>
      <c r="H314" s="1832" t="n"/>
      <c r="K314" s="1774" t="n"/>
    </row>
    <row r="315" ht="39.75" customFormat="1" customHeight="1" s="1747">
      <c r="A315" s="1766" t="inlineStr">
        <is>
          <t>JT.#109</t>
        </is>
      </c>
      <c r="B315" s="1766" t="inlineStr">
        <is>
          <t>3-1/2" TUBING 9.2 LB/FT ALLOY 28 TSH BL</t>
        </is>
      </c>
      <c r="C315" s="1767" t="n">
        <v>31</v>
      </c>
      <c r="D315" s="1768">
        <f>C315-0.301</f>
        <v/>
      </c>
      <c r="E315" s="1759">
        <f>E314+D315</f>
        <v/>
      </c>
      <c r="F315" s="1759">
        <f>F314-D314</f>
        <v/>
      </c>
      <c r="G315" s="1760">
        <f>G314-D315</f>
        <v/>
      </c>
      <c r="H315" s="1832" t="n"/>
      <c r="K315" s="1774" t="n"/>
    </row>
    <row r="316" ht="39.75" customFormat="1" customHeight="1" s="1747">
      <c r="A316" s="1766" t="inlineStr">
        <is>
          <t>JT.#110</t>
        </is>
      </c>
      <c r="B316" s="1766" t="inlineStr">
        <is>
          <t>3-1/2" TUBING 9.2 LB/FT ALLOY 28 TSH BL</t>
        </is>
      </c>
      <c r="C316" s="1767" t="n">
        <v>31</v>
      </c>
      <c r="D316" s="1768">
        <f>C316-0.301</f>
        <v/>
      </c>
      <c r="E316" s="1759">
        <f>E315+D316</f>
        <v/>
      </c>
      <c r="F316" s="1759">
        <f>F315-D315</f>
        <v/>
      </c>
      <c r="G316" s="1760">
        <f>G315-D316</f>
        <v/>
      </c>
      <c r="H316" s="1832" t="n"/>
      <c r="K316" s="1774" t="n"/>
    </row>
    <row r="317" ht="39.75" customFormat="1" customHeight="1" s="1747">
      <c r="A317" s="1766" t="inlineStr">
        <is>
          <t>JT.#111</t>
        </is>
      </c>
      <c r="B317" s="1766" t="inlineStr">
        <is>
          <t>3-1/2" TUBING 9.2 LB/FT ALLOY 28 TSH BL</t>
        </is>
      </c>
      <c r="C317" s="1767" t="n">
        <v>31</v>
      </c>
      <c r="D317" s="1768">
        <f>C317-0.301</f>
        <v/>
      </c>
      <c r="E317" s="1759">
        <f>E316+D317</f>
        <v/>
      </c>
      <c r="F317" s="1759">
        <f>F316-D316</f>
        <v/>
      </c>
      <c r="G317" s="1760">
        <f>G316-D317</f>
        <v/>
      </c>
      <c r="H317" s="1832" t="n"/>
      <c r="K317" s="1774" t="n"/>
    </row>
    <row r="318" ht="39.75" customFormat="1" customHeight="1" s="1747">
      <c r="A318" s="1766" t="inlineStr">
        <is>
          <t>JT.#112</t>
        </is>
      </c>
      <c r="B318" s="1766" t="inlineStr">
        <is>
          <t>3-1/2" TUBING 9.2 LB/FT ALLOY 28 TSH BL</t>
        </is>
      </c>
      <c r="C318" s="1767" t="n">
        <v>31</v>
      </c>
      <c r="D318" s="1768">
        <f>C318-0.301</f>
        <v/>
      </c>
      <c r="E318" s="1759">
        <f>E317+D318</f>
        <v/>
      </c>
      <c r="F318" s="1759">
        <f>F317-D317</f>
        <v/>
      </c>
      <c r="G318" s="1760">
        <f>G317-D318</f>
        <v/>
      </c>
      <c r="H318" s="1832" t="n"/>
      <c r="K318" s="1774" t="n"/>
    </row>
    <row r="319" ht="39.75" customFormat="1" customHeight="1" s="1747">
      <c r="A319" s="1766" t="inlineStr">
        <is>
          <t>JT.#113</t>
        </is>
      </c>
      <c r="B319" s="1766" t="inlineStr">
        <is>
          <t>3-1/2" TUBING 9.2 LB/FT ALLOY 28 TSH BL</t>
        </is>
      </c>
      <c r="C319" s="1767" t="n">
        <v>31</v>
      </c>
      <c r="D319" s="1768">
        <f>C319-0.301</f>
        <v/>
      </c>
      <c r="E319" s="1759">
        <f>E318+D319</f>
        <v/>
      </c>
      <c r="F319" s="1759">
        <f>F318-D318</f>
        <v/>
      </c>
      <c r="G319" s="1760">
        <f>G318-D319</f>
        <v/>
      </c>
      <c r="H319" s="1832" t="n"/>
      <c r="K319" s="1774" t="n"/>
    </row>
    <row r="320" ht="39.75" customFormat="1" customHeight="1" s="1747">
      <c r="A320" s="1766" t="inlineStr">
        <is>
          <t>JT.#114</t>
        </is>
      </c>
      <c r="B320" s="1766" t="inlineStr">
        <is>
          <t>3-1/2" TUBING 9.2 LB/FT ALLOY 28 TSH BL</t>
        </is>
      </c>
      <c r="C320" s="1767" t="n">
        <v>31</v>
      </c>
      <c r="D320" s="1800">
        <f>C320-0.301</f>
        <v/>
      </c>
      <c r="E320" s="1759">
        <f>E319+D320</f>
        <v/>
      </c>
      <c r="F320" s="1759">
        <f>F319-D319</f>
        <v/>
      </c>
      <c r="G320" s="1760">
        <f>G319-D320</f>
        <v/>
      </c>
      <c r="H320" s="1788" t="inlineStr">
        <is>
          <t>.</t>
        </is>
      </c>
      <c r="K320" s="1774" t="n"/>
    </row>
    <row r="321" ht="39.75" customFormat="1" customHeight="1" s="1747">
      <c r="A321" s="1766" t="inlineStr">
        <is>
          <t>JT.#115</t>
        </is>
      </c>
      <c r="B321" s="1766" t="inlineStr">
        <is>
          <t>3-1/2" TUBING 9.2 LB/FT ALLOY 28 TSH BL</t>
        </is>
      </c>
      <c r="C321" s="1767" t="n">
        <v>31</v>
      </c>
      <c r="D321" s="1768">
        <f>C321-0.301</f>
        <v/>
      </c>
      <c r="E321" s="1759">
        <f>E320+D321</f>
        <v/>
      </c>
      <c r="F321" s="1759">
        <f>F320-D320</f>
        <v/>
      </c>
      <c r="G321" s="1760">
        <f>G320-D321</f>
        <v/>
      </c>
      <c r="H321" s="1772" t="n"/>
      <c r="K321" s="1774" t="n"/>
    </row>
    <row r="322" ht="39.75" customFormat="1" customHeight="1" s="1747">
      <c r="A322" s="1766" t="inlineStr">
        <is>
          <t>JT.#116</t>
        </is>
      </c>
      <c r="B322" s="1766" t="inlineStr">
        <is>
          <t>3-1/2" TUBING 9.2 LB/FT ALLOY 28 TSH BL</t>
        </is>
      </c>
      <c r="C322" s="1767" t="n">
        <v>31</v>
      </c>
      <c r="D322" s="1768">
        <f>C322-0.301</f>
        <v/>
      </c>
      <c r="E322" s="1759">
        <f>E321+D322</f>
        <v/>
      </c>
      <c r="F322" s="1759">
        <f>F321-D321</f>
        <v/>
      </c>
      <c r="G322" s="1760">
        <f>G321-D322</f>
        <v/>
      </c>
      <c r="H322" s="1789" t="inlineStr">
        <is>
          <t xml:space="preserve">FILL UP STRING </t>
        </is>
      </c>
      <c r="K322" s="1774" t="n"/>
    </row>
    <row r="323" ht="39.75" customFormat="1" customHeight="1" s="1747">
      <c r="A323" s="1766" t="inlineStr">
        <is>
          <t>JT.#117</t>
        </is>
      </c>
      <c r="B323" s="1766" t="inlineStr">
        <is>
          <t>3-1/2" TUBING 9.2 LB/FT ALLOY 28 TSH BL</t>
        </is>
      </c>
      <c r="C323" s="1767" t="n">
        <v>31</v>
      </c>
      <c r="D323" s="1768">
        <f>C323-0.301</f>
        <v/>
      </c>
      <c r="E323" s="1759">
        <f>E322+D323</f>
        <v/>
      </c>
      <c r="F323" s="1759">
        <f>F322-D322</f>
        <v/>
      </c>
      <c r="G323" s="1760">
        <f>G322-D323</f>
        <v/>
      </c>
      <c r="H323" s="1832" t="n"/>
      <c r="K323" s="1774" t="n"/>
    </row>
    <row r="324" ht="39.75" customFormat="1" customHeight="1" s="1747">
      <c r="A324" s="1766" t="inlineStr">
        <is>
          <t>JT.#118</t>
        </is>
      </c>
      <c r="B324" s="1766" t="inlineStr">
        <is>
          <t>3-1/2" TUBING 9.2 LB/FT ALLOY 28 TSH BL</t>
        </is>
      </c>
      <c r="C324" s="1767" t="n">
        <v>31</v>
      </c>
      <c r="D324" s="1768">
        <f>C324-0.301</f>
        <v/>
      </c>
      <c r="E324" s="1759">
        <f>E323+D324</f>
        <v/>
      </c>
      <c r="F324" s="1759">
        <f>F323-D323</f>
        <v/>
      </c>
      <c r="G324" s="1760">
        <f>G323-D324</f>
        <v/>
      </c>
      <c r="H324" s="1808" t="n"/>
      <c r="K324" s="1774" t="n"/>
    </row>
    <row r="325" ht="39.75" customFormat="1" customHeight="1" s="1747">
      <c r="A325" s="1766" t="inlineStr">
        <is>
          <t>JT.#119</t>
        </is>
      </c>
      <c r="B325" s="1766" t="inlineStr">
        <is>
          <t>3-1/2" TUBING 9.2 LB/FT ALLOY 28 TSH BL</t>
        </is>
      </c>
      <c r="C325" s="1767" t="n">
        <v>31</v>
      </c>
      <c r="D325" s="1768">
        <f>C325-0.301</f>
        <v/>
      </c>
      <c r="E325" s="1759">
        <f>E324+D325</f>
        <v/>
      </c>
      <c r="F325" s="1759">
        <f>F324-D324</f>
        <v/>
      </c>
      <c r="G325" s="1760">
        <f>G324-D325</f>
        <v/>
      </c>
      <c r="H325" s="1832" t="n"/>
      <c r="K325" s="1774" t="n"/>
    </row>
    <row r="326" ht="39.75" customFormat="1" customHeight="1" s="1747">
      <c r="A326" s="1766" t="inlineStr">
        <is>
          <t>JT.#120</t>
        </is>
      </c>
      <c r="B326" s="1766" t="inlineStr">
        <is>
          <t>3-1/2" TUBING 9.2 LB/FT ALLOY 28 TSH BL</t>
        </is>
      </c>
      <c r="C326" s="1767" t="n">
        <v>31</v>
      </c>
      <c r="D326" s="1768">
        <f>C326-0.301</f>
        <v/>
      </c>
      <c r="E326" s="1759">
        <f>E325+D326</f>
        <v/>
      </c>
      <c r="F326" s="1759">
        <f>F325-D325</f>
        <v/>
      </c>
      <c r="G326" s="1760">
        <f>G325-D326</f>
        <v/>
      </c>
      <c r="H326" s="1832" t="n"/>
      <c r="K326" s="1774" t="n"/>
    </row>
    <row r="327" ht="39.75" customFormat="1" customHeight="1" s="1747">
      <c r="A327" s="1766" t="inlineStr">
        <is>
          <t>JT.#121</t>
        </is>
      </c>
      <c r="B327" s="1766" t="inlineStr">
        <is>
          <t>3-1/2" TUBING 9.2 LB/FT ALLOY 28 TSH BL</t>
        </is>
      </c>
      <c r="C327" s="1767" t="n">
        <v>31</v>
      </c>
      <c r="D327" s="1768">
        <f>C327-0.301</f>
        <v/>
      </c>
      <c r="E327" s="1759">
        <f>E326+D327</f>
        <v/>
      </c>
      <c r="F327" s="1759">
        <f>F326-D326</f>
        <v/>
      </c>
      <c r="G327" s="1760">
        <f>G326-D327</f>
        <v/>
      </c>
      <c r="H327" s="1832" t="n"/>
      <c r="K327" s="1774" t="n"/>
    </row>
    <row r="328" ht="39.75" customFormat="1" customHeight="1" s="1747">
      <c r="A328" s="1766" t="inlineStr">
        <is>
          <t>JT.#122</t>
        </is>
      </c>
      <c r="B328" s="1766" t="inlineStr">
        <is>
          <t>3-1/2" TUBING 9.2 LB/FT ALLOY 28 TSH BL</t>
        </is>
      </c>
      <c r="C328" s="1767" t="n">
        <v>31</v>
      </c>
      <c r="D328" s="1768">
        <f>C328-0.301</f>
        <v/>
      </c>
      <c r="E328" s="1759">
        <f>E327+D328</f>
        <v/>
      </c>
      <c r="F328" s="1759">
        <f>F327-D327</f>
        <v/>
      </c>
      <c r="G328" s="1760">
        <f>G327-D328</f>
        <v/>
      </c>
      <c r="H328" s="1832" t="n"/>
      <c r="K328" s="1774" t="n"/>
    </row>
    <row r="329" ht="108" customFormat="1" customHeight="1" s="1747">
      <c r="A329" s="1766" t="inlineStr">
        <is>
          <t>JT.#123</t>
        </is>
      </c>
      <c r="B329" s="1766" t="inlineStr">
        <is>
          <t>3-1/2" TUBING 9.2 LB/FT ALLOY 28 TSH BL</t>
        </is>
      </c>
      <c r="C329" s="1767" t="n">
        <v>31</v>
      </c>
      <c r="D329" s="1809">
        <f>C329-0.301</f>
        <v/>
      </c>
      <c r="E329" s="1759">
        <f>E328+D329</f>
        <v/>
      </c>
      <c r="F329" s="1759">
        <f>F328-D328</f>
        <v/>
      </c>
      <c r="G329" s="1760">
        <f>G328-D329</f>
        <v/>
      </c>
      <c r="H329" s="1837" t="n"/>
    </row>
    <row r="330" ht="103.5" customFormat="1" customHeight="1" s="1747">
      <c r="A330" s="1766" t="inlineStr">
        <is>
          <t>JT.#124</t>
        </is>
      </c>
      <c r="B330" s="1766" t="inlineStr">
        <is>
          <t>3-1/2" TUBING 9.2 LB/FT ALLOY 28 TSH BL</t>
        </is>
      </c>
      <c r="C330" s="1767" t="n">
        <v>31</v>
      </c>
      <c r="D330" s="1809">
        <f>C330</f>
        <v/>
      </c>
      <c r="E330" s="1759">
        <f>E329+D330</f>
        <v/>
      </c>
      <c r="F330" s="1759">
        <f>F329-D329</f>
        <v/>
      </c>
      <c r="G330" s="1760">
        <f>G329-D330</f>
        <v/>
      </c>
      <c r="H330" s="1837" t="n"/>
    </row>
    <row r="331" ht="226.5" customFormat="1" customHeight="1" s="1747">
      <c r="A331" s="1766" t="inlineStr">
        <is>
          <t>JT.#125</t>
        </is>
      </c>
      <c r="B331" s="1766" t="inlineStr">
        <is>
          <t>3-1/2" TUBING 9.2 LB/FT ALLOY 28 TSH BL</t>
        </is>
      </c>
      <c r="C331" s="1767" t="n">
        <v>31</v>
      </c>
      <c r="D331" s="1812">
        <f>C331</f>
        <v/>
      </c>
      <c r="E331" s="1759">
        <f>E330+D331</f>
        <v/>
      </c>
      <c r="F331" s="1759">
        <f>F330-D330</f>
        <v/>
      </c>
      <c r="G331" s="1760">
        <f>G330-D331</f>
        <v/>
      </c>
      <c r="H331" s="1822" t="inlineStr">
        <is>
          <t>TARGET @2561'</t>
        </is>
      </c>
    </row>
    <row r="332" ht="131.25" customFormat="1" customHeight="1" s="1747">
      <c r="A332" s="1766" t="inlineStr">
        <is>
          <t>JT.#126</t>
        </is>
      </c>
      <c r="B332" s="1766" t="inlineStr">
        <is>
          <t>3-1/2" TUBING 9.2 LB/FT ALLOY 28 TSH BL</t>
        </is>
      </c>
      <c r="C332" s="1767" t="n">
        <v>31</v>
      </c>
      <c r="D332" s="1812">
        <f>C332</f>
        <v/>
      </c>
      <c r="E332" s="1759">
        <f>E331+D332</f>
        <v/>
      </c>
      <c r="F332" s="1759">
        <f>F331-D331</f>
        <v/>
      </c>
      <c r="G332" s="1760">
        <f>G331-D332</f>
        <v/>
      </c>
      <c r="H332" s="1822" t="n"/>
    </row>
    <row r="333" ht="131.25" customFormat="1" customHeight="1" s="1747">
      <c r="A333" s="1766" t="inlineStr">
        <is>
          <t>JT.#127</t>
        </is>
      </c>
      <c r="B333" s="1766" t="inlineStr">
        <is>
          <t>3-1/2" TUBING 9.2 LB/FT ALLOY 28 TSH BL</t>
        </is>
      </c>
      <c r="C333" s="1767" t="n">
        <v>31</v>
      </c>
      <c r="D333" s="1812">
        <f>C333</f>
        <v/>
      </c>
      <c r="E333" s="1759">
        <f>E332+D333</f>
        <v/>
      </c>
      <c r="F333" s="1759">
        <f>F332-D332</f>
        <v/>
      </c>
      <c r="G333" s="1760">
        <f>G332-D333</f>
        <v/>
      </c>
      <c r="H333" s="1822" t="n"/>
    </row>
    <row r="334" ht="39.75" customFormat="1" customHeight="1" s="1747">
      <c r="A334" s="1766" t="inlineStr">
        <is>
          <t>JT.#128</t>
        </is>
      </c>
      <c r="B334" s="1766" t="inlineStr">
        <is>
          <t>3-1/2" TUBING 9.2 LB/FT ALLOY 28 TSH BL</t>
        </is>
      </c>
      <c r="C334" s="1767" t="n">
        <v>31</v>
      </c>
      <c r="D334" s="1768">
        <f>C334-0.301</f>
        <v/>
      </c>
      <c r="E334" s="1759">
        <f>E333+D334</f>
        <v/>
      </c>
      <c r="F334" s="1759">
        <f>F333-D333</f>
        <v/>
      </c>
      <c r="G334" s="1760">
        <f>G333-D334</f>
        <v/>
      </c>
      <c r="H334" s="1832" t="n"/>
      <c r="K334" s="1774" t="n"/>
    </row>
    <row r="335" ht="39.75" customFormat="1" customHeight="1" s="1747">
      <c r="A335" s="1766" t="inlineStr">
        <is>
          <t>JT.#129</t>
        </is>
      </c>
      <c r="B335" s="1766" t="inlineStr">
        <is>
          <t>3-1/2" TUBING 9.2 LB/FT ALLOY 28 TSH BL</t>
        </is>
      </c>
      <c r="C335" s="1767" t="n">
        <v>31</v>
      </c>
      <c r="D335" s="1768">
        <f>C335-0.301</f>
        <v/>
      </c>
      <c r="E335" s="1759">
        <f>E334+D335</f>
        <v/>
      </c>
      <c r="F335" s="1759">
        <f>F334-D334</f>
        <v/>
      </c>
      <c r="G335" s="1760">
        <f>G334-D335</f>
        <v/>
      </c>
      <c r="H335" s="1832" t="n"/>
      <c r="K335" s="1774" t="n"/>
    </row>
    <row r="336" ht="39.75" customFormat="1" customHeight="1" s="1747">
      <c r="A336" s="1766" t="inlineStr">
        <is>
          <t>JT.#130</t>
        </is>
      </c>
      <c r="B336" s="1766" t="inlineStr">
        <is>
          <t>3-1/2" TUBING 9.2 LB/FT ALLOY 28 TSH BL</t>
        </is>
      </c>
      <c r="C336" s="1767" t="n">
        <v>31</v>
      </c>
      <c r="D336" s="1768">
        <f>C336-0.301</f>
        <v/>
      </c>
      <c r="E336" s="1759">
        <f>E335+D336</f>
        <v/>
      </c>
      <c r="F336" s="1759">
        <f>F335-D335</f>
        <v/>
      </c>
      <c r="G336" s="1760">
        <f>G335-D336</f>
        <v/>
      </c>
      <c r="H336" s="1772" t="inlineStr">
        <is>
          <t>.</t>
        </is>
      </c>
      <c r="K336" s="1774" t="n"/>
    </row>
    <row r="337" ht="39.75" customFormat="1" customHeight="1" s="1747">
      <c r="A337" s="1766" t="inlineStr">
        <is>
          <t>JT.#131</t>
        </is>
      </c>
      <c r="B337" s="1766" t="inlineStr">
        <is>
          <t>3-1/2" TUBING 9.2 LB/FT ALLOY 28 TSH BL</t>
        </is>
      </c>
      <c r="C337" s="1767" t="n">
        <v>31</v>
      </c>
      <c r="D337" s="1768">
        <f>C337-0.301</f>
        <v/>
      </c>
      <c r="E337" s="1759">
        <f>E336+D337</f>
        <v/>
      </c>
      <c r="F337" s="1759">
        <f>F336-D336</f>
        <v/>
      </c>
      <c r="G337" s="1760">
        <f>G336-D337</f>
        <v/>
      </c>
      <c r="H337" s="1789" t="inlineStr">
        <is>
          <t xml:space="preserve">FILL UP STRING </t>
        </is>
      </c>
      <c r="K337" s="1774" t="n"/>
    </row>
    <row r="338" ht="39.75" customFormat="1" customHeight="1" s="1747">
      <c r="A338" s="1766" t="inlineStr">
        <is>
          <t>JT.#132</t>
        </is>
      </c>
      <c r="B338" s="1766" t="inlineStr">
        <is>
          <t>3-1/2" TUBING 9.2 LB/FT ALLOY 28 TSH BL</t>
        </is>
      </c>
      <c r="C338" s="1767" t="n">
        <v>31</v>
      </c>
      <c r="D338" s="1768">
        <f>C338-0.301</f>
        <v/>
      </c>
      <c r="E338" s="1759">
        <f>E337+D338</f>
        <v/>
      </c>
      <c r="F338" s="1759">
        <f>F337-D337</f>
        <v/>
      </c>
      <c r="G338" s="1760">
        <f>G337-D338</f>
        <v/>
      </c>
      <c r="H338" s="1832" t="n"/>
      <c r="K338" s="1774" t="n"/>
    </row>
    <row r="339" ht="39.75" customFormat="1" customHeight="1" s="1747">
      <c r="A339" s="1766" t="inlineStr">
        <is>
          <t>JT.#133</t>
        </is>
      </c>
      <c r="B339" s="1766" t="inlineStr">
        <is>
          <t>3-1/2" TUBING 9.2 LB/FT ALLOY 28 TSH BL</t>
        </is>
      </c>
      <c r="C339" s="1767" t="n">
        <v>31</v>
      </c>
      <c r="D339" s="1768">
        <f>C339-0.301</f>
        <v/>
      </c>
      <c r="E339" s="1759">
        <f>E338+D339</f>
        <v/>
      </c>
      <c r="F339" s="1759">
        <f>F338-D338</f>
        <v/>
      </c>
      <c r="G339" s="1760">
        <f>G338-D339</f>
        <v/>
      </c>
      <c r="H339" s="1808" t="n"/>
      <c r="K339" s="1774" t="n"/>
    </row>
    <row r="340" ht="39.75" customFormat="1" customHeight="1" s="1747">
      <c r="A340" s="1766" t="inlineStr">
        <is>
          <t>JT.#134</t>
        </is>
      </c>
      <c r="B340" s="1766" t="inlineStr">
        <is>
          <t>3-1/2" TUBING 9.2 LB/FT ALLOY 28 TSH BL</t>
        </is>
      </c>
      <c r="C340" s="1767" t="n">
        <v>31</v>
      </c>
      <c r="D340" s="1768">
        <f>C340-0.301</f>
        <v/>
      </c>
      <c r="E340" s="1759">
        <f>E339+D340</f>
        <v/>
      </c>
      <c r="F340" s="1759">
        <f>F339-D339</f>
        <v/>
      </c>
      <c r="G340" s="1760">
        <f>G339-D340</f>
        <v/>
      </c>
      <c r="H340" s="1832" t="n"/>
      <c r="K340" s="1774" t="n"/>
    </row>
    <row r="341" ht="39.75" customFormat="1" customHeight="1" s="1747">
      <c r="A341" s="1766" t="inlineStr">
        <is>
          <t>JT.#135</t>
        </is>
      </c>
      <c r="B341" s="1766" t="inlineStr">
        <is>
          <t>3-1/2" TUBING 9.2 LB/FT ALLOY 28 TSH BL</t>
        </is>
      </c>
      <c r="C341" s="1767" t="n">
        <v>31</v>
      </c>
      <c r="D341" s="1768">
        <f>C341-0.301</f>
        <v/>
      </c>
      <c r="E341" s="1759">
        <f>E340+D341</f>
        <v/>
      </c>
      <c r="F341" s="1759">
        <f>F340-D340</f>
        <v/>
      </c>
      <c r="G341" s="1760">
        <f>G340-D341</f>
        <v/>
      </c>
      <c r="H341" s="1832" t="n"/>
      <c r="K341" s="1774" t="n"/>
    </row>
    <row r="342" ht="39.75" customFormat="1" customHeight="1" s="1747">
      <c r="A342" s="1766" t="inlineStr">
        <is>
          <t>JT.#136</t>
        </is>
      </c>
      <c r="B342" s="1766" t="inlineStr">
        <is>
          <t>3-1/2" TUBING 9.2 LB/FT ALLOY 28 TSH BL</t>
        </is>
      </c>
      <c r="C342" s="1767" t="n">
        <v>31</v>
      </c>
      <c r="D342" s="1768">
        <f>C342-0.301</f>
        <v/>
      </c>
      <c r="E342" s="1759">
        <f>E341+D342</f>
        <v/>
      </c>
      <c r="F342" s="1759">
        <f>F341-D341</f>
        <v/>
      </c>
      <c r="G342" s="1760">
        <f>G341-D342</f>
        <v/>
      </c>
      <c r="H342" s="1832" t="n"/>
      <c r="K342" s="1774" t="n"/>
    </row>
    <row r="343" ht="39.75" customFormat="1" customHeight="1" s="1747">
      <c r="A343" s="1766" t="inlineStr">
        <is>
          <t>JT.#137</t>
        </is>
      </c>
      <c r="B343" s="1766" t="inlineStr">
        <is>
          <t>3-1/2" TUBING 9.2 LB/FT ALLOY 28 TSH BL</t>
        </is>
      </c>
      <c r="C343" s="1767" t="n">
        <v>31</v>
      </c>
      <c r="D343" s="1768">
        <f>C343-0.301</f>
        <v/>
      </c>
      <c r="E343" s="1759">
        <f>E342+D343</f>
        <v/>
      </c>
      <c r="F343" s="1759">
        <f>F342-D342</f>
        <v/>
      </c>
      <c r="G343" s="1760">
        <f>G342-D343</f>
        <v/>
      </c>
      <c r="H343" s="1832" t="n"/>
      <c r="K343" s="1774" t="n"/>
    </row>
    <row r="344" ht="39.75" customFormat="1" customHeight="1" s="1747">
      <c r="A344" s="1766" t="inlineStr">
        <is>
          <t>JT.#138</t>
        </is>
      </c>
      <c r="B344" s="1766" t="inlineStr">
        <is>
          <t>3-1/2" TUBING 9.2 LB/FT ALLOY 28 TSH BL</t>
        </is>
      </c>
      <c r="C344" s="1767" t="n">
        <v>31</v>
      </c>
      <c r="D344" s="1768">
        <f>C344-0.301</f>
        <v/>
      </c>
      <c r="E344" s="1759">
        <f>E343+D344</f>
        <v/>
      </c>
      <c r="F344" s="1759">
        <f>F343-D343</f>
        <v/>
      </c>
      <c r="G344" s="1760">
        <f>G343-D344</f>
        <v/>
      </c>
      <c r="H344" s="1832" t="n"/>
      <c r="K344" s="1774" t="n"/>
    </row>
    <row r="345" ht="39.75" customFormat="1" customHeight="1" s="1747">
      <c r="A345" s="1766" t="inlineStr">
        <is>
          <t>JT.#139</t>
        </is>
      </c>
      <c r="B345" s="1766" t="inlineStr">
        <is>
          <t>3-1/2" TUBING 9.2 LB/FT ALLOY 28 TSH BL</t>
        </is>
      </c>
      <c r="C345" s="1767" t="n">
        <v>31</v>
      </c>
      <c r="D345" s="1768">
        <f>C345-0.301</f>
        <v/>
      </c>
      <c r="E345" s="1759">
        <f>E344+D345</f>
        <v/>
      </c>
      <c r="F345" s="1759">
        <f>F344-D344</f>
        <v/>
      </c>
      <c r="G345" s="1760">
        <f>G344-D345</f>
        <v/>
      </c>
      <c r="H345" s="1841" t="n"/>
      <c r="K345" s="1774" t="n"/>
    </row>
    <row r="346" ht="39.75" customFormat="1" customHeight="1" s="1747">
      <c r="A346" s="1766" t="inlineStr">
        <is>
          <t>JT.#140</t>
        </is>
      </c>
      <c r="B346" s="1766" t="inlineStr">
        <is>
          <t>3-1/2" TUBING 9.2 LB/FT ALLOY 28 TSH BL</t>
        </is>
      </c>
      <c r="C346" s="1767" t="n">
        <v>31</v>
      </c>
      <c r="D346" s="1768">
        <f>C346-0.301</f>
        <v/>
      </c>
      <c r="E346" s="1759">
        <f>E345+D346</f>
        <v/>
      </c>
      <c r="F346" s="1759">
        <f>F345-D345</f>
        <v/>
      </c>
      <c r="G346" s="1760">
        <f>G345-D346</f>
        <v/>
      </c>
      <c r="H346" s="1772" t="inlineStr">
        <is>
          <t>.</t>
        </is>
      </c>
      <c r="K346" s="1774" t="n"/>
    </row>
    <row r="347" ht="39.75" customFormat="1" customHeight="1" s="1747">
      <c r="A347" s="1766" t="inlineStr">
        <is>
          <t>JT.#141</t>
        </is>
      </c>
      <c r="B347" s="1766" t="inlineStr">
        <is>
          <t>3-1/2" TUBING 9.2 LB/FT ALLOY 28 TSH BL</t>
        </is>
      </c>
      <c r="C347" s="1767" t="n">
        <v>31</v>
      </c>
      <c r="D347" s="1768">
        <f>C347-0.301</f>
        <v/>
      </c>
      <c r="E347" s="1759">
        <f>E346+D347</f>
        <v/>
      </c>
      <c r="F347" s="1759">
        <f>F346-D346</f>
        <v/>
      </c>
      <c r="G347" s="1760">
        <f>G346-D347</f>
        <v/>
      </c>
      <c r="H347" s="1789" t="inlineStr">
        <is>
          <t xml:space="preserve">FILL UP STRING </t>
        </is>
      </c>
      <c r="K347" s="1774" t="n"/>
    </row>
    <row r="348" ht="39.75" customFormat="1" customHeight="1" s="1747">
      <c r="A348" s="1766" t="inlineStr">
        <is>
          <t>JT.#142</t>
        </is>
      </c>
      <c r="B348" s="1766" t="inlineStr">
        <is>
          <t>3-1/2" TUBING 9.2 LB/FT ALLOY 28 TSH BL</t>
        </is>
      </c>
      <c r="C348" s="1767" t="n">
        <v>31</v>
      </c>
      <c r="D348" s="1768">
        <f>C348-0.301</f>
        <v/>
      </c>
      <c r="E348" s="1759">
        <f>E347+D348</f>
        <v/>
      </c>
      <c r="F348" s="1759">
        <f>F347-D347</f>
        <v/>
      </c>
      <c r="G348" s="1760">
        <f>G347-D348</f>
        <v/>
      </c>
      <c r="H348" s="1832" t="n"/>
      <c r="K348" s="1774" t="n"/>
    </row>
    <row r="349" ht="39.75" customFormat="1" customHeight="1" s="1747">
      <c r="A349" s="1766" t="inlineStr">
        <is>
          <t>JT.#143</t>
        </is>
      </c>
      <c r="B349" s="1766" t="inlineStr">
        <is>
          <t>3-1/2" TUBING 9.2 LB/FT ALLOY 28 TSH BL</t>
        </is>
      </c>
      <c r="C349" s="1767" t="n">
        <v>31</v>
      </c>
      <c r="D349" s="1768">
        <f>C349-0.301</f>
        <v/>
      </c>
      <c r="E349" s="1759">
        <f>E348+D349</f>
        <v/>
      </c>
      <c r="F349" s="1759">
        <f>F348-D348</f>
        <v/>
      </c>
      <c r="G349" s="1760">
        <f>G348-D349</f>
        <v/>
      </c>
      <c r="H349" s="1808" t="n"/>
      <c r="K349" s="1774" t="n"/>
    </row>
    <row r="350" ht="39.75" customFormat="1" customHeight="1" s="1747">
      <c r="A350" s="1766" t="inlineStr">
        <is>
          <t>JT.#144</t>
        </is>
      </c>
      <c r="B350" s="1766" t="inlineStr">
        <is>
          <t>3-1/2" TUBING 9.2 LB/FT ALLOY 28 TSH BL</t>
        </is>
      </c>
      <c r="C350" s="1767" t="n">
        <v>31</v>
      </c>
      <c r="D350" s="1768">
        <f>C350-0.301</f>
        <v/>
      </c>
      <c r="E350" s="1759">
        <f>E349+D350</f>
        <v/>
      </c>
      <c r="F350" s="1759">
        <f>F349-D349</f>
        <v/>
      </c>
      <c r="G350" s="1760">
        <f>G349-D350</f>
        <v/>
      </c>
      <c r="H350" s="1832" t="n"/>
      <c r="K350" s="1774" t="n"/>
    </row>
    <row r="351" ht="39.75" customFormat="1" customHeight="1" s="1747">
      <c r="A351" s="1766" t="inlineStr">
        <is>
          <t>JT.#145</t>
        </is>
      </c>
      <c r="B351" s="1766" t="inlineStr">
        <is>
          <t>3-1/2" TUBING 9.2 LB/FT ALLOY 28 TSH BL</t>
        </is>
      </c>
      <c r="C351" s="1767" t="n">
        <v>31</v>
      </c>
      <c r="D351" s="1768">
        <f>C351-0.301</f>
        <v/>
      </c>
      <c r="E351" s="1759">
        <f>E350+D351</f>
        <v/>
      </c>
      <c r="F351" s="1759">
        <f>F350-D350</f>
        <v/>
      </c>
      <c r="G351" s="1760">
        <f>G350-D351</f>
        <v/>
      </c>
      <c r="H351" s="1832" t="n"/>
      <c r="K351" s="1774" t="n"/>
    </row>
    <row r="352" ht="39.75" customFormat="1" customHeight="1" s="1747">
      <c r="A352" s="1842" t="inlineStr">
        <is>
          <t>B</t>
        </is>
      </c>
      <c r="B352" s="1843" t="inlineStr">
        <is>
          <t>UPPER CONN. 3-1/2" VAM TOP BOX 9.2 PPF SN 28 110 KSI
DESCRIPTION: 5 FEET XOVER
SAP: 130005011340
SUPPLIER: TENARIS
LOWER CONN. 3-1/2" TSH BLUE PIN 9.2 PPF SN 28 110 KSI</t>
        </is>
      </c>
      <c r="C352" s="1844" t="n">
        <v>5.18</v>
      </c>
      <c r="D352" s="1768">
        <f>C352-0.301</f>
        <v/>
      </c>
      <c r="E352" s="1759">
        <f>E351+D352</f>
        <v/>
      </c>
      <c r="F352" s="1759">
        <f>F351-D351</f>
        <v/>
      </c>
      <c r="G352" s="1760">
        <f>G351-D352</f>
        <v/>
      </c>
      <c r="H352" s="1832" t="n"/>
      <c r="K352" s="1774" t="n"/>
    </row>
    <row r="353" ht="39.75" customFormat="1" customHeight="1" s="1747">
      <c r="A353" s="1778" t="n"/>
      <c r="B353" s="1843" t="inlineStr">
        <is>
          <t>UPPER CONN. 3-1/2" SENTINEL PRIME BOX 9.2 PPF TX28-110 KSI
DESCRIPTION: 5 FEET XOVER
SAP: 130013006385
SUPPLIER: TBX
LOWER CONN. 3-1/2" VAM TOP PIN 9.2 PPF TX28- 110 KSI</t>
        </is>
      </c>
      <c r="C353" s="1844" t="n">
        <v>4.91</v>
      </c>
      <c r="D353" s="1768">
        <f>C353-0.301</f>
        <v/>
      </c>
      <c r="E353" s="1759">
        <f>E352+D353</f>
        <v/>
      </c>
      <c r="F353" s="1759">
        <f>F352-D352</f>
        <v/>
      </c>
      <c r="G353" s="1760">
        <f>G352-D353</f>
        <v/>
      </c>
      <c r="H353" s="1832" t="n"/>
      <c r="K353" s="1774" t="n"/>
    </row>
    <row r="354" ht="39.75" customFormat="1" customHeight="1" s="1747">
      <c r="A354" s="1778" t="n"/>
      <c r="B354" s="1843" t="inlineStr">
        <is>
          <t>UPPER CONN. 3-1/2" SENTINEL PRIME 9.2#PPF INC 925 BOX
DESCRIPTION: NINE ENERGY MULTICYCLE BARRIER DEVICE
7 CYCLES REMAINING
P/N: 3207251
S/N: 100 086 877
SAP: 130010036003 SUPPLIER: NINE ENERGY
LOWER CONN- 3 1/2 9.2 SENTINEL PRIME 9.2 PPF INC 925 PIN</t>
        </is>
      </c>
      <c r="C354" s="1844" t="n">
        <v>5.22</v>
      </c>
      <c r="D354" s="1768">
        <f>C354-0.301</f>
        <v/>
      </c>
      <c r="E354" s="1759">
        <f>E353+D354</f>
        <v/>
      </c>
      <c r="F354" s="1759">
        <f>F353-D353</f>
        <v/>
      </c>
      <c r="G354" s="1760">
        <f>G353-D354</f>
        <v/>
      </c>
      <c r="H354" s="1832" t="n"/>
      <c r="K354" s="1774" t="n"/>
    </row>
    <row r="355" ht="39.75" customFormat="1" customHeight="1" s="1747">
      <c r="A355" s="1778" t="n"/>
      <c r="B355" s="1843" t="inlineStr">
        <is>
          <t>UPPER CONN. 3-1/2" VAM TOP BOX 9.2 PPF TX28- 110 KSI
DESCRIPTION: 5 FEET XOVER
SAP: 130013006383
SUPPLIER: TBX
LOWER CONN -3-1/2" SENTINEL PRIME PIN 9.2 PPF TX28-110 KSI</t>
        </is>
      </c>
      <c r="C355" s="1844" t="n">
        <v>4.8</v>
      </c>
      <c r="D355" s="1768">
        <f>C355-0.301</f>
        <v/>
      </c>
      <c r="E355" s="1759">
        <f>E354+D355</f>
        <v/>
      </c>
      <c r="F355" s="1759">
        <f>F354-D354</f>
        <v/>
      </c>
      <c r="G355" s="1760">
        <f>G354-D355</f>
        <v/>
      </c>
      <c r="H355" s="1832" t="n"/>
      <c r="K355" s="1774" t="n"/>
    </row>
    <row r="356" ht="39.75" customFormat="1" customHeight="1" s="1747">
      <c r="A356" s="1450" t="n"/>
      <c r="B356" s="1843" t="inlineStr">
        <is>
          <t>UPPER CONN. 3-1/2" TSH BLUE BOX 9.2 PPF SN 28 110 KSI
DESCRIPTION: 10 FEET XOVER
SAP: 130005011444
SUPPLIER: TENARIS
LOWER CONN. 3-1/2" VAM TOP PIN 9.2 PPF SN 28 110 KSI</t>
        </is>
      </c>
      <c r="C356" s="1844" t="n">
        <v>9.83</v>
      </c>
      <c r="D356" s="1768">
        <f>C356-0.301</f>
        <v/>
      </c>
      <c r="E356" s="1759">
        <f>E355+D356</f>
        <v/>
      </c>
      <c r="F356" s="1759">
        <f>F355-D355</f>
        <v/>
      </c>
      <c r="G356" s="1760">
        <f>G355-D356</f>
        <v/>
      </c>
      <c r="H356" s="1772" t="inlineStr">
        <is>
          <t>.</t>
        </is>
      </c>
      <c r="K356" s="1774" t="n"/>
    </row>
    <row r="357" ht="39.75" customFormat="1" customHeight="1" s="1747">
      <c r="A357" s="1766" t="inlineStr">
        <is>
          <t>JT.#146</t>
        </is>
      </c>
      <c r="B357" s="1766" t="inlineStr">
        <is>
          <t>3-1/2" TUBING 9.2 LB/FT ALLOY 28 TSH BL</t>
        </is>
      </c>
      <c r="C357" s="1767" t="n">
        <v>31</v>
      </c>
      <c r="D357" s="1768">
        <f>C357-0.301</f>
        <v/>
      </c>
      <c r="E357" s="1759">
        <f>E356+D357</f>
        <v/>
      </c>
      <c r="F357" s="1759">
        <f>F356-D356</f>
        <v/>
      </c>
      <c r="G357" s="1760">
        <f>G356-D357</f>
        <v/>
      </c>
      <c r="H357" s="1789" t="inlineStr">
        <is>
          <t xml:space="preserve">FILL UP STRING </t>
        </is>
      </c>
      <c r="K357" s="1774" t="n"/>
    </row>
    <row r="358" ht="39.75" customFormat="1" customHeight="1" s="1747">
      <c r="A358" s="1766" t="inlineStr">
        <is>
          <t>JT.#147</t>
        </is>
      </c>
      <c r="B358" s="1766" t="inlineStr">
        <is>
          <t>3-1/2" TUBING 9.2 LB/FT ALLOY 28 TSH BL</t>
        </is>
      </c>
      <c r="C358" s="1767" t="n">
        <v>31</v>
      </c>
      <c r="D358" s="1768">
        <f>C358-0.301</f>
        <v/>
      </c>
      <c r="E358" s="1759">
        <f>E357+D358</f>
        <v/>
      </c>
      <c r="F358" s="1759">
        <f>F357-D357</f>
        <v/>
      </c>
      <c r="G358" s="1760">
        <f>G357-D358</f>
        <v/>
      </c>
      <c r="H358" s="1832" t="n"/>
      <c r="K358" s="1774" t="n"/>
    </row>
    <row r="359" ht="39.75" customFormat="1" customHeight="1" s="1747">
      <c r="A359" s="1845" t="inlineStr">
        <is>
          <t>C</t>
        </is>
      </c>
      <c r="B359" s="1846" t="inlineStr">
        <is>
          <t>UPPER CONN. 3-1/2" VAM TOP BOX 9.2 PPF SN 28 110 KSI
DESCRIPTION: 5 FEET XOVER
SAP: 130005011340
SUPPLIER: TENARIS
LOWER CONN. 3-1/2" TSH BLUE PIN 9.2 PPF SN 28 110 KSI</t>
        </is>
      </c>
      <c r="C359" s="1847" t="n">
        <v>5.16</v>
      </c>
      <c r="D359" s="1768">
        <f>C359-0.301</f>
        <v/>
      </c>
      <c r="E359" s="1759">
        <f>E358+D359</f>
        <v/>
      </c>
      <c r="F359" s="1759">
        <f>F358-D358</f>
        <v/>
      </c>
      <c r="G359" s="1760">
        <f>G358-D359</f>
        <v/>
      </c>
      <c r="H359" s="1808" t="n"/>
      <c r="K359" s="1774" t="n"/>
    </row>
    <row r="360" ht="39.75" customFormat="1" customHeight="1" s="1747">
      <c r="A360" s="1778" t="n"/>
      <c r="B360" s="1846" t="inlineStr">
        <is>
          <t>UPPER CONN. 3-1/2" VAM TOP 9.2#PPF INC 925 KSI BOX
DESCRIPTION: 2.750 WXN Nipple
PN: 2963809
S/N :12527047-08
SAP: 130010036868
SUPPLIER: WEATHERFORD
LOWER CONN.3-1/2" VAM TOP 9.2#PPF INC 925KSI PIN</t>
        </is>
      </c>
      <c r="C360" s="1847" t="n">
        <v>1.15</v>
      </c>
      <c r="D360" s="1768">
        <f>C360-0.301</f>
        <v/>
      </c>
      <c r="E360" s="1759">
        <f>E359+D360</f>
        <v/>
      </c>
      <c r="F360" s="1759">
        <f>F359-D359</f>
        <v/>
      </c>
      <c r="G360" s="1760">
        <f>G359-D360</f>
        <v/>
      </c>
      <c r="H360" s="1832" t="n"/>
      <c r="K360" s="1774" t="n"/>
    </row>
    <row r="361" ht="39.75" customFormat="1" customHeight="1" s="1747">
      <c r="A361" s="1778" t="n"/>
      <c r="B361" s="1846" t="inlineStr">
        <is>
          <t>UPPER CONN. 3-1/2" VAM TOP 9.2#PPF SM 2535 BOX
DESCRIPTION: 5 FEET PUP JOINT
SAP: 130005002758
SUPPLIER: VAM
LOWER CONN. 3-1/2" VAM TOP 9.2#PPF SM 2535 PIN</t>
        </is>
      </c>
      <c r="C361" s="1847" t="n">
        <v>4.92</v>
      </c>
      <c r="D361" s="1768">
        <f>C361-0.301</f>
        <v/>
      </c>
      <c r="E361" s="1759">
        <f>E360+D361</f>
        <v/>
      </c>
      <c r="F361" s="1759">
        <f>F360-D360</f>
        <v/>
      </c>
      <c r="G361" s="1760">
        <f>G360-D361</f>
        <v/>
      </c>
      <c r="H361" s="1832" t="n"/>
      <c r="K361" s="1774" t="n"/>
    </row>
    <row r="362" ht="39.75" customFormat="1" customHeight="1" s="1747">
      <c r="A362" s="1778" t="n"/>
      <c r="B362" s="1846" t="inlineStr">
        <is>
          <t>UPPER CONN. 3-1/2" VAM TOP 9.2#PPF SM2535 BOX
DESCRIPTION: 10 FEET PUP JOINT
SAP: 130013000213
SUPPLIER: VAM
LOWER CONN. 3-1/2" VAM TOP 9.2#PPF SM2535 PIN</t>
        </is>
      </c>
      <c r="C362" s="1847" t="n">
        <v>9.92</v>
      </c>
      <c r="D362" s="1768">
        <f>C362-0.301</f>
        <v/>
      </c>
      <c r="E362" s="1759">
        <f>E361+D362</f>
        <v/>
      </c>
      <c r="F362" s="1759">
        <f>F361-D361</f>
        <v/>
      </c>
      <c r="G362" s="1760">
        <f>G361-D362</f>
        <v/>
      </c>
      <c r="H362" s="1832" t="n"/>
      <c r="K362" s="1774" t="n"/>
    </row>
    <row r="363" ht="39.75" customFormat="1" customHeight="1" s="1747">
      <c r="A363" s="1778" t="n"/>
      <c r="B363" s="184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847" t="n">
        <v>9.710000000000001</v>
      </c>
      <c r="D363" s="1768">
        <f>C363-0.301</f>
        <v/>
      </c>
      <c r="E363" s="1759">
        <f>E362+D363</f>
        <v/>
      </c>
      <c r="F363" s="1759">
        <f>F362-D362</f>
        <v/>
      </c>
      <c r="G363" s="1760">
        <f>G362-D363</f>
        <v/>
      </c>
      <c r="H363" s="1832" t="n"/>
      <c r="K363" s="1774" t="n"/>
    </row>
    <row r="364" ht="39.75" customFormat="1" customHeight="1" s="1747">
      <c r="A364" s="1450" t="n"/>
      <c r="B364" s="1846" t="inlineStr">
        <is>
          <t>UPPER CONN. 3-1/2" TSH BLUE BOX 9.2 PPF SN 28 110 KSI
DESCRIPTION: 5 FEET XOVER
SAP: 130005011444
SUPPLIER: TENARIS
LOWER CONN. 3-1/2" VAM TOP PIN 9.2 PPF SN 28 110 KSI</t>
        </is>
      </c>
      <c r="C364" s="1847" t="n">
        <v>4.99</v>
      </c>
      <c r="D364" s="1768">
        <f>C364-0.301</f>
        <v/>
      </c>
      <c r="E364" s="1759">
        <f>E363+D364</f>
        <v/>
      </c>
      <c r="F364" s="1759">
        <f>F363-D363</f>
        <v/>
      </c>
      <c r="G364" s="1760">
        <f>G363-D364</f>
        <v/>
      </c>
      <c r="H364" s="1832" t="n"/>
      <c r="K364" s="1774" t="n"/>
    </row>
    <row r="365" ht="39.75" customFormat="1" customHeight="1" s="1747">
      <c r="A365" s="1766" t="inlineStr">
        <is>
          <t>JT.#148</t>
        </is>
      </c>
      <c r="B365" s="1766" t="inlineStr">
        <is>
          <t>3-1/2" TUBING 9.2 LB/FT ALLOY 28 TSH BL</t>
        </is>
      </c>
      <c r="C365" s="1767" t="n">
        <v>31</v>
      </c>
      <c r="D365" s="1768">
        <f>C365-0.301</f>
        <v/>
      </c>
      <c r="E365" s="1759">
        <f>E364+D365</f>
        <v/>
      </c>
      <c r="F365" s="1759">
        <f>F364-D364</f>
        <v/>
      </c>
      <c r="G365" s="1760">
        <f>G364-D365</f>
        <v/>
      </c>
      <c r="H365" s="1832" t="n"/>
      <c r="K365" s="1774" t="n"/>
    </row>
    <row r="366" ht="39.75" customFormat="1" customHeight="1" s="1747">
      <c r="A366" s="1766" t="inlineStr">
        <is>
          <t>JT.#149</t>
        </is>
      </c>
      <c r="B366" s="1766" t="inlineStr">
        <is>
          <t>3-1/2" TUBING 9.2 LB/FT ALLOY 28 TSH BL</t>
        </is>
      </c>
      <c r="C366" s="1767" t="n">
        <v>31</v>
      </c>
      <c r="D366" s="1768">
        <f>C366-0.301</f>
        <v/>
      </c>
      <c r="E366" s="1759">
        <f>E365+D366</f>
        <v/>
      </c>
      <c r="F366" s="1759">
        <f>F365-D365</f>
        <v/>
      </c>
      <c r="G366" s="1760">
        <f>G365-D366</f>
        <v/>
      </c>
      <c r="H366" s="1772" t="inlineStr">
        <is>
          <t>.</t>
        </is>
      </c>
      <c r="K366" s="1774" t="n"/>
    </row>
    <row r="367" ht="39.75" customFormat="1" customHeight="1" s="1747">
      <c r="A367" s="1766" t="inlineStr">
        <is>
          <t>JT.#150</t>
        </is>
      </c>
      <c r="B367" s="1766" t="inlineStr">
        <is>
          <t>3-1/2" TUBING 9.2 LB/FT ALLOY 28 TSH BL</t>
        </is>
      </c>
      <c r="C367" s="1767" t="n">
        <v>31</v>
      </c>
      <c r="D367" s="1768">
        <f>C367-0.301</f>
        <v/>
      </c>
      <c r="E367" s="1759">
        <f>E366+D367</f>
        <v/>
      </c>
      <c r="F367" s="1759">
        <f>F366-D366</f>
        <v/>
      </c>
      <c r="G367" s="1760">
        <f>G366-D367</f>
        <v/>
      </c>
      <c r="H367" s="1789" t="inlineStr">
        <is>
          <t xml:space="preserve">FILL UP STRING </t>
        </is>
      </c>
      <c r="K367" s="1774" t="n"/>
    </row>
    <row r="368" ht="39.75" customFormat="1" customHeight="1" s="1747">
      <c r="A368" s="1766" t="inlineStr">
        <is>
          <t>JT.#151</t>
        </is>
      </c>
      <c r="B368" s="1766" t="inlineStr">
        <is>
          <t>3-1/2" TUBING 9.2 LB/FT ALLOY 28 TSH BL</t>
        </is>
      </c>
      <c r="C368" s="1767" t="n">
        <v>31</v>
      </c>
      <c r="D368" s="1768">
        <f>C368-0.301</f>
        <v/>
      </c>
      <c r="E368" s="1759">
        <f>E367+D368</f>
        <v/>
      </c>
      <c r="F368" s="1759">
        <f>F367-D367</f>
        <v/>
      </c>
      <c r="G368" s="1760">
        <f>G367-D368</f>
        <v/>
      </c>
      <c r="H368" s="1832" t="n"/>
      <c r="K368" s="1774" t="n"/>
    </row>
    <row r="369" ht="39.75" customFormat="1" customHeight="1" s="1747">
      <c r="A369" s="1766" t="inlineStr">
        <is>
          <t>JT.#152</t>
        </is>
      </c>
      <c r="B369" s="1766" t="inlineStr">
        <is>
          <t>3-1/2" TUBING 9.2 LB/FT ALLOY 28 TSH BL</t>
        </is>
      </c>
      <c r="C369" s="1767" t="n">
        <v>31</v>
      </c>
      <c r="D369" s="1768">
        <f>C369-0.301</f>
        <v/>
      </c>
      <c r="E369" s="1759">
        <f>E368+D369</f>
        <v/>
      </c>
      <c r="F369" s="1759">
        <f>F368-D368</f>
        <v/>
      </c>
      <c r="G369" s="1760">
        <f>G368-D369</f>
        <v/>
      </c>
      <c r="H369" s="1808" t="n"/>
      <c r="K369" s="1774" t="n"/>
    </row>
    <row r="370" ht="39.75" customFormat="1" customHeight="1" s="1747">
      <c r="A370" s="1766" t="inlineStr">
        <is>
          <t>JT.#153</t>
        </is>
      </c>
      <c r="B370" s="1766" t="inlineStr">
        <is>
          <t>3-1/2" TUBING 9.2 LB/FT ALLOY 28 TSH BL</t>
        </is>
      </c>
      <c r="C370" s="1767" t="n">
        <v>31</v>
      </c>
      <c r="D370" s="1768">
        <f>C370-0.301</f>
        <v/>
      </c>
      <c r="E370" s="1759">
        <f>E369+D370</f>
        <v/>
      </c>
      <c r="F370" s="1759">
        <f>F369-D369</f>
        <v/>
      </c>
      <c r="G370" s="1760">
        <f>G369-D370</f>
        <v/>
      </c>
      <c r="H370" s="1832" t="n"/>
      <c r="K370" s="1774" t="n"/>
    </row>
    <row r="371" ht="39.75" customFormat="1" customHeight="1" s="1747">
      <c r="A371" s="1766" t="inlineStr">
        <is>
          <t>JT.#154</t>
        </is>
      </c>
      <c r="B371" s="1766" t="inlineStr">
        <is>
          <t>3-1/2" TUBING 9.2 LB/FT ALLOY 28 TSH BL</t>
        </is>
      </c>
      <c r="C371" s="1767" t="n">
        <v>31</v>
      </c>
      <c r="D371" s="1768">
        <f>C371-0.301</f>
        <v/>
      </c>
      <c r="E371" s="1759">
        <f>E370+D371</f>
        <v/>
      </c>
      <c r="F371" s="1759">
        <f>F370-D370</f>
        <v/>
      </c>
      <c r="G371" s="1760">
        <f>G370-D371</f>
        <v/>
      </c>
      <c r="H371" s="1832" t="n"/>
      <c r="K371" s="1774" t="n"/>
    </row>
    <row r="372" ht="39.75" customFormat="1" customHeight="1" s="1747">
      <c r="A372" s="1766" t="inlineStr">
        <is>
          <t>JT.#155</t>
        </is>
      </c>
      <c r="B372" s="1766" t="inlineStr">
        <is>
          <t>3-1/2" TUBING 9.2 LB/FT ALLOY 28 TSH BL</t>
        </is>
      </c>
      <c r="C372" s="1767" t="n">
        <v>31</v>
      </c>
      <c r="D372" s="1768">
        <f>C372-0.301</f>
        <v/>
      </c>
      <c r="E372" s="1759">
        <f>E371+D372</f>
        <v/>
      </c>
      <c r="F372" s="1759">
        <f>F371-D371</f>
        <v/>
      </c>
      <c r="G372" s="1760">
        <f>G371-D372</f>
        <v/>
      </c>
      <c r="H372" s="1832" t="n"/>
      <c r="K372" s="1774" t="n"/>
    </row>
    <row r="373" ht="39.75" customFormat="1" customHeight="1" s="1747">
      <c r="A373" s="1766" t="inlineStr">
        <is>
          <t>JT.#156</t>
        </is>
      </c>
      <c r="B373" s="1766" t="inlineStr">
        <is>
          <t>3-1/2" TUBING 9.2 LB/FT ALLOY 28 TSH BL</t>
        </is>
      </c>
      <c r="C373" s="1767" t="n">
        <v>31</v>
      </c>
      <c r="D373" s="1768">
        <f>C373-0.301</f>
        <v/>
      </c>
      <c r="E373" s="1759">
        <f>E372+D373</f>
        <v/>
      </c>
      <c r="F373" s="1759">
        <f>F372-D372</f>
        <v/>
      </c>
      <c r="G373" s="1760">
        <f>G372-D373</f>
        <v/>
      </c>
      <c r="H373" s="1832" t="n"/>
      <c r="K373" s="1774" t="n"/>
    </row>
    <row r="374" ht="39.75" customFormat="1" customHeight="1" s="1747">
      <c r="A374" s="1766" t="inlineStr">
        <is>
          <t>JT.#157</t>
        </is>
      </c>
      <c r="B374" s="1766" t="inlineStr">
        <is>
          <t>3-1/2" TUBING 9.2 LB/FT ALLOY 28 TSH BL</t>
        </is>
      </c>
      <c r="C374" s="1767" t="n">
        <v>31</v>
      </c>
      <c r="D374" s="1768">
        <f>C374-0.301</f>
        <v/>
      </c>
      <c r="E374" s="1759">
        <f>E373+D374</f>
        <v/>
      </c>
      <c r="F374" s="1759">
        <f>F373-D373</f>
        <v/>
      </c>
      <c r="G374" s="1760">
        <f>G373-D374</f>
        <v/>
      </c>
      <c r="H374" s="1832" t="n"/>
      <c r="K374" s="1774" t="n"/>
    </row>
    <row r="375" ht="39.75" customFormat="1" customHeight="1" s="1747">
      <c r="A375" s="1766" t="inlineStr">
        <is>
          <t>JT.#158</t>
        </is>
      </c>
      <c r="B375" s="1766" t="inlineStr">
        <is>
          <t>3-1/2" TUBING 9.2 LB/FT ALLOY 28 TSH BL</t>
        </is>
      </c>
      <c r="C375" s="1767" t="n">
        <v>31</v>
      </c>
      <c r="D375" s="1768">
        <f>C375-0.301</f>
        <v/>
      </c>
      <c r="E375" s="1759">
        <f>E374+D375</f>
        <v/>
      </c>
      <c r="F375" s="1759">
        <f>F374-D374</f>
        <v/>
      </c>
      <c r="G375" s="1760">
        <f>G374-D375</f>
        <v/>
      </c>
      <c r="H375" s="1832" t="n"/>
      <c r="K375" s="1774" t="n"/>
    </row>
    <row r="376" ht="39.75" customFormat="1" customHeight="1" s="1747">
      <c r="A376" s="1766" t="inlineStr">
        <is>
          <t>JT.#159</t>
        </is>
      </c>
      <c r="B376" s="1766" t="inlineStr">
        <is>
          <t>3-1/2" TUBING 9.2 LB/FT ALLOY 28 TSH BL</t>
        </is>
      </c>
      <c r="C376" s="1767" t="n">
        <v>31</v>
      </c>
      <c r="D376" s="1768">
        <f>C376-0.301</f>
        <v/>
      </c>
      <c r="E376" s="1759">
        <f>E375+D376</f>
        <v/>
      </c>
      <c r="F376" s="1759">
        <f>F375-D375</f>
        <v/>
      </c>
      <c r="G376" s="1760">
        <f>G375-D376</f>
        <v/>
      </c>
      <c r="H376" s="1772" t="inlineStr">
        <is>
          <t>.</t>
        </is>
      </c>
      <c r="K376" s="1774" t="n"/>
    </row>
    <row r="377" ht="39.75" customFormat="1" customHeight="1" s="1747">
      <c r="A377" s="1766" t="inlineStr">
        <is>
          <t>JT.#160</t>
        </is>
      </c>
      <c r="B377" s="1766" t="inlineStr">
        <is>
          <t>3-1/2" TUBING 9.2 LB/FT ALLOY 28 TSH BL</t>
        </is>
      </c>
      <c r="C377" s="1767" t="n">
        <v>31</v>
      </c>
      <c r="D377" s="1768">
        <f>C377-0.301</f>
        <v/>
      </c>
      <c r="E377" s="1759">
        <f>E376+D377</f>
        <v/>
      </c>
      <c r="F377" s="1759">
        <f>F376-D376</f>
        <v/>
      </c>
      <c r="G377" s="1760">
        <f>G376-D377</f>
        <v/>
      </c>
      <c r="H377" s="1789" t="inlineStr">
        <is>
          <t xml:space="preserve">FILL UP STRING </t>
        </is>
      </c>
      <c r="K377" s="1774" t="n"/>
    </row>
    <row r="378" ht="39.75" customFormat="1" customHeight="1" s="1747">
      <c r="A378" s="1766" t="inlineStr">
        <is>
          <t>JT.#161</t>
        </is>
      </c>
      <c r="B378" s="1766" t="inlineStr">
        <is>
          <t>3-1/2" TUBING 9.2 LB/FT ALLOY 28 TSH BL</t>
        </is>
      </c>
      <c r="C378" s="1767" t="n">
        <v>31</v>
      </c>
      <c r="D378" s="1768">
        <f>C378-0.301</f>
        <v/>
      </c>
      <c r="E378" s="1759">
        <f>E377+D378</f>
        <v/>
      </c>
      <c r="F378" s="1759">
        <f>F377-D377</f>
        <v/>
      </c>
      <c r="G378" s="1760">
        <f>G377-D378</f>
        <v/>
      </c>
      <c r="H378" s="1832" t="n"/>
      <c r="K378" s="1774" t="n"/>
    </row>
    <row r="379" ht="39.75" customFormat="1" customHeight="1" s="1747">
      <c r="A379" s="1766" t="inlineStr">
        <is>
          <t>JT.#162</t>
        </is>
      </c>
      <c r="B379" s="1766" t="inlineStr">
        <is>
          <t>3-1/2" TUBING 9.2 LB/FT ALLOY 28 TSH BL</t>
        </is>
      </c>
      <c r="C379" s="1767" t="n">
        <v>31</v>
      </c>
      <c r="D379" s="1768">
        <f>C379-0.301</f>
        <v/>
      </c>
      <c r="E379" s="1759">
        <f>E378+D379</f>
        <v/>
      </c>
      <c r="F379" s="1759">
        <f>F378-D378</f>
        <v/>
      </c>
      <c r="G379" s="1760">
        <f>G378-D379</f>
        <v/>
      </c>
      <c r="H379" s="1832" t="n"/>
      <c r="K379" s="1774" t="n"/>
    </row>
    <row r="380" ht="39.75" customFormat="1" customHeight="1" s="1747">
      <c r="A380" s="1766" t="inlineStr">
        <is>
          <t>JT.#163</t>
        </is>
      </c>
      <c r="B380" s="1766" t="inlineStr">
        <is>
          <t>3-1/2" TUBING 9.2 LB/FT ALLOY 28 TSH BL</t>
        </is>
      </c>
      <c r="C380" s="1767" t="n">
        <v>31</v>
      </c>
      <c r="D380" s="1768">
        <f>C380-0.301</f>
        <v/>
      </c>
      <c r="E380" s="1759">
        <f>E379+D380</f>
        <v/>
      </c>
      <c r="F380" s="1759">
        <f>F379-D379</f>
        <v/>
      </c>
      <c r="G380" s="1760">
        <f>G379-D380</f>
        <v/>
      </c>
      <c r="H380" s="1832" t="n"/>
      <c r="K380" s="1774" t="n"/>
    </row>
    <row r="381" ht="39.75" customFormat="1" customHeight="1" s="1747">
      <c r="A381" s="1766" t="inlineStr">
        <is>
          <t>JT.#164</t>
        </is>
      </c>
      <c r="B381" s="1766" t="inlineStr">
        <is>
          <t>3-1/2" TUBING 9.2 LB/FT ALLOY 28 TSH BL</t>
        </is>
      </c>
      <c r="C381" s="1767" t="n">
        <v>31</v>
      </c>
      <c r="D381" s="1768">
        <f>C381-0.301</f>
        <v/>
      </c>
      <c r="E381" s="1759">
        <f>E380+D381</f>
        <v/>
      </c>
      <c r="F381" s="1759">
        <f>F380-D380</f>
        <v/>
      </c>
      <c r="G381" s="1760">
        <f>G380-D381</f>
        <v/>
      </c>
      <c r="H381" s="1832" t="n"/>
      <c r="K381" s="1774" t="n"/>
    </row>
    <row r="382" ht="39.75" customFormat="1" customHeight="1" s="1747">
      <c r="A382" s="1766" t="inlineStr">
        <is>
          <t>JT.#165</t>
        </is>
      </c>
      <c r="B382" s="1766" t="inlineStr">
        <is>
          <t>3-1/2" TUBING 9.2 LB/FT ALLOY 28 TSH BL</t>
        </is>
      </c>
      <c r="C382" s="1767" t="n">
        <v>31</v>
      </c>
      <c r="D382" s="1768">
        <f>C382-0.301</f>
        <v/>
      </c>
      <c r="E382" s="1759">
        <f>E381+D382</f>
        <v/>
      </c>
      <c r="F382" s="1759">
        <f>F381-D381</f>
        <v/>
      </c>
      <c r="G382" s="1760">
        <f>G381-D382</f>
        <v/>
      </c>
      <c r="H382" s="1832" t="n"/>
      <c r="K382" s="1774" t="n"/>
    </row>
    <row r="383" ht="39.75" customFormat="1" customHeight="1" s="1747">
      <c r="A383" s="1766" t="inlineStr">
        <is>
          <t>JT.#166</t>
        </is>
      </c>
      <c r="B383" s="1766" t="inlineStr">
        <is>
          <t>3-1/2" TUBING 9.2 LB/FT ALLOY 28 TSH BL</t>
        </is>
      </c>
      <c r="C383" s="1767" t="n">
        <v>31</v>
      </c>
      <c r="D383" s="1768">
        <f>C383-0.301</f>
        <v/>
      </c>
      <c r="E383" s="1759">
        <f>E382+D383</f>
        <v/>
      </c>
      <c r="F383" s="1759">
        <f>F382-D382</f>
        <v/>
      </c>
      <c r="G383" s="1760">
        <f>G382-D383</f>
        <v/>
      </c>
      <c r="H383" s="1832" t="n"/>
      <c r="K383" s="1774" t="n"/>
    </row>
    <row r="384" ht="39.75" customFormat="1" customHeight="1" s="1747">
      <c r="A384" s="1766" t="inlineStr">
        <is>
          <t>JT.#167</t>
        </is>
      </c>
      <c r="B384" s="1766" t="inlineStr">
        <is>
          <t>3-1/2" TUBING 9.2 LB/FT ALLOY 28 TSH BL</t>
        </is>
      </c>
      <c r="C384" s="1767" t="n">
        <v>31</v>
      </c>
      <c r="D384" s="1768">
        <f>C384-0.301</f>
        <v/>
      </c>
      <c r="E384" s="1759">
        <f>E383+D384</f>
        <v/>
      </c>
      <c r="F384" s="1759">
        <f>F383-D383</f>
        <v/>
      </c>
      <c r="G384" s="1760">
        <f>G383-D384</f>
        <v/>
      </c>
      <c r="H384" s="1832" t="n"/>
      <c r="K384" s="1774" t="n"/>
    </row>
    <row r="385" ht="39.75" customFormat="1" customHeight="1" s="1747">
      <c r="A385" s="1766" t="inlineStr">
        <is>
          <t>JT.#168</t>
        </is>
      </c>
      <c r="B385" s="1766" t="inlineStr">
        <is>
          <t>3-1/2" TUBING 9.2 LB/FT ALLOY 28 TSH BL</t>
        </is>
      </c>
      <c r="C385" s="1767" t="n">
        <v>31</v>
      </c>
      <c r="D385" s="1768">
        <f>C385-0.301</f>
        <v/>
      </c>
      <c r="E385" s="1759">
        <f>E384+D385</f>
        <v/>
      </c>
      <c r="F385" s="1759">
        <f>F384-D384</f>
        <v/>
      </c>
      <c r="G385" s="1760">
        <f>G384-D385</f>
        <v/>
      </c>
      <c r="H385" s="1832" t="n"/>
      <c r="K385" s="1774" t="n"/>
    </row>
    <row r="386" ht="39.75" customFormat="1" customHeight="1" s="1747">
      <c r="A386" s="1766" t="inlineStr">
        <is>
          <t>JT.#169</t>
        </is>
      </c>
      <c r="B386" s="1766" t="inlineStr">
        <is>
          <t>3-1/2" TUBING 9.2 LB/FT ALLOY 28 TSH BL</t>
        </is>
      </c>
      <c r="C386" s="1767" t="n">
        <v>31</v>
      </c>
      <c r="D386" s="1800">
        <f>C386-0.301</f>
        <v/>
      </c>
      <c r="E386" s="1759">
        <f>E385+D386</f>
        <v/>
      </c>
      <c r="F386" s="1759">
        <f>F385-D385</f>
        <v/>
      </c>
      <c r="G386" s="1760">
        <f>G385-D386</f>
        <v/>
      </c>
      <c r="H386" s="1789" t="inlineStr">
        <is>
          <t xml:space="preserve">FILL UP STRING </t>
        </is>
      </c>
      <c r="K386" s="1774" t="n"/>
    </row>
    <row r="387" ht="39.75" customFormat="1" customHeight="1" s="1747">
      <c r="A387" s="1766" t="inlineStr">
        <is>
          <t>JT.#170</t>
        </is>
      </c>
      <c r="B387" s="1766" t="inlineStr">
        <is>
          <t>3-1/2" TUBING 9.2 LB/FT ALLOY 28 TSH BL</t>
        </is>
      </c>
      <c r="C387" s="1767" t="n">
        <v>31</v>
      </c>
      <c r="D387" s="1768">
        <f>C387-0.301</f>
        <v/>
      </c>
      <c r="E387" s="1759">
        <f>E386+D387</f>
        <v/>
      </c>
      <c r="F387" s="1759">
        <f>F386-D386</f>
        <v/>
      </c>
      <c r="G387" s="1760">
        <f>G386-D387</f>
        <v/>
      </c>
      <c r="H387" s="1772" t="n"/>
      <c r="K387" s="1774" t="n"/>
    </row>
    <row r="388" ht="39.75" customFormat="1" customHeight="1" s="1747">
      <c r="A388" s="1766" t="inlineStr">
        <is>
          <t>JT.#171</t>
        </is>
      </c>
      <c r="B388" s="1766" t="inlineStr">
        <is>
          <t>3-1/2" TUBING 9.2 LB/FT ALLOY 28 TSH BL</t>
        </is>
      </c>
      <c r="C388" s="1767" t="n">
        <v>31</v>
      </c>
      <c r="D388" s="1768">
        <f>C388-0.301</f>
        <v/>
      </c>
      <c r="E388" s="1759">
        <f>E387+D388</f>
        <v/>
      </c>
      <c r="F388" s="1759">
        <f>F387-D387</f>
        <v/>
      </c>
      <c r="G388" s="1760">
        <f>G387-D388</f>
        <v/>
      </c>
      <c r="H388" s="1808" t="n"/>
      <c r="K388" s="1774" t="n"/>
    </row>
    <row r="389" ht="39.75" customFormat="1" customHeight="1" s="1747">
      <c r="A389" s="1766" t="inlineStr">
        <is>
          <t>JT.#172</t>
        </is>
      </c>
      <c r="B389" s="1766" t="inlineStr">
        <is>
          <t>3-1/2" TUBING 9.2 LB/FT ALLOY 28 TSH BL</t>
        </is>
      </c>
      <c r="C389" s="1767" t="n">
        <v>31</v>
      </c>
      <c r="D389" s="1768">
        <f>C389-0.301</f>
        <v/>
      </c>
      <c r="E389" s="1759">
        <f>E388+D389</f>
        <v/>
      </c>
      <c r="F389" s="1759">
        <f>F388-D388</f>
        <v/>
      </c>
      <c r="G389" s="1760">
        <f>G388-D389</f>
        <v/>
      </c>
      <c r="H389" s="1832" t="n"/>
      <c r="K389" s="1774" t="n"/>
    </row>
    <row r="390" ht="39.75" customFormat="1" customHeight="1" s="1747">
      <c r="A390" s="1766" t="inlineStr">
        <is>
          <t>JT.#173</t>
        </is>
      </c>
      <c r="B390" s="1766" t="inlineStr">
        <is>
          <t>3-1/2" TUBING 9.2 LB/FT ALLOY 28 TSH BL</t>
        </is>
      </c>
      <c r="C390" s="1767" t="n">
        <v>31</v>
      </c>
      <c r="D390" s="1768">
        <f>C390-0.301</f>
        <v/>
      </c>
      <c r="E390" s="1759">
        <f>E389+D390</f>
        <v/>
      </c>
      <c r="F390" s="1759">
        <f>F389-D389</f>
        <v/>
      </c>
      <c r="G390" s="1760">
        <f>G389-D390</f>
        <v/>
      </c>
      <c r="H390" s="1808" t="n"/>
      <c r="K390" s="1774" t="n"/>
    </row>
    <row r="391" ht="39.75" customFormat="1" customHeight="1" s="1747">
      <c r="A391" s="1766" t="inlineStr">
        <is>
          <t>JT.#174</t>
        </is>
      </c>
      <c r="B391" s="1766" t="inlineStr">
        <is>
          <t>3-1/2" TUBING 9.2 LB/FT ALLOY 28 TSH BL</t>
        </is>
      </c>
      <c r="C391" s="1767" t="n">
        <v>31</v>
      </c>
      <c r="D391" s="1768">
        <f>C391-0.301</f>
        <v/>
      </c>
      <c r="E391" s="1759">
        <f>E390+D391</f>
        <v/>
      </c>
      <c r="F391" s="1759">
        <f>F390-D390</f>
        <v/>
      </c>
      <c r="G391" s="1760">
        <f>G390-D391</f>
        <v/>
      </c>
      <c r="H391" s="1832" t="n"/>
      <c r="K391" s="1774" t="n"/>
    </row>
    <row r="392" ht="39.75" customFormat="1" customHeight="1" s="1747">
      <c r="A392" s="1766" t="inlineStr">
        <is>
          <t>JT.#175</t>
        </is>
      </c>
      <c r="B392" s="1766" t="inlineStr">
        <is>
          <t>3-1/2" TUBING 9.2 LB/FT ALLOY 28 TSH BL</t>
        </is>
      </c>
      <c r="C392" s="1767" t="n">
        <v>31</v>
      </c>
      <c r="D392" s="1768">
        <f>C392-0.301</f>
        <v/>
      </c>
      <c r="E392" s="1759">
        <f>E391+D392</f>
        <v/>
      </c>
      <c r="F392" s="1759">
        <f>F391-D391</f>
        <v/>
      </c>
      <c r="G392" s="1760">
        <f>G391-D392</f>
        <v/>
      </c>
      <c r="H392" s="1832" t="n"/>
      <c r="K392" s="1774" t="n"/>
    </row>
    <row r="393" ht="39.75" customFormat="1" customHeight="1" s="1747">
      <c r="A393" s="1766" t="inlineStr">
        <is>
          <t>JT.#176</t>
        </is>
      </c>
      <c r="B393" s="1766" t="inlineStr">
        <is>
          <t>3-1/2" TUBING 9.2 LB/FT ALLOY 28 TSH BL</t>
        </is>
      </c>
      <c r="C393" s="1767" t="n">
        <v>31</v>
      </c>
      <c r="D393" s="1768">
        <f>C393-0.301</f>
        <v/>
      </c>
      <c r="E393" s="1759">
        <f>E392+D393</f>
        <v/>
      </c>
      <c r="F393" s="1759">
        <f>F392-D392</f>
        <v/>
      </c>
      <c r="G393" s="1760">
        <f>G392-D393</f>
        <v/>
      </c>
      <c r="H393" s="1832" t="n"/>
      <c r="K393" s="1774" t="n"/>
    </row>
    <row r="394" ht="39.75" customFormat="1" customHeight="1" s="1747">
      <c r="A394" s="1766" t="inlineStr">
        <is>
          <t>JT.#177</t>
        </is>
      </c>
      <c r="B394" s="1766" t="inlineStr">
        <is>
          <t>3-1/2" TUBING 9.2 LB/FT ALLOY 28 TSH BL</t>
        </is>
      </c>
      <c r="C394" s="1767" t="n">
        <v>31</v>
      </c>
      <c r="D394" s="1768">
        <f>C394-0.301</f>
        <v/>
      </c>
      <c r="E394" s="1759">
        <f>E393+D394</f>
        <v/>
      </c>
      <c r="F394" s="1759">
        <f>F393-D393</f>
        <v/>
      </c>
      <c r="G394" s="1760">
        <f>G393-D394</f>
        <v/>
      </c>
      <c r="H394" s="1832" t="n"/>
      <c r="K394" s="1774" t="n"/>
    </row>
    <row r="395" ht="39.75" customFormat="1" customHeight="1" s="1747">
      <c r="A395" s="1766" t="inlineStr">
        <is>
          <t>JT.#178</t>
        </is>
      </c>
      <c r="B395" s="1766" t="inlineStr">
        <is>
          <t>3-1/2" TUBING 9.2 LB/FT ALLOY 28 TSH BL</t>
        </is>
      </c>
      <c r="C395" s="1767" t="n">
        <v>31</v>
      </c>
      <c r="D395" s="1768">
        <f>C395-0.301</f>
        <v/>
      </c>
      <c r="E395" s="1759">
        <f>E394+D395</f>
        <v/>
      </c>
      <c r="F395" s="1759">
        <f>F394-D394</f>
        <v/>
      </c>
      <c r="G395" s="1760">
        <f>G394-D395</f>
        <v/>
      </c>
      <c r="H395" s="1832" t="n"/>
      <c r="K395" s="1774" t="n"/>
    </row>
    <row r="396" ht="39.75" customFormat="1" customHeight="1" s="1747">
      <c r="A396" s="1766" t="inlineStr">
        <is>
          <t>JT.#179</t>
        </is>
      </c>
      <c r="B396" s="1766" t="inlineStr">
        <is>
          <t>3-1/2" TUBING 9.2 LB/FT ALLOY 28 TSH BL</t>
        </is>
      </c>
      <c r="C396" s="1767" t="n">
        <v>31</v>
      </c>
      <c r="D396" s="1768">
        <f>C396-0.301</f>
        <v/>
      </c>
      <c r="E396" s="1759">
        <f>E395+D396</f>
        <v/>
      </c>
      <c r="F396" s="1759">
        <f>F395-D395</f>
        <v/>
      </c>
      <c r="G396" s="1760">
        <f>G395-D396</f>
        <v/>
      </c>
      <c r="H396" s="1832" t="n"/>
      <c r="K396" s="1774" t="n"/>
    </row>
    <row r="397" ht="39.75" customFormat="1" customHeight="1" s="1747">
      <c r="A397" s="1766" t="inlineStr">
        <is>
          <t>JT.#180</t>
        </is>
      </c>
      <c r="B397" s="1766" t="inlineStr">
        <is>
          <t>3-1/2" TUBING 9.2 LB/FT ALLOY 28 TSH BL</t>
        </is>
      </c>
      <c r="C397" s="1767" t="n">
        <v>31</v>
      </c>
      <c r="D397" s="1768">
        <f>C397-0.301</f>
        <v/>
      </c>
      <c r="E397" s="1759">
        <f>E396+D397</f>
        <v/>
      </c>
      <c r="F397" s="1759">
        <f>F396-D396</f>
        <v/>
      </c>
      <c r="G397" s="1760">
        <f>G396-D397</f>
        <v/>
      </c>
      <c r="H397" s="1789" t="inlineStr">
        <is>
          <t xml:space="preserve">FILL UP STRING </t>
        </is>
      </c>
      <c r="K397" s="1774" t="n"/>
    </row>
    <row r="398" ht="39.75" customFormat="1" customHeight="1" s="1747">
      <c r="A398" s="1766" t="inlineStr">
        <is>
          <t>JT.#181</t>
        </is>
      </c>
      <c r="B398" s="1766" t="inlineStr">
        <is>
          <t>3-1/2" TUBING 9.2 LB/FT ALLOY 28 TSH BL</t>
        </is>
      </c>
      <c r="C398" s="1767" t="n">
        <v>31</v>
      </c>
      <c r="D398" s="1768">
        <f>C398-0.301</f>
        <v/>
      </c>
      <c r="E398" s="1759">
        <f>E397+D398</f>
        <v/>
      </c>
      <c r="F398" s="1759">
        <f>F397-D397</f>
        <v/>
      </c>
      <c r="G398" s="1760">
        <f>G397-D398</f>
        <v/>
      </c>
      <c r="H398" s="1808" t="n"/>
      <c r="K398" s="1774" t="n"/>
    </row>
    <row r="399" ht="39.75" customFormat="1" customHeight="1" s="1747">
      <c r="A399" s="1766" t="inlineStr">
        <is>
          <t>JT.#182</t>
        </is>
      </c>
      <c r="B399" s="1766" t="inlineStr">
        <is>
          <t>3-1/2" TUBING 9.2 LB/FT ALLOY 28 TSH BL</t>
        </is>
      </c>
      <c r="C399" s="1767" t="n">
        <v>31</v>
      </c>
      <c r="D399" s="1768">
        <f>C399-0.301</f>
        <v/>
      </c>
      <c r="E399" s="1759">
        <f>E398+D399</f>
        <v/>
      </c>
      <c r="F399" s="1759">
        <f>F398-D398</f>
        <v/>
      </c>
      <c r="G399" s="1760">
        <f>G398-D399</f>
        <v/>
      </c>
      <c r="H399" s="1832" t="n"/>
      <c r="K399" s="1774" t="n"/>
    </row>
    <row r="400" ht="39.75" customFormat="1" customHeight="1" s="1747">
      <c r="A400" s="1766" t="inlineStr">
        <is>
          <t>JT.#183</t>
        </is>
      </c>
      <c r="B400" s="1766" t="inlineStr">
        <is>
          <t>3-1/2" TUBING 9.2 LB/FT ALLOY 28 TSH BL</t>
        </is>
      </c>
      <c r="C400" s="1767" t="n">
        <v>31</v>
      </c>
      <c r="D400" s="1768">
        <f>C400-0.301</f>
        <v/>
      </c>
      <c r="E400" s="1759">
        <f>E399+D400</f>
        <v/>
      </c>
      <c r="F400" s="1759">
        <f>F399-D399</f>
        <v/>
      </c>
      <c r="G400" s="1760">
        <f>G399-D400</f>
        <v/>
      </c>
      <c r="H400" s="1808" t="n"/>
      <c r="K400" s="1774" t="n"/>
    </row>
    <row r="401" ht="39.75" customFormat="1" customHeight="1" s="1747">
      <c r="A401" s="1766" t="inlineStr">
        <is>
          <t>JT.#184</t>
        </is>
      </c>
      <c r="B401" s="1766" t="inlineStr">
        <is>
          <t>3-1/2" TUBING 9.2 LB/FT ALLOY 28 TSH BL</t>
        </is>
      </c>
      <c r="C401" s="1767" t="n">
        <v>31</v>
      </c>
      <c r="D401" s="1768">
        <f>C401-0.301</f>
        <v/>
      </c>
      <c r="E401" s="1759">
        <f>E400+D401</f>
        <v/>
      </c>
      <c r="F401" s="1759">
        <f>F400-D400</f>
        <v/>
      </c>
      <c r="G401" s="1760">
        <f>G400-D401</f>
        <v/>
      </c>
      <c r="H401" s="1832" t="n"/>
      <c r="K401" s="1774" t="n"/>
    </row>
    <row r="402" ht="39.75" customFormat="1" customHeight="1" s="1747">
      <c r="A402" s="1766" t="inlineStr">
        <is>
          <t>JT.#185</t>
        </is>
      </c>
      <c r="B402" s="1766" t="inlineStr">
        <is>
          <t>3-1/2" TUBING 9.2 LB/FT ALLOY 28 TSH BL</t>
        </is>
      </c>
      <c r="C402" s="1767" t="n">
        <v>31</v>
      </c>
      <c r="D402" s="1768">
        <f>C402-0.301</f>
        <v/>
      </c>
      <c r="E402" s="1759">
        <f>E401+D402</f>
        <v/>
      </c>
      <c r="F402" s="1759">
        <f>F401-D401</f>
        <v/>
      </c>
      <c r="G402" s="1760">
        <f>G401-D402</f>
        <v/>
      </c>
      <c r="H402" s="1832" t="n"/>
      <c r="K402" s="1774" t="n"/>
    </row>
    <row r="403" ht="39.75" customFormat="1" customHeight="1" s="1747">
      <c r="A403" s="1766" t="inlineStr">
        <is>
          <t>JT.#186</t>
        </is>
      </c>
      <c r="B403" s="1766" t="inlineStr">
        <is>
          <t>3-1/2" TUBING 9.2 LB/FT ALLOY 28 TSH BL</t>
        </is>
      </c>
      <c r="C403" s="1767" t="n">
        <v>31</v>
      </c>
      <c r="D403" s="1768">
        <f>C403-0.301</f>
        <v/>
      </c>
      <c r="E403" s="1759">
        <f>E402+D403</f>
        <v/>
      </c>
      <c r="F403" s="1759">
        <f>F402-D402</f>
        <v/>
      </c>
      <c r="G403" s="1760">
        <f>G402-D403</f>
        <v/>
      </c>
      <c r="H403" s="1832" t="n"/>
      <c r="K403" s="1774" t="n"/>
    </row>
    <row r="404" ht="39.75" customFormat="1" customHeight="1" s="1747">
      <c r="A404" s="1766" t="inlineStr">
        <is>
          <t>JT.#187</t>
        </is>
      </c>
      <c r="B404" s="1766" t="inlineStr">
        <is>
          <t>3-1/2" TUBING 9.2 LB/FT ALLOY 28 TSH BL</t>
        </is>
      </c>
      <c r="C404" s="1767" t="n">
        <v>31</v>
      </c>
      <c r="D404" s="1768">
        <f>C404-0.301</f>
        <v/>
      </c>
      <c r="E404" s="1759">
        <f>E403+D404</f>
        <v/>
      </c>
      <c r="F404" s="1759">
        <f>F403-D403</f>
        <v/>
      </c>
      <c r="G404" s="1760">
        <f>G403-D404</f>
        <v/>
      </c>
      <c r="H404" s="1832" t="n"/>
      <c r="K404" s="1774" t="n"/>
    </row>
    <row r="405" ht="39.75" customFormat="1" customHeight="1" s="1747">
      <c r="A405" s="1766" t="inlineStr">
        <is>
          <t>JT.#188</t>
        </is>
      </c>
      <c r="B405" s="1766" t="inlineStr">
        <is>
          <t>3-1/2" TUBING 9.2 LB/FT ALLOY 28 TSH BL</t>
        </is>
      </c>
      <c r="C405" s="1767" t="n">
        <v>31</v>
      </c>
      <c r="D405" s="1768">
        <f>C405-0.301</f>
        <v/>
      </c>
      <c r="E405" s="1759">
        <f>E404+D405</f>
        <v/>
      </c>
      <c r="F405" s="1759">
        <f>F404-D404</f>
        <v/>
      </c>
      <c r="G405" s="1760">
        <f>G404-D405</f>
        <v/>
      </c>
      <c r="H405" s="1832" t="n"/>
      <c r="K405" s="1774" t="n"/>
    </row>
    <row r="406" ht="39.75" customFormat="1" customHeight="1" s="1747">
      <c r="A406" s="1766" t="inlineStr">
        <is>
          <t>JT.#189</t>
        </is>
      </c>
      <c r="B406" s="1766" t="inlineStr">
        <is>
          <t>3-1/2" TUBING 9.2 LB/FT ALLOY 28 TSH BL</t>
        </is>
      </c>
      <c r="C406" s="1767" t="n">
        <v>31</v>
      </c>
      <c r="D406" s="1768">
        <f>C406-0.301</f>
        <v/>
      </c>
      <c r="E406" s="1759">
        <f>E405+D406</f>
        <v/>
      </c>
      <c r="F406" s="1759">
        <f>F405-D405</f>
        <v/>
      </c>
      <c r="G406" s="1760">
        <f>G405-D406</f>
        <v/>
      </c>
      <c r="H406" s="1789" t="inlineStr">
        <is>
          <t xml:space="preserve">FILL UP STRING </t>
        </is>
      </c>
      <c r="K406" s="1774" t="n"/>
    </row>
    <row r="407" ht="39.75" customFormat="1" customHeight="1" s="1747">
      <c r="A407" s="1766" t="inlineStr">
        <is>
          <t>JT.#190</t>
        </is>
      </c>
      <c r="B407" s="1766" t="inlineStr">
        <is>
          <t>3-1/2" TUBING 9.2 LB/FT ALLOY 28 TSH BL</t>
        </is>
      </c>
      <c r="C407" s="1767" t="n">
        <v>31</v>
      </c>
      <c r="D407" s="1768">
        <f>C407-0.301</f>
        <v/>
      </c>
      <c r="E407" s="1759">
        <f>E406+D407</f>
        <v/>
      </c>
      <c r="F407" s="1759">
        <f>F406-D406</f>
        <v/>
      </c>
      <c r="G407" s="1760">
        <f>G406-D407</f>
        <v/>
      </c>
      <c r="H407" s="1772" t="inlineStr">
        <is>
          <t>.</t>
        </is>
      </c>
      <c r="K407" s="1774" t="n"/>
    </row>
    <row r="408" ht="39.75" customFormat="1" customHeight="1" s="1747">
      <c r="A408" s="1766" t="inlineStr">
        <is>
          <t>JT.#191</t>
        </is>
      </c>
      <c r="B408" s="1766" t="inlineStr">
        <is>
          <t>3-1/2" TUBING 9.2 LB/FT ALLOY 28 TSH BL</t>
        </is>
      </c>
      <c r="C408" s="1767" t="n">
        <v>31</v>
      </c>
      <c r="D408" s="1768">
        <f>C408-0.301</f>
        <v/>
      </c>
      <c r="E408" s="1759">
        <f>E407+D408</f>
        <v/>
      </c>
      <c r="F408" s="1759">
        <f>F407-D407</f>
        <v/>
      </c>
      <c r="G408" s="1760">
        <f>G407-D408</f>
        <v/>
      </c>
      <c r="H408" s="1808" t="n"/>
      <c r="K408" s="1774" t="n"/>
    </row>
    <row r="409" ht="129" customFormat="1" customHeight="1" s="1747">
      <c r="A409" s="1766" t="inlineStr">
        <is>
          <t>JT.#192</t>
        </is>
      </c>
      <c r="B409" s="1766" t="inlineStr">
        <is>
          <t>3-1/2" TUBING 9.2 LB/FT ALLOY 28 TSH BL</t>
        </is>
      </c>
      <c r="C409" s="1767" t="n">
        <v>31</v>
      </c>
      <c r="D409" s="1768">
        <f>C409-0.301</f>
        <v/>
      </c>
      <c r="E409" s="1759">
        <f>E408+D409</f>
        <v/>
      </c>
      <c r="F409" s="1759">
        <f>F408-D408</f>
        <v/>
      </c>
      <c r="G409" s="1760">
        <f>G408-D409</f>
        <v/>
      </c>
      <c r="H409" s="1837" t="n"/>
    </row>
    <row r="410" ht="199.5" customFormat="1" customHeight="1" s="1747">
      <c r="A410" s="1848" t="inlineStr">
        <is>
          <t>D1</t>
        </is>
      </c>
      <c r="B410" s="1849" t="inlineStr">
        <is>
          <t>UPPER CONN. 3-1/2" VAM TOP BOX 9.2 PPF SN 28 110 KSI
DESCRIPTION: 5 FEET XOVER
SAP: 130005011340
SUPPLIER: TENARIS
LOWER CONN. 3-1/2" TSH BLUE PIN 9.2 PPF SN 28 110 KSI</t>
        </is>
      </c>
      <c r="C410" s="1850" t="n">
        <v>5.2</v>
      </c>
      <c r="D410" s="1800">
        <f>C410</f>
        <v/>
      </c>
      <c r="E410" s="1759">
        <f>E409+D410</f>
        <v/>
      </c>
      <c r="F410" s="1759">
        <f>F409-D409</f>
        <v/>
      </c>
      <c r="G410" s="1760">
        <f>G409-D410</f>
        <v/>
      </c>
      <c r="H410" s="1851" t="n"/>
    </row>
    <row r="411" ht="222" customFormat="1" customHeight="1" s="1747">
      <c r="A411" s="1778" t="n"/>
      <c r="B411" s="1849" t="inlineStr">
        <is>
          <t>UPPER CONN. 3-1/2" SENTINEL PRIME BOX 9.2 PPF TX28-110 KSI
DESCRIPTION: 5 FEET XOVER
SAP: 130013006385
SUPPLIER: TBX
LOWER CONN. 3-1/2" VAM TOP PIN 9.2 PPF TX28-110 KSI</t>
        </is>
      </c>
      <c r="C411" s="1850" t="n">
        <v>4.96</v>
      </c>
      <c r="D411" s="1800">
        <f>C411</f>
        <v/>
      </c>
      <c r="E411" s="1759">
        <f>E410+D411</f>
        <v/>
      </c>
      <c r="F411" s="1759">
        <f>F410-D410</f>
        <v/>
      </c>
      <c r="G411" s="1760">
        <f>G410-D411</f>
        <v/>
      </c>
      <c r="H411" s="1851" t="n"/>
    </row>
    <row r="412" ht="194.25" customFormat="1" customHeight="1" s="1747">
      <c r="A412" s="1778" t="n"/>
      <c r="B412" s="184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850" t="n">
        <v>8.69</v>
      </c>
      <c r="D412" s="1800">
        <f>C412</f>
        <v/>
      </c>
      <c r="E412" s="1759">
        <f>E411+D412</f>
        <v/>
      </c>
      <c r="F412" s="1759">
        <f>F411-D411</f>
        <v/>
      </c>
      <c r="G412" s="1760">
        <f>G411-D412</f>
        <v/>
      </c>
      <c r="H412" s="1811" t="n"/>
    </row>
    <row r="413" ht="163.5" customFormat="1" customHeight="1" s="1747">
      <c r="A413" s="1778" t="n"/>
      <c r="B413" s="1849" t="inlineStr">
        <is>
          <t>UPPER CONN. 3-1/2" VAM TOP BOX 9.2 PPF TX28- 110 KSI
DESCRIPTION: 5 FEET XOVER
SAP: 130013006383
SUPPLIER: TBX
LOWER CONN -3-1/2" SENTINEL PRIME PIN 9.2 PPF TX28-110 KSI</t>
        </is>
      </c>
      <c r="C413" s="1850" t="n">
        <v>4.85</v>
      </c>
      <c r="D413" s="1800">
        <f>C413</f>
        <v/>
      </c>
      <c r="E413" s="1759">
        <f>E412+D413</f>
        <v/>
      </c>
      <c r="F413" s="1759">
        <f>F412-D412</f>
        <v/>
      </c>
      <c r="G413" s="1760">
        <f>G412-D413</f>
        <v/>
      </c>
      <c r="H413" s="1851" t="n"/>
    </row>
    <row r="414" ht="39.75" customFormat="1" customHeight="1" s="1747">
      <c r="A414" s="1450" t="n"/>
      <c r="B414" s="1849" t="inlineStr">
        <is>
          <t>UPPER CONN. 3-1/2" TSH BLUE BOX 9.2 PPF SN 28 110 KSI
DESCRIPTION: 10 FEET XOVER
SAP: 130005012487
SUPPLIER: TENARIS
LOWER CONN. 3-1/2" VAM TOP PIN 9.2 PPF SN 28 110 KSI</t>
        </is>
      </c>
      <c r="C414" s="1850" t="n">
        <v>9.949999999999999</v>
      </c>
      <c r="D414" s="1768">
        <f>C414-0.301</f>
        <v/>
      </c>
      <c r="E414" s="1759">
        <f>E413+D414</f>
        <v/>
      </c>
      <c r="F414" s="1759">
        <f>F413-D413</f>
        <v/>
      </c>
      <c r="G414" s="1760">
        <f>G413-D414</f>
        <v/>
      </c>
      <c r="H414" s="1852" t="n"/>
    </row>
    <row r="415" ht="39.75" customFormat="1" customHeight="1" s="1747">
      <c r="A415" s="1766" t="inlineStr">
        <is>
          <t>JT.#193</t>
        </is>
      </c>
      <c r="B415" s="1766" t="inlineStr">
        <is>
          <t>3-1/2" TUBING 9.2 LB/FT ALLOY 28 TSH BL</t>
        </is>
      </c>
      <c r="C415" s="1767" t="n">
        <v>31</v>
      </c>
      <c r="D415" s="1768">
        <f>C415-0.301</f>
        <v/>
      </c>
      <c r="E415" s="1759">
        <f>E414+D415</f>
        <v/>
      </c>
      <c r="F415" s="1759">
        <f>F414-D414</f>
        <v/>
      </c>
      <c r="G415" s="1760">
        <f>G414-D415</f>
        <v/>
      </c>
      <c r="H415" s="1852" t="n"/>
    </row>
    <row r="416" ht="39.75" customFormat="1" customHeight="1" s="1747">
      <c r="A416" s="1766" t="inlineStr">
        <is>
          <t>JT.#194</t>
        </is>
      </c>
      <c r="B416" s="1766" t="inlineStr">
        <is>
          <t>3-1/2" TUBING 9.2 LB/FT ALLOY 28 TSH BL</t>
        </is>
      </c>
      <c r="C416" s="1767" t="n">
        <v>31</v>
      </c>
      <c r="D416" s="1768">
        <f>C416-0.301</f>
        <v/>
      </c>
      <c r="E416" s="1759">
        <f>E415+D416</f>
        <v/>
      </c>
      <c r="F416" s="1759">
        <f>F415-D415</f>
        <v/>
      </c>
      <c r="G416" s="1760">
        <f>G415-D416</f>
        <v/>
      </c>
      <c r="H416" s="1852" t="n"/>
    </row>
    <row r="417" ht="39.75" customFormat="1" customHeight="1" s="1747">
      <c r="A417" s="1766" t="inlineStr">
        <is>
          <t>JT.#195</t>
        </is>
      </c>
      <c r="B417" s="1766" t="inlineStr">
        <is>
          <t>3-1/2" TUBING 9.2 LB/FT ALLOY 28 TSH BL</t>
        </is>
      </c>
      <c r="C417" s="1767" t="n">
        <v>31</v>
      </c>
      <c r="D417" s="1768">
        <f>C417-0.301</f>
        <v/>
      </c>
      <c r="E417" s="1759">
        <f>E416+D417</f>
        <v/>
      </c>
      <c r="F417" s="1759">
        <f>F416-D416</f>
        <v/>
      </c>
      <c r="G417" s="1760">
        <f>G416-D417</f>
        <v/>
      </c>
      <c r="H417" s="1852" t="n"/>
    </row>
    <row r="418" ht="39" customFormat="1" customHeight="1" s="1808">
      <c r="A418" s="1766" t="inlineStr">
        <is>
          <t>JT.#196</t>
        </is>
      </c>
      <c r="B418" s="1766" t="inlineStr">
        <is>
          <t>3-1/2" TUBING 9.2 LB/FT ALLOY 28 TSH BL</t>
        </is>
      </c>
      <c r="C418" s="1767" t="n">
        <v>31</v>
      </c>
      <c r="D418" s="1768">
        <f>C418-0.301</f>
        <v/>
      </c>
      <c r="E418" s="1759">
        <f>E417+D418</f>
        <v/>
      </c>
      <c r="F418" s="1759">
        <f>F417-D417</f>
        <v/>
      </c>
      <c r="G418" s="1760">
        <f>G417-D418</f>
        <v/>
      </c>
      <c r="H418" s="1789" t="inlineStr">
        <is>
          <t xml:space="preserve">FILL UP STRING </t>
        </is>
      </c>
    </row>
    <row r="419" ht="59.25" customFormat="1" customHeight="1" s="1747">
      <c r="A419" s="1766" t="inlineStr">
        <is>
          <t>JT.#197</t>
        </is>
      </c>
      <c r="B419" s="1766" t="inlineStr">
        <is>
          <t>3-1/2" TUBING 9.2 LB/FT ALLOY 28 TSH BL</t>
        </is>
      </c>
      <c r="C419" s="1767" t="n">
        <v>31</v>
      </c>
      <c r="D419" s="1809">
        <f>C419-0.301</f>
        <v/>
      </c>
      <c r="E419" s="1759">
        <f>E418+D419</f>
        <v/>
      </c>
      <c r="F419" s="1759">
        <f>F418-D418</f>
        <v/>
      </c>
      <c r="G419" s="1760">
        <f>G418-D419</f>
        <v/>
      </c>
      <c r="H419" s="1837" t="n"/>
    </row>
    <row r="420" ht="60.75" customFormat="1" customHeight="1" s="1747">
      <c r="A420" s="1766" t="inlineStr">
        <is>
          <t>JT.#198</t>
        </is>
      </c>
      <c r="B420" s="1766" t="inlineStr">
        <is>
          <t>3-1/2" TUBING 9.2 LB/FT ALLOY 28 TSH BL</t>
        </is>
      </c>
      <c r="C420" s="1767" t="n">
        <v>31</v>
      </c>
      <c r="D420" s="1800">
        <f>C420</f>
        <v/>
      </c>
      <c r="E420" s="1759">
        <f>E419+D420</f>
        <v/>
      </c>
      <c r="F420" s="1759">
        <f>F419-D419</f>
        <v/>
      </c>
      <c r="G420" s="1760">
        <f>G419-D420</f>
        <v/>
      </c>
      <c r="H420" s="1853" t="n"/>
    </row>
    <row r="421" ht="125.25" customFormat="1" customHeight="1" s="1747">
      <c r="A421" s="1766" t="inlineStr">
        <is>
          <t>JT.#199</t>
        </is>
      </c>
      <c r="B421" s="1766" t="inlineStr">
        <is>
          <t>3-1/2" TUBING 9.2 LB/FT ALLOY 28 TSH BL</t>
        </is>
      </c>
      <c r="C421" s="1767" t="n">
        <v>31</v>
      </c>
      <c r="D421" s="1812">
        <f>C421</f>
        <v/>
      </c>
      <c r="E421" s="1759">
        <f>E420+D421</f>
        <v/>
      </c>
      <c r="F421" s="1759">
        <f>F420-D420</f>
        <v/>
      </c>
      <c r="G421" s="1760">
        <f>G420-D421</f>
        <v/>
      </c>
      <c r="H421" s="1854" t="n"/>
    </row>
    <row r="422" ht="39.75" customFormat="1" customHeight="1" s="1747">
      <c r="A422" s="1766" t="inlineStr">
        <is>
          <t>JT.#200</t>
        </is>
      </c>
      <c r="B422" s="1766" t="inlineStr">
        <is>
          <t>3-1/2" TUBING 9.2 LB/FT ALLOY 28 TSH BL</t>
        </is>
      </c>
      <c r="C422" s="1767" t="n">
        <v>31</v>
      </c>
      <c r="D422" s="1785">
        <f>C422</f>
        <v/>
      </c>
      <c r="E422" s="1759">
        <f>E421+D422</f>
        <v/>
      </c>
      <c r="F422" s="1759">
        <f>F421-D421</f>
        <v/>
      </c>
      <c r="G422" s="1760">
        <f>G421-D422</f>
        <v/>
      </c>
      <c r="H422" s="1855" t="n"/>
    </row>
    <row r="423" ht="39.75" customFormat="1" customHeight="1" s="1808">
      <c r="A423" s="1766" t="inlineStr">
        <is>
          <t>JT.#201</t>
        </is>
      </c>
      <c r="B423" s="1766" t="inlineStr">
        <is>
          <t>3-1/2" TUBING 9.2 LB/FT ALLOY 28 TSH BL</t>
        </is>
      </c>
      <c r="C423" s="1767" t="n">
        <v>31</v>
      </c>
      <c r="D423" s="1785">
        <f>C423</f>
        <v/>
      </c>
      <c r="E423" s="1759">
        <f>E422+D423</f>
        <v/>
      </c>
      <c r="F423" s="1759">
        <f>F422-D422</f>
        <v/>
      </c>
      <c r="G423" s="1760">
        <f>G422-D423</f>
        <v/>
      </c>
      <c r="H423" s="1855" t="n"/>
    </row>
    <row r="424" ht="26.8" customFormat="1" customHeight="1" s="1747">
      <c r="A424" s="1766" t="inlineStr">
        <is>
          <t>JT.#202</t>
        </is>
      </c>
      <c r="B424" s="1766" t="inlineStr">
        <is>
          <t>3-1/2" TUBING 9.2 LB/FT ALLOY 28 TSH BL</t>
        </is>
      </c>
      <c r="C424" s="1767" t="n">
        <v>31</v>
      </c>
      <c r="D424" s="1785">
        <f>C424</f>
        <v/>
      </c>
      <c r="E424" s="1759">
        <f>E423+D424</f>
        <v/>
      </c>
      <c r="F424" s="1759">
        <f>F423-D423</f>
        <v/>
      </c>
      <c r="G424" s="1760">
        <f>G423-D424</f>
        <v/>
      </c>
      <c r="H424" s="1855" t="n"/>
    </row>
    <row r="425" ht="26.8" customFormat="1" customHeight="1" s="1747">
      <c r="A425" s="1766" t="inlineStr">
        <is>
          <t>JT.#203</t>
        </is>
      </c>
      <c r="B425" s="1766" t="inlineStr">
        <is>
          <t>3-1/2" TUBING 9.2 LB/FT ALLOY 28 TSH BL</t>
        </is>
      </c>
      <c r="C425" s="1767" t="n">
        <v>31</v>
      </c>
      <c r="D425" s="1785">
        <f>C425</f>
        <v/>
      </c>
      <c r="E425" s="1759">
        <f>E424+D425</f>
        <v/>
      </c>
      <c r="F425" s="1759">
        <f>F424-D424</f>
        <v/>
      </c>
      <c r="G425" s="1760">
        <f>G424-D425</f>
        <v/>
      </c>
      <c r="H425" s="1855" t="n"/>
    </row>
    <row r="426" ht="26.8" customFormat="1" customHeight="1" s="1747">
      <c r="A426" s="1766" t="inlineStr">
        <is>
          <t>JT.#204</t>
        </is>
      </c>
      <c r="B426" s="1766" t="inlineStr">
        <is>
          <t>3-1/2" TUBING 9.2 LB/FT ALLOY 28 TSH BL</t>
        </is>
      </c>
      <c r="C426" s="1767" t="n">
        <v>31</v>
      </c>
      <c r="D426" s="1785">
        <f>C426</f>
        <v/>
      </c>
      <c r="E426" s="1759">
        <f>E425+D426</f>
        <v/>
      </c>
      <c r="F426" s="1759">
        <f>F425-D425</f>
        <v/>
      </c>
      <c r="G426" s="1760">
        <f>G425-D426</f>
        <v/>
      </c>
      <c r="H426" s="1855" t="n"/>
    </row>
    <row r="427" ht="26.8" customFormat="1" customHeight="1" s="1747">
      <c r="A427" s="1766" t="inlineStr">
        <is>
          <t>JT.#205</t>
        </is>
      </c>
      <c r="B427" s="1766" t="inlineStr">
        <is>
          <t>3-1/2" TUBING 9.2 LB/FT ALLOY 28 TSH BL</t>
        </is>
      </c>
      <c r="C427" s="1767" t="n">
        <v>31</v>
      </c>
      <c r="D427" s="1785">
        <f>C427</f>
        <v/>
      </c>
      <c r="E427" s="1759">
        <f>E426+D427</f>
        <v/>
      </c>
      <c r="F427" s="1759">
        <f>F426-D426</f>
        <v/>
      </c>
      <c r="G427" s="1760">
        <f>G426-D427</f>
        <v/>
      </c>
      <c r="H427" s="1855" t="n"/>
    </row>
    <row r="428" ht="77.25" customHeight="1" s="1158">
      <c r="A428" s="1766" t="inlineStr">
        <is>
          <t>JT.#206</t>
        </is>
      </c>
      <c r="B428" s="1766" t="inlineStr">
        <is>
          <t>3-1/2" TUBING 9.2 LB/FT ALLOY 28 TSH BL</t>
        </is>
      </c>
      <c r="C428" s="1767" t="n">
        <v>31</v>
      </c>
      <c r="D428" s="1785">
        <f>C428</f>
        <v/>
      </c>
      <c r="E428" s="1759">
        <f>E427+D428</f>
        <v/>
      </c>
      <c r="F428" s="1759">
        <f>F427-D427</f>
        <v/>
      </c>
      <c r="G428" s="1760">
        <f>G427-D428</f>
        <v/>
      </c>
      <c r="H428" s="1855" t="n"/>
    </row>
    <row r="429" ht="26.8" customHeight="1" s="1158">
      <c r="A429" s="1766" t="inlineStr">
        <is>
          <t>JT.#207</t>
        </is>
      </c>
      <c r="B429" s="1766" t="inlineStr">
        <is>
          <t>3-1/2" TUBING 9.2 LB/FT ALLOY 28 TSH BL</t>
        </is>
      </c>
      <c r="C429" s="1767" t="n">
        <v>31</v>
      </c>
      <c r="D429" s="1785">
        <f>C429</f>
        <v/>
      </c>
      <c r="E429" s="1759">
        <f>E428+D429</f>
        <v/>
      </c>
      <c r="F429" s="1759">
        <f>F428-D428</f>
        <v/>
      </c>
      <c r="G429" s="1760">
        <f>G428-D429</f>
        <v/>
      </c>
      <c r="H429" s="1855" t="n"/>
    </row>
    <row r="430" ht="105.95" customHeight="1" s="1158">
      <c r="A430" s="1856" t="inlineStr">
        <is>
          <t>D2</t>
        </is>
      </c>
      <c r="B430" s="1857" t="inlineStr">
        <is>
          <t>UPPER CONN. 3-1/2" VAM TOP BOX 9.2 PPF SN 28 110 KSI
DESCRIPTION: 5 FEET XOVER
SAP: 130005011340
SUPPLIER: TENARIS
LOWER CONN. 3-1/2" TSH BLUE PIN 9.2 PPF SN 28 110 KSI</t>
        </is>
      </c>
      <c r="C430" s="1858" t="n">
        <v>5.18</v>
      </c>
      <c r="D430" s="1785">
        <f>C430</f>
        <v/>
      </c>
      <c r="E430" s="1759">
        <f>E429+D430</f>
        <v/>
      </c>
      <c r="F430" s="1759">
        <f>F429-D429</f>
        <v/>
      </c>
      <c r="G430" s="1760">
        <f>G429-D430</f>
        <v/>
      </c>
      <c r="H430" s="1855" t="n"/>
    </row>
    <row r="431" ht="126.85" customHeight="1" s="1158">
      <c r="A431" s="1778" t="n"/>
      <c r="B431" s="1857" t="inlineStr">
        <is>
          <t>UPPER CONN. 3-1/2" SENTINEL PRIME BOX 9.2 PPF TX28- 110 KSI
DESCRIPTION: 5 FEET XOVER
SAP: 130013006385
SUPPLIER: TBX
LOWER CONN. 3-1/2" VAM TOP PIN 9.2 PPF TX28-110 KSI</t>
        </is>
      </c>
      <c r="C431" s="1858" t="n">
        <v>4.97</v>
      </c>
      <c r="D431" s="1785">
        <f>C431</f>
        <v/>
      </c>
      <c r="E431" s="1759">
        <f>E430+D431</f>
        <v/>
      </c>
      <c r="F431" s="1759">
        <f>F430-D430</f>
        <v/>
      </c>
      <c r="G431" s="1760">
        <f>G430-D431</f>
        <v/>
      </c>
      <c r="H431" s="1855" t="n"/>
    </row>
    <row r="432" ht="210.4" customHeight="1" s="1158">
      <c r="A432" s="1778" t="n"/>
      <c r="B432" s="185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858" t="n">
        <v>8.69</v>
      </c>
      <c r="D432" s="1785">
        <f>C432</f>
        <v/>
      </c>
      <c r="E432" s="1759">
        <f>E431+D432</f>
        <v/>
      </c>
      <c r="F432" s="1759">
        <f>F431-D431</f>
        <v/>
      </c>
      <c r="G432" s="1760">
        <f>G431-D432</f>
        <v/>
      </c>
      <c r="H432" s="1855" t="n"/>
    </row>
    <row r="433" ht="105.95" customHeight="1" s="1158">
      <c r="A433" s="1778" t="n"/>
      <c r="B433" s="1857" t="inlineStr">
        <is>
          <t>UPPER CONN. 3-1/2" VAM TOP BOX 9.2 PPF TX28- 110 KSI
DESCRIPTION: 5 FEET XOVER
SAP: 130013006383
SUPPLIER: TBX
LOWER CONN -3-1/2" SENTINEL PRIME PIN 9.2 PPF TX28-110 KSI</t>
        </is>
      </c>
      <c r="C433" s="1858" t="n">
        <v>4.8</v>
      </c>
      <c r="D433" s="1785">
        <f>C433</f>
        <v/>
      </c>
      <c r="E433" s="1759">
        <f>E432+D433</f>
        <v/>
      </c>
      <c r="F433" s="1759">
        <f>F432-D432</f>
        <v/>
      </c>
      <c r="G433" s="1760">
        <f>G432-D433</f>
        <v/>
      </c>
      <c r="H433" s="1855" t="n"/>
    </row>
    <row r="434" ht="105.95" customHeight="1" s="1158">
      <c r="A434" s="1450" t="n"/>
      <c r="B434" s="1857" t="inlineStr">
        <is>
          <t>UPPER CONN. 3-1/2" TSH BLUE BOX 9.2 PPF SN 28 110 KSI
DESCRIPTION: 10 FEET XOVER
SAP: 130005012487
SUPPLIER: TENARIS
LOWER CONN. 3-1/2" VAM TOP PIN 9.2 PPF SN 28 110 KSI</t>
        </is>
      </c>
      <c r="C434" s="1858" t="n">
        <v>9.949999999999999</v>
      </c>
      <c r="D434" s="1785">
        <f>C434</f>
        <v/>
      </c>
      <c r="E434" s="1759">
        <f>E433+D434</f>
        <v/>
      </c>
      <c r="F434" s="1759">
        <f>F433-D433</f>
        <v/>
      </c>
      <c r="G434" s="1760">
        <f>G433-D434</f>
        <v/>
      </c>
      <c r="H434" s="1855" t="n"/>
    </row>
    <row r="435" ht="26.8" customHeight="1" s="1158">
      <c r="A435" s="1766" t="inlineStr">
        <is>
          <t>JT.#208</t>
        </is>
      </c>
      <c r="B435" s="1766" t="inlineStr">
        <is>
          <t>3-1/2" TUBING 9.2 LB/FT ALLOY 28 TSH BL</t>
        </is>
      </c>
      <c r="C435" s="1767" t="n">
        <v>31</v>
      </c>
      <c r="D435" s="1785">
        <f>C435</f>
        <v/>
      </c>
      <c r="E435" s="1759">
        <f>E434+D435</f>
        <v/>
      </c>
      <c r="F435" s="1759">
        <f>F434-D434</f>
        <v/>
      </c>
      <c r="G435" s="1760">
        <f>G434-D435</f>
        <v/>
      </c>
      <c r="H435" s="1855" t="n"/>
    </row>
    <row r="436" ht="26.8" customHeight="1" s="1158">
      <c r="A436" s="1766" t="inlineStr">
        <is>
          <t>JT.#209</t>
        </is>
      </c>
      <c r="B436" s="1766" t="inlineStr">
        <is>
          <t>3-1/2" TUBING 9.2 LB/FT ALLOY 28 TSH BL</t>
        </is>
      </c>
      <c r="C436" s="1767" t="n">
        <v>31</v>
      </c>
      <c r="D436" s="1785">
        <f>C436</f>
        <v/>
      </c>
      <c r="E436" s="1759">
        <f>E435+D436</f>
        <v/>
      </c>
      <c r="F436" s="1759">
        <f>F435-D435</f>
        <v/>
      </c>
      <c r="G436" s="1760">
        <f>G435-D436</f>
        <v/>
      </c>
      <c r="H436" s="1855" t="n"/>
    </row>
    <row r="437" ht="26.8" customHeight="1" s="1158">
      <c r="A437" s="1766" t="inlineStr">
        <is>
          <t>JT.#210</t>
        </is>
      </c>
      <c r="B437" s="1766" t="inlineStr">
        <is>
          <t>3-1/2" TUBING 9.2 LB/FT ALLOY 28 TSH BL</t>
        </is>
      </c>
      <c r="C437" s="1767" t="n">
        <v>31</v>
      </c>
      <c r="D437" s="1785">
        <f>C437</f>
        <v/>
      </c>
      <c r="E437" s="1759">
        <f>E436+D437</f>
        <v/>
      </c>
      <c r="F437" s="1759">
        <f>F436-D436</f>
        <v/>
      </c>
      <c r="G437" s="1760">
        <f>G436-D437</f>
        <v/>
      </c>
      <c r="H437" s="1855" t="n"/>
    </row>
    <row r="438" ht="26.8" customHeight="1" s="1158">
      <c r="A438" s="1766" t="inlineStr">
        <is>
          <t>JT.#211</t>
        </is>
      </c>
      <c r="B438" s="1766" t="inlineStr">
        <is>
          <t>3-1/2" TUBING 9.2 LB/FT ALLOY 28 TSH BL</t>
        </is>
      </c>
      <c r="C438" s="1767" t="n">
        <v>31</v>
      </c>
      <c r="D438" s="1785">
        <f>C438</f>
        <v/>
      </c>
      <c r="E438" s="1759">
        <f>E437+D438</f>
        <v/>
      </c>
      <c r="F438" s="1759">
        <f>F437-D437</f>
        <v/>
      </c>
      <c r="G438" s="1760">
        <f>G437-D438</f>
        <v/>
      </c>
      <c r="H438" s="1855" t="n"/>
    </row>
    <row r="439" ht="26.8" customHeight="1" s="1158">
      <c r="A439" s="1766" t="inlineStr">
        <is>
          <t>JT.#212</t>
        </is>
      </c>
      <c r="B439" s="1766" t="inlineStr">
        <is>
          <t>3-1/2" TUBING 9.2 LB/FT ALLOY 28 TSH BL</t>
        </is>
      </c>
      <c r="C439" s="1767" t="n">
        <v>31</v>
      </c>
      <c r="D439" s="1785">
        <f>C439</f>
        <v/>
      </c>
      <c r="E439" s="1759">
        <f>E438+D439</f>
        <v/>
      </c>
      <c r="F439" s="1759">
        <f>F438-D438</f>
        <v/>
      </c>
      <c r="G439" s="1760">
        <f>G438-D439</f>
        <v/>
      </c>
      <c r="H439" s="1855" t="n"/>
    </row>
    <row r="440" ht="26.8" customHeight="1" s="1158">
      <c r="A440" s="1766" t="inlineStr">
        <is>
          <t>JT.#213</t>
        </is>
      </c>
      <c r="B440" s="1766" t="inlineStr">
        <is>
          <t>3-1/2" TUBING 9.2 LB/FT ALLOY 28 TSH BL</t>
        </is>
      </c>
      <c r="C440" s="1767" t="n">
        <v>31</v>
      </c>
      <c r="D440" s="1785">
        <f>C440</f>
        <v/>
      </c>
      <c r="E440" s="1759">
        <f>E439+D440</f>
        <v/>
      </c>
      <c r="F440" s="1759">
        <f>F439-D439</f>
        <v/>
      </c>
      <c r="G440" s="1760">
        <f>G439-D440</f>
        <v/>
      </c>
      <c r="H440" s="1855" t="n"/>
    </row>
    <row r="441" ht="26.8" customHeight="1" s="1158">
      <c r="A441" s="1766" t="inlineStr">
        <is>
          <t>JT.#214</t>
        </is>
      </c>
      <c r="B441" s="1766" t="inlineStr">
        <is>
          <t>3-1/2" TUBING 9.2 LB/FT ALLOY 28 TSH BL</t>
        </is>
      </c>
      <c r="C441" s="1767" t="n">
        <v>31</v>
      </c>
      <c r="D441" s="1785">
        <f>C441</f>
        <v/>
      </c>
      <c r="E441" s="1759">
        <f>E440+D441</f>
        <v/>
      </c>
      <c r="F441" s="1759">
        <f>F440-D440</f>
        <v/>
      </c>
      <c r="G441" s="1760">
        <f>G440-D441</f>
        <v/>
      </c>
      <c r="H441" s="1855" t="n"/>
    </row>
    <row r="442" ht="26.8" customHeight="1" s="1158">
      <c r="A442" s="1766" t="inlineStr">
        <is>
          <t>JT.#215</t>
        </is>
      </c>
      <c r="B442" s="1766" t="inlineStr">
        <is>
          <t>3-1/2" TUBING 9.2 LB/FT ALLOY 28 TSH BL</t>
        </is>
      </c>
      <c r="C442" s="1767" t="n">
        <v>31</v>
      </c>
      <c r="D442" s="1785">
        <f>C442</f>
        <v/>
      </c>
      <c r="E442" s="1759">
        <f>E441+D442</f>
        <v/>
      </c>
      <c r="F442" s="1759">
        <f>F441-D441</f>
        <v/>
      </c>
      <c r="G442" s="1760">
        <f>G441-D442</f>
        <v/>
      </c>
      <c r="H442" s="1855" t="n"/>
    </row>
    <row r="443" ht="26.8" customHeight="1" s="1158">
      <c r="A443" s="1766" t="inlineStr">
        <is>
          <t>JT.#216</t>
        </is>
      </c>
      <c r="B443" s="1766" t="inlineStr">
        <is>
          <t>3-1/2" TUBING 9.2 LB/FT ALLOY 28 TSH BL</t>
        </is>
      </c>
      <c r="C443" s="1767" t="n">
        <v>31</v>
      </c>
      <c r="D443" s="1785">
        <f>C443</f>
        <v/>
      </c>
      <c r="E443" s="1759">
        <f>E442+D443</f>
        <v/>
      </c>
      <c r="F443" s="1759">
        <f>F442-D442</f>
        <v/>
      </c>
      <c r="G443" s="1760">
        <f>G442-D443</f>
        <v/>
      </c>
      <c r="H443" s="1855" t="n"/>
    </row>
    <row r="444" ht="26.8" customHeight="1" s="1158">
      <c r="A444" s="1766" t="inlineStr">
        <is>
          <t>JT.#217</t>
        </is>
      </c>
      <c r="B444" s="1766" t="inlineStr">
        <is>
          <t>3-1/2" TUBING 9.2 LB/FT ALLOY 28 TSH BL</t>
        </is>
      </c>
      <c r="C444" s="1767" t="n">
        <v>31</v>
      </c>
      <c r="D444" s="1785">
        <f>C444</f>
        <v/>
      </c>
      <c r="E444" s="1759">
        <f>E443+D444</f>
        <v/>
      </c>
      <c r="F444" s="1759">
        <f>F443-D443</f>
        <v/>
      </c>
      <c r="G444" s="1760">
        <f>G443-D444</f>
        <v/>
      </c>
      <c r="H444" s="1855" t="n"/>
    </row>
    <row r="445" ht="26.8" customHeight="1" s="1158">
      <c r="A445" s="1766" t="inlineStr">
        <is>
          <t>JT.#218</t>
        </is>
      </c>
      <c r="B445" s="1766" t="inlineStr">
        <is>
          <t>3-1/2" TUBING 9.2 LB/FT ALLOY 28 TSH BL</t>
        </is>
      </c>
      <c r="C445" s="1767" t="n">
        <v>31</v>
      </c>
      <c r="D445" s="1785">
        <f>C445</f>
        <v/>
      </c>
      <c r="E445" s="1759">
        <f>E444+D445</f>
        <v/>
      </c>
      <c r="F445" s="1759">
        <f>F444-D444</f>
        <v/>
      </c>
      <c r="G445" s="1760">
        <f>G444-D445</f>
        <v/>
      </c>
      <c r="H445" s="1855" t="n"/>
    </row>
    <row r="446" ht="26.8" customHeight="1" s="1158">
      <c r="A446" s="1766" t="inlineStr">
        <is>
          <t>JT.#219</t>
        </is>
      </c>
      <c r="B446" s="1766" t="inlineStr">
        <is>
          <t>3-1/2" TUBING 9.2 LB/FT ALLOY 28 TSH BL</t>
        </is>
      </c>
      <c r="C446" s="1767" t="n">
        <v>31</v>
      </c>
      <c r="D446" s="1785">
        <f>C446</f>
        <v/>
      </c>
      <c r="E446" s="1759">
        <f>E445+D446</f>
        <v/>
      </c>
      <c r="F446" s="1759">
        <f>F445-D445</f>
        <v/>
      </c>
      <c r="G446" s="1760">
        <f>G445-D446</f>
        <v/>
      </c>
      <c r="H446" s="1855" t="n"/>
    </row>
    <row r="447" ht="26.8" customHeight="1" s="1158">
      <c r="A447" s="1766" t="inlineStr">
        <is>
          <t>JT.#220</t>
        </is>
      </c>
      <c r="B447" s="1766" t="inlineStr">
        <is>
          <t>3-1/2" TUBING 9.2 LB/FT ALLOY 28 TSH BL</t>
        </is>
      </c>
      <c r="C447" s="1767" t="n">
        <v>31</v>
      </c>
      <c r="D447" s="1785">
        <f>C447</f>
        <v/>
      </c>
      <c r="E447" s="1759">
        <f>E446+D447</f>
        <v/>
      </c>
      <c r="F447" s="1759">
        <f>F446-D446</f>
        <v/>
      </c>
      <c r="G447" s="1760">
        <f>G446-D447</f>
        <v/>
      </c>
      <c r="H447" s="1855" t="n"/>
    </row>
    <row r="448" ht="26.8" customHeight="1" s="1158">
      <c r="A448" s="1766" t="inlineStr">
        <is>
          <t>JT.#221</t>
        </is>
      </c>
      <c r="B448" s="1766" t="inlineStr">
        <is>
          <t>3-1/2" TUBING 9.2 LB/FT ALLOY 28 TSH BL</t>
        </is>
      </c>
      <c r="C448" s="1767" t="n">
        <v>31</v>
      </c>
      <c r="D448" s="1785">
        <f>C448</f>
        <v/>
      </c>
      <c r="E448" s="1759">
        <f>E447+D448</f>
        <v/>
      </c>
      <c r="F448" s="1759">
        <f>F447-D447</f>
        <v/>
      </c>
      <c r="G448" s="1760">
        <f>G447-D448</f>
        <v/>
      </c>
      <c r="H448" s="1855" t="n"/>
    </row>
    <row r="449" ht="26.8" customHeight="1" s="1158">
      <c r="A449" s="1766" t="inlineStr">
        <is>
          <t>JT.#222</t>
        </is>
      </c>
      <c r="B449" s="1766" t="inlineStr">
        <is>
          <t>3-1/2" TUBING 9.2 LB/FT ALLOY 28 TSH BL</t>
        </is>
      </c>
      <c r="C449" s="1767" t="n">
        <v>31</v>
      </c>
      <c r="D449" s="1785">
        <f>C449</f>
        <v/>
      </c>
      <c r="E449" s="1759">
        <f>E448+D449</f>
        <v/>
      </c>
      <c r="F449" s="1759">
        <f>F448-D448</f>
        <v/>
      </c>
      <c r="G449" s="1760">
        <f>G448-D449</f>
        <v/>
      </c>
      <c r="H449" s="1855" t="n"/>
    </row>
    <row r="450" ht="26.8" customHeight="1" s="1158">
      <c r="A450" s="1766" t="inlineStr">
        <is>
          <t>JT.#223</t>
        </is>
      </c>
      <c r="B450" s="1766" t="inlineStr">
        <is>
          <t>3-1/2" TUBING 9.2 LB/FT ALLOY 28 TSH BL</t>
        </is>
      </c>
      <c r="C450" s="1767" t="n">
        <v>31</v>
      </c>
      <c r="D450" s="1785">
        <f>C450</f>
        <v/>
      </c>
      <c r="E450" s="1759">
        <f>E449+D450</f>
        <v/>
      </c>
      <c r="F450" s="1759">
        <f>F449-D449</f>
        <v/>
      </c>
      <c r="G450" s="1760">
        <f>G449-D450</f>
        <v/>
      </c>
      <c r="H450" s="1855" t="n"/>
    </row>
    <row r="451" ht="26.8" customHeight="1" s="1158">
      <c r="A451" s="1766" t="inlineStr">
        <is>
          <t>JT.#224</t>
        </is>
      </c>
      <c r="B451" s="1766" t="inlineStr">
        <is>
          <t>3-1/2" TUBING 9.2 LB/FT ALLOY 28 TSH BL</t>
        </is>
      </c>
      <c r="C451" s="1767" t="n">
        <v>31</v>
      </c>
      <c r="D451" s="1785">
        <f>C451</f>
        <v/>
      </c>
      <c r="E451" s="1759">
        <f>E450+D451</f>
        <v/>
      </c>
      <c r="F451" s="1759">
        <f>F450-D450</f>
        <v/>
      </c>
      <c r="G451" s="1760">
        <f>G450-D451</f>
        <v/>
      </c>
      <c r="H451" s="1855" t="n"/>
    </row>
    <row r="452" ht="26.8" customHeight="1" s="1158">
      <c r="A452" s="1766" t="inlineStr">
        <is>
          <t>JT.#225</t>
        </is>
      </c>
      <c r="B452" s="1766" t="inlineStr">
        <is>
          <t>3-1/2" TUBING 9.2 LB/FT ALLOY 28 TSH BL</t>
        </is>
      </c>
      <c r="C452" s="1767" t="n">
        <v>31</v>
      </c>
      <c r="D452" s="1785">
        <f>C452</f>
        <v/>
      </c>
      <c r="E452" s="1759">
        <f>E451+D452</f>
        <v/>
      </c>
      <c r="F452" s="1759">
        <f>F451-D451</f>
        <v/>
      </c>
      <c r="G452" s="1760">
        <f>G451-D452</f>
        <v/>
      </c>
      <c r="H452" s="1855" t="n"/>
    </row>
    <row r="453" ht="26.8" customHeight="1" s="1158">
      <c r="A453" s="1766" t="inlineStr">
        <is>
          <t>JT.#226</t>
        </is>
      </c>
      <c r="B453" s="1766" t="inlineStr">
        <is>
          <t>3-1/2" TUBING 9.2 LB/FT ALLOY 28 TSH BL</t>
        </is>
      </c>
      <c r="C453" s="1767" t="n">
        <v>31</v>
      </c>
      <c r="D453" s="1785">
        <f>C453</f>
        <v/>
      </c>
      <c r="E453" s="1759">
        <f>E452+D453</f>
        <v/>
      </c>
      <c r="F453" s="1759">
        <f>F452-D452</f>
        <v/>
      </c>
      <c r="G453" s="1760">
        <f>G452-D453</f>
        <v/>
      </c>
      <c r="H453" s="1855" t="n"/>
    </row>
    <row r="454" ht="26.8" customHeight="1" s="1158">
      <c r="A454" s="1766" t="inlineStr">
        <is>
          <t>JT.#227</t>
        </is>
      </c>
      <c r="B454" s="1766" t="inlineStr">
        <is>
          <t>3-1/2" TUBING 9.2 LB/FT ALLOY 28 TSH BL</t>
        </is>
      </c>
      <c r="C454" s="1767" t="n">
        <v>31</v>
      </c>
      <c r="D454" s="1785">
        <f>C454</f>
        <v/>
      </c>
      <c r="E454" s="1759">
        <f>E453+D454</f>
        <v/>
      </c>
      <c r="F454" s="1759">
        <f>F453-D453</f>
        <v/>
      </c>
      <c r="G454" s="1760">
        <f>G453-D454</f>
        <v/>
      </c>
      <c r="H454" s="1855" t="n"/>
    </row>
    <row r="455" ht="26.8" customHeight="1" s="1158">
      <c r="A455" s="1766" t="inlineStr">
        <is>
          <t>JT.#228</t>
        </is>
      </c>
      <c r="B455" s="1766" t="inlineStr">
        <is>
          <t>3-1/2" TUBING 9.2 LB/FT ALLOY 28 TSH BL</t>
        </is>
      </c>
      <c r="C455" s="1767" t="n">
        <v>31</v>
      </c>
      <c r="D455" s="1785">
        <f>C455</f>
        <v/>
      </c>
      <c r="E455" s="1759">
        <f>E454+D455</f>
        <v/>
      </c>
      <c r="F455" s="1759">
        <f>F454-D454</f>
        <v/>
      </c>
      <c r="G455" s="1760">
        <f>G454-D455</f>
        <v/>
      </c>
      <c r="H455" s="1855" t="n"/>
    </row>
    <row r="456" ht="26.8" customHeight="1" s="1158">
      <c r="A456" s="1766" t="inlineStr">
        <is>
          <t>JT.#229</t>
        </is>
      </c>
      <c r="B456" s="1766" t="inlineStr">
        <is>
          <t>3-1/2" TUBING 9.2 LB/FT ALLOY 28 TSH BL</t>
        </is>
      </c>
      <c r="C456" s="1767" t="n">
        <v>31</v>
      </c>
      <c r="D456" s="1785">
        <f>C456</f>
        <v/>
      </c>
      <c r="E456" s="1759">
        <f>E455+D456</f>
        <v/>
      </c>
      <c r="F456" s="1759">
        <f>F455-D455</f>
        <v/>
      </c>
      <c r="G456" s="1760">
        <f>G455-D456</f>
        <v/>
      </c>
      <c r="H456" s="1855" t="n"/>
    </row>
    <row r="457" ht="26.8" customHeight="1" s="1158">
      <c r="A457" s="1766" t="inlineStr">
        <is>
          <t>JT.#230</t>
        </is>
      </c>
      <c r="B457" s="1766" t="inlineStr">
        <is>
          <t>3-1/2" TUBING 9.2 LB/FT ALLOY 28 TSH BL</t>
        </is>
      </c>
      <c r="C457" s="1767" t="n">
        <v>31</v>
      </c>
      <c r="D457" s="1785">
        <f>C457</f>
        <v/>
      </c>
      <c r="E457" s="1759">
        <f>E456+D457</f>
        <v/>
      </c>
      <c r="F457" s="1759">
        <f>F456-D456</f>
        <v/>
      </c>
      <c r="G457" s="1760">
        <f>G456-D457</f>
        <v/>
      </c>
      <c r="H457" s="1855" t="n"/>
    </row>
    <row r="458" ht="26.8" customHeight="1" s="1158">
      <c r="A458" s="1766" t="inlineStr">
        <is>
          <t>JT.#231</t>
        </is>
      </c>
      <c r="B458" s="1766" t="inlineStr">
        <is>
          <t>3-1/2" TUBING 9.2 LB/FT ALLOY 28 TSH BL</t>
        </is>
      </c>
      <c r="C458" s="1767" t="n">
        <v>31</v>
      </c>
      <c r="D458" s="1785">
        <f>C458</f>
        <v/>
      </c>
      <c r="E458" s="1759">
        <f>E457+D458</f>
        <v/>
      </c>
      <c r="F458" s="1759">
        <f>F457-D457</f>
        <v/>
      </c>
      <c r="G458" s="1760">
        <f>G457-D458</f>
        <v/>
      </c>
      <c r="H458" s="1855" t="n"/>
    </row>
    <row r="459" ht="26.8" customHeight="1" s="1158">
      <c r="A459" s="1766" t="inlineStr">
        <is>
          <t>JT.#232</t>
        </is>
      </c>
      <c r="B459" s="1766" t="inlineStr">
        <is>
          <t>3-1/2" TUBING 9.2 LB/FT ALLOY 28 TSH BL</t>
        </is>
      </c>
      <c r="C459" s="1767" t="n">
        <v>31</v>
      </c>
      <c r="D459" s="1785">
        <f>C459</f>
        <v/>
      </c>
      <c r="E459" s="1759">
        <f>E458+D459</f>
        <v/>
      </c>
      <c r="F459" s="1759">
        <f>F458-D458</f>
        <v/>
      </c>
      <c r="G459" s="1760">
        <f>G458-D459</f>
        <v/>
      </c>
      <c r="H459" s="1855" t="n"/>
    </row>
    <row r="460" ht="26.8" customHeight="1" s="1158">
      <c r="A460" s="1766" t="inlineStr">
        <is>
          <t>JT.#233</t>
        </is>
      </c>
      <c r="B460" s="1766" t="inlineStr">
        <is>
          <t>3-1/2" TUBING 9.2 LB/FT ALLOY 28 TSH BL</t>
        </is>
      </c>
      <c r="C460" s="1767" t="n">
        <v>31</v>
      </c>
      <c r="D460" s="1785">
        <f>C460</f>
        <v/>
      </c>
      <c r="E460" s="1759">
        <f>E459+D460</f>
        <v/>
      </c>
      <c r="F460" s="1759">
        <f>F459-D459</f>
        <v/>
      </c>
      <c r="G460" s="1760">
        <f>G459-D460</f>
        <v/>
      </c>
      <c r="H460" s="1855" t="n"/>
    </row>
    <row r="461" ht="26.8" customHeight="1" s="1158">
      <c r="A461" s="1766" t="inlineStr">
        <is>
          <t>JT.#234</t>
        </is>
      </c>
      <c r="B461" s="1766" t="inlineStr">
        <is>
          <t>3-1/2" TUBING 9.2 LB/FT ALLOY 28 TSH BL</t>
        </is>
      </c>
      <c r="C461" s="1767" t="n">
        <v>31</v>
      </c>
      <c r="D461" s="1785">
        <f>C461</f>
        <v/>
      </c>
      <c r="E461" s="1759">
        <f>E460+D461</f>
        <v/>
      </c>
      <c r="F461" s="1759">
        <f>F460-D460</f>
        <v/>
      </c>
      <c r="G461" s="1760">
        <f>G460-D461</f>
        <v/>
      </c>
      <c r="H461" s="1855" t="n"/>
    </row>
    <row r="462" ht="26.8" customHeight="1" s="1158">
      <c r="A462" s="1766" t="inlineStr">
        <is>
          <t>JT.#235</t>
        </is>
      </c>
      <c r="B462" s="1766" t="inlineStr">
        <is>
          <t>3-1/2" TUBING 9.2 LB/FT ALLOY 28 TSH BL</t>
        </is>
      </c>
      <c r="C462" s="1767" t="n">
        <v>31</v>
      </c>
      <c r="D462" s="1785">
        <f>C462</f>
        <v/>
      </c>
      <c r="E462" s="1759">
        <f>E461+D462</f>
        <v/>
      </c>
      <c r="F462" s="1759">
        <f>F461-D461</f>
        <v/>
      </c>
      <c r="G462" s="1760">
        <f>G461-D462</f>
        <v/>
      </c>
      <c r="H462" s="1855" t="n"/>
    </row>
    <row r="463" ht="105.95" customHeight="1" s="1158">
      <c r="A463" s="1859" t="inlineStr">
        <is>
          <t>D3</t>
        </is>
      </c>
      <c r="B463" s="1860" t="inlineStr">
        <is>
          <t>UPPER CONN. 3-1/2" VAM TOP BOX 9.2 PPF SN 28 110 KSI
DESCRIPTION: 5 FEET XOVER
SAP: 130005011340
SUPPLIER: TENARIS
LOWER CONN. 3-1/2" TSH BLUE PIN 9.2 PPF SN 28 110 KSI</t>
        </is>
      </c>
      <c r="C463" s="1861" t="n">
        <v>5.19</v>
      </c>
      <c r="D463" s="1785">
        <f>C463</f>
        <v/>
      </c>
      <c r="E463" s="1759">
        <f>E462+D463</f>
        <v/>
      </c>
      <c r="F463" s="1759">
        <f>F462-D462</f>
        <v/>
      </c>
      <c r="G463" s="1760">
        <f>G462-D463</f>
        <v/>
      </c>
      <c r="H463" s="1855" t="n"/>
    </row>
    <row r="464" ht="105.95" customHeight="1" s="1158">
      <c r="A464" s="1778" t="n"/>
      <c r="B464" s="1860" t="inlineStr">
        <is>
          <t>UPPER CONN. 3-1/2" SENTINEL PRIME BOX 9.2 PPF TX28-110 KSI
DESCRIPTION: 5 FEET XOVER
SAP: 130013006385
SUPPLIER: TBX
LOWER CONN. 3-1/2" VAM TOP PIN 9.2 PPF TX28-110 KSI</t>
        </is>
      </c>
      <c r="C464" s="1861" t="n">
        <v>4.96</v>
      </c>
      <c r="D464" s="1785">
        <f>C464</f>
        <v/>
      </c>
      <c r="E464" s="1759">
        <f>E463+D464</f>
        <v/>
      </c>
      <c r="F464" s="1759">
        <f>F463-D463</f>
        <v/>
      </c>
      <c r="G464" s="1760">
        <f>G463-D464</f>
        <v/>
      </c>
      <c r="H464" s="1855" t="n"/>
    </row>
    <row r="465" ht="210.4" customHeight="1" s="1158">
      <c r="A465" s="1778" t="n"/>
      <c r="B465" s="186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861" t="n">
        <v>8.69</v>
      </c>
      <c r="D465" s="1785">
        <f>C465</f>
        <v/>
      </c>
      <c r="E465" s="1759">
        <f>E464+D465</f>
        <v/>
      </c>
      <c r="F465" s="1759">
        <f>F464-D464</f>
        <v/>
      </c>
      <c r="G465" s="1760">
        <f>G464-D465</f>
        <v/>
      </c>
      <c r="H465" s="1855" t="n"/>
    </row>
    <row r="466" ht="105.95" customHeight="1" s="1158">
      <c r="A466" s="1778" t="n"/>
      <c r="B466" s="1860" t="inlineStr">
        <is>
          <t>UPPER CONN. 3-1/2" VAM TOP BOX 9.2 PPF TX28- 110 KSI
DESCRIPTION: 5 FEET XOVER
SAP: 130013006383
SUPPLIER: TBX
LOWER CONN -3-1/2" SENTINEL PRIME PIN 9.2 PPF TX28-110 KSI</t>
        </is>
      </c>
      <c r="C466" s="1861" t="n">
        <v>4.88</v>
      </c>
      <c r="D466" s="1785">
        <f>C466</f>
        <v/>
      </c>
      <c r="E466" s="1759">
        <f>E465+D466</f>
        <v/>
      </c>
      <c r="F466" s="1759">
        <f>F465-D465</f>
        <v/>
      </c>
      <c r="G466" s="1760">
        <f>G465-D466</f>
        <v/>
      </c>
      <c r="H466" s="1855" t="n"/>
    </row>
    <row r="467" ht="105.95" customHeight="1" s="1158">
      <c r="A467" s="1450" t="n"/>
      <c r="B467" s="1860" t="inlineStr">
        <is>
          <t>UPPER CONN. 3-1/2" TSH BLUE BOX 9.2 PPF SN 28 110 KSI
DESCRIPTION: 10 FEET XOVER
SAP: 130005012487
SUPPLIER: TENARIS
LOWER CONN. 3-1/2" VAM TOP PIN 9.2 PPF SN 28 110 KSI</t>
        </is>
      </c>
      <c r="C467" s="1861" t="n">
        <v>9.93</v>
      </c>
      <c r="D467" s="1785">
        <f>C467</f>
        <v/>
      </c>
      <c r="E467" s="1759">
        <f>E466+D467</f>
        <v/>
      </c>
      <c r="F467" s="1759">
        <f>F466-D466</f>
        <v/>
      </c>
      <c r="G467" s="1760">
        <f>G466-D467</f>
        <v/>
      </c>
      <c r="H467" s="1855" t="n"/>
    </row>
    <row r="468" ht="26.8" customHeight="1" s="1158">
      <c r="A468" s="1766" t="inlineStr">
        <is>
          <t>JT.#236</t>
        </is>
      </c>
      <c r="B468" s="1766" t="inlineStr">
        <is>
          <t>3-1/2" TUBING 9.2 LB/FT ALLOY 28 TSH BL</t>
        </is>
      </c>
      <c r="C468" s="1767" t="n">
        <v>31</v>
      </c>
      <c r="D468" s="1785">
        <f>C468</f>
        <v/>
      </c>
      <c r="E468" s="1759">
        <f>E467+D468</f>
        <v/>
      </c>
      <c r="F468" s="1759">
        <f>F467-D467</f>
        <v/>
      </c>
      <c r="G468" s="1760">
        <f>G467-D468</f>
        <v/>
      </c>
      <c r="H468" s="1855" t="n"/>
    </row>
    <row r="469" ht="26.8" customHeight="1" s="1158">
      <c r="A469" s="1766" t="inlineStr">
        <is>
          <t>JT.#237</t>
        </is>
      </c>
      <c r="B469" s="1766" t="inlineStr">
        <is>
          <t>3-1/2" TUBING 9.2 LB/FT ALLOY 28 TSH BL</t>
        </is>
      </c>
      <c r="C469" s="1767" t="n">
        <v>31</v>
      </c>
      <c r="D469" s="1785">
        <f>C469</f>
        <v/>
      </c>
      <c r="E469" s="1759">
        <f>E468+D469</f>
        <v/>
      </c>
      <c r="F469" s="1759">
        <f>F468-D468</f>
        <v/>
      </c>
      <c r="G469" s="1760">
        <f>G468-D469</f>
        <v/>
      </c>
      <c r="H469" s="1855" t="n"/>
    </row>
    <row r="470" ht="26.8" customHeight="1" s="1158">
      <c r="A470" s="1766" t="inlineStr">
        <is>
          <t>JT.#238</t>
        </is>
      </c>
      <c r="B470" s="1766" t="inlineStr">
        <is>
          <t>3-1/2" TUBING 9.2 LB/FT ALLOY 28 TSH BL</t>
        </is>
      </c>
      <c r="C470" s="1767" t="n">
        <v>31</v>
      </c>
      <c r="D470" s="1785">
        <f>C470</f>
        <v/>
      </c>
      <c r="E470" s="1759">
        <f>E469+D470</f>
        <v/>
      </c>
      <c r="F470" s="1759">
        <f>F469-D469</f>
        <v/>
      </c>
      <c r="G470" s="1760">
        <f>G469-D470</f>
        <v/>
      </c>
      <c r="H470" s="1855" t="n"/>
    </row>
    <row r="471" ht="26.8" customHeight="1" s="1158">
      <c r="A471" s="1766" t="inlineStr">
        <is>
          <t>JT.#239</t>
        </is>
      </c>
      <c r="B471" s="1766" t="inlineStr">
        <is>
          <t>3-1/2" TUBING 9.2 LB/FT ALLOY 28 TSH BL</t>
        </is>
      </c>
      <c r="C471" s="1767" t="n">
        <v>31</v>
      </c>
      <c r="D471" s="1785">
        <f>C471</f>
        <v/>
      </c>
      <c r="E471" s="1759">
        <f>E470+D471</f>
        <v/>
      </c>
      <c r="F471" s="1759">
        <f>F470-D470</f>
        <v/>
      </c>
      <c r="G471" s="1760">
        <f>G470-D471</f>
        <v/>
      </c>
      <c r="H471" s="1855" t="n"/>
    </row>
    <row r="472" ht="26.8" customHeight="1" s="1158">
      <c r="A472" s="1766" t="inlineStr">
        <is>
          <t>JT.#240</t>
        </is>
      </c>
      <c r="B472" s="1766" t="inlineStr">
        <is>
          <t>3-1/2" TUBING 9.2 LB/FT ALLOY 28 TSH BL</t>
        </is>
      </c>
      <c r="C472" s="1767" t="n">
        <v>31</v>
      </c>
      <c r="D472" s="1785">
        <f>C472</f>
        <v/>
      </c>
      <c r="E472" s="1759">
        <f>E471+D472</f>
        <v/>
      </c>
      <c r="F472" s="1759">
        <f>F471-D471</f>
        <v/>
      </c>
      <c r="G472" s="1760">
        <f>G471-D472</f>
        <v/>
      </c>
      <c r="H472" s="1855" t="n"/>
    </row>
    <row r="473" ht="26.8" customHeight="1" s="1158">
      <c r="A473" s="1766" t="inlineStr">
        <is>
          <t>JT.#241</t>
        </is>
      </c>
      <c r="B473" s="1766" t="inlineStr">
        <is>
          <t>3-1/2" TUBING 9.2 LB/FT ALLOY 28 TSH BL</t>
        </is>
      </c>
      <c r="C473" s="1767" t="n">
        <v>31</v>
      </c>
      <c r="D473" s="1785">
        <f>C473</f>
        <v/>
      </c>
      <c r="E473" s="1759">
        <f>E472+D473</f>
        <v/>
      </c>
      <c r="F473" s="1759">
        <f>F472-D472</f>
        <v/>
      </c>
      <c r="G473" s="1760">
        <f>G472-D473</f>
        <v/>
      </c>
      <c r="H473" s="1855" t="n"/>
    </row>
    <row r="474" ht="26.8" customHeight="1" s="1158">
      <c r="A474" s="1766" t="inlineStr">
        <is>
          <t>JT.#242</t>
        </is>
      </c>
      <c r="B474" s="1766" t="inlineStr">
        <is>
          <t>3-1/2" TUBING 9.2 LB/FT ALLOY 28 TSH BL</t>
        </is>
      </c>
      <c r="C474" s="1767" t="n">
        <v>31</v>
      </c>
      <c r="D474" s="1785">
        <f>C474</f>
        <v/>
      </c>
      <c r="E474" s="1759">
        <f>E473+D474</f>
        <v/>
      </c>
      <c r="F474" s="1759">
        <f>F473-D473</f>
        <v/>
      </c>
      <c r="G474" s="1760">
        <f>G473-D474</f>
        <v/>
      </c>
      <c r="H474" s="1855" t="n"/>
    </row>
    <row r="475" ht="26.8" customHeight="1" s="1158">
      <c r="A475" s="1766" t="inlineStr">
        <is>
          <t>JT.#243</t>
        </is>
      </c>
      <c r="B475" s="1766" t="inlineStr">
        <is>
          <t>3-1/2" TUBING 9.2 LB/FT ALLOY 28 TSH BL</t>
        </is>
      </c>
      <c r="C475" s="1767" t="n">
        <v>31</v>
      </c>
      <c r="D475" s="1785">
        <f>C475</f>
        <v/>
      </c>
      <c r="E475" s="1759">
        <f>E474+D475</f>
        <v/>
      </c>
      <c r="F475" s="1759">
        <f>F474-D474</f>
        <v/>
      </c>
      <c r="G475" s="1760">
        <f>G474-D475</f>
        <v/>
      </c>
      <c r="H475" s="1855" t="n"/>
    </row>
    <row r="476" ht="26.8" customHeight="1" s="1158">
      <c r="A476" s="1766" t="inlineStr">
        <is>
          <t>JT.#244</t>
        </is>
      </c>
      <c r="B476" s="1766" t="inlineStr">
        <is>
          <t>3-1/2" TUBING 9.2 LB/FT ALLOY 28 TSH BL</t>
        </is>
      </c>
      <c r="C476" s="1767" t="n">
        <v>31</v>
      </c>
      <c r="D476" s="1785">
        <f>C476</f>
        <v/>
      </c>
      <c r="E476" s="1759">
        <f>E475+D476</f>
        <v/>
      </c>
      <c r="F476" s="1759">
        <f>F475-D475</f>
        <v/>
      </c>
      <c r="G476" s="1760">
        <f>G475-D476</f>
        <v/>
      </c>
      <c r="H476" s="1855" t="n"/>
    </row>
    <row r="477" ht="26.8" customHeight="1" s="1158">
      <c r="A477" s="1766" t="inlineStr">
        <is>
          <t>JT.#245</t>
        </is>
      </c>
      <c r="B477" s="1766" t="inlineStr">
        <is>
          <t>3-1/2" TUBING 9.2 LB/FT ALLOY 28 TSH BL</t>
        </is>
      </c>
      <c r="C477" s="1767" t="n">
        <v>31</v>
      </c>
      <c r="D477" s="1785">
        <f>C477</f>
        <v/>
      </c>
      <c r="E477" s="1759">
        <f>E476+D477</f>
        <v/>
      </c>
      <c r="F477" s="1759">
        <f>F476-D476</f>
        <v/>
      </c>
      <c r="G477" s="1760">
        <f>G476-D477</f>
        <v/>
      </c>
      <c r="H477" s="1855" t="n"/>
    </row>
    <row r="478" ht="26.8" customHeight="1" s="1158">
      <c r="A478" s="1766" t="inlineStr">
        <is>
          <t>JT.#246</t>
        </is>
      </c>
      <c r="B478" s="1766" t="inlineStr">
        <is>
          <t>3-1/2" TUBING 9.2 LB/FT ALLOY 28 TSH BL</t>
        </is>
      </c>
      <c r="C478" s="1767" t="n">
        <v>31</v>
      </c>
      <c r="D478" s="1785">
        <f>C478</f>
        <v/>
      </c>
      <c r="E478" s="1759">
        <f>E477+D478</f>
        <v/>
      </c>
      <c r="F478" s="1759">
        <f>F477-D477</f>
        <v/>
      </c>
      <c r="G478" s="1760">
        <f>G477-D478</f>
        <v/>
      </c>
      <c r="H478" s="1855" t="n"/>
    </row>
    <row r="479" ht="26.8" customHeight="1" s="1158">
      <c r="A479" s="1766" t="inlineStr">
        <is>
          <t>JT.#247</t>
        </is>
      </c>
      <c r="B479" s="1766" t="inlineStr">
        <is>
          <t>3-1/2" TUBING 9.2 LB/FT ALLOY 28 TSH BL</t>
        </is>
      </c>
      <c r="C479" s="1767" t="n">
        <v>31</v>
      </c>
      <c r="D479" s="1785">
        <f>C479</f>
        <v/>
      </c>
      <c r="E479" s="1759">
        <f>E478+D479</f>
        <v/>
      </c>
      <c r="F479" s="1759">
        <f>F478-D478</f>
        <v/>
      </c>
      <c r="G479" s="1760">
        <f>G478-D479</f>
        <v/>
      </c>
      <c r="H479" s="1855" t="n"/>
    </row>
    <row r="480" ht="26.8" customHeight="1" s="1158">
      <c r="A480" s="1766" t="inlineStr">
        <is>
          <t>JT.#248</t>
        </is>
      </c>
      <c r="B480" s="1766" t="inlineStr">
        <is>
          <t>3-1/2" TUBING 9.2 LB/FT ALLOY 28 TSH BL</t>
        </is>
      </c>
      <c r="C480" s="1767" t="n">
        <v>31</v>
      </c>
      <c r="D480" s="1785">
        <f>C480</f>
        <v/>
      </c>
      <c r="E480" s="1759">
        <f>E479+D480</f>
        <v/>
      </c>
      <c r="F480" s="1759">
        <f>F479-D479</f>
        <v/>
      </c>
      <c r="G480" s="1760">
        <f>G479-D480</f>
        <v/>
      </c>
      <c r="H480" s="1855" t="n"/>
    </row>
    <row r="481" ht="26.8" customHeight="1" s="1158">
      <c r="A481" s="1766" t="inlineStr">
        <is>
          <t>JT.#249</t>
        </is>
      </c>
      <c r="B481" s="1766" t="inlineStr">
        <is>
          <t>3-1/2" TUBING 9.2 LB/FT ALLOY 28 TSH BL</t>
        </is>
      </c>
      <c r="C481" s="1767" t="n">
        <v>31</v>
      </c>
      <c r="D481" s="1785">
        <f>C481</f>
        <v/>
      </c>
      <c r="E481" s="1759">
        <f>E480+D481</f>
        <v/>
      </c>
      <c r="F481" s="1759">
        <f>F480-D480</f>
        <v/>
      </c>
      <c r="G481" s="1760">
        <f>G480-D481</f>
        <v/>
      </c>
      <c r="H481" s="1855" t="n"/>
    </row>
    <row r="482" ht="26.8" customHeight="1" s="1158">
      <c r="A482" s="1766" t="inlineStr">
        <is>
          <t>JT.#250</t>
        </is>
      </c>
      <c r="B482" s="1766" t="inlineStr">
        <is>
          <t>3-1/2" TUBING 9.2 LB/FT ALLOY 28 TSH BL</t>
        </is>
      </c>
      <c r="C482" s="1767" t="n">
        <v>31</v>
      </c>
      <c r="D482" s="1785">
        <f>C482</f>
        <v/>
      </c>
      <c r="E482" s="1759">
        <f>E481+D482</f>
        <v/>
      </c>
      <c r="F482" s="1759">
        <f>F481-D481</f>
        <v/>
      </c>
      <c r="G482" s="1760">
        <f>G481-D482</f>
        <v/>
      </c>
      <c r="H482" s="1855" t="n"/>
    </row>
    <row r="483" ht="26.8" customHeight="1" s="1158">
      <c r="A483" s="1766" t="inlineStr">
        <is>
          <t>JT.#251</t>
        </is>
      </c>
      <c r="B483" s="1766" t="inlineStr">
        <is>
          <t>3-1/2" TUBING 9.2 LB/FT ALLOY 28 TSH BL</t>
        </is>
      </c>
      <c r="C483" s="1767" t="n">
        <v>31</v>
      </c>
      <c r="D483" s="1785">
        <f>C483</f>
        <v/>
      </c>
      <c r="E483" s="1759">
        <f>E482+D483</f>
        <v/>
      </c>
      <c r="F483" s="1759">
        <f>F482-D482</f>
        <v/>
      </c>
      <c r="G483" s="1760">
        <f>G482-D483</f>
        <v/>
      </c>
      <c r="H483" s="1855" t="n"/>
    </row>
    <row r="484" ht="26.8" customHeight="1" s="1158">
      <c r="A484" s="1766" t="inlineStr">
        <is>
          <t>JT.#252</t>
        </is>
      </c>
      <c r="B484" s="1766" t="inlineStr">
        <is>
          <t>3-1/2" TUBING 9.2 LB/FT ALLOY 28 TSH BL</t>
        </is>
      </c>
      <c r="C484" s="1767" t="n">
        <v>31</v>
      </c>
      <c r="D484" s="1785">
        <f>C484</f>
        <v/>
      </c>
      <c r="E484" s="1759">
        <f>E483+D484</f>
        <v/>
      </c>
      <c r="F484" s="1759">
        <f>F483-D483</f>
        <v/>
      </c>
      <c r="G484" s="1760">
        <f>G483-D484</f>
        <v/>
      </c>
      <c r="H484" s="1855" t="n"/>
    </row>
    <row r="485" ht="26.8" customHeight="1" s="1158">
      <c r="A485" s="1766" t="inlineStr">
        <is>
          <t>JT.#253</t>
        </is>
      </c>
      <c r="B485" s="1766" t="inlineStr">
        <is>
          <t>3-1/2" TUBING 9.2 LB/FT ALLOY 28 TSH BL</t>
        </is>
      </c>
      <c r="C485" s="1767" t="n">
        <v>31</v>
      </c>
      <c r="D485" s="1785">
        <f>C485</f>
        <v/>
      </c>
      <c r="E485" s="1759">
        <f>E484+D485</f>
        <v/>
      </c>
      <c r="F485" s="1759">
        <f>F484-D484</f>
        <v/>
      </c>
      <c r="G485" s="1760">
        <f>G484-D485</f>
        <v/>
      </c>
      <c r="H485" s="1855" t="n"/>
    </row>
    <row r="486" ht="26.8" customHeight="1" s="1158">
      <c r="A486" s="1766" t="inlineStr">
        <is>
          <t>JT.#254</t>
        </is>
      </c>
      <c r="B486" s="1766" t="inlineStr">
        <is>
          <t>3-1/2" TUBING 9.2 LB/FT ALLOY 28 TSH BL</t>
        </is>
      </c>
      <c r="C486" s="1767" t="n">
        <v>31</v>
      </c>
      <c r="D486" s="1785">
        <f>C486</f>
        <v/>
      </c>
      <c r="E486" s="1759">
        <f>E485+D486</f>
        <v/>
      </c>
      <c r="F486" s="1759">
        <f>F485-D485</f>
        <v/>
      </c>
      <c r="G486" s="1760">
        <f>G485-D486</f>
        <v/>
      </c>
      <c r="H486" s="1855" t="n"/>
    </row>
    <row r="487" ht="26.8" customHeight="1" s="1158">
      <c r="A487" s="1766" t="inlineStr">
        <is>
          <t>JT.#255</t>
        </is>
      </c>
      <c r="B487" s="1766" t="inlineStr">
        <is>
          <t>3-1/2" TUBING 9.2 LB/FT ALLOY 28 TSH BL</t>
        </is>
      </c>
      <c r="C487" s="1767" t="n">
        <v>31</v>
      </c>
      <c r="D487" s="1785">
        <f>C487</f>
        <v/>
      </c>
      <c r="E487" s="1759">
        <f>E486+D487</f>
        <v/>
      </c>
      <c r="F487" s="1759">
        <f>F486-D486</f>
        <v/>
      </c>
      <c r="G487" s="1760">
        <f>G486-D487</f>
        <v/>
      </c>
      <c r="H487" s="1855" t="n"/>
    </row>
    <row r="488" ht="26.8" customHeight="1" s="1158">
      <c r="A488" s="1766" t="inlineStr">
        <is>
          <t>JT.#256</t>
        </is>
      </c>
      <c r="B488" s="1766" t="inlineStr">
        <is>
          <t>3-1/2" TUBING 9.2 LB/FT ALLOY 28 TSH BL</t>
        </is>
      </c>
      <c r="C488" s="1767" t="n">
        <v>31</v>
      </c>
      <c r="D488" s="1785">
        <f>C488</f>
        <v/>
      </c>
      <c r="E488" s="1759">
        <f>E487+D488</f>
        <v/>
      </c>
      <c r="F488" s="1759">
        <f>F487-D487</f>
        <v/>
      </c>
      <c r="G488" s="1760">
        <f>G487-D488</f>
        <v/>
      </c>
      <c r="H488" s="1855" t="n"/>
    </row>
    <row r="489" ht="26.8" customHeight="1" s="1158">
      <c r="A489" s="1766" t="inlineStr">
        <is>
          <t>JT.#257</t>
        </is>
      </c>
      <c r="B489" s="1766" t="inlineStr">
        <is>
          <t>3-1/2" TUBING 9.2 LB/FT ALLOY 28 TSH BL</t>
        </is>
      </c>
      <c r="C489" s="1767" t="n">
        <v>31</v>
      </c>
      <c r="D489" s="1785">
        <f>C489</f>
        <v/>
      </c>
      <c r="E489" s="1759">
        <f>E488+D489</f>
        <v/>
      </c>
      <c r="F489" s="1759">
        <f>F488-D488</f>
        <v/>
      </c>
      <c r="G489" s="1760">
        <f>G488-D489</f>
        <v/>
      </c>
      <c r="H489" s="1855" t="n"/>
    </row>
    <row r="490" ht="26.8" customHeight="1" s="1158">
      <c r="A490" s="1766" t="inlineStr">
        <is>
          <t>JT.#258</t>
        </is>
      </c>
      <c r="B490" s="1766" t="inlineStr">
        <is>
          <t>3-1/2" TUBING 9.2 LB/FT ALLOY 28 TSH BL</t>
        </is>
      </c>
      <c r="C490" s="1767" t="n">
        <v>31</v>
      </c>
      <c r="D490" s="1785">
        <f>C490</f>
        <v/>
      </c>
      <c r="E490" s="1759">
        <f>E489+D490</f>
        <v/>
      </c>
      <c r="F490" s="1759">
        <f>F489-D489</f>
        <v/>
      </c>
      <c r="G490" s="1760">
        <f>G489-D490</f>
        <v/>
      </c>
      <c r="H490" s="1855" t="n"/>
    </row>
    <row r="491" ht="26.8" customHeight="1" s="1158">
      <c r="A491" s="1766" t="inlineStr">
        <is>
          <t>JT.#259</t>
        </is>
      </c>
      <c r="B491" s="1766" t="inlineStr">
        <is>
          <t>3-1/2" TUBING 9.2 LB/FT ALLOY 28 TSH BL</t>
        </is>
      </c>
      <c r="C491" s="1767" t="n">
        <v>31</v>
      </c>
      <c r="D491" s="1785">
        <f>C491</f>
        <v/>
      </c>
      <c r="E491" s="1759">
        <f>E490+D491</f>
        <v/>
      </c>
      <c r="F491" s="1759">
        <f>F490-D490</f>
        <v/>
      </c>
      <c r="G491" s="1760">
        <f>G490-D491</f>
        <v/>
      </c>
      <c r="H491" s="1855" t="n"/>
    </row>
    <row r="492" ht="26.8" customHeight="1" s="1158">
      <c r="A492" s="1766" t="inlineStr">
        <is>
          <t>JT.#260</t>
        </is>
      </c>
      <c r="B492" s="1766" t="inlineStr">
        <is>
          <t>3-1/2" TUBING 9.2 LB/FT ALLOY 28 TSH BL</t>
        </is>
      </c>
      <c r="C492" s="1767" t="n">
        <v>31</v>
      </c>
      <c r="D492" s="1785">
        <f>C492</f>
        <v/>
      </c>
      <c r="E492" s="1759">
        <f>E491+D492</f>
        <v/>
      </c>
      <c r="F492" s="1759">
        <f>F491-D491</f>
        <v/>
      </c>
      <c r="G492" s="1760">
        <f>G491-D492</f>
        <v/>
      </c>
      <c r="H492" s="1855" t="n"/>
    </row>
    <row r="493" ht="26.8" customHeight="1" s="1158">
      <c r="A493" s="1766" t="inlineStr">
        <is>
          <t>JT.#261</t>
        </is>
      </c>
      <c r="B493" s="1766" t="inlineStr">
        <is>
          <t>3-1/2" TUBING 9.2 LB/FT ALLOY 28 TSH BL</t>
        </is>
      </c>
      <c r="C493" s="1767" t="n">
        <v>31</v>
      </c>
      <c r="D493" s="1785">
        <f>C493</f>
        <v/>
      </c>
      <c r="E493" s="1759">
        <f>E492+D493</f>
        <v/>
      </c>
      <c r="F493" s="1759">
        <f>F492-D492</f>
        <v/>
      </c>
      <c r="G493" s="1760">
        <f>G492-D493</f>
        <v/>
      </c>
      <c r="H493" s="1855" t="n"/>
    </row>
    <row r="494" ht="26.8" customHeight="1" s="1158">
      <c r="A494" s="1766" t="inlineStr">
        <is>
          <t>JT.#262</t>
        </is>
      </c>
      <c r="B494" s="1766" t="inlineStr">
        <is>
          <t>3-1/2" TUBING 9.2 LB/FT ALLOY 28 TSH BL</t>
        </is>
      </c>
      <c r="C494" s="1767" t="n">
        <v>31</v>
      </c>
      <c r="D494" s="1785">
        <f>C494</f>
        <v/>
      </c>
      <c r="E494" s="1759">
        <f>E493+D494</f>
        <v/>
      </c>
      <c r="F494" s="1759">
        <f>F493-D493</f>
        <v/>
      </c>
      <c r="G494" s="1760">
        <f>G493-D494</f>
        <v/>
      </c>
      <c r="H494" s="1855" t="n"/>
    </row>
    <row r="495" ht="26.8" customHeight="1" s="1158">
      <c r="A495" s="1766" t="inlineStr">
        <is>
          <t>JT.#263</t>
        </is>
      </c>
      <c r="B495" s="1766" t="inlineStr">
        <is>
          <t>3-1/2" TUBING 9.2 LB/FT ALLOY 28 TSH BL</t>
        </is>
      </c>
      <c r="C495" s="1767" t="n">
        <v>31</v>
      </c>
      <c r="D495" s="1785">
        <f>C495</f>
        <v/>
      </c>
      <c r="E495" s="1759">
        <f>E494+D495</f>
        <v/>
      </c>
      <c r="F495" s="1759">
        <f>F494-D494</f>
        <v/>
      </c>
      <c r="G495" s="1760">
        <f>G494-D495</f>
        <v/>
      </c>
      <c r="H495" s="1855" t="n"/>
    </row>
    <row r="496" ht="26.8" customHeight="1" s="1158">
      <c r="A496" s="1766" t="inlineStr">
        <is>
          <t>JT.#264</t>
        </is>
      </c>
      <c r="B496" s="1766" t="inlineStr">
        <is>
          <t>3-1/2" TUBING 9.2 LB/FT ALLOY 28 TSH BL</t>
        </is>
      </c>
      <c r="C496" s="1767" t="n">
        <v>31</v>
      </c>
      <c r="D496" s="1785">
        <f>C496</f>
        <v/>
      </c>
      <c r="E496" s="1759">
        <f>E495+D496</f>
        <v/>
      </c>
      <c r="F496" s="1759">
        <f>F495-D495</f>
        <v/>
      </c>
      <c r="G496" s="1760">
        <f>G495-D496</f>
        <v/>
      </c>
      <c r="H496" s="1855" t="n"/>
    </row>
    <row r="497" ht="26.8" customHeight="1" s="1158">
      <c r="A497" s="1766" t="inlineStr">
        <is>
          <t>JT.#265</t>
        </is>
      </c>
      <c r="B497" s="1766" t="inlineStr">
        <is>
          <t>3-1/2" TUBING 9.2 LB/FT ALLOY 28 TSH BL</t>
        </is>
      </c>
      <c r="C497" s="1767" t="n">
        <v>31</v>
      </c>
      <c r="D497" s="1785">
        <f>C497</f>
        <v/>
      </c>
      <c r="E497" s="1759">
        <f>E496+D497</f>
        <v/>
      </c>
      <c r="F497" s="1759">
        <f>F496-D496</f>
        <v/>
      </c>
      <c r="G497" s="1760">
        <f>G496-D497</f>
        <v/>
      </c>
      <c r="H497" s="1855" t="n"/>
    </row>
    <row r="498" ht="26.8" customHeight="1" s="1158">
      <c r="A498" s="1766" t="inlineStr">
        <is>
          <t>JT.#266</t>
        </is>
      </c>
      <c r="B498" s="1766" t="inlineStr">
        <is>
          <t>3-1/2" TUBING 9.2 LB/FT ALLOY 28 TSH BL</t>
        </is>
      </c>
      <c r="C498" s="1767" t="n">
        <v>31</v>
      </c>
      <c r="D498" s="1785">
        <f>C498</f>
        <v/>
      </c>
      <c r="E498" s="1759">
        <f>E497+D498</f>
        <v/>
      </c>
      <c r="F498" s="1759">
        <f>F497-D497</f>
        <v/>
      </c>
      <c r="G498" s="1760">
        <f>G497-D498</f>
        <v/>
      </c>
      <c r="H498" s="1855" t="n"/>
    </row>
    <row r="499" ht="26.8" customHeight="1" s="1158">
      <c r="A499" s="1766" t="inlineStr">
        <is>
          <t>JT.#267</t>
        </is>
      </c>
      <c r="B499" s="1766" t="inlineStr">
        <is>
          <t>3-1/2" TUBING 9.2 LB/FT ALLOY 28 TSH BL</t>
        </is>
      </c>
      <c r="C499" s="1767" t="n">
        <v>31</v>
      </c>
      <c r="D499" s="1785">
        <f>C499</f>
        <v/>
      </c>
      <c r="E499" s="1759">
        <f>E498+D499</f>
        <v/>
      </c>
      <c r="F499" s="1759">
        <f>F498-D498</f>
        <v/>
      </c>
      <c r="G499" s="1760">
        <f>G498-D499</f>
        <v/>
      </c>
      <c r="H499" s="1855" t="n"/>
    </row>
    <row r="500" ht="26.8" customHeight="1" s="1158">
      <c r="A500" s="1766" t="inlineStr">
        <is>
          <t>JT.#268</t>
        </is>
      </c>
      <c r="B500" s="1766" t="inlineStr">
        <is>
          <t>3-1/2" TUBING 9.2 LB/FT ALLOY 28 TSH BL</t>
        </is>
      </c>
      <c r="C500" s="1767" t="n">
        <v>31</v>
      </c>
      <c r="D500" s="1785">
        <f>C500</f>
        <v/>
      </c>
      <c r="E500" s="1759">
        <f>E499+D500</f>
        <v/>
      </c>
      <c r="F500" s="1759">
        <f>F499-D499</f>
        <v/>
      </c>
      <c r="G500" s="1760">
        <f>G499-D500</f>
        <v/>
      </c>
      <c r="H500" s="1855" t="n"/>
    </row>
    <row r="501" ht="26.8" customHeight="1" s="1158">
      <c r="A501" s="1766" t="inlineStr">
        <is>
          <t>JT.#269</t>
        </is>
      </c>
      <c r="B501" s="1766" t="inlineStr">
        <is>
          <t>3-1/2" TUBING 9.2 LB/FT ALLOY 28 TSH BL</t>
        </is>
      </c>
      <c r="C501" s="1767" t="n">
        <v>31</v>
      </c>
      <c r="D501" s="1785">
        <f>C501</f>
        <v/>
      </c>
      <c r="E501" s="1759">
        <f>E500+D501</f>
        <v/>
      </c>
      <c r="F501" s="1759">
        <f>F500-D500</f>
        <v/>
      </c>
      <c r="G501" s="1760">
        <f>G500-D501</f>
        <v/>
      </c>
      <c r="H501" s="1855" t="n"/>
    </row>
    <row r="502" ht="26.8" customHeight="1" s="1158">
      <c r="A502" s="1766" t="inlineStr">
        <is>
          <t>JT.#270</t>
        </is>
      </c>
      <c r="B502" s="1766" t="inlineStr">
        <is>
          <t>3-1/2" TUBING 9.2 LB/FT ALLOY 28 TSH BL</t>
        </is>
      </c>
      <c r="C502" s="1767" t="n">
        <v>31</v>
      </c>
      <c r="D502" s="1785">
        <f>C502</f>
        <v/>
      </c>
      <c r="E502" s="1759">
        <f>E501+D502</f>
        <v/>
      </c>
      <c r="F502" s="1759">
        <f>F501-D501</f>
        <v/>
      </c>
      <c r="G502" s="1760">
        <f>G501-D502</f>
        <v/>
      </c>
      <c r="H502" s="1855" t="n"/>
    </row>
    <row r="503" ht="26.8" customHeight="1" s="1158">
      <c r="A503" s="1766" t="inlineStr">
        <is>
          <t>JT.#271</t>
        </is>
      </c>
      <c r="B503" s="1766" t="inlineStr">
        <is>
          <t>3-1/2" TUBING 9.2 LB/FT ALLOY 28 TSH BL</t>
        </is>
      </c>
      <c r="C503" s="1767" t="n">
        <v>31</v>
      </c>
      <c r="D503" s="1785">
        <f>C503</f>
        <v/>
      </c>
      <c r="E503" s="1759">
        <f>E502+D503</f>
        <v/>
      </c>
      <c r="F503" s="1759">
        <f>F502-D502</f>
        <v/>
      </c>
      <c r="G503" s="1760">
        <f>G502-D503</f>
        <v/>
      </c>
      <c r="H503" s="1855" t="n"/>
    </row>
    <row r="504" ht="26.8" customHeight="1" s="1158">
      <c r="A504" s="1766" t="inlineStr">
        <is>
          <t>JT.#272</t>
        </is>
      </c>
      <c r="B504" s="1766" t="inlineStr">
        <is>
          <t>3-1/2" TUBING 9.2 LB/FT ALLOY 28 TSH BL</t>
        </is>
      </c>
      <c r="C504" s="1767" t="n">
        <v>31</v>
      </c>
      <c r="D504" s="1785">
        <f>C504</f>
        <v/>
      </c>
      <c r="E504" s="1759">
        <f>E503+D504</f>
        <v/>
      </c>
      <c r="F504" s="1759">
        <f>F503-D503</f>
        <v/>
      </c>
      <c r="G504" s="1760">
        <f>G503-D504</f>
        <v/>
      </c>
      <c r="H504" s="1855" t="n"/>
    </row>
    <row r="505" ht="26.8" customHeight="1" s="1158">
      <c r="A505" s="1766" t="inlineStr">
        <is>
          <t>JT.#273</t>
        </is>
      </c>
      <c r="B505" s="1766" t="inlineStr">
        <is>
          <t>3-1/2" TUBING 9.2 LB/FT ALLOY 28 TSH BL</t>
        </is>
      </c>
      <c r="C505" s="1767" t="n">
        <v>31</v>
      </c>
      <c r="D505" s="1785">
        <f>C505</f>
        <v/>
      </c>
      <c r="E505" s="1759">
        <f>E504+D505</f>
        <v/>
      </c>
      <c r="F505" s="1759">
        <f>F504-D504</f>
        <v/>
      </c>
      <c r="G505" s="1760">
        <f>G504-D505</f>
        <v/>
      </c>
      <c r="H505" s="1855" t="n"/>
    </row>
    <row r="506" ht="26.8" customHeight="1" s="1158">
      <c r="A506" s="1766" t="inlineStr">
        <is>
          <t>JT.#274</t>
        </is>
      </c>
      <c r="B506" s="1766" t="inlineStr">
        <is>
          <t>3-1/2" TUBING 9.2 LB/FT ALLOY 28 TSH BL</t>
        </is>
      </c>
      <c r="C506" s="1767" t="n">
        <v>31</v>
      </c>
      <c r="D506" s="1785">
        <f>C506</f>
        <v/>
      </c>
      <c r="E506" s="1759">
        <f>E505+D506</f>
        <v/>
      </c>
      <c r="F506" s="1759">
        <f>F505-D505</f>
        <v/>
      </c>
      <c r="G506" s="1760">
        <f>G505-D506</f>
        <v/>
      </c>
      <c r="H506" s="1855" t="n"/>
    </row>
    <row r="507" ht="26.8" customHeight="1" s="1158">
      <c r="A507" s="1766" t="inlineStr">
        <is>
          <t>JT.#275</t>
        </is>
      </c>
      <c r="B507" s="1766" t="inlineStr">
        <is>
          <t>3-1/2" TUBING 9.2 LB/FT ALLOY 28 TSH BL</t>
        </is>
      </c>
      <c r="C507" s="1767" t="n">
        <v>31</v>
      </c>
      <c r="D507" s="1785">
        <f>C507</f>
        <v/>
      </c>
      <c r="E507" s="1759">
        <f>E506+D507</f>
        <v/>
      </c>
      <c r="F507" s="1759">
        <f>F506-D506</f>
        <v/>
      </c>
      <c r="G507" s="1760">
        <f>G506-D507</f>
        <v/>
      </c>
      <c r="H507" s="1855" t="n"/>
    </row>
    <row r="508" ht="26.8" customHeight="1" s="1158">
      <c r="A508" s="1766" t="inlineStr">
        <is>
          <t>JT.#276</t>
        </is>
      </c>
      <c r="B508" s="1766" t="inlineStr">
        <is>
          <t>3-1/2" TUBING 9.2 LB/FT ALLOY 28 TSH BL</t>
        </is>
      </c>
      <c r="C508" s="1767" t="n">
        <v>31</v>
      </c>
      <c r="D508" s="1785">
        <f>C508</f>
        <v/>
      </c>
      <c r="E508" s="1759">
        <f>E507+D508</f>
        <v/>
      </c>
      <c r="F508" s="1759">
        <f>F507-D507</f>
        <v/>
      </c>
      <c r="G508" s="1760">
        <f>G507-D508</f>
        <v/>
      </c>
      <c r="H508" s="1855" t="n"/>
    </row>
    <row r="509" ht="26.8" customHeight="1" s="1158">
      <c r="A509" s="1766" t="inlineStr">
        <is>
          <t>JT.#277</t>
        </is>
      </c>
      <c r="B509" s="1766" t="inlineStr">
        <is>
          <t>3-1/2" TUBING 9.2 LB/FT ALLOY 28 TSH BL</t>
        </is>
      </c>
      <c r="C509" s="1767" t="n">
        <v>31</v>
      </c>
      <c r="D509" s="1785">
        <f>C509</f>
        <v/>
      </c>
      <c r="E509" s="1759">
        <f>E508+D509</f>
        <v/>
      </c>
      <c r="F509" s="1759">
        <f>F508-D508</f>
        <v/>
      </c>
      <c r="G509" s="1760">
        <f>G508-D509</f>
        <v/>
      </c>
      <c r="H509" s="1855" t="n"/>
    </row>
    <row r="510" ht="26.8" customHeight="1" s="1158">
      <c r="A510" s="1766" t="inlineStr">
        <is>
          <t>JT.#278</t>
        </is>
      </c>
      <c r="B510" s="1766" t="inlineStr">
        <is>
          <t>3-1/2" TUBING 9.2 LB/FT ALLOY 28 TSH BL</t>
        </is>
      </c>
      <c r="C510" s="1767" t="n">
        <v>31</v>
      </c>
      <c r="D510" s="1785">
        <f>C510</f>
        <v/>
      </c>
      <c r="E510" s="1759">
        <f>E509+D510</f>
        <v/>
      </c>
      <c r="F510" s="1759">
        <f>F509-D509</f>
        <v/>
      </c>
      <c r="G510" s="1760">
        <f>G509-D510</f>
        <v/>
      </c>
      <c r="H510" s="1855" t="n"/>
    </row>
    <row r="511" ht="26.8" customHeight="1" s="1158">
      <c r="A511" s="1766" t="inlineStr">
        <is>
          <t>JT.#279</t>
        </is>
      </c>
      <c r="B511" s="1766" t="inlineStr">
        <is>
          <t>3-1/2" TUBING 9.2 LB/FT ALLOY 28 TSH BL</t>
        </is>
      </c>
      <c r="C511" s="1767" t="n">
        <v>31</v>
      </c>
      <c r="D511" s="1785">
        <f>C511</f>
        <v/>
      </c>
      <c r="E511" s="1759">
        <f>E510+D511</f>
        <v/>
      </c>
      <c r="F511" s="1759">
        <f>F510-D510</f>
        <v/>
      </c>
      <c r="G511" s="1760">
        <f>G510-D511</f>
        <v/>
      </c>
      <c r="H511" s="1855" t="n"/>
    </row>
    <row r="512" ht="26.8" customHeight="1" s="1158">
      <c r="A512" s="1766" t="inlineStr">
        <is>
          <t>JT.#280</t>
        </is>
      </c>
      <c r="B512" s="1766" t="inlineStr">
        <is>
          <t>3-1/2" TUBING 9.2 LB/FT ALLOY 28 TSH BL</t>
        </is>
      </c>
      <c r="C512" s="1767" t="n">
        <v>31</v>
      </c>
      <c r="D512" s="1785">
        <f>C512</f>
        <v/>
      </c>
      <c r="E512" s="1759">
        <f>E511+D512</f>
        <v/>
      </c>
      <c r="F512" s="1759">
        <f>F511-D511</f>
        <v/>
      </c>
      <c r="G512" s="1760">
        <f>G511-D512</f>
        <v/>
      </c>
      <c r="H512" s="1855" t="n"/>
    </row>
    <row r="513" ht="26.8" customHeight="1" s="1158">
      <c r="A513" s="1766" t="inlineStr">
        <is>
          <t>JT.#281</t>
        </is>
      </c>
      <c r="B513" s="1766" t="inlineStr">
        <is>
          <t>3-1/2" TUBING 9.2 LB/FT ALLOY 28 TSH BL</t>
        </is>
      </c>
      <c r="C513" s="1767" t="n">
        <v>31</v>
      </c>
      <c r="D513" s="1785">
        <f>C513</f>
        <v/>
      </c>
      <c r="E513" s="1759">
        <f>E512+D513</f>
        <v/>
      </c>
      <c r="F513" s="1759">
        <f>F512-D512</f>
        <v/>
      </c>
      <c r="G513" s="1760">
        <f>G512-D513</f>
        <v/>
      </c>
      <c r="H513" s="1855" t="n"/>
    </row>
    <row r="514" ht="26.8" customHeight="1" s="1158">
      <c r="A514" s="1766" t="inlineStr">
        <is>
          <t>JT.#282</t>
        </is>
      </c>
      <c r="B514" s="1766" t="inlineStr">
        <is>
          <t>3-1/2" TUBING 9.2 LB/FT ALLOY 28 TSH BL</t>
        </is>
      </c>
      <c r="C514" s="1767" t="n">
        <v>31</v>
      </c>
      <c r="D514" s="1785">
        <f>C514</f>
        <v/>
      </c>
      <c r="E514" s="1759">
        <f>E513+D514</f>
        <v/>
      </c>
      <c r="F514" s="1759">
        <f>F513-D513</f>
        <v/>
      </c>
      <c r="G514" s="1760">
        <f>G513-D514</f>
        <v/>
      </c>
      <c r="H514" s="1855" t="n"/>
    </row>
    <row r="515" ht="26.8" customHeight="1" s="1158">
      <c r="A515" s="1766" t="inlineStr">
        <is>
          <t>JT.#283</t>
        </is>
      </c>
      <c r="B515" s="1766" t="inlineStr">
        <is>
          <t>3-1/2" TUBING 9.2 LB/FT ALLOY 28 TSH BL</t>
        </is>
      </c>
      <c r="C515" s="1767" t="n">
        <v>31</v>
      </c>
      <c r="D515" s="1785">
        <f>C515</f>
        <v/>
      </c>
      <c r="E515" s="1759">
        <f>E514+D515</f>
        <v/>
      </c>
      <c r="F515" s="1759">
        <f>F514-D514</f>
        <v/>
      </c>
      <c r="G515" s="1760">
        <f>G514-D515</f>
        <v/>
      </c>
      <c r="H515" s="1855" t="n"/>
    </row>
    <row r="516" ht="26.8" customHeight="1" s="1158">
      <c r="A516" s="1766" t="inlineStr">
        <is>
          <t>JT.#284</t>
        </is>
      </c>
      <c r="B516" s="1766" t="inlineStr">
        <is>
          <t>3-1/2" TUBING 9.2 LB/FT ALLOY 28 TSH BL</t>
        </is>
      </c>
      <c r="C516" s="1767" t="n">
        <v>31</v>
      </c>
      <c r="D516" s="1785">
        <f>C516</f>
        <v/>
      </c>
      <c r="E516" s="1759">
        <f>E515+D516</f>
        <v/>
      </c>
      <c r="F516" s="1759">
        <f>F515-D515</f>
        <v/>
      </c>
      <c r="G516" s="1760">
        <f>G515-D516</f>
        <v/>
      </c>
      <c r="H516" s="1855" t="n"/>
    </row>
    <row r="517" ht="105.95" customHeight="1" s="1158">
      <c r="A517" s="1862" t="inlineStr">
        <is>
          <t>D4</t>
        </is>
      </c>
      <c r="B517" s="1863" t="inlineStr">
        <is>
          <t>UPPER CONN. 3-1/2" VAM TOP BOX 9.2 PPF SN 28 110 KSI
DESCRIPTION: 5 FEET XOVER
SAP: 130005011340
SUPPLIER: TENARIS
LOWER CONN. 3-1/2" TSH BLUE PIN 9.2 PPF SN 28 110 KSI</t>
        </is>
      </c>
      <c r="C517" s="1864" t="n">
        <v>5.18</v>
      </c>
      <c r="D517" s="1785">
        <f>C517</f>
        <v/>
      </c>
      <c r="E517" s="1759">
        <f>E516+D517</f>
        <v/>
      </c>
      <c r="F517" s="1759">
        <f>F516-D516</f>
        <v/>
      </c>
      <c r="G517" s="1760">
        <f>G516-D517</f>
        <v/>
      </c>
      <c r="H517" s="1855" t="n"/>
    </row>
    <row r="518" ht="105.95" customHeight="1" s="1158">
      <c r="A518" s="1778" t="n"/>
      <c r="B518" s="1863" t="inlineStr">
        <is>
          <t>UPPER CONN. 3-1/2" SENTINEL PRIME BOX 9.2 PPF TX28-110 KSI
DESCRIPTION: 5 FEET XOVER
SAP: 130013006385
SUPPLIER: TBX
LOWER CONN. 3-1/2" VAM TOP PIN 9.2 PPF TX28-110 KSI</t>
        </is>
      </c>
      <c r="C518" s="1864" t="n">
        <v>4.96</v>
      </c>
      <c r="D518" s="1785">
        <f>C518</f>
        <v/>
      </c>
      <c r="E518" s="1759">
        <f>E517+D518</f>
        <v/>
      </c>
      <c r="F518" s="1759">
        <f>F517-D517</f>
        <v/>
      </c>
      <c r="G518" s="1760">
        <f>G517-D518</f>
        <v/>
      </c>
      <c r="H518" s="1855" t="n"/>
    </row>
    <row r="519" ht="210.4" customHeight="1" s="1158">
      <c r="A519" s="1778" t="n"/>
      <c r="B519" s="186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864" t="n">
        <v>8.69</v>
      </c>
      <c r="D519" s="1785">
        <f>C519</f>
        <v/>
      </c>
      <c r="E519" s="1759">
        <f>E518+D519</f>
        <v/>
      </c>
      <c r="F519" s="1759">
        <f>F518-D518</f>
        <v/>
      </c>
      <c r="G519" s="1760">
        <f>G518-D519</f>
        <v/>
      </c>
      <c r="H519" s="1855" t="n"/>
    </row>
    <row r="520" ht="105.95" customHeight="1" s="1158">
      <c r="A520" s="1778" t="n"/>
      <c r="B520" s="1863" t="inlineStr">
        <is>
          <t>UPPER CONN. 3-1/2" VAM TOP BOX 9.2 PPF TX28- 110 KSI
DESCRIPTION: 10 FEET XOVER
SAP: 1130013006387
SUPPLIER: TBX
LOWER CONN-3-1/2" SENTINELPRIME PIN 9.2 PPF TX28110 KSI</t>
        </is>
      </c>
      <c r="C520" s="1864" t="n">
        <v>9.779999999999999</v>
      </c>
      <c r="D520" s="1785">
        <f>C520</f>
        <v/>
      </c>
      <c r="E520" s="1759">
        <f>E519+D520</f>
        <v/>
      </c>
      <c r="F520" s="1759">
        <f>F519-D519</f>
        <v/>
      </c>
      <c r="G520" s="1760">
        <f>G519-D520</f>
        <v/>
      </c>
      <c r="H520" s="1855" t="n"/>
    </row>
    <row r="521" ht="105.95" customHeight="1" s="1158">
      <c r="A521" s="1450" t="n"/>
      <c r="B521" s="1863" t="inlineStr">
        <is>
          <t>UPPER CONN. 3-1/2" TSH BLUE BOX 9.2 PPF SN 28 110 KSI
DESCRIPTION: 5 FEET XOVER
SAP: 130005011340
SUPPLIER: TENARIS
LOWER CONN. 3-1/2" VAM TOP PIN 9.2 PPF SN 28 110 KSI</t>
        </is>
      </c>
      <c r="C521" s="1864" t="n">
        <v>4.96</v>
      </c>
      <c r="D521" s="1785">
        <f>C521</f>
        <v/>
      </c>
      <c r="E521" s="1759">
        <f>E520+D521</f>
        <v/>
      </c>
      <c r="F521" s="1759">
        <f>F520-D520</f>
        <v/>
      </c>
      <c r="G521" s="1760">
        <f>G520-D521</f>
        <v/>
      </c>
      <c r="H521" s="1855" t="n"/>
    </row>
    <row r="522" ht="26.8" customHeight="1" s="1158">
      <c r="A522" s="1766" t="inlineStr">
        <is>
          <t>JT.#285</t>
        </is>
      </c>
      <c r="B522" s="1766" t="inlineStr">
        <is>
          <t>3-1/2" TUBING 9.2 LB/FT ALLOY 28 TSH BL</t>
        </is>
      </c>
      <c r="C522" s="1767" t="n">
        <v>31</v>
      </c>
      <c r="D522" s="1785">
        <f>C522</f>
        <v/>
      </c>
      <c r="E522" s="1759">
        <f>E521+D522</f>
        <v/>
      </c>
      <c r="F522" s="1759">
        <f>F521-D521</f>
        <v/>
      </c>
      <c r="G522" s="1760">
        <f>G521-D522</f>
        <v/>
      </c>
      <c r="H522" s="1855" t="n"/>
    </row>
    <row r="523" ht="26.8" customHeight="1" s="1158">
      <c r="A523" s="1766" t="inlineStr">
        <is>
          <t>JT.#286</t>
        </is>
      </c>
      <c r="B523" s="1766" t="inlineStr">
        <is>
          <t>3-1/2" TUBING 9.2 LB/FT ALLOY 28 TSH BL</t>
        </is>
      </c>
      <c r="C523" s="1767" t="n">
        <v>31</v>
      </c>
      <c r="D523" s="1785">
        <f>C523</f>
        <v/>
      </c>
      <c r="E523" s="1759">
        <f>E522+D523</f>
        <v/>
      </c>
      <c r="F523" s="1759">
        <f>F522-D522</f>
        <v/>
      </c>
      <c r="G523" s="1760">
        <f>G522-D523</f>
        <v/>
      </c>
      <c r="H523" s="1855" t="n"/>
    </row>
    <row r="524" ht="26.8" customHeight="1" s="1158">
      <c r="A524" s="1766" t="inlineStr">
        <is>
          <t>JT.#287</t>
        </is>
      </c>
      <c r="B524" s="1766" t="inlineStr">
        <is>
          <t>3-1/2" TUBING 9.2 LB/FT ALLOY 28 TSH BL</t>
        </is>
      </c>
      <c r="C524" s="1767" t="n">
        <v>31</v>
      </c>
      <c r="D524" s="1785">
        <f>C524</f>
        <v/>
      </c>
      <c r="E524" s="1759">
        <f>E523+D524</f>
        <v/>
      </c>
      <c r="F524" s="1759">
        <f>F523-D523</f>
        <v/>
      </c>
      <c r="G524" s="1760">
        <f>G523-D524</f>
        <v/>
      </c>
      <c r="H524" s="1855" t="n"/>
    </row>
    <row r="525" ht="26.8" customHeight="1" s="1158">
      <c r="A525" s="1766" t="inlineStr">
        <is>
          <t>JT.#288</t>
        </is>
      </c>
      <c r="B525" s="1766" t="inlineStr">
        <is>
          <t>3-1/2" TUBING 9.2 LB/FT ALLOY 28 TSH BL</t>
        </is>
      </c>
      <c r="C525" s="1767" t="n">
        <v>31</v>
      </c>
      <c r="D525" s="1785">
        <f>C525</f>
        <v/>
      </c>
      <c r="E525" s="1759">
        <f>E524+D525</f>
        <v/>
      </c>
      <c r="F525" s="1759">
        <f>F524-D524</f>
        <v/>
      </c>
      <c r="G525" s="1760">
        <f>G524-D525</f>
        <v/>
      </c>
      <c r="H525" s="1855" t="n"/>
    </row>
    <row r="526" ht="26.8" customHeight="1" s="1158">
      <c r="A526" s="1766" t="inlineStr">
        <is>
          <t>JT.#289</t>
        </is>
      </c>
      <c r="B526" s="1766" t="inlineStr">
        <is>
          <t>3-1/2" TUBING 9.2 LB/FT ALLOY 28 TSH BL</t>
        </is>
      </c>
      <c r="C526" s="1767" t="n">
        <v>31</v>
      </c>
      <c r="D526" s="1785">
        <f>C526</f>
        <v/>
      </c>
      <c r="E526" s="1759">
        <f>E525+D526</f>
        <v/>
      </c>
      <c r="F526" s="1759">
        <f>F525-D525</f>
        <v/>
      </c>
      <c r="G526" s="1760">
        <f>G525-D526</f>
        <v/>
      </c>
      <c r="H526" s="1855" t="n"/>
    </row>
    <row r="527" ht="26.8" customHeight="1" s="1158">
      <c r="A527" s="1766" t="inlineStr">
        <is>
          <t>JT.#290</t>
        </is>
      </c>
      <c r="B527" s="1766" t="inlineStr">
        <is>
          <t>3-1/2" TUBING 9.2 LB/FT ALLOY 28 TSH BL</t>
        </is>
      </c>
      <c r="C527" s="1767" t="n">
        <v>31</v>
      </c>
      <c r="D527" s="1785">
        <f>C527</f>
        <v/>
      </c>
      <c r="E527" s="1759">
        <f>E526+D527</f>
        <v/>
      </c>
      <c r="F527" s="1759">
        <f>F526-D526</f>
        <v/>
      </c>
      <c r="G527" s="1760">
        <f>G526-D527</f>
        <v/>
      </c>
      <c r="H527" s="1855" t="n"/>
    </row>
    <row r="528" ht="26.8" customHeight="1" s="1158">
      <c r="A528" s="1766" t="inlineStr">
        <is>
          <t>JT.#291</t>
        </is>
      </c>
      <c r="B528" s="1766" t="inlineStr">
        <is>
          <t>3-1/2" TUBING 9.2 LB/FT ALLOY 28 TSH BL</t>
        </is>
      </c>
      <c r="C528" s="1767" t="n">
        <v>31</v>
      </c>
      <c r="D528" s="1785">
        <f>C528</f>
        <v/>
      </c>
      <c r="E528" s="1759">
        <f>E527+D528</f>
        <v/>
      </c>
      <c r="F528" s="1759">
        <f>F527-D527</f>
        <v/>
      </c>
      <c r="G528" s="1760">
        <f>G527-D528</f>
        <v/>
      </c>
      <c r="H528" s="1855" t="n"/>
    </row>
    <row r="529" ht="26.8" customHeight="1" s="1158">
      <c r="A529" s="1766" t="inlineStr">
        <is>
          <t>JT.#292</t>
        </is>
      </c>
      <c r="B529" s="1766" t="inlineStr">
        <is>
          <t>3-1/2" TUBING 9.2 LB/FT ALLOY 28 TSH BL</t>
        </is>
      </c>
      <c r="C529" s="1767" t="n">
        <v>31</v>
      </c>
      <c r="D529" s="1785">
        <f>C529</f>
        <v/>
      </c>
      <c r="E529" s="1759">
        <f>E528+D529</f>
        <v/>
      </c>
      <c r="F529" s="1759">
        <f>F528-D528</f>
        <v/>
      </c>
      <c r="G529" s="1760">
        <f>G528-D529</f>
        <v/>
      </c>
      <c r="H529" s="1855" t="n"/>
    </row>
    <row r="530" ht="26.8" customHeight="1" s="1158">
      <c r="A530" s="1766" t="inlineStr">
        <is>
          <t>JT.#293</t>
        </is>
      </c>
      <c r="B530" s="1766" t="inlineStr">
        <is>
          <t>3-1/2" TUBING 9.2 LB/FT ALLOY 28 TSH BL</t>
        </is>
      </c>
      <c r="C530" s="1767" t="n">
        <v>31</v>
      </c>
      <c r="D530" s="1785">
        <f>C530</f>
        <v/>
      </c>
      <c r="E530" s="1759">
        <f>E529+D530</f>
        <v/>
      </c>
      <c r="F530" s="1759">
        <f>F529-D529</f>
        <v/>
      </c>
      <c r="G530" s="1760">
        <f>G529-D530</f>
        <v/>
      </c>
      <c r="H530" s="1855" t="n"/>
    </row>
    <row r="531" ht="26.8" customHeight="1" s="1158">
      <c r="A531" s="1766" t="inlineStr">
        <is>
          <t>JT.#294</t>
        </is>
      </c>
      <c r="B531" s="1766" t="inlineStr">
        <is>
          <t>3-1/2" TUBING 9.2 LB/FT ALLOY 28 TSH BL</t>
        </is>
      </c>
      <c r="C531" s="1767" t="n">
        <v>31</v>
      </c>
      <c r="D531" s="1785">
        <f>C531</f>
        <v/>
      </c>
      <c r="E531" s="1759">
        <f>E530+D531</f>
        <v/>
      </c>
      <c r="F531" s="1759">
        <f>F530-D530</f>
        <v/>
      </c>
      <c r="G531" s="1760">
        <f>G530-D531</f>
        <v/>
      </c>
      <c r="H531" s="1855" t="n"/>
    </row>
    <row r="532" ht="26.8" customHeight="1" s="1158">
      <c r="A532" s="1766" t="inlineStr">
        <is>
          <t>JT.#295</t>
        </is>
      </c>
      <c r="B532" s="1766" t="inlineStr">
        <is>
          <t>3-1/2" TUBING 9.2 LB/FT ALLOY 28 TSH BL</t>
        </is>
      </c>
      <c r="C532" s="1767" t="n">
        <v>31</v>
      </c>
      <c r="D532" s="1785">
        <f>C532</f>
        <v/>
      </c>
      <c r="E532" s="1759">
        <f>E531+D532</f>
        <v/>
      </c>
      <c r="F532" s="1759">
        <f>F531-D531</f>
        <v/>
      </c>
      <c r="G532" s="1760">
        <f>G531-D532</f>
        <v/>
      </c>
      <c r="H532" s="1855" t="n"/>
    </row>
    <row r="533" ht="26.8" customHeight="1" s="1158">
      <c r="A533" s="1766" t="inlineStr">
        <is>
          <t>JT.#296</t>
        </is>
      </c>
      <c r="B533" s="1766" t="inlineStr">
        <is>
          <t>3-1/2" TUBING 9.2 LB/FT ALLOY 28 TSH BL</t>
        </is>
      </c>
      <c r="C533" s="1767" t="n">
        <v>31</v>
      </c>
      <c r="D533" s="1785">
        <f>C533</f>
        <v/>
      </c>
      <c r="E533" s="1759">
        <f>E532+D533</f>
        <v/>
      </c>
      <c r="F533" s="1759">
        <f>F532-D532</f>
        <v/>
      </c>
      <c r="G533" s="1760">
        <f>G532-D533</f>
        <v/>
      </c>
      <c r="H533" s="1855" t="n"/>
    </row>
    <row r="534" ht="26.8" customHeight="1" s="1158">
      <c r="A534" s="1766" t="inlineStr">
        <is>
          <t>JT.#297</t>
        </is>
      </c>
      <c r="B534" s="1766" t="inlineStr">
        <is>
          <t>3-1/2" TUBING 9.2 LB/FT ALLOY 28 TSH BL</t>
        </is>
      </c>
      <c r="C534" s="1767" t="n">
        <v>31</v>
      </c>
      <c r="D534" s="1785">
        <f>C534</f>
        <v/>
      </c>
      <c r="E534" s="1759">
        <f>E533+D534</f>
        <v/>
      </c>
      <c r="F534" s="1759">
        <f>F533-D533</f>
        <v/>
      </c>
      <c r="G534" s="1760">
        <f>G533-D534</f>
        <v/>
      </c>
      <c r="H534" s="1855" t="n"/>
    </row>
    <row r="535" ht="26.8" customHeight="1" s="1158">
      <c r="A535" s="1766" t="inlineStr">
        <is>
          <t>JT.#298</t>
        </is>
      </c>
      <c r="B535" s="1766" t="inlineStr">
        <is>
          <t>3-1/2" TUBING 9.2 LB/FT ALLOY 28 TSH BL</t>
        </is>
      </c>
      <c r="C535" s="1767" t="n">
        <v>31</v>
      </c>
      <c r="D535" s="1785">
        <f>C535</f>
        <v/>
      </c>
      <c r="E535" s="1759">
        <f>E534+D535</f>
        <v/>
      </c>
      <c r="F535" s="1759">
        <f>F534-D534</f>
        <v/>
      </c>
      <c r="G535" s="1760">
        <f>G534-D535</f>
        <v/>
      </c>
      <c r="H535" s="1855" t="n"/>
    </row>
    <row r="536" ht="26.8" customHeight="1" s="1158">
      <c r="A536" s="1766" t="inlineStr">
        <is>
          <t>JT.#299</t>
        </is>
      </c>
      <c r="B536" s="1766" t="inlineStr">
        <is>
          <t>3-1/2" TUBING 9.2 LB/FT ALLOY 28 TSH BL</t>
        </is>
      </c>
      <c r="C536" s="1767" t="n">
        <v>31</v>
      </c>
      <c r="D536" s="1785">
        <f>C536</f>
        <v/>
      </c>
      <c r="E536" s="1759">
        <f>E535+D536</f>
        <v/>
      </c>
      <c r="F536" s="1759">
        <f>F535-D535</f>
        <v/>
      </c>
      <c r="G536" s="1760">
        <f>G535-D536</f>
        <v/>
      </c>
      <c r="H536" s="1855" t="n"/>
    </row>
    <row r="537" ht="26.8" customHeight="1" s="1158">
      <c r="A537" s="1766" t="inlineStr">
        <is>
          <t>JT.#300</t>
        </is>
      </c>
      <c r="B537" s="1766" t="inlineStr">
        <is>
          <t>3-1/2" TUBING 9.2 LB/FT ALLOY 28 TSH BL</t>
        </is>
      </c>
      <c r="C537" s="1767" t="n">
        <v>31</v>
      </c>
      <c r="D537" s="1785">
        <f>C537</f>
        <v/>
      </c>
      <c r="E537" s="1759">
        <f>E536+D537</f>
        <v/>
      </c>
      <c r="F537" s="1759">
        <f>F536-D536</f>
        <v/>
      </c>
      <c r="G537" s="1760">
        <f>G536-D537</f>
        <v/>
      </c>
      <c r="H537" s="1855" t="n"/>
    </row>
    <row r="538" ht="26.8" customHeight="1" s="1158">
      <c r="A538" s="1766" t="inlineStr">
        <is>
          <t>JT.#301</t>
        </is>
      </c>
      <c r="B538" s="1766" t="inlineStr">
        <is>
          <t>3-1/2" TUBING 9.2 LB/FT ALLOY 28 TSH BL</t>
        </is>
      </c>
      <c r="C538" s="1767" t="n">
        <v>31</v>
      </c>
      <c r="D538" s="1785">
        <f>C538</f>
        <v/>
      </c>
      <c r="E538" s="1759">
        <f>E537+D538</f>
        <v/>
      </c>
      <c r="F538" s="1759">
        <f>F537-D537</f>
        <v/>
      </c>
      <c r="G538" s="1760">
        <f>G537-D538</f>
        <v/>
      </c>
      <c r="H538" s="1855" t="n"/>
    </row>
    <row r="539" ht="26.8" customHeight="1" s="1158">
      <c r="A539" s="1766" t="inlineStr">
        <is>
          <t>JT.#302</t>
        </is>
      </c>
      <c r="B539" s="1766" t="inlineStr">
        <is>
          <t>3-1/2" TUBING 9.2 LB/FT ALLOY 28 TSH BL</t>
        </is>
      </c>
      <c r="C539" s="1767" t="n">
        <v>31</v>
      </c>
      <c r="D539" s="1785">
        <f>C539</f>
        <v/>
      </c>
      <c r="E539" s="1759">
        <f>E538+D539</f>
        <v/>
      </c>
      <c r="F539" s="1759">
        <f>F538-D538</f>
        <v/>
      </c>
      <c r="G539" s="1760">
        <f>G538-D539</f>
        <v/>
      </c>
      <c r="H539" s="1855" t="n"/>
    </row>
    <row r="540" ht="26.8" customHeight="1" s="1158">
      <c r="A540" s="1766" t="inlineStr">
        <is>
          <t>JT.#303</t>
        </is>
      </c>
      <c r="B540" s="1766" t="inlineStr">
        <is>
          <t>3-1/2" TUBING 9.2 LB/FT ALLOY 28 TSH BL</t>
        </is>
      </c>
      <c r="C540" s="1767" t="n">
        <v>31</v>
      </c>
      <c r="D540" s="1785">
        <f>C540</f>
        <v/>
      </c>
      <c r="E540" s="1759">
        <f>E539+D540</f>
        <v/>
      </c>
      <c r="F540" s="1759">
        <f>F539-D539</f>
        <v/>
      </c>
      <c r="G540" s="1760">
        <f>G539-D540</f>
        <v/>
      </c>
      <c r="H540" s="1855" t="n"/>
    </row>
    <row r="541" ht="26.8" customHeight="1" s="1158">
      <c r="A541" s="1766" t="inlineStr">
        <is>
          <t>JT.#304</t>
        </is>
      </c>
      <c r="B541" s="1766" t="inlineStr">
        <is>
          <t>3-1/2" TUBING 9.2 LB/FT ALLOY 28 TSH BL</t>
        </is>
      </c>
      <c r="C541" s="1767" t="n">
        <v>31</v>
      </c>
      <c r="D541" s="1785">
        <f>C541</f>
        <v/>
      </c>
      <c r="E541" s="1759">
        <f>E540+D541</f>
        <v/>
      </c>
      <c r="F541" s="1759">
        <f>F540-D540</f>
        <v/>
      </c>
      <c r="G541" s="1760">
        <f>G540-D541</f>
        <v/>
      </c>
      <c r="H541" s="1855" t="n"/>
    </row>
    <row r="542" ht="26.8" customHeight="1" s="1158">
      <c r="A542" s="1766" t="inlineStr">
        <is>
          <t>JT.#305</t>
        </is>
      </c>
      <c r="B542" s="1766" t="inlineStr">
        <is>
          <t>3-1/2" TUBING 9.2 LB/FT ALLOY 28 TSH BL</t>
        </is>
      </c>
      <c r="C542" s="1767" t="n">
        <v>31</v>
      </c>
      <c r="D542" s="1785">
        <f>C542</f>
        <v/>
      </c>
      <c r="E542" s="1759">
        <f>E541+D542</f>
        <v/>
      </c>
      <c r="F542" s="1759">
        <f>F541-D541</f>
        <v/>
      </c>
      <c r="G542" s="1760">
        <f>G541-D542</f>
        <v/>
      </c>
      <c r="H542" s="1855" t="n"/>
    </row>
    <row r="543" ht="26.8" customHeight="1" s="1158">
      <c r="A543" s="1766" t="inlineStr">
        <is>
          <t>JT.#306</t>
        </is>
      </c>
      <c r="B543" s="1766" t="inlineStr">
        <is>
          <t>3-1/2" TUBING 9.2 LB/FT ALLOY 28 TSH BL</t>
        </is>
      </c>
      <c r="C543" s="1767" t="n">
        <v>31</v>
      </c>
      <c r="D543" s="1785">
        <f>C543</f>
        <v/>
      </c>
      <c r="E543" s="1759">
        <f>E542+D543</f>
        <v/>
      </c>
      <c r="F543" s="1759">
        <f>F542-D542</f>
        <v/>
      </c>
      <c r="G543" s="1760">
        <f>G542-D543</f>
        <v/>
      </c>
      <c r="H543" s="1855" t="n"/>
    </row>
    <row r="544" ht="26.8" customHeight="1" s="1158">
      <c r="A544" s="1766" t="inlineStr">
        <is>
          <t>JT.#307</t>
        </is>
      </c>
      <c r="B544" s="1766" t="inlineStr">
        <is>
          <t>3-1/2" TUBING 9.2 LB/FT ALLOY 28 TSH BL</t>
        </is>
      </c>
      <c r="C544" s="1767" t="n">
        <v>31</v>
      </c>
      <c r="D544" s="1785">
        <f>C544</f>
        <v/>
      </c>
      <c r="E544" s="1759">
        <f>E543+D544</f>
        <v/>
      </c>
      <c r="F544" s="1759">
        <f>F543-D543</f>
        <v/>
      </c>
      <c r="G544" s="1760">
        <f>G543-D544</f>
        <v/>
      </c>
      <c r="H544" s="1855" t="n"/>
    </row>
    <row r="545" ht="26.8" customHeight="1" s="1158">
      <c r="A545" s="1766" t="inlineStr">
        <is>
          <t>JT.#308</t>
        </is>
      </c>
      <c r="B545" s="1766" t="inlineStr">
        <is>
          <t>3-1/2" TUBING 9.2 LB/FT ALLOY 28 TSH BL</t>
        </is>
      </c>
      <c r="C545" s="1767" t="n">
        <v>31</v>
      </c>
      <c r="D545" s="1785">
        <f>C545</f>
        <v/>
      </c>
      <c r="E545" s="1759">
        <f>E544+D545</f>
        <v/>
      </c>
      <c r="F545" s="1759">
        <f>F544-D544</f>
        <v/>
      </c>
      <c r="G545" s="1760">
        <f>G544-D545</f>
        <v/>
      </c>
      <c r="H545" s="1855" t="n"/>
    </row>
    <row r="546" ht="26.8" customHeight="1" s="1158">
      <c r="A546" s="1766" t="inlineStr">
        <is>
          <t>JT.#309</t>
        </is>
      </c>
      <c r="B546" s="1766" t="inlineStr">
        <is>
          <t>3-1/2" TUBING 9.2 LB/FT ALLOY 28 TSH BL</t>
        </is>
      </c>
      <c r="C546" s="1767" t="n">
        <v>31</v>
      </c>
      <c r="D546" s="1785">
        <f>C546</f>
        <v/>
      </c>
      <c r="E546" s="1759">
        <f>E545+D546</f>
        <v/>
      </c>
      <c r="F546" s="1759">
        <f>F545-D545</f>
        <v/>
      </c>
      <c r="G546" s="1760">
        <f>G545-D546</f>
        <v/>
      </c>
      <c r="H546" s="1855" t="n"/>
    </row>
    <row r="547" ht="26.8" customHeight="1" s="1158">
      <c r="A547" s="1766" t="inlineStr">
        <is>
          <t>JT.#310</t>
        </is>
      </c>
      <c r="B547" s="1766" t="inlineStr">
        <is>
          <t>3-1/2" TUBING 9.2 LB/FT ALLOY 28 TSH BL</t>
        </is>
      </c>
      <c r="C547" s="1767" t="n">
        <v>31</v>
      </c>
      <c r="D547" s="1785">
        <f>C547</f>
        <v/>
      </c>
      <c r="E547" s="1759">
        <f>E546+D547</f>
        <v/>
      </c>
      <c r="F547" s="1759">
        <f>F546-D546</f>
        <v/>
      </c>
      <c r="G547" s="1760">
        <f>G546-D547</f>
        <v/>
      </c>
      <c r="H547" s="1855" t="n"/>
    </row>
    <row r="548" ht="26.8" customHeight="1" s="1158">
      <c r="A548" s="1766" t="inlineStr">
        <is>
          <t>JT.#311</t>
        </is>
      </c>
      <c r="B548" s="1766" t="inlineStr">
        <is>
          <t>3-1/2" TUBING 9.2 LB/FT ALLOY 28 TSH BL</t>
        </is>
      </c>
      <c r="C548" s="1767" t="n">
        <v>31</v>
      </c>
      <c r="D548" s="1785">
        <f>C548</f>
        <v/>
      </c>
      <c r="E548" s="1759">
        <f>E547+D548</f>
        <v/>
      </c>
      <c r="F548" s="1759">
        <f>F547-D547</f>
        <v/>
      </c>
      <c r="G548" s="1760">
        <f>G547-D548</f>
        <v/>
      </c>
      <c r="H548" s="1855" t="n"/>
    </row>
    <row r="549" ht="26.8" customHeight="1" s="1158">
      <c r="A549" s="1766" t="inlineStr">
        <is>
          <t>JT.#312</t>
        </is>
      </c>
      <c r="B549" s="1766" t="inlineStr">
        <is>
          <t>3-1/2" TUBING 9.2 LB/FT ALLOY 28 TSH BL</t>
        </is>
      </c>
      <c r="C549" s="1767" t="n">
        <v>31</v>
      </c>
      <c r="D549" s="1785">
        <f>C549</f>
        <v/>
      </c>
      <c r="E549" s="1759">
        <f>E548+D549</f>
        <v/>
      </c>
      <c r="F549" s="1759">
        <f>F548-D548</f>
        <v/>
      </c>
      <c r="G549" s="1760">
        <f>G548-D549</f>
        <v/>
      </c>
      <c r="H549" s="1855" t="n"/>
    </row>
    <row r="550" ht="26.8" customHeight="1" s="1158">
      <c r="A550" s="1766" t="inlineStr">
        <is>
          <t>JT.#313</t>
        </is>
      </c>
      <c r="B550" s="1766" t="inlineStr">
        <is>
          <t>3-1/2" TUBING 9.2 LB/FT ALLOY 28 TSH BL</t>
        </is>
      </c>
      <c r="C550" s="1767" t="n">
        <v>31</v>
      </c>
      <c r="D550" s="1785">
        <f>C550</f>
        <v/>
      </c>
      <c r="E550" s="1759">
        <f>E549+D550</f>
        <v/>
      </c>
      <c r="F550" s="1759">
        <f>F549-D549</f>
        <v/>
      </c>
      <c r="G550" s="1760">
        <f>G549-D550</f>
        <v/>
      </c>
      <c r="H550" s="1855" t="n"/>
    </row>
    <row r="551" ht="26.8" customHeight="1" s="1158">
      <c r="A551" s="1766" t="inlineStr">
        <is>
          <t>JT.#314</t>
        </is>
      </c>
      <c r="B551" s="1766" t="inlineStr">
        <is>
          <t>3-1/2" TUBING 9.2 LB/FT ALLOY 28 TSH BL</t>
        </is>
      </c>
      <c r="C551" s="1767" t="n">
        <v>31</v>
      </c>
      <c r="D551" s="1785">
        <f>C551</f>
        <v/>
      </c>
      <c r="E551" s="1759">
        <f>E550+D551</f>
        <v/>
      </c>
      <c r="F551" s="1759">
        <f>F550-D550</f>
        <v/>
      </c>
      <c r="G551" s="1760">
        <f>G550-D551</f>
        <v/>
      </c>
      <c r="H551" s="1855" t="n"/>
    </row>
    <row r="552" ht="26.8" customHeight="1" s="1158">
      <c r="A552" s="1766" t="inlineStr">
        <is>
          <t>JT.#315</t>
        </is>
      </c>
      <c r="B552" s="1766" t="inlineStr">
        <is>
          <t>3-1/2" TUBING 9.2 LB/FT ALLOY 28 TSH BL</t>
        </is>
      </c>
      <c r="C552" s="1767" t="n">
        <v>31</v>
      </c>
      <c r="D552" s="1785">
        <f>C552</f>
        <v/>
      </c>
      <c r="E552" s="1759">
        <f>E551+D552</f>
        <v/>
      </c>
      <c r="F552" s="1759">
        <f>F551-D551</f>
        <v/>
      </c>
      <c r="G552" s="1760">
        <f>G551-D552</f>
        <v/>
      </c>
      <c r="H552" s="1855" t="n"/>
    </row>
    <row r="553" ht="26.8" customHeight="1" s="1158">
      <c r="A553" s="1766" t="inlineStr">
        <is>
          <t>JT.#316</t>
        </is>
      </c>
      <c r="B553" s="1766" t="inlineStr">
        <is>
          <t>3-1/2" TUBING 9.2 LB/FT ALLOY 28 TSH BL</t>
        </is>
      </c>
      <c r="C553" s="1767" t="n">
        <v>31</v>
      </c>
      <c r="D553" s="1785">
        <f>C553</f>
        <v/>
      </c>
      <c r="E553" s="1759">
        <f>E552+D553</f>
        <v/>
      </c>
      <c r="F553" s="1759">
        <f>F552-D552</f>
        <v/>
      </c>
      <c r="G553" s="1760">
        <f>G552-D553</f>
        <v/>
      </c>
      <c r="H553" s="1855" t="n"/>
    </row>
    <row r="554" ht="26.8" customHeight="1" s="1158">
      <c r="A554" s="1766" t="inlineStr">
        <is>
          <t>JT.#317</t>
        </is>
      </c>
      <c r="B554" s="1766" t="inlineStr">
        <is>
          <t>3-1/2" TUBING 9.2 LB/FT ALLOY 28 TSH BL</t>
        </is>
      </c>
      <c r="C554" s="1767" t="n">
        <v>31</v>
      </c>
      <c r="D554" s="1785">
        <f>C554</f>
        <v/>
      </c>
      <c r="E554" s="1759">
        <f>E553+D554</f>
        <v/>
      </c>
      <c r="F554" s="1759">
        <f>F553-D553</f>
        <v/>
      </c>
      <c r="G554" s="1760">
        <f>G553-D554</f>
        <v/>
      </c>
      <c r="H554" s="1855" t="n"/>
    </row>
    <row r="555" ht="26.8" customHeight="1" s="1158">
      <c r="A555" s="1766" t="inlineStr">
        <is>
          <t>JT.#318</t>
        </is>
      </c>
      <c r="B555" s="1766" t="inlineStr">
        <is>
          <t>3-1/2" TUBING 9.2 LB/FT ALLOY 28 TSH BL</t>
        </is>
      </c>
      <c r="C555" s="1767" t="n">
        <v>31</v>
      </c>
      <c r="D555" s="1785">
        <f>C555</f>
        <v/>
      </c>
      <c r="E555" s="1759">
        <f>E554+D555</f>
        <v/>
      </c>
      <c r="F555" s="1759">
        <f>F554-D554</f>
        <v/>
      </c>
      <c r="G555" s="1760">
        <f>G554-D555</f>
        <v/>
      </c>
      <c r="H555" s="1855" t="n"/>
    </row>
    <row r="556" ht="26.8" customHeight="1" s="1158">
      <c r="A556" s="1766" t="inlineStr">
        <is>
          <t>JT.#319</t>
        </is>
      </c>
      <c r="B556" s="1766" t="inlineStr">
        <is>
          <t>3-1/2" TUBING 9.2 LB/FT ALLOY 28 TSH BL</t>
        </is>
      </c>
      <c r="C556" s="1767" t="n">
        <v>31</v>
      </c>
      <c r="D556" s="1785">
        <f>C556</f>
        <v/>
      </c>
      <c r="E556" s="1759">
        <f>E555+D556</f>
        <v/>
      </c>
      <c r="F556" s="1759">
        <f>F555-D555</f>
        <v/>
      </c>
      <c r="G556" s="1760">
        <f>G555-D556</f>
        <v/>
      </c>
      <c r="H556" s="1855" t="n"/>
    </row>
    <row r="557" ht="26.8" customHeight="1" s="1158">
      <c r="A557" s="1766" t="inlineStr">
        <is>
          <t>JT.#320</t>
        </is>
      </c>
      <c r="B557" s="1766" t="inlineStr">
        <is>
          <t>3-1/2" TUBING 9.2 LB/FT ALLOY 28 TSH BL</t>
        </is>
      </c>
      <c r="C557" s="1767" t="n">
        <v>31</v>
      </c>
      <c r="D557" s="1785">
        <f>C557</f>
        <v/>
      </c>
      <c r="E557" s="1759">
        <f>E556+D557</f>
        <v/>
      </c>
      <c r="F557" s="1759">
        <f>F556-D556</f>
        <v/>
      </c>
      <c r="G557" s="1760">
        <f>G556-D557</f>
        <v/>
      </c>
      <c r="H557" s="1855" t="n"/>
    </row>
    <row r="558" ht="26.8" customHeight="1" s="1158">
      <c r="A558" s="1766" t="inlineStr">
        <is>
          <t>JT.#321</t>
        </is>
      </c>
      <c r="B558" s="1766" t="inlineStr">
        <is>
          <t>3-1/2" TUBING 9.2 LB/FT ALLOY 28 TSH BL</t>
        </is>
      </c>
      <c r="C558" s="1767" t="n">
        <v>31</v>
      </c>
      <c r="D558" s="1785">
        <f>C558</f>
        <v/>
      </c>
      <c r="E558" s="1759">
        <f>E557+D558</f>
        <v/>
      </c>
      <c r="F558" s="1759">
        <f>F557-D557</f>
        <v/>
      </c>
      <c r="G558" s="1760">
        <f>G557-D558</f>
        <v/>
      </c>
      <c r="H558" s="1855" t="n"/>
    </row>
    <row r="559" ht="26.8" customHeight="1" s="1158">
      <c r="A559" s="1766" t="inlineStr">
        <is>
          <t>JT.#322</t>
        </is>
      </c>
      <c r="B559" s="1766" t="inlineStr">
        <is>
          <t>3-1/2" TUBING 9.2 LB/FT ALLOY 28 TSH BL</t>
        </is>
      </c>
      <c r="C559" s="1767" t="n">
        <v>31</v>
      </c>
      <c r="D559" s="1785">
        <f>C559</f>
        <v/>
      </c>
      <c r="E559" s="1759">
        <f>E558+D559</f>
        <v/>
      </c>
      <c r="F559" s="1759">
        <f>F558-D558</f>
        <v/>
      </c>
      <c r="G559" s="1760">
        <f>G558-D559</f>
        <v/>
      </c>
      <c r="H559" s="1855" t="n"/>
    </row>
    <row r="560" ht="26.8" customHeight="1" s="1158">
      <c r="A560" s="1766" t="inlineStr">
        <is>
          <t>JT.#323</t>
        </is>
      </c>
      <c r="B560" s="1766" t="inlineStr">
        <is>
          <t>3-1/2" TUBING 9.2 LB/FT ALLOY 28 TSH BL</t>
        </is>
      </c>
      <c r="C560" s="1767" t="n">
        <v>31</v>
      </c>
      <c r="D560" s="1785">
        <f>C560</f>
        <v/>
      </c>
      <c r="E560" s="1759">
        <f>E559+D560</f>
        <v/>
      </c>
      <c r="F560" s="1759">
        <f>F559-D559</f>
        <v/>
      </c>
      <c r="G560" s="1760">
        <f>G559-D560</f>
        <v/>
      </c>
      <c r="H560" s="1855" t="n"/>
    </row>
    <row r="561" ht="26.8" customHeight="1" s="1158">
      <c r="A561" s="1766" t="inlineStr">
        <is>
          <t>JT.#324</t>
        </is>
      </c>
      <c r="B561" s="1766" t="inlineStr">
        <is>
          <t>3-1/2" TUBING 9.2 LB/FT ALLOY 28 TSH BL</t>
        </is>
      </c>
      <c r="C561" s="1767" t="n">
        <v>31</v>
      </c>
      <c r="D561" s="1785">
        <f>C561</f>
        <v/>
      </c>
      <c r="E561" s="1759">
        <f>E560+D561</f>
        <v/>
      </c>
      <c r="F561" s="1759">
        <f>F560-D560</f>
        <v/>
      </c>
      <c r="G561" s="1760">
        <f>G560-D561</f>
        <v/>
      </c>
      <c r="H561" s="1855" t="n"/>
    </row>
    <row r="562" ht="26.8" customHeight="1" s="1158">
      <c r="A562" s="1766" t="inlineStr">
        <is>
          <t>JT.#325</t>
        </is>
      </c>
      <c r="B562" s="1766" t="inlineStr">
        <is>
          <t>3-1/2" TUBING 9.2 LB/FT ALLOY 28 TSH BL</t>
        </is>
      </c>
      <c r="C562" s="1767" t="n">
        <v>31</v>
      </c>
      <c r="D562" s="1785">
        <f>C562</f>
        <v/>
      </c>
      <c r="E562" s="1759">
        <f>E561+D562</f>
        <v/>
      </c>
      <c r="F562" s="1759">
        <f>F561-D561</f>
        <v/>
      </c>
      <c r="G562" s="1760">
        <f>G561-D562</f>
        <v/>
      </c>
      <c r="H562" s="1855" t="n"/>
    </row>
    <row r="563" ht="26.8" customHeight="1" s="1158">
      <c r="A563" s="1766" t="inlineStr">
        <is>
          <t>JT.#326</t>
        </is>
      </c>
      <c r="B563" s="1766" t="inlineStr">
        <is>
          <t>3-1/2" TUBING 9.2 LB/FT ALLOY 28 TSH BL</t>
        </is>
      </c>
      <c r="C563" s="1767" t="n">
        <v>31</v>
      </c>
      <c r="D563" s="1785">
        <f>C563</f>
        <v/>
      </c>
      <c r="E563" s="1759">
        <f>E562+D563</f>
        <v/>
      </c>
      <c r="F563" s="1759">
        <f>F562-D562</f>
        <v/>
      </c>
      <c r="G563" s="1760">
        <f>G562-D563</f>
        <v/>
      </c>
      <c r="H563" s="1855" t="n"/>
    </row>
    <row r="564" ht="26.8" customHeight="1" s="1158">
      <c r="A564" s="1766" t="inlineStr">
        <is>
          <t>JT.#327</t>
        </is>
      </c>
      <c r="B564" s="1766" t="inlineStr">
        <is>
          <t>3-1/2" TUBING 9.2 LB/FT ALLOY 28 TSH BL</t>
        </is>
      </c>
      <c r="C564" s="1767" t="n">
        <v>31</v>
      </c>
      <c r="D564" s="1785">
        <f>C564</f>
        <v/>
      </c>
      <c r="E564" s="1759">
        <f>E563+D564</f>
        <v/>
      </c>
      <c r="F564" s="1759">
        <f>F563-D563</f>
        <v/>
      </c>
      <c r="G564" s="1760">
        <f>G563-D564</f>
        <v/>
      </c>
      <c r="H564" s="1855" t="n"/>
    </row>
    <row r="565" ht="26.8" customHeight="1" s="1158">
      <c r="A565" s="1766" t="inlineStr">
        <is>
          <t>JT.#328</t>
        </is>
      </c>
      <c r="B565" s="1766" t="inlineStr">
        <is>
          <t>3-1/2" TUBING 9.2 LB/FT ALLOY 28 TSH BL</t>
        </is>
      </c>
      <c r="C565" s="1767" t="n">
        <v>31</v>
      </c>
      <c r="D565" s="1785">
        <f>C565</f>
        <v/>
      </c>
      <c r="E565" s="1759">
        <f>E564+D565</f>
        <v/>
      </c>
      <c r="F565" s="1759">
        <f>F564-D564</f>
        <v/>
      </c>
      <c r="G565" s="1760">
        <f>G564-D565</f>
        <v/>
      </c>
      <c r="H565" s="1855" t="n"/>
    </row>
    <row r="566" ht="26.8" customHeight="1" s="1158">
      <c r="A566" s="1766" t="inlineStr">
        <is>
          <t>JT.#329</t>
        </is>
      </c>
      <c r="B566" s="1766" t="inlineStr">
        <is>
          <t>3-1/2" TUBING 9.2 LB/FT ALLOY 28 TSH BL</t>
        </is>
      </c>
      <c r="C566" s="1767" t="n">
        <v>31</v>
      </c>
      <c r="D566" s="1785">
        <f>C566</f>
        <v/>
      </c>
      <c r="E566" s="1759">
        <f>E565+D566</f>
        <v/>
      </c>
      <c r="F566" s="1759">
        <f>F565-D565</f>
        <v/>
      </c>
      <c r="G566" s="1760">
        <f>G565-D566</f>
        <v/>
      </c>
      <c r="H566" s="1855" t="n"/>
    </row>
    <row r="567" ht="26.8" customHeight="1" s="1158">
      <c r="A567" s="1766" t="inlineStr">
        <is>
          <t>JT.#330</t>
        </is>
      </c>
      <c r="B567" s="1766" t="inlineStr">
        <is>
          <t>3-1/2" TUBING 9.2 LB/FT ALLOY 28 TSH BL</t>
        </is>
      </c>
      <c r="C567" s="1767" t="n">
        <v>31</v>
      </c>
      <c r="D567" s="1785">
        <f>C567</f>
        <v/>
      </c>
      <c r="E567" s="1759">
        <f>E566+D567</f>
        <v/>
      </c>
      <c r="F567" s="1759">
        <f>F566-D566</f>
        <v/>
      </c>
      <c r="G567" s="1760">
        <f>G566-D567</f>
        <v/>
      </c>
      <c r="H567" s="1855" t="n"/>
    </row>
    <row r="568" ht="26.8" customHeight="1" s="1158">
      <c r="A568" s="1766" t="inlineStr">
        <is>
          <t>JT.#331</t>
        </is>
      </c>
      <c r="B568" s="1766" t="inlineStr">
        <is>
          <t>3-1/2" TUBING 9.2 LB/FT ALLOY 28 TSH BL</t>
        </is>
      </c>
      <c r="C568" s="1767" t="n">
        <v>31</v>
      </c>
      <c r="D568" s="1785">
        <f>C568</f>
        <v/>
      </c>
      <c r="E568" s="1759">
        <f>E567+D568</f>
        <v/>
      </c>
      <c r="F568" s="1759">
        <f>F567-D567</f>
        <v/>
      </c>
      <c r="G568" s="1760">
        <f>G567-D568</f>
        <v/>
      </c>
      <c r="H568" s="1855" t="n"/>
    </row>
    <row r="569" ht="26.8" customHeight="1" s="1158">
      <c r="A569" s="1766" t="inlineStr">
        <is>
          <t>JT.#332</t>
        </is>
      </c>
      <c r="B569" s="1766" t="inlineStr">
        <is>
          <t>3-1/2" TUBING 9.2 LB/FT ALLOY 28 TSH BL</t>
        </is>
      </c>
      <c r="C569" s="1767" t="n">
        <v>31</v>
      </c>
      <c r="D569" s="1785">
        <f>C569</f>
        <v/>
      </c>
      <c r="E569" s="1759">
        <f>E568+D569</f>
        <v/>
      </c>
      <c r="F569" s="1759">
        <f>F568-D568</f>
        <v/>
      </c>
      <c r="G569" s="1760">
        <f>G568-D569</f>
        <v/>
      </c>
      <c r="H569" s="1855" t="n"/>
    </row>
    <row r="570" ht="26.8" customHeight="1" s="1158">
      <c r="A570" s="1766" t="inlineStr">
        <is>
          <t>JT.#333</t>
        </is>
      </c>
      <c r="B570" s="1766" t="inlineStr">
        <is>
          <t>3-1/2" TUBING 9.2 LB/FT ALLOY 28 TSH BL</t>
        </is>
      </c>
      <c r="C570" s="1767" t="n">
        <v>31</v>
      </c>
      <c r="D570" s="1785">
        <f>C570</f>
        <v/>
      </c>
      <c r="E570" s="1759">
        <f>E569+D570</f>
        <v/>
      </c>
      <c r="F570" s="1759">
        <f>F569-D569</f>
        <v/>
      </c>
      <c r="G570" s="1760">
        <f>G569-D570</f>
        <v/>
      </c>
      <c r="H570" s="1855" t="n"/>
    </row>
    <row r="571" ht="26.8" customHeight="1" s="1158">
      <c r="A571" s="1766" t="inlineStr">
        <is>
          <t>JT.#334</t>
        </is>
      </c>
      <c r="B571" s="1766" t="inlineStr">
        <is>
          <t>3-1/2" TUBING 9.2 LB/FT ALLOY 28 TSH BL</t>
        </is>
      </c>
      <c r="C571" s="1767" t="n">
        <v>31</v>
      </c>
      <c r="D571" s="1785">
        <f>C571</f>
        <v/>
      </c>
      <c r="E571" s="1759">
        <f>E570+D571</f>
        <v/>
      </c>
      <c r="F571" s="1759">
        <f>F570-D570</f>
        <v/>
      </c>
      <c r="G571" s="1760">
        <f>G570-D571</f>
        <v/>
      </c>
      <c r="H571" s="1855" t="n"/>
    </row>
    <row r="572" ht="26.8" customHeight="1" s="1158">
      <c r="A572" s="1766" t="inlineStr">
        <is>
          <t>JT.#335</t>
        </is>
      </c>
      <c r="B572" s="1766" t="inlineStr">
        <is>
          <t>3-1/2" TUBING 9.2 LB/FT ALLOY 28 TSH BL</t>
        </is>
      </c>
      <c r="C572" s="1767" t="n">
        <v>31</v>
      </c>
      <c r="D572" s="1785">
        <f>C572</f>
        <v/>
      </c>
      <c r="E572" s="1759">
        <f>E571+D572</f>
        <v/>
      </c>
      <c r="F572" s="1759">
        <f>F571-D571</f>
        <v/>
      </c>
      <c r="G572" s="1760">
        <f>G571-D572</f>
        <v/>
      </c>
      <c r="H572" s="1855" t="n"/>
    </row>
    <row r="573" ht="26.8" customHeight="1" s="1158">
      <c r="A573" s="1766" t="inlineStr">
        <is>
          <t>JT.#336</t>
        </is>
      </c>
      <c r="B573" s="1766" t="inlineStr">
        <is>
          <t>3-1/2" TUBING 9.2 LB/FT ALLOY 28 TSH BL</t>
        </is>
      </c>
      <c r="C573" s="1767" t="n">
        <v>31</v>
      </c>
      <c r="D573" s="1785">
        <f>C573</f>
        <v/>
      </c>
      <c r="E573" s="1759">
        <f>E572+D573</f>
        <v/>
      </c>
      <c r="F573" s="1759">
        <f>F572-D572</f>
        <v/>
      </c>
      <c r="G573" s="1760">
        <f>G572-D573</f>
        <v/>
      </c>
      <c r="H573" s="1855" t="n"/>
    </row>
    <row r="574" ht="26.8" customHeight="1" s="1158">
      <c r="A574" s="1766" t="inlineStr">
        <is>
          <t>JT.#337</t>
        </is>
      </c>
      <c r="B574" s="1766" t="inlineStr">
        <is>
          <t>3-1/2" TUBING 9.2 LB/FT ALLOY 28 TSH BL</t>
        </is>
      </c>
      <c r="C574" s="1767" t="n">
        <v>31</v>
      </c>
      <c r="D574" s="1785">
        <f>C574</f>
        <v/>
      </c>
      <c r="E574" s="1759">
        <f>E573+D574</f>
        <v/>
      </c>
      <c r="F574" s="1759">
        <f>F573-D573</f>
        <v/>
      </c>
      <c r="G574" s="1760">
        <f>G573-D574</f>
        <v/>
      </c>
      <c r="H574" s="1855" t="n"/>
    </row>
    <row r="575" ht="26.8" customHeight="1" s="1158">
      <c r="A575" s="1766" t="inlineStr">
        <is>
          <t>JT.#338</t>
        </is>
      </c>
      <c r="B575" s="1766" t="inlineStr">
        <is>
          <t>3-1/2" TUBING 9.2 LB/FT ALLOY 28 TSH BL</t>
        </is>
      </c>
      <c r="C575" s="1767" t="n">
        <v>31</v>
      </c>
      <c r="D575" s="1785">
        <f>C575</f>
        <v/>
      </c>
      <c r="E575" s="1759">
        <f>E574+D575</f>
        <v/>
      </c>
      <c r="F575" s="1759">
        <f>F574-D574</f>
        <v/>
      </c>
      <c r="G575" s="1760">
        <f>G574-D575</f>
        <v/>
      </c>
      <c r="H575" s="1855" t="n"/>
    </row>
    <row r="576" ht="26.8" customHeight="1" s="1158">
      <c r="A576" s="1766" t="inlineStr">
        <is>
          <t>JT.#339</t>
        </is>
      </c>
      <c r="B576" s="1766" t="inlineStr">
        <is>
          <t>3-1/2" TUBING 9.2 LB/FT ALLOY 28 TSH BL</t>
        </is>
      </c>
      <c r="C576" s="1767" t="n">
        <v>31</v>
      </c>
      <c r="D576" s="1785">
        <f>C576</f>
        <v/>
      </c>
      <c r="E576" s="1759">
        <f>E575+D576</f>
        <v/>
      </c>
      <c r="F576" s="1759">
        <f>F575-D575</f>
        <v/>
      </c>
      <c r="G576" s="1760">
        <f>G575-D576</f>
        <v/>
      </c>
      <c r="H576" s="1855" t="n"/>
    </row>
    <row r="577" ht="26.8" customHeight="1" s="1158">
      <c r="A577" s="1766" t="inlineStr">
        <is>
          <t>JT.#340</t>
        </is>
      </c>
      <c r="B577" s="1766" t="inlineStr">
        <is>
          <t>3-1/2" TUBING 9.2 LB/FT ALLOY 28 TSH BL</t>
        </is>
      </c>
      <c r="C577" s="1767" t="n">
        <v>31</v>
      </c>
      <c r="D577" s="1785">
        <f>C577</f>
        <v/>
      </c>
      <c r="E577" s="1759">
        <f>E576+D577</f>
        <v/>
      </c>
      <c r="F577" s="1759">
        <f>F576-D576</f>
        <v/>
      </c>
      <c r="G577" s="1760">
        <f>G576-D577</f>
        <v/>
      </c>
      <c r="H577" s="1855" t="n"/>
    </row>
    <row r="578" ht="26.8" customHeight="1" s="1158">
      <c r="A578" s="1766" t="inlineStr">
        <is>
          <t>JT.#341</t>
        </is>
      </c>
      <c r="B578" s="1766" t="inlineStr">
        <is>
          <t>3-1/2" TUBING 9.2 LB/FT ALLOY 28 TSH BL</t>
        </is>
      </c>
      <c r="C578" s="1767" t="n">
        <v>31</v>
      </c>
      <c r="D578" s="1785">
        <f>C578</f>
        <v/>
      </c>
      <c r="E578" s="1759">
        <f>E577+D578</f>
        <v/>
      </c>
      <c r="F578" s="1759">
        <f>F577-D577</f>
        <v/>
      </c>
      <c r="G578" s="1760">
        <f>G577-D578</f>
        <v/>
      </c>
      <c r="H578" s="1855" t="n"/>
    </row>
    <row r="579" ht="26.8" customHeight="1" s="1158">
      <c r="A579" s="1766" t="inlineStr">
        <is>
          <t>JT.#342</t>
        </is>
      </c>
      <c r="B579" s="1766" t="inlineStr">
        <is>
          <t>3-1/2" TUBING 9.2 LB/FT ALLOY 28 TSH BL</t>
        </is>
      </c>
      <c r="C579" s="1767" t="n">
        <v>31</v>
      </c>
      <c r="D579" s="1785">
        <f>C579</f>
        <v/>
      </c>
      <c r="E579" s="1759">
        <f>E578+D579</f>
        <v/>
      </c>
      <c r="F579" s="1759">
        <f>F578-D578</f>
        <v/>
      </c>
      <c r="G579" s="1760">
        <f>G578-D579</f>
        <v/>
      </c>
      <c r="H579" s="1855" t="n"/>
    </row>
    <row r="580" ht="26.8" customHeight="1" s="1158">
      <c r="A580" s="1766" t="inlineStr">
        <is>
          <t>JT.#343</t>
        </is>
      </c>
      <c r="B580" s="1766" t="inlineStr">
        <is>
          <t>3-1/2" TUBING 9.2 LB/FT ALLOY 28 TSH BL</t>
        </is>
      </c>
      <c r="C580" s="1767" t="n">
        <v>31</v>
      </c>
      <c r="D580" s="1785">
        <f>C580</f>
        <v/>
      </c>
      <c r="E580" s="1759">
        <f>E579+D580</f>
        <v/>
      </c>
      <c r="F580" s="1759">
        <f>F579-D579</f>
        <v/>
      </c>
      <c r="G580" s="1760">
        <f>G579-D580</f>
        <v/>
      </c>
      <c r="H580" s="1855" t="n"/>
    </row>
    <row r="581" ht="26.8" customHeight="1" s="1158">
      <c r="A581" s="1766" t="inlineStr">
        <is>
          <t>JT.#344</t>
        </is>
      </c>
      <c r="B581" s="1766" t="inlineStr">
        <is>
          <t>3-1/2" TUBING 9.2 LB/FT ALLOY 28 TSH BL</t>
        </is>
      </c>
      <c r="C581" s="1767" t="n">
        <v>31</v>
      </c>
      <c r="D581" s="1785">
        <f>C581</f>
        <v/>
      </c>
      <c r="E581" s="1759">
        <f>E580+D581</f>
        <v/>
      </c>
      <c r="F581" s="1759">
        <f>F580-D580</f>
        <v/>
      </c>
      <c r="G581" s="1760">
        <f>G580-D581</f>
        <v/>
      </c>
      <c r="H581" s="1855" t="n"/>
    </row>
    <row r="582" ht="26.8" customHeight="1" s="1158">
      <c r="A582" s="1766" t="inlineStr">
        <is>
          <t>JT.#345</t>
        </is>
      </c>
      <c r="B582" s="1766" t="inlineStr">
        <is>
          <t>3-1/2" TUBING 9.2 LB/FT ALLOY 28 TSH BL</t>
        </is>
      </c>
      <c r="C582" s="1767" t="n">
        <v>31</v>
      </c>
      <c r="D582" s="1785">
        <f>C582</f>
        <v/>
      </c>
      <c r="E582" s="1759">
        <f>E581+D582</f>
        <v/>
      </c>
      <c r="F582" s="1759">
        <f>F581-D581</f>
        <v/>
      </c>
      <c r="G582" s="1760">
        <f>G581-D582</f>
        <v/>
      </c>
      <c r="H582" s="1855" t="n"/>
    </row>
    <row r="583" ht="26.8" customHeight="1" s="1158">
      <c r="A583" s="1766" t="inlineStr">
        <is>
          <t>JT.#346</t>
        </is>
      </c>
      <c r="B583" s="1766" t="inlineStr">
        <is>
          <t>3-1/2" TUBING 9.2 LB/FT ALLOY 28 TSH BL</t>
        </is>
      </c>
      <c r="C583" s="1767" t="n">
        <v>31</v>
      </c>
      <c r="D583" s="1785">
        <f>C583</f>
        <v/>
      </c>
      <c r="E583" s="1759">
        <f>E582+D583</f>
        <v/>
      </c>
      <c r="F583" s="1759">
        <f>F582-D582</f>
        <v/>
      </c>
      <c r="G583" s="1760">
        <f>G582-D583</f>
        <v/>
      </c>
      <c r="H583" s="1855" t="n"/>
    </row>
    <row r="584" ht="26.8" customHeight="1" s="1158">
      <c r="A584" s="1766" t="inlineStr">
        <is>
          <t>JT.#347</t>
        </is>
      </c>
      <c r="B584" s="1766" t="inlineStr">
        <is>
          <t>3-1/2" TUBING 9.2 LB/FT ALLOY 28 TSH BL</t>
        </is>
      </c>
      <c r="C584" s="1767" t="n">
        <v>31</v>
      </c>
      <c r="D584" s="1785">
        <f>C584</f>
        <v/>
      </c>
      <c r="E584" s="1759">
        <f>E583+D584</f>
        <v/>
      </c>
      <c r="F584" s="1759">
        <f>F583-D583</f>
        <v/>
      </c>
      <c r="G584" s="1760">
        <f>G583-D584</f>
        <v/>
      </c>
      <c r="H584" s="1855" t="n"/>
    </row>
    <row r="585" ht="26.8" customHeight="1" s="1158">
      <c r="A585" s="1766" t="inlineStr">
        <is>
          <t>JT.#348</t>
        </is>
      </c>
      <c r="B585" s="1766" t="inlineStr">
        <is>
          <t>3-1/2" TUBING 9.2 LB/FT ALLOY 28 TSH BL</t>
        </is>
      </c>
      <c r="C585" s="1767" t="n">
        <v>31</v>
      </c>
      <c r="D585" s="1785">
        <f>C585</f>
        <v/>
      </c>
      <c r="E585" s="1759">
        <f>E584+D585</f>
        <v/>
      </c>
      <c r="F585" s="1759">
        <f>F584-D584</f>
        <v/>
      </c>
      <c r="G585" s="1760">
        <f>G584-D585</f>
        <v/>
      </c>
      <c r="H585" s="1855" t="n"/>
    </row>
    <row r="586" ht="26.8" customHeight="1" s="1158">
      <c r="A586" s="1766" t="inlineStr">
        <is>
          <t>JT.#349</t>
        </is>
      </c>
      <c r="B586" s="1766" t="inlineStr">
        <is>
          <t>3-1/2" TUBING 9.2 LB/FT ALLOY 28 TSH BL</t>
        </is>
      </c>
      <c r="C586" s="1767" t="n">
        <v>31</v>
      </c>
      <c r="D586" s="1785">
        <f>C586</f>
        <v/>
      </c>
      <c r="E586" s="1759">
        <f>E585+D586</f>
        <v/>
      </c>
      <c r="F586" s="1759">
        <f>F585-D585</f>
        <v/>
      </c>
      <c r="G586" s="1760">
        <f>G585-D586</f>
        <v/>
      </c>
      <c r="H586" s="1855" t="n"/>
    </row>
    <row r="587" ht="26.8" customHeight="1" s="1158">
      <c r="A587" s="1766" t="inlineStr">
        <is>
          <t>JT.#350</t>
        </is>
      </c>
      <c r="B587" s="1766" t="inlineStr">
        <is>
          <t>3-1/2" TUBING 9.2 LB/FT ALLOY 28 TSH BL</t>
        </is>
      </c>
      <c r="C587" s="1767" t="n">
        <v>31</v>
      </c>
      <c r="D587" s="1785">
        <f>C587</f>
        <v/>
      </c>
      <c r="E587" s="1759">
        <f>E586+D587</f>
        <v/>
      </c>
      <c r="F587" s="1759">
        <f>F586-D586</f>
        <v/>
      </c>
      <c r="G587" s="1760">
        <f>G586-D587</f>
        <v/>
      </c>
      <c r="H587" s="1855" t="n"/>
    </row>
    <row r="588" ht="26.8" customHeight="1" s="1158">
      <c r="A588" s="1766" t="inlineStr">
        <is>
          <t>JT.#351</t>
        </is>
      </c>
      <c r="B588" s="1766" t="inlineStr">
        <is>
          <t>3-1/2" TUBING 9.2 LB/FT ALLOY 28 TSH BL</t>
        </is>
      </c>
      <c r="C588" s="1767" t="n">
        <v>31</v>
      </c>
      <c r="D588" s="1785">
        <f>C588</f>
        <v/>
      </c>
      <c r="E588" s="1759">
        <f>E587+D588</f>
        <v/>
      </c>
      <c r="F588" s="1759">
        <f>F587-D587</f>
        <v/>
      </c>
      <c r="G588" s="1760">
        <f>G587-D588</f>
        <v/>
      </c>
      <c r="H588" s="1855" t="n"/>
    </row>
    <row r="589" ht="26.8" customHeight="1" s="1158">
      <c r="A589" s="1766" t="inlineStr">
        <is>
          <t>JT.#352</t>
        </is>
      </c>
      <c r="B589" s="1766" t="inlineStr">
        <is>
          <t>3-1/2" TUBING 9.2 LB/FT ALLOY 28 TSH BL</t>
        </is>
      </c>
      <c r="C589" s="1767" t="n">
        <v>31</v>
      </c>
      <c r="D589" s="1785">
        <f>C589</f>
        <v/>
      </c>
      <c r="E589" s="1759">
        <f>E588+D589</f>
        <v/>
      </c>
      <c r="F589" s="1759">
        <f>F588-D588</f>
        <v/>
      </c>
      <c r="G589" s="1760">
        <f>G588-D589</f>
        <v/>
      </c>
      <c r="H589" s="1855" t="n"/>
    </row>
    <row r="590" ht="26.8" customHeight="1" s="1158">
      <c r="A590" s="1766" t="inlineStr">
        <is>
          <t>JT.#353</t>
        </is>
      </c>
      <c r="B590" s="1766" t="inlineStr">
        <is>
          <t>3-1/2" TUBING 9.2 LB/FT ALLOY 28 TSH BL</t>
        </is>
      </c>
      <c r="C590" s="1767" t="n">
        <v>31</v>
      </c>
      <c r="D590" s="1785">
        <f>C590</f>
        <v/>
      </c>
      <c r="E590" s="1759">
        <f>E589+D590</f>
        <v/>
      </c>
      <c r="F590" s="1759">
        <f>F589-D589</f>
        <v/>
      </c>
      <c r="G590" s="1760">
        <f>G589-D590</f>
        <v/>
      </c>
      <c r="H590" s="1855" t="n"/>
    </row>
    <row r="591" ht="26.8" customHeight="1" s="1158">
      <c r="A591" s="1766" t="inlineStr">
        <is>
          <t>JT.#354</t>
        </is>
      </c>
      <c r="B591" s="1766" t="inlineStr">
        <is>
          <t>3-1/2" TUBING 9.2 LB/FT ALLOY 28 TSH BL</t>
        </is>
      </c>
      <c r="C591" s="1767" t="n">
        <v>31</v>
      </c>
      <c r="D591" s="1785">
        <f>C591</f>
        <v/>
      </c>
      <c r="E591" s="1759">
        <f>E590+D591</f>
        <v/>
      </c>
      <c r="F591" s="1759">
        <f>F590-D590</f>
        <v/>
      </c>
      <c r="G591" s="1760">
        <f>G590-D591</f>
        <v/>
      </c>
      <c r="H591" s="1855" t="n"/>
    </row>
    <row r="592" ht="26.8" customHeight="1" s="1158">
      <c r="A592" s="1766" t="inlineStr">
        <is>
          <t>JT.#355</t>
        </is>
      </c>
      <c r="B592" s="1766" t="inlineStr">
        <is>
          <t>3-1/2" TUBING 9.2 LB/FT ALLOY 28 TSH BL</t>
        </is>
      </c>
      <c r="C592" s="1767" t="n">
        <v>31</v>
      </c>
      <c r="D592" s="1785">
        <f>C592</f>
        <v/>
      </c>
      <c r="E592" s="1759">
        <f>E591+D592</f>
        <v/>
      </c>
      <c r="F592" s="1759">
        <f>F591-D591</f>
        <v/>
      </c>
      <c r="G592" s="1760">
        <f>G591-D592</f>
        <v/>
      </c>
      <c r="H592" s="1855" t="n"/>
    </row>
    <row r="593" ht="26.8" customHeight="1" s="1158">
      <c r="A593" s="1766" t="inlineStr">
        <is>
          <t>JT.#356</t>
        </is>
      </c>
      <c r="B593" s="1766" t="inlineStr">
        <is>
          <t>3-1/2" TUBING 9.2 LB/FT ALLOY 28 TSH BL</t>
        </is>
      </c>
      <c r="C593" s="1767" t="n">
        <v>31</v>
      </c>
      <c r="D593" s="1785">
        <f>C593</f>
        <v/>
      </c>
      <c r="E593" s="1759">
        <f>E592+D593</f>
        <v/>
      </c>
      <c r="F593" s="1759">
        <f>F592-D592</f>
        <v/>
      </c>
      <c r="G593" s="1760">
        <f>G592-D593</f>
        <v/>
      </c>
      <c r="H593" s="1855" t="n"/>
    </row>
    <row r="594" ht="26.8" customHeight="1" s="1158">
      <c r="A594" s="1766" t="inlineStr">
        <is>
          <t>JT.#357</t>
        </is>
      </c>
      <c r="B594" s="1766" t="inlineStr">
        <is>
          <t>3-1/2" TUBING 9.2 LB/FT ALLOY 28 TSH BL</t>
        </is>
      </c>
      <c r="C594" s="1767" t="n">
        <v>31</v>
      </c>
      <c r="D594" s="1785">
        <f>C594</f>
        <v/>
      </c>
      <c r="E594" s="1759">
        <f>E593+D594</f>
        <v/>
      </c>
      <c r="F594" s="1759">
        <f>F593-D593</f>
        <v/>
      </c>
      <c r="G594" s="1760">
        <f>G593-D594</f>
        <v/>
      </c>
      <c r="H594" s="1855" t="n"/>
    </row>
    <row r="595" ht="26.8" customHeight="1" s="1158">
      <c r="A595" s="1766" t="inlineStr">
        <is>
          <t>JT.#358</t>
        </is>
      </c>
      <c r="B595" s="1766" t="inlineStr">
        <is>
          <t>3-1/2" TUBING 9.2 LB/FT ALLOY 28 TSH BL</t>
        </is>
      </c>
      <c r="C595" s="1767" t="n">
        <v>31</v>
      </c>
      <c r="D595" s="1785">
        <f>C595</f>
        <v/>
      </c>
      <c r="E595" s="1759">
        <f>E594+D595</f>
        <v/>
      </c>
      <c r="F595" s="1759">
        <f>F594-D594</f>
        <v/>
      </c>
      <c r="G595" s="1760">
        <f>G594-D595</f>
        <v/>
      </c>
      <c r="H595" s="1855" t="n"/>
    </row>
    <row r="596" ht="26.8" customHeight="1" s="1158">
      <c r="A596" s="1766" t="inlineStr">
        <is>
          <t>JT.#359</t>
        </is>
      </c>
      <c r="B596" s="1766" t="inlineStr">
        <is>
          <t>3-1/2" TUBING 9.2 LB/FT ALLOY 28 TSH BL</t>
        </is>
      </c>
      <c r="C596" s="1767" t="n">
        <v>31</v>
      </c>
      <c r="D596" s="1785">
        <f>C596</f>
        <v/>
      </c>
      <c r="E596" s="1759">
        <f>E595+D596</f>
        <v/>
      </c>
      <c r="F596" s="1759">
        <f>F595-D595</f>
        <v/>
      </c>
      <c r="G596" s="1760">
        <f>G595-D596</f>
        <v/>
      </c>
      <c r="H596" s="1855" t="n"/>
    </row>
    <row r="597" ht="105.95" customHeight="1" s="1158">
      <c r="A597" s="1865" t="inlineStr">
        <is>
          <t>F</t>
        </is>
      </c>
      <c r="B597" s="1866" t="inlineStr">
        <is>
          <t>UPPER CONN. 3-1/2" VAM TOP BOX 9.2 PPF SN 28 110 KSI
DESCRIPTION: 5 FEET XOVER
SAP: 130005011340
SUPPLIER: TENARIS
UPPER CONN. 3-1/2" TSH BLUE PIN 9.2 PPF SN 28 110 KSI</t>
        </is>
      </c>
      <c r="C597" s="1867" t="n">
        <v>5.02</v>
      </c>
      <c r="D597" s="1785">
        <f>C597</f>
        <v/>
      </c>
      <c r="E597" s="1759">
        <f>E596+D597</f>
        <v/>
      </c>
      <c r="F597" s="1759">
        <f>F596-D596</f>
        <v/>
      </c>
      <c r="G597" s="1760">
        <f>G596-D597</f>
        <v/>
      </c>
      <c r="H597" s="1855" t="n"/>
    </row>
    <row r="598" ht="147.75" customHeight="1" s="1158">
      <c r="A598" s="1778" t="n"/>
      <c r="B598" s="1866" t="inlineStr">
        <is>
          <t>UPPER CONN. 3-1/2" VAM TOP 9.2#PPF INCOLOY 925 BOX
DESCRIPTION: FLOW COUPLING
PN: 2996124
S/N: 130777-04-001
SAP: 130010035671
S UPPLIER: WEATHERFORD
LOWER CONN. 3-1/2" VAM TOP 9.2#PPF</t>
        </is>
      </c>
      <c r="C598" s="1867" t="n">
        <v>5.75</v>
      </c>
      <c r="D598" s="1785">
        <f>C598</f>
        <v/>
      </c>
      <c r="E598" s="1759">
        <f>E597+D598</f>
        <v/>
      </c>
      <c r="F598" s="1759">
        <f>F597-D597</f>
        <v/>
      </c>
      <c r="G598" s="1760">
        <f>G597-D598</f>
        <v/>
      </c>
      <c r="H598" s="1855" t="n"/>
    </row>
    <row r="599" ht="210" customHeight="1" s="1158">
      <c r="A599" s="1778" t="n"/>
      <c r="B599" s="1866" t="inlineStr">
        <is>
          <t>UPPER CONN. 3-1/2" VAM TOP 9.2#PPF
INCOLOY 925
BOX
DESCRIPTION: WEATHERFORD ASSY, TRSV,3.5WZPE-10
2.813WOR,2kSD,9.2# VAM TOP, WN302
PN: 2980845
S/N: 12777594-01
SAP: 130010038007
SUPPLIER: WEATHERFORD
LOWER CONN. 3-1/2" VAM TOP 9.2#PPF</t>
        </is>
      </c>
      <c r="C599" s="1867" t="n">
        <v>4.44</v>
      </c>
      <c r="D599" s="1785">
        <f>C599</f>
        <v/>
      </c>
      <c r="E599" s="1759">
        <f>E598+D599</f>
        <v/>
      </c>
      <c r="F599" s="1759">
        <f>F598-D598</f>
        <v/>
      </c>
      <c r="G599" s="1760">
        <f>G598-D599</f>
        <v/>
      </c>
      <c r="H599" s="1855" t="n"/>
    </row>
    <row r="600" ht="189" customHeight="1" s="1158">
      <c r="A600" s="1778" t="n"/>
      <c r="B600" s="1866" t="inlineStr">
        <is>
          <t>UPPER CONN. 3-1/2" VAM TOP 9.2#PPF
INCOLOY 925
BOX
DESCRIPTION: FLOW COUPLING
P/N: 2996124
S/N: 130777-02-002
SAP: 130010035671
SUPPLIER: WEATHERFORD
LOWER CONN. 3-1/2" VAM TOP 9.2#PPF</t>
        </is>
      </c>
      <c r="C600" s="1867" t="n">
        <v>5.75</v>
      </c>
      <c r="D600" s="1868">
        <f>C600</f>
        <v/>
      </c>
      <c r="E600" s="1869">
        <f>E599+D600</f>
        <v/>
      </c>
      <c r="F600" s="1869">
        <f>F599-D599</f>
        <v/>
      </c>
      <c r="G600" s="1870">
        <f>G599-D600</f>
        <v/>
      </c>
      <c r="H600" s="1871" t="n"/>
    </row>
    <row r="601" ht="105.95" customHeight="1" s="1158">
      <c r="A601" s="1450" t="n"/>
      <c r="B601" s="1866" t="inlineStr">
        <is>
          <t>UPPER CONN. 3-1/2" TSH BLUE BOX 9.2 PPF SN 28 110 KSI
DESCRIPTION: 10 FEET XOVER
SAP: 130005012487
SUPPLIER: TENARIS
LOWER CONN. 3-1/2" VAM TOP PIN 9.2 PPF SN 28 110 KSI</t>
        </is>
      </c>
      <c r="C601" s="1867" t="n">
        <v>9.93</v>
      </c>
      <c r="D601" s="1868">
        <f>C601</f>
        <v/>
      </c>
      <c r="E601" s="1869">
        <f>E600+D601</f>
        <v/>
      </c>
      <c r="F601" s="1869">
        <f>F600-D600</f>
        <v/>
      </c>
      <c r="G601" s="1870">
        <f>G600-D601</f>
        <v/>
      </c>
      <c r="H601" s="1871" t="n"/>
    </row>
    <row r="602" ht="26.8" customHeight="1" s="1158">
      <c r="A602" s="1766" t="inlineStr">
        <is>
          <t>JT.#360</t>
        </is>
      </c>
      <c r="B602" s="1766" t="inlineStr">
        <is>
          <t>3-1/2" TUBING 9.2 LB/FT ALLOY 28 TSH BL</t>
        </is>
      </c>
      <c r="C602" s="1767" t="n">
        <v>31</v>
      </c>
      <c r="D602" s="1868">
        <f>C602</f>
        <v/>
      </c>
      <c r="E602" s="1869">
        <f>E601+D602</f>
        <v/>
      </c>
      <c r="F602" s="1869">
        <f>F601-D601</f>
        <v/>
      </c>
      <c r="G602" s="1870">
        <f>G601-D602</f>
        <v/>
      </c>
      <c r="H602" s="1871" t="n"/>
    </row>
    <row r="603" ht="26.8" customHeight="1" s="1158">
      <c r="A603" s="1766" t="inlineStr">
        <is>
          <t>JT.#361</t>
        </is>
      </c>
      <c r="B603" s="1766" t="inlineStr">
        <is>
          <t>3-1/2" TUBING 9.2 LB/FT ALLOY 28 TSH BL</t>
        </is>
      </c>
      <c r="C603" s="1767" t="n">
        <v>31</v>
      </c>
      <c r="D603" s="1868">
        <f>C603</f>
        <v/>
      </c>
      <c r="E603" s="1869">
        <f>E602+D603</f>
        <v/>
      </c>
      <c r="F603" s="1869">
        <f>F602-D602</f>
        <v/>
      </c>
      <c r="G603" s="1870">
        <f>G602-D603</f>
        <v/>
      </c>
      <c r="H603" s="1871" t="n"/>
    </row>
    <row r="604" ht="26.8" customHeight="1" s="1158">
      <c r="A604" s="1766" t="inlineStr">
        <is>
          <t>JT.#362</t>
        </is>
      </c>
      <c r="B604" s="1766" t="inlineStr">
        <is>
          <t>3-1/2" TUBING 9.2 LB/FT ALLOY 28 TSH BL</t>
        </is>
      </c>
      <c r="C604" s="1767" t="n">
        <v>31</v>
      </c>
      <c r="D604" s="1868">
        <f>C604</f>
        <v/>
      </c>
      <c r="E604" s="1869">
        <f>E603+D604</f>
        <v/>
      </c>
      <c r="F604" s="1869">
        <f>F603-D603</f>
        <v/>
      </c>
      <c r="G604" s="1870">
        <f>G603-D604</f>
        <v/>
      </c>
      <c r="H604" s="1871" t="n"/>
    </row>
    <row r="605" ht="26.8" customHeight="1" s="1158">
      <c r="A605" s="1766" t="inlineStr">
        <is>
          <t>JT.#363</t>
        </is>
      </c>
      <c r="B605" s="1766" t="inlineStr">
        <is>
          <t>3-1/2" TUBING 9.2 LB/FT ALLOY 28 TSH BL</t>
        </is>
      </c>
      <c r="C605" s="1767" t="n">
        <v>31</v>
      </c>
      <c r="D605" s="1868">
        <f>C605</f>
        <v/>
      </c>
      <c r="E605" s="1869">
        <f>E604+D605</f>
        <v/>
      </c>
      <c r="F605" s="1869">
        <f>F604-D604</f>
        <v/>
      </c>
      <c r="G605" s="1870">
        <f>G604-D605</f>
        <v/>
      </c>
      <c r="H605" s="1871" t="n"/>
    </row>
    <row r="606" ht="26.8" customHeight="1" s="1158">
      <c r="A606" s="1766" t="inlineStr">
        <is>
          <t>JT.#364</t>
        </is>
      </c>
      <c r="B606" s="1766" t="inlineStr">
        <is>
          <t>3-1/2" TUBING 9.2 LB/FT ALLOY 28 TSH BL</t>
        </is>
      </c>
      <c r="C606" s="1767" t="n">
        <v>31</v>
      </c>
      <c r="D606" s="1868">
        <f>C606</f>
        <v/>
      </c>
      <c r="E606" s="1869">
        <f>E605+D606</f>
        <v/>
      </c>
      <c r="F606" s="1869">
        <f>F605-D605</f>
        <v/>
      </c>
      <c r="G606" s="1870">
        <f>G605-D606</f>
        <v/>
      </c>
      <c r="H606" s="1871" t="n"/>
    </row>
    <row r="607" ht="105.95" customHeight="1" s="1158">
      <c r="A607" s="1872" t="inlineStr">
        <is>
          <t>F - 1</t>
        </is>
      </c>
      <c r="B607" s="1873" t="inlineStr">
        <is>
          <t>UPPER CONN. 3-1/2" TENARIS BLUE 9.2#PPF SN 28 110 KSI
DESCRIPTION: 5 FEET PUP JOINT
SAP: 130005011338
SUPPLIER:TENARIS
LOWER CONN. 3-1/2" TENARIS BLUE 9.2#PPF SN 28 110 KSI</t>
        </is>
      </c>
      <c r="C607" s="1874" t="n">
        <v>5.08</v>
      </c>
      <c r="D607" s="1868">
        <f>C607</f>
        <v/>
      </c>
      <c r="E607" s="1869">
        <f>E606+D607</f>
        <v/>
      </c>
      <c r="F607" s="1869">
        <f>F606-D606</f>
        <v/>
      </c>
      <c r="G607" s="1870">
        <f>G606-D607</f>
        <v/>
      </c>
      <c r="H607" s="1871" t="n"/>
    </row>
    <row r="608" ht="105.95" customHeight="1" s="1158">
      <c r="A608" s="1778" t="n"/>
      <c r="B608" s="1873" t="inlineStr">
        <is>
          <t>UPPER CONN. 4-1/2" VAM TOP 12.6 #PPF SN 28 120 KSI BOX
DESCRIPTION : X OVER
4 1/2 PIN TOP X 3 1/2 PIN BTM
SAP: 130005012767 SUPPLIER: TENARIS
LOWER CONN. 3-1/2" TENARIS BLUE 9.2#PPF SN 28 120 KSI PIN</t>
        </is>
      </c>
      <c r="C608" s="1874" t="n">
        <v>2.48</v>
      </c>
      <c r="D608" s="1868">
        <f>C608</f>
        <v/>
      </c>
      <c r="E608" s="1869">
        <f>E607+D608</f>
        <v/>
      </c>
      <c r="F608" s="1869">
        <f>F607-D607</f>
        <v/>
      </c>
      <c r="G608" s="1870">
        <f>G607-D608</f>
        <v/>
      </c>
      <c r="H608" s="1871" t="n"/>
    </row>
    <row r="609" ht="189.55" customHeight="1" s="1158">
      <c r="A609" s="1450" t="n"/>
      <c r="B609" s="1873"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874" t="n">
        <v>1.9</v>
      </c>
      <c r="D609" s="1868">
        <f>C609</f>
        <v/>
      </c>
      <c r="E609" s="1869">
        <f>E608+D609</f>
        <v/>
      </c>
      <c r="F609" s="1869">
        <f>F608-D608</f>
        <v/>
      </c>
      <c r="G609" s="1870">
        <f>G608-D609</f>
        <v/>
      </c>
      <c r="H609" s="1871" t="n"/>
    </row>
    <row r="610" ht="23.25" customHeight="1" s="1158">
      <c r="A610" s="1875" t="n"/>
      <c r="B610" s="1876" t="n"/>
      <c r="C610" s="1877" t="n"/>
      <c r="D610" s="1878" t="n"/>
      <c r="E610" s="1869">
        <f>E609+D610</f>
        <v/>
      </c>
      <c r="F610" s="1869">
        <f>F609-D609</f>
        <v/>
      </c>
      <c r="G610" s="1870">
        <f>G609-D610</f>
        <v/>
      </c>
      <c r="H610" s="1871" t="n"/>
    </row>
    <row r="611" ht="12.75" customHeight="1" s="1158">
      <c r="A611" s="1875" t="n"/>
      <c r="B611" s="1876" t="n"/>
      <c r="C611" s="1877" t="n"/>
      <c r="D611" s="1878" t="n"/>
      <c r="E611" s="1878" t="n"/>
      <c r="F611" s="1878" t="n"/>
      <c r="G611" s="1878" t="n"/>
      <c r="H611" s="1878" t="n"/>
    </row>
    <row r="612" ht="12.75" customHeight="1" s="1158">
      <c r="A612" s="1875" t="n"/>
      <c r="B612" s="1876" t="n"/>
      <c r="C612" s="1877" t="n"/>
      <c r="D612" s="1878" t="n"/>
      <c r="E612" s="1878" t="n"/>
      <c r="F612" s="1878" t="n"/>
      <c r="G612" s="1878" t="n"/>
      <c r="H612" s="1878" t="n"/>
    </row>
    <row r="613" ht="12.75" customHeight="1" s="1158">
      <c r="A613" s="1875" t="n"/>
      <c r="B613" s="1876" t="n"/>
      <c r="C613" s="1877" t="n"/>
      <c r="D613" s="1878" t="n"/>
      <c r="E613" s="1878" t="n"/>
      <c r="F613" s="1878" t="n"/>
      <c r="G613" s="1878" t="n"/>
      <c r="H613" s="1878" t="n"/>
    </row>
    <row r="614" ht="12.75" customHeight="1" s="1158">
      <c r="A614" s="1875" t="n"/>
      <c r="B614" s="1876" t="n"/>
      <c r="C614" s="1877" t="n"/>
      <c r="D614" s="1878" t="n"/>
      <c r="E614" s="1878" t="n"/>
      <c r="F614" s="1878" t="n"/>
      <c r="G614" s="1878" t="n"/>
      <c r="H614" s="1878" t="n"/>
    </row>
    <row r="615" ht="12.75" customHeight="1" s="1158">
      <c r="A615" s="1875" t="n"/>
      <c r="B615" s="1876" t="n"/>
      <c r="C615" s="1877" t="n"/>
      <c r="D615" s="1878" t="n"/>
      <c r="E615" s="1878" t="n"/>
      <c r="F615" s="1878" t="n"/>
      <c r="G615" s="1878" t="n"/>
      <c r="H615" s="1878" t="n"/>
    </row>
    <row r="616" ht="12.75" customHeight="1" s="1158">
      <c r="A616" s="1875" t="n"/>
      <c r="B616" s="1876" t="n"/>
      <c r="C616" s="1877" t="n"/>
      <c r="D616" s="1878" t="n"/>
      <c r="E616" s="1878" t="n"/>
      <c r="F616" s="1878" t="n"/>
      <c r="G616" s="1878" t="n"/>
      <c r="H616" s="1878" t="n"/>
    </row>
    <row r="617" ht="12.75" customHeight="1" s="1158">
      <c r="A617" s="1875" t="n"/>
      <c r="B617" s="1876" t="n"/>
      <c r="C617" s="1877" t="n"/>
      <c r="D617" s="1878" t="n"/>
      <c r="E617" s="1878" t="n"/>
      <c r="F617" s="1878" t="n"/>
      <c r="G617" s="1878" t="n"/>
      <c r="H617" s="1878" t="n"/>
    </row>
    <row r="618" ht="12.75" customHeight="1" s="1158">
      <c r="A618" s="1875" t="n"/>
      <c r="B618" s="1876" t="n"/>
      <c r="C618" s="1877" t="n"/>
      <c r="D618" s="1878" t="n"/>
      <c r="E618" s="1878" t="n"/>
      <c r="F618" s="1878" t="n"/>
      <c r="G618" s="1878" t="n"/>
      <c r="H618" s="1878" t="n"/>
    </row>
    <row r="619" ht="12.75" customHeight="1" s="1158">
      <c r="A619" s="1875" t="n"/>
      <c r="B619" s="1876" t="n"/>
      <c r="C619" s="1877" t="n"/>
      <c r="D619" s="1878" t="n"/>
      <c r="E619" s="1878" t="n"/>
      <c r="F619" s="1878" t="n"/>
      <c r="G619" s="1878" t="n"/>
      <c r="H619" s="1878" t="n"/>
    </row>
    <row r="620" ht="12.75" customHeight="1" s="1158">
      <c r="A620" s="1875" t="n"/>
      <c r="B620" s="1876" t="n"/>
      <c r="C620" s="1877" t="n"/>
      <c r="D620" s="1878" t="n"/>
      <c r="E620" s="1878" t="n"/>
      <c r="F620" s="1878" t="n"/>
      <c r="G620" s="1878" t="n"/>
      <c r="H620" s="1878" t="n"/>
    </row>
    <row r="621" ht="12.75" customHeight="1" s="1158">
      <c r="A621" s="1875" t="n"/>
      <c r="B621" s="1876" t="n"/>
      <c r="C621" s="1877" t="n"/>
      <c r="D621" s="1878" t="n"/>
      <c r="E621" s="1878" t="n"/>
      <c r="F621" s="1878" t="n"/>
      <c r="G621" s="1878" t="n"/>
      <c r="H621" s="1878" t="n"/>
    </row>
    <row r="622" ht="12.75" customHeight="1" s="1158">
      <c r="A622" s="1875" t="n"/>
      <c r="B622" s="1876" t="n"/>
      <c r="C622" s="1877" t="n"/>
      <c r="D622" s="1878" t="n"/>
      <c r="E622" s="1878" t="n"/>
      <c r="F622" s="1878" t="n"/>
      <c r="G622" s="1878" t="n"/>
      <c r="H622" s="1878" t="n"/>
    </row>
    <row r="623" ht="12.75" customHeight="1" s="1158">
      <c r="A623" s="1875" t="n"/>
      <c r="B623" s="1876" t="n"/>
      <c r="C623" s="1877" t="n"/>
      <c r="D623" s="1878" t="n"/>
      <c r="E623" s="1878" t="n"/>
      <c r="F623" s="1878" t="n"/>
      <c r="G623" s="1878" t="n"/>
      <c r="H623" s="1878" t="n"/>
    </row>
    <row r="624" ht="12.75" customHeight="1" s="1158">
      <c r="A624" s="1875" t="n"/>
      <c r="B624" s="1876" t="n"/>
      <c r="C624" s="1877" t="n"/>
      <c r="D624" s="1878" t="n"/>
      <c r="E624" s="1878" t="n"/>
      <c r="F624" s="1878" t="n"/>
      <c r="G624" s="1878" t="n"/>
      <c r="H624" s="1878" t="n"/>
    </row>
    <row r="625" ht="12.75" customHeight="1" s="1158">
      <c r="A625" s="1875" t="n"/>
      <c r="B625" s="1876" t="n"/>
      <c r="C625" s="1877" t="n"/>
      <c r="D625" s="1878" t="n"/>
      <c r="E625" s="1878" t="n"/>
      <c r="F625" s="1878" t="n"/>
      <c r="G625" s="1878" t="n"/>
      <c r="H625" s="1878" t="n"/>
    </row>
    <row r="626" ht="12.75" customHeight="1" s="1158">
      <c r="A626" s="1875" t="n"/>
      <c r="B626" s="1876" t="n"/>
      <c r="C626" s="1877" t="n"/>
      <c r="D626" s="1878" t="n"/>
      <c r="E626" s="1878" t="n"/>
      <c r="F626" s="1878" t="n"/>
      <c r="G626" s="1878" t="n"/>
      <c r="H626" s="1878" t="n"/>
    </row>
    <row r="627" ht="12.75" customHeight="1" s="1158">
      <c r="A627" s="1875" t="n"/>
      <c r="B627" s="1876" t="n"/>
      <c r="C627" s="1877" t="n"/>
      <c r="D627" s="1878" t="n"/>
      <c r="E627" s="1878" t="n"/>
      <c r="F627" s="1878" t="n"/>
      <c r="G627" s="1878" t="n"/>
      <c r="H627" s="1878" t="n"/>
    </row>
    <row r="628" ht="12.75" customHeight="1" s="1158">
      <c r="A628" s="1875" t="n"/>
      <c r="B628" s="1876" t="n"/>
      <c r="C628" s="1877" t="n"/>
      <c r="D628" s="1878" t="n"/>
      <c r="E628" s="1878" t="n"/>
      <c r="F628" s="1878" t="n"/>
      <c r="G628" s="1878" t="n"/>
      <c r="H628" s="1878" t="n"/>
    </row>
    <row r="629" ht="12.75" customHeight="1" s="1158">
      <c r="A629" s="1875" t="n"/>
      <c r="B629" s="1876" t="n"/>
      <c r="C629" s="1877" t="n"/>
      <c r="D629" s="1878" t="n"/>
      <c r="E629" s="1878" t="n"/>
      <c r="F629" s="1878" t="n"/>
      <c r="G629" s="1878" t="n"/>
      <c r="H629" s="1878" t="n"/>
    </row>
    <row r="630" ht="12.75" customHeight="1" s="1158">
      <c r="A630" s="1875" t="n"/>
      <c r="B630" s="1876" t="n"/>
      <c r="C630" s="1877" t="n"/>
      <c r="D630" s="1878" t="n"/>
      <c r="E630" s="1878" t="n"/>
      <c r="F630" s="1878" t="n"/>
      <c r="G630" s="1878" t="n"/>
      <c r="H630" s="1878" t="n"/>
    </row>
    <row r="631" ht="12.75" customHeight="1" s="1158">
      <c r="A631" s="1875" t="n"/>
      <c r="B631" s="1876" t="n"/>
      <c r="C631" s="1877" t="n"/>
      <c r="D631" s="1878" t="n"/>
      <c r="E631" s="1878" t="n"/>
      <c r="F631" s="1878" t="n"/>
      <c r="G631" s="1878" t="n"/>
      <c r="H631" s="1878" t="n"/>
    </row>
    <row r="632" ht="12.75" customHeight="1" s="1158">
      <c r="A632" s="1875" t="n"/>
      <c r="B632" s="1876" t="n"/>
      <c r="C632" s="1877" t="n"/>
      <c r="D632" s="1878" t="n"/>
      <c r="E632" s="1878" t="n"/>
      <c r="F632" s="1878" t="n"/>
      <c r="G632" s="1878" t="n"/>
      <c r="H632" s="1878" t="n"/>
    </row>
    <row r="633" ht="12.75" customHeight="1" s="1158">
      <c r="A633" s="1875" t="n"/>
      <c r="B633" s="1876" t="n"/>
      <c r="C633" s="1877" t="n"/>
      <c r="D633" s="1878" t="n"/>
      <c r="E633" s="1878" t="n"/>
      <c r="F633" s="1878" t="n"/>
      <c r="G633" s="1878" t="n"/>
      <c r="H633" s="1878" t="n"/>
    </row>
    <row r="634" ht="12.75" customHeight="1" s="1158">
      <c r="A634" s="1875" t="n"/>
      <c r="B634" s="1876" t="n"/>
      <c r="C634" s="1877" t="n"/>
      <c r="D634" s="1878" t="n"/>
      <c r="E634" s="1878" t="n"/>
      <c r="F634" s="1878" t="n"/>
      <c r="G634" s="1878" t="n"/>
      <c r="H634" s="1878" t="n"/>
    </row>
    <row r="635" ht="12.75" customHeight="1" s="1158">
      <c r="A635" s="1875" t="n"/>
      <c r="B635" s="1876" t="n"/>
      <c r="C635" s="1877" t="n"/>
      <c r="D635" s="1878" t="n"/>
      <c r="E635" s="1878" t="n"/>
      <c r="F635" s="1878" t="n"/>
      <c r="G635" s="1878" t="n"/>
      <c r="H635" s="1878" t="n"/>
    </row>
    <row r="636" ht="12.75" customHeight="1" s="1158">
      <c r="A636" s="1875" t="n"/>
      <c r="B636" s="1876" t="n"/>
      <c r="C636" s="1877" t="n"/>
      <c r="D636" s="1878" t="n"/>
      <c r="E636" s="1878" t="n"/>
      <c r="F636" s="1878" t="n"/>
      <c r="G636" s="1878" t="n"/>
      <c r="H636" s="1878" t="n"/>
    </row>
    <row r="637" ht="12.75" customHeight="1" s="1158">
      <c r="A637" s="1875" t="n"/>
      <c r="B637" s="1876" t="n"/>
      <c r="C637" s="1877" t="n"/>
      <c r="D637" s="1878" t="n"/>
      <c r="E637" s="1878" t="n"/>
      <c r="F637" s="1878" t="n"/>
      <c r="G637" s="1878" t="n"/>
      <c r="H637" s="1878" t="n"/>
    </row>
    <row r="638" ht="12.75" customHeight="1" s="1158">
      <c r="A638" s="1875" t="n"/>
      <c r="B638" s="1876" t="n"/>
      <c r="C638" s="1877" t="n"/>
      <c r="D638" s="1878" t="n"/>
      <c r="E638" s="1878" t="n"/>
      <c r="F638" s="1878" t="n"/>
      <c r="G638" s="1878" t="n"/>
      <c r="H638" s="1878" t="n"/>
    </row>
    <row r="639" ht="12.75" customHeight="1" s="1158">
      <c r="A639" s="1875" t="n"/>
      <c r="B639" s="1876" t="n"/>
      <c r="C639" s="1877" t="n"/>
      <c r="D639" s="1878" t="n"/>
      <c r="E639" s="1878" t="n"/>
      <c r="F639" s="1878" t="n"/>
      <c r="G639" s="1878" t="n"/>
      <c r="H639" s="1878" t="n"/>
    </row>
    <row r="640" ht="12.75" customHeight="1" s="1158">
      <c r="A640" s="1875" t="n"/>
      <c r="B640" s="1876" t="n"/>
      <c r="C640" s="1877" t="n"/>
      <c r="D640" s="1878" t="n"/>
      <c r="E640" s="1878" t="n"/>
      <c r="F640" s="1878" t="n"/>
      <c r="G640" s="1878" t="n"/>
      <c r="H640" s="1878" t="n"/>
    </row>
    <row r="641" ht="12.75" customHeight="1" s="1158">
      <c r="A641" s="1875" t="n"/>
      <c r="B641" s="1876" t="n"/>
      <c r="C641" s="1877" t="n"/>
      <c r="D641" s="1878" t="n"/>
      <c r="E641" s="1878" t="n"/>
      <c r="F641" s="1878" t="n"/>
      <c r="G641" s="1878" t="n"/>
      <c r="H641" s="1878" t="n"/>
    </row>
    <row r="642" ht="12.75" customHeight="1" s="1158">
      <c r="A642" s="1875" t="n"/>
      <c r="B642" s="1876" t="n"/>
      <c r="C642" s="1877" t="n"/>
      <c r="D642" s="1878" t="n"/>
      <c r="E642" s="1878" t="n"/>
      <c r="F642" s="1878" t="n"/>
      <c r="G642" s="1878" t="n"/>
      <c r="H642" s="1878" t="n"/>
    </row>
    <row r="643" ht="12.75" customHeight="1" s="1158">
      <c r="A643" s="1875" t="n"/>
      <c r="B643" s="1876" t="n"/>
      <c r="C643" s="1877" t="n"/>
      <c r="D643" s="1878" t="n"/>
      <c r="E643" s="1878" t="n"/>
      <c r="F643" s="1878" t="n"/>
      <c r="G643" s="1878" t="n"/>
      <c r="H643" s="1878" t="n"/>
    </row>
    <row r="644" ht="12.75" customHeight="1" s="1158">
      <c r="A644" s="1875" t="n"/>
      <c r="B644" s="1876" t="n"/>
      <c r="C644" s="1877" t="n"/>
      <c r="D644" s="1878" t="n"/>
      <c r="E644" s="1878" t="n"/>
      <c r="F644" s="1878" t="n"/>
      <c r="G644" s="1878" t="n"/>
      <c r="H644" s="1878" t="n"/>
    </row>
    <row r="645" ht="12.75" customHeight="1" s="1158">
      <c r="A645" s="1875" t="n"/>
      <c r="B645" s="1876" t="n"/>
      <c r="C645" s="1877" t="n"/>
      <c r="D645" s="1878" t="n"/>
      <c r="E645" s="1878" t="n"/>
      <c r="F645" s="1878" t="n"/>
      <c r="G645" s="1878" t="n"/>
      <c r="H645" s="1878" t="n"/>
    </row>
    <row r="646" ht="12.75" customHeight="1" s="1158">
      <c r="A646" s="1875" t="n"/>
      <c r="B646" s="1876" t="n"/>
      <c r="C646" s="1877" t="n"/>
      <c r="D646" s="1878" t="n"/>
      <c r="E646" s="1878" t="n"/>
      <c r="F646" s="1878" t="n"/>
      <c r="G646" s="1878" t="n"/>
      <c r="H646" s="1878" t="n"/>
    </row>
    <row r="647" ht="12.75" customHeight="1" s="1158">
      <c r="A647" s="1875" t="n"/>
      <c r="B647" s="1876" t="n"/>
      <c r="C647" s="1877" t="n"/>
      <c r="D647" s="1878" t="n"/>
      <c r="E647" s="1878" t="n"/>
      <c r="F647" s="1878" t="n"/>
      <c r="G647" s="1878" t="n"/>
      <c r="H647" s="1878" t="n"/>
    </row>
    <row r="648" ht="12.75" customHeight="1" s="1158">
      <c r="A648" s="1875" t="n"/>
      <c r="B648" s="1876" t="n"/>
      <c r="C648" s="1877" t="n"/>
      <c r="D648" s="1878" t="n"/>
      <c r="E648" s="1878" t="n"/>
      <c r="F648" s="1878" t="n"/>
      <c r="G648" s="1878" t="n"/>
      <c r="H648" s="1878" t="n"/>
    </row>
    <row r="649" ht="12.75" customHeight="1" s="1158">
      <c r="A649" s="1875" t="n"/>
      <c r="B649" s="1876" t="n"/>
      <c r="C649" s="1877" t="n"/>
      <c r="D649" s="1878" t="n"/>
      <c r="E649" s="1878" t="n"/>
      <c r="F649" s="1878" t="n"/>
      <c r="G649" s="1878" t="n"/>
      <c r="H649" s="1878" t="n"/>
    </row>
    <row r="650" ht="12.75" customHeight="1" s="1158">
      <c r="A650" s="1875" t="n"/>
      <c r="B650" s="1876" t="n"/>
      <c r="C650" s="1877" t="n"/>
      <c r="D650" s="1878" t="n"/>
      <c r="E650" s="1878" t="n"/>
      <c r="F650" s="1878" t="n"/>
      <c r="G650" s="1878" t="n"/>
      <c r="H650" s="1878" t="n"/>
    </row>
    <row r="651" ht="12.75" customHeight="1" s="1158">
      <c r="A651" s="1875" t="n"/>
      <c r="B651" s="1876" t="n"/>
      <c r="C651" s="1877" t="n"/>
      <c r="D651" s="1878" t="n"/>
      <c r="E651" s="1878" t="n"/>
      <c r="F651" s="1878" t="n"/>
      <c r="G651" s="1878" t="n"/>
      <c r="H651" s="1878" t="n"/>
    </row>
    <row r="652" ht="12.75" customHeight="1" s="1158">
      <c r="A652" s="1875" t="n"/>
      <c r="B652" s="1876" t="n"/>
      <c r="C652" s="1877" t="n"/>
      <c r="D652" s="1878" t="n"/>
      <c r="E652" s="1878" t="n"/>
      <c r="F652" s="1878" t="n"/>
      <c r="G652" s="1878" t="n"/>
      <c r="H652" s="1878" t="n"/>
    </row>
    <row r="653" ht="12.75" customHeight="1" s="1158">
      <c r="A653" s="1875" t="n"/>
      <c r="B653" s="1876" t="n"/>
      <c r="C653" s="1877" t="n"/>
      <c r="D653" s="1878" t="n"/>
      <c r="E653" s="1878" t="n"/>
      <c r="F653" s="1878" t="n"/>
      <c r="G653" s="1878" t="n"/>
      <c r="H653" s="1878" t="n"/>
    </row>
    <row r="654" ht="12.75" customHeight="1" s="1158">
      <c r="A654" s="1875" t="n"/>
      <c r="B654" s="1876" t="n"/>
      <c r="C654" s="1877" t="n"/>
      <c r="D654" s="1878" t="n"/>
      <c r="E654" s="1878" t="n"/>
      <c r="F654" s="1878" t="n"/>
      <c r="G654" s="1878" t="n"/>
      <c r="H654" s="1878" t="n"/>
    </row>
    <row r="655" ht="12.75" customHeight="1" s="1158">
      <c r="A655" s="1875" t="n"/>
      <c r="B655" s="1876" t="n"/>
      <c r="C655" s="1877" t="n"/>
      <c r="D655" s="1878" t="n"/>
      <c r="E655" s="1878" t="n"/>
      <c r="F655" s="1878" t="n"/>
      <c r="G655" s="1878" t="n"/>
      <c r="H655" s="1878" t="n"/>
    </row>
    <row r="656" ht="12.75" customHeight="1" s="1158">
      <c r="A656" s="1875" t="n"/>
      <c r="B656" s="1876" t="n"/>
      <c r="C656" s="1877" t="n"/>
      <c r="D656" s="1878" t="n"/>
      <c r="E656" s="1878" t="n"/>
      <c r="F656" s="1878" t="n"/>
      <c r="G656" s="1878" t="n"/>
      <c r="H656" s="1878" t="n"/>
    </row>
    <row r="657" ht="12.75" customHeight="1" s="1158">
      <c r="A657" s="1875" t="n"/>
      <c r="B657" s="1876" t="n"/>
      <c r="C657" s="1877" t="n"/>
      <c r="D657" s="1878" t="n"/>
      <c r="E657" s="1878" t="n"/>
      <c r="F657" s="1878" t="n"/>
      <c r="G657" s="1878" t="n"/>
      <c r="H657" s="1878" t="n"/>
    </row>
    <row r="658" ht="12.75" customHeight="1" s="1158">
      <c r="A658" s="1875" t="n"/>
      <c r="B658" s="1876" t="n"/>
      <c r="C658" s="1877" t="n"/>
      <c r="D658" s="1878" t="n"/>
      <c r="E658" s="1878" t="n"/>
      <c r="F658" s="1878" t="n"/>
      <c r="G658" s="1878" t="n"/>
      <c r="H658" s="1878" t="n"/>
    </row>
    <row r="659" ht="12.75" customHeight="1" s="1158">
      <c r="A659" s="1875" t="n"/>
      <c r="B659" s="1876" t="n"/>
      <c r="C659" s="1877" t="n"/>
      <c r="D659" s="1878" t="n"/>
      <c r="E659" s="1878" t="n"/>
      <c r="F659" s="1878" t="n"/>
      <c r="G659" s="1878" t="n"/>
      <c r="H659" s="1878" t="n"/>
    </row>
    <row r="660" ht="12.75" customHeight="1" s="1158">
      <c r="A660" s="1875" t="n"/>
      <c r="B660" s="1876" t="n"/>
      <c r="C660" s="1877" t="n"/>
      <c r="D660" s="1878" t="n"/>
      <c r="E660" s="1878" t="n"/>
      <c r="F660" s="1878" t="n"/>
      <c r="G660" s="1878" t="n"/>
      <c r="H660" s="1878" t="n"/>
    </row>
    <row r="661" ht="12.75" customHeight="1" s="1158">
      <c r="A661" s="1875" t="n"/>
      <c r="B661" s="1876" t="n"/>
      <c r="C661" s="1877" t="n"/>
      <c r="D661" s="1878" t="n"/>
      <c r="E661" s="1878" t="n"/>
      <c r="F661" s="1878" t="n"/>
      <c r="G661" s="1878" t="n"/>
      <c r="H661" s="1878" t="n"/>
    </row>
    <row r="662" ht="12.75" customHeight="1" s="1158">
      <c r="A662" s="1875" t="n"/>
      <c r="B662" s="1876" t="n"/>
      <c r="C662" s="1877" t="n"/>
      <c r="D662" s="1878" t="n"/>
      <c r="E662" s="1878" t="n"/>
      <c r="F662" s="1878" t="n"/>
      <c r="G662" s="1878" t="n"/>
      <c r="H662" s="1878" t="n"/>
    </row>
    <row r="663" ht="12.75" customHeight="1" s="1158">
      <c r="A663" s="1875" t="n"/>
      <c r="B663" s="1876" t="n"/>
      <c r="C663" s="1877" t="n"/>
      <c r="D663" s="1878" t="n"/>
      <c r="E663" s="1878" t="n"/>
      <c r="F663" s="1878" t="n"/>
      <c r="G663" s="1878" t="n"/>
      <c r="H663" s="1878" t="n"/>
    </row>
    <row r="664" ht="12.75" customHeight="1" s="1158">
      <c r="A664" s="1875" t="n"/>
      <c r="B664" s="1876" t="n"/>
      <c r="C664" s="1877" t="n"/>
      <c r="D664" s="1878" t="n"/>
      <c r="E664" s="1878" t="n"/>
      <c r="F664" s="1878" t="n"/>
      <c r="G664" s="1878" t="n"/>
      <c r="H664" s="1878" t="n"/>
    </row>
    <row r="665" ht="12.75" customHeight="1" s="1158">
      <c r="A665" s="1875" t="n"/>
      <c r="B665" s="1876" t="n"/>
      <c r="C665" s="1877" t="n"/>
      <c r="D665" s="1878" t="n"/>
      <c r="E665" s="1878" t="n"/>
      <c r="F665" s="1878" t="n"/>
      <c r="G665" s="1878" t="n"/>
      <c r="H665" s="1878" t="n"/>
    </row>
    <row r="666" ht="12.75" customHeight="1" s="1158">
      <c r="A666" s="1875" t="n"/>
      <c r="B666" s="1876" t="n"/>
      <c r="C666" s="1877" t="n"/>
      <c r="D666" s="1878" t="n"/>
      <c r="E666" s="1878" t="n"/>
      <c r="F666" s="1878" t="n"/>
      <c r="G666" s="1878" t="n"/>
      <c r="H666" s="1878" t="n"/>
    </row>
    <row r="667" ht="12.75" customHeight="1" s="1158">
      <c r="A667" s="1875" t="n"/>
      <c r="B667" s="1876" t="n"/>
      <c r="C667" s="1877" t="n"/>
      <c r="D667" s="1878" t="n"/>
      <c r="E667" s="1878" t="n"/>
      <c r="F667" s="1878" t="n"/>
      <c r="G667" s="1878" t="n"/>
      <c r="H667" s="1878" t="n"/>
    </row>
    <row r="668" ht="12.75" customHeight="1" s="1158">
      <c r="A668" s="1875" t="n"/>
      <c r="B668" s="1876" t="n"/>
      <c r="C668" s="1877" t="n"/>
      <c r="D668" s="1878" t="n"/>
      <c r="E668" s="1878" t="n"/>
      <c r="F668" s="1878" t="n"/>
      <c r="G668" s="1878" t="n"/>
      <c r="H668" s="1878" t="n"/>
    </row>
    <row r="669" ht="12.75" customHeight="1" s="1158">
      <c r="A669" s="1875" t="n"/>
      <c r="B669" s="1876" t="n"/>
      <c r="C669" s="1877" t="n"/>
      <c r="D669" s="1878" t="n"/>
      <c r="E669" s="1878" t="n"/>
      <c r="F669" s="1878" t="n"/>
      <c r="G669" s="1878" t="n"/>
      <c r="H669" s="1878" t="n"/>
    </row>
    <row r="670" ht="12.75" customHeight="1" s="1158">
      <c r="A670" s="1875" t="n"/>
      <c r="B670" s="1876" t="n"/>
      <c r="C670" s="1877" t="n"/>
      <c r="D670" s="1878" t="n"/>
      <c r="E670" s="1878" t="n"/>
      <c r="F670" s="1878" t="n"/>
      <c r="G670" s="1878" t="n"/>
      <c r="H670" s="1878" t="n"/>
    </row>
    <row r="671" ht="12.75" customHeight="1" s="1158">
      <c r="A671" s="1875" t="n"/>
      <c r="B671" s="1876" t="n"/>
      <c r="C671" s="1877" t="n"/>
      <c r="D671" s="1878" t="n"/>
      <c r="E671" s="1878" t="n"/>
      <c r="F671" s="1878" t="n"/>
      <c r="G671" s="1878" t="n"/>
      <c r="H671" s="1878" t="n"/>
    </row>
    <row r="672" ht="12.75" customHeight="1" s="1158">
      <c r="A672" s="1875" t="n"/>
      <c r="B672" s="1876" t="n"/>
      <c r="C672" s="1877" t="n"/>
      <c r="D672" s="1878" t="n"/>
      <c r="E672" s="1878" t="n"/>
      <c r="F672" s="1878" t="n"/>
      <c r="G672" s="1878" t="n"/>
      <c r="H672" s="1878" t="n"/>
    </row>
    <row r="673" ht="12.75" customHeight="1" s="1158">
      <c r="A673" s="1875" t="n"/>
      <c r="B673" s="1876" t="n"/>
      <c r="C673" s="1877" t="n"/>
      <c r="D673" s="1878" t="n"/>
      <c r="E673" s="1878" t="n"/>
      <c r="F673" s="1878" t="n"/>
      <c r="G673" s="1878" t="n"/>
      <c r="H673" s="1878" t="n"/>
    </row>
    <row r="674" ht="12.75" customHeight="1" s="1158">
      <c r="A674" s="1875" t="n"/>
      <c r="B674" s="1876" t="n"/>
      <c r="C674" s="1877" t="n"/>
      <c r="D674" s="1878" t="n"/>
      <c r="E674" s="1878" t="n"/>
      <c r="F674" s="1878" t="n"/>
      <c r="G674" s="1878" t="n"/>
      <c r="H674" s="1878" t="n"/>
    </row>
    <row r="675" ht="12.75" customHeight="1" s="1158">
      <c r="A675" s="1875" t="n"/>
      <c r="B675" s="1876" t="n"/>
      <c r="C675" s="1877" t="n"/>
      <c r="D675" s="1878" t="n"/>
      <c r="E675" s="1878" t="n"/>
      <c r="F675" s="1878" t="n"/>
      <c r="G675" s="1878" t="n"/>
      <c r="H675" s="1878" t="n"/>
    </row>
    <row r="676" ht="12.75" customHeight="1" s="1158">
      <c r="A676" s="1875" t="n"/>
      <c r="B676" s="1876" t="n"/>
      <c r="C676" s="1877" t="n"/>
      <c r="D676" s="1878" t="n"/>
      <c r="E676" s="1878" t="n"/>
      <c r="F676" s="1878" t="n"/>
      <c r="G676" s="1878" t="n"/>
      <c r="H676" s="1878" t="n"/>
    </row>
    <row r="677" ht="12.75" customHeight="1" s="1158">
      <c r="A677" s="1875" t="n"/>
      <c r="B677" s="1876" t="n"/>
      <c r="C677" s="1877" t="n"/>
      <c r="D677" s="1878" t="n"/>
      <c r="E677" s="1878" t="n"/>
      <c r="F677" s="1878" t="n"/>
      <c r="G677" s="1878" t="n"/>
      <c r="H677" s="1878" t="n"/>
    </row>
    <row r="678" ht="12.75" customHeight="1" s="1158">
      <c r="A678" s="1875" t="n"/>
      <c r="B678" s="1876" t="n"/>
      <c r="C678" s="1877" t="n"/>
      <c r="D678" s="1878" t="n"/>
      <c r="E678" s="1878" t="n"/>
      <c r="F678" s="1878" t="n"/>
      <c r="G678" s="1878" t="n"/>
      <c r="H678" s="1878" t="n"/>
    </row>
    <row r="679" ht="12.75" customHeight="1" s="1158">
      <c r="A679" s="1875" t="n"/>
      <c r="B679" s="1876" t="n"/>
      <c r="C679" s="1877" t="n"/>
      <c r="D679" s="1878" t="n"/>
      <c r="E679" s="1878" t="n"/>
      <c r="F679" s="1878" t="n"/>
      <c r="G679" s="1878" t="n"/>
      <c r="H679" s="1878" t="n"/>
    </row>
    <row r="680" ht="12.75" customHeight="1" s="1158">
      <c r="A680" s="1875" t="n"/>
      <c r="B680" s="1876" t="n"/>
      <c r="C680" s="1877" t="n"/>
      <c r="D680" s="1878" t="n"/>
      <c r="E680" s="1878" t="n"/>
      <c r="F680" s="1878" t="n"/>
      <c r="G680" s="1878" t="n"/>
      <c r="H680" s="1878" t="n"/>
    </row>
    <row r="681" ht="12.75" customHeight="1" s="1158">
      <c r="A681" s="1875" t="n"/>
      <c r="B681" s="1876" t="n"/>
      <c r="C681" s="1877" t="n"/>
      <c r="D681" s="1878" t="n"/>
      <c r="E681" s="1878" t="n"/>
      <c r="F681" s="1878" t="n"/>
      <c r="G681" s="1878" t="n"/>
      <c r="H681" s="1878" t="n"/>
    </row>
    <row r="682" ht="12.75" customHeight="1" s="1158">
      <c r="A682" s="1875" t="n"/>
      <c r="B682" s="1876" t="n"/>
      <c r="C682" s="1877" t="n"/>
      <c r="D682" s="1878" t="n"/>
      <c r="E682" s="1878" t="n"/>
      <c r="F682" s="1878" t="n"/>
      <c r="G682" s="1878" t="n"/>
      <c r="H682" s="1878" t="n"/>
    </row>
    <row r="683" ht="12.75" customHeight="1" s="1158">
      <c r="A683" s="1875" t="n"/>
      <c r="B683" s="1876" t="n"/>
      <c r="C683" s="1877" t="n"/>
      <c r="D683" s="1878" t="n"/>
      <c r="E683" s="1878" t="n"/>
      <c r="F683" s="1878" t="n"/>
      <c r="G683" s="1878" t="n"/>
      <c r="H683" s="1878" t="n"/>
    </row>
    <row r="684" ht="12.75" customHeight="1" s="1158">
      <c r="A684" s="1875" t="n"/>
      <c r="B684" s="1876" t="n"/>
      <c r="C684" s="1877" t="n"/>
      <c r="D684" s="1878" t="n"/>
      <c r="E684" s="1878" t="n"/>
      <c r="F684" s="1878" t="n"/>
      <c r="G684" s="1878" t="n"/>
      <c r="H684" s="1878" t="n"/>
    </row>
    <row r="685" ht="12.75" customHeight="1" s="1158">
      <c r="A685" s="1875" t="n"/>
      <c r="B685" s="1876" t="n"/>
      <c r="C685" s="1877" t="n"/>
      <c r="D685" s="1878" t="n"/>
      <c r="E685" s="1878" t="n"/>
      <c r="F685" s="1878" t="n"/>
      <c r="G685" s="1878" t="n"/>
      <c r="H685" s="1878" t="n"/>
    </row>
    <row r="686" ht="12.75" customHeight="1" s="1158">
      <c r="A686" s="1875" t="n"/>
      <c r="B686" s="1876" t="n"/>
      <c r="C686" s="1877" t="n"/>
      <c r="D686" s="1878" t="n"/>
      <c r="E686" s="1878" t="n"/>
      <c r="F686" s="1878" t="n"/>
      <c r="G686" s="1878" t="n"/>
      <c r="H686" s="1878" t="n"/>
    </row>
    <row r="687" ht="12.75" customHeight="1" s="1158">
      <c r="A687" s="1875" t="n"/>
      <c r="B687" s="1876" t="n"/>
      <c r="C687" s="1877" t="n"/>
      <c r="D687" s="1878" t="n"/>
      <c r="E687" s="1878" t="n"/>
      <c r="F687" s="1878" t="n"/>
      <c r="G687" s="1878" t="n"/>
      <c r="H687" s="1878" t="n"/>
    </row>
    <row r="688" ht="12.75" customHeight="1" s="1158">
      <c r="A688" s="1875" t="n"/>
      <c r="B688" s="1876" t="n"/>
      <c r="C688" s="1877" t="n"/>
      <c r="D688" s="1878" t="n"/>
      <c r="E688" s="1878" t="n"/>
      <c r="F688" s="1878" t="n"/>
      <c r="G688" s="1878" t="n"/>
      <c r="H688" s="1878" t="n"/>
    </row>
    <row r="689" ht="12.75" customHeight="1" s="1158">
      <c r="A689" s="1875" t="n"/>
      <c r="B689" s="1876" t="n"/>
      <c r="C689" s="1877" t="n"/>
      <c r="D689" s="1878" t="n"/>
      <c r="E689" s="1878" t="n"/>
      <c r="F689" s="1878" t="n"/>
      <c r="G689" s="1878" t="n"/>
      <c r="H689" s="1878" t="n"/>
    </row>
    <row r="690" ht="12.75" customHeight="1" s="1158">
      <c r="A690" s="1875" t="n"/>
      <c r="B690" s="1876" t="n"/>
      <c r="C690" s="1877" t="n"/>
      <c r="D690" s="1878" t="n"/>
      <c r="E690" s="1878" t="n"/>
      <c r="F690" s="1878" t="n"/>
      <c r="G690" s="1878" t="n"/>
      <c r="H690" s="1878" t="n"/>
    </row>
    <row r="691" ht="12.75" customHeight="1" s="1158">
      <c r="A691" s="1875" t="n"/>
      <c r="B691" s="1876" t="n"/>
      <c r="C691" s="1877" t="n"/>
      <c r="D691" s="1878" t="n"/>
      <c r="E691" s="1878" t="n"/>
      <c r="F691" s="1878" t="n"/>
      <c r="G691" s="1878" t="n"/>
      <c r="H691" s="1878" t="n"/>
    </row>
    <row r="692" ht="12.75" customHeight="1" s="1158">
      <c r="A692" s="1875" t="n"/>
      <c r="B692" s="1876" t="n"/>
      <c r="C692" s="1877" t="n"/>
      <c r="D692" s="1878" t="n"/>
      <c r="E692" s="1878" t="n"/>
      <c r="F692" s="1878" t="n"/>
      <c r="G692" s="1878" t="n"/>
      <c r="H692" s="1878" t="n"/>
    </row>
    <row r="693" ht="12.75" customHeight="1" s="1158">
      <c r="A693" s="1875" t="n"/>
      <c r="B693" s="1876" t="n"/>
      <c r="C693" s="1877" t="n"/>
      <c r="D693" s="1878" t="n"/>
      <c r="E693" s="1878" t="n"/>
      <c r="F693" s="1878" t="n"/>
      <c r="G693" s="1878" t="n"/>
      <c r="H693" s="1878" t="n"/>
    </row>
    <row r="694" ht="12.75" customHeight="1" s="1158">
      <c r="A694" s="1875" t="n"/>
      <c r="B694" s="1876" t="n"/>
      <c r="C694" s="1877" t="n"/>
      <c r="D694" s="1878" t="n"/>
      <c r="E694" s="1878" t="n"/>
      <c r="F694" s="1878" t="n"/>
      <c r="G694" s="1878" t="n"/>
      <c r="H694" s="1878" t="n"/>
    </row>
    <row r="695" ht="12.75" customHeight="1" s="1158">
      <c r="A695" s="1875" t="n"/>
      <c r="B695" s="1876" t="n"/>
      <c r="C695" s="1877" t="n"/>
      <c r="D695" s="1878" t="n"/>
      <c r="E695" s="1878" t="n"/>
      <c r="F695" s="1878" t="n"/>
      <c r="G695" s="1878" t="n"/>
      <c r="H695" s="1878" t="n"/>
    </row>
    <row r="696" ht="12.75" customHeight="1" s="1158">
      <c r="A696" s="1875" t="n"/>
      <c r="B696" s="1876" t="n"/>
      <c r="C696" s="1877" t="n"/>
      <c r="D696" s="1878" t="n"/>
      <c r="E696" s="1878" t="n"/>
      <c r="F696" s="1878" t="n"/>
      <c r="G696" s="1878" t="n"/>
      <c r="H696" s="1878" t="n"/>
    </row>
    <row r="697" ht="12.75" customHeight="1" s="1158">
      <c r="A697" s="1875" t="n"/>
      <c r="B697" s="1876" t="n"/>
      <c r="C697" s="1877" t="n"/>
      <c r="D697" s="1878" t="n"/>
      <c r="E697" s="1878" t="n"/>
      <c r="F697" s="1878" t="n"/>
      <c r="G697" s="1878" t="n"/>
      <c r="H697" s="1878" t="n"/>
    </row>
    <row r="698" ht="12.75" customHeight="1" s="1158">
      <c r="A698" s="1875" t="n"/>
      <c r="B698" s="1876" t="n"/>
      <c r="C698" s="1877" t="n"/>
      <c r="D698" s="1878" t="n"/>
      <c r="E698" s="1878" t="n"/>
      <c r="F698" s="1878" t="n"/>
      <c r="G698" s="1878" t="n"/>
      <c r="H698" s="1878" t="n"/>
    </row>
    <row r="699" ht="12.75" customHeight="1" s="1158">
      <c r="A699" s="1875" t="n"/>
      <c r="B699" s="1876" t="n"/>
      <c r="C699" s="1877" t="n"/>
      <c r="D699" s="1878" t="n"/>
      <c r="E699" s="1878" t="n"/>
      <c r="F699" s="1878" t="n"/>
      <c r="G699" s="1878" t="n"/>
      <c r="H699" s="1878" t="n"/>
    </row>
    <row r="700" ht="12.75" customHeight="1" s="1158">
      <c r="A700" s="1875" t="n"/>
      <c r="B700" s="1876" t="n"/>
      <c r="C700" s="1877" t="n"/>
      <c r="D700" s="1878" t="n"/>
      <c r="E700" s="1878" t="n"/>
      <c r="F700" s="1878" t="n"/>
      <c r="G700" s="1878" t="n"/>
      <c r="H700" s="1878" t="n"/>
    </row>
    <row r="701" ht="12.75" customHeight="1" s="1158">
      <c r="A701" s="1875" t="n"/>
      <c r="B701" s="1876" t="n"/>
      <c r="C701" s="1877" t="n"/>
      <c r="D701" s="1878" t="n"/>
      <c r="E701" s="1878" t="n"/>
      <c r="F701" s="1878" t="n"/>
      <c r="G701" s="1878" t="n"/>
      <c r="H701" s="1878" t="n"/>
    </row>
    <row r="702" ht="12.75" customHeight="1" s="1158">
      <c r="A702" s="1875" t="n"/>
      <c r="B702" s="1876" t="n"/>
      <c r="C702" s="1877" t="n"/>
      <c r="D702" s="1878" t="n"/>
      <c r="E702" s="1878" t="n"/>
      <c r="F702" s="1878" t="n"/>
      <c r="G702" s="1878" t="n"/>
      <c r="H702" s="1878" t="n"/>
    </row>
    <row r="703" ht="12.75" customHeight="1" s="1158">
      <c r="A703" s="1875" t="n"/>
      <c r="B703" s="1876" t="n"/>
      <c r="C703" s="1877" t="n"/>
      <c r="D703" s="1878" t="n"/>
      <c r="E703" s="1878" t="n"/>
      <c r="F703" s="1878" t="n"/>
      <c r="G703" s="1878" t="n"/>
      <c r="H703" s="1878" t="n"/>
    </row>
    <row r="704" ht="12.75" customHeight="1" s="1158">
      <c r="A704" s="1875" t="n"/>
      <c r="B704" s="1876" t="n"/>
      <c r="C704" s="1877" t="n"/>
      <c r="D704" s="1878" t="n"/>
      <c r="E704" s="1878" t="n"/>
      <c r="F704" s="1878" t="n"/>
      <c r="G704" s="1878" t="n"/>
      <c r="H704" s="1878" t="n"/>
    </row>
    <row r="705" ht="12.75" customHeight="1" s="1158">
      <c r="A705" s="1875" t="n"/>
      <c r="B705" s="1876" t="n"/>
      <c r="C705" s="1877" t="n"/>
      <c r="D705" s="1878" t="n"/>
      <c r="E705" s="1878" t="n"/>
      <c r="F705" s="1878" t="n"/>
      <c r="G705" s="1878" t="n"/>
      <c r="H705" s="1878" t="n"/>
    </row>
    <row r="706" ht="12.75" customHeight="1" s="1158">
      <c r="A706" s="1875" t="n"/>
      <c r="B706" s="1876" t="n"/>
      <c r="C706" s="1877" t="n"/>
      <c r="D706" s="1878" t="n"/>
      <c r="E706" s="1878" t="n"/>
      <c r="F706" s="1878" t="n"/>
      <c r="G706" s="1878" t="n"/>
      <c r="H706" s="1878" t="n"/>
    </row>
    <row r="707" ht="12.75" customHeight="1" s="1158">
      <c r="A707" s="1875" t="n"/>
      <c r="B707" s="1876" t="n"/>
      <c r="C707" s="1877" t="n"/>
      <c r="D707" s="1878" t="n"/>
      <c r="E707" s="1878" t="n"/>
      <c r="F707" s="1878" t="n"/>
      <c r="G707" s="1878" t="n"/>
      <c r="H707" s="1878" t="n"/>
    </row>
    <row r="708" ht="12.75" customHeight="1" s="1158">
      <c r="A708" s="1875" t="n"/>
      <c r="B708" s="1876" t="n"/>
      <c r="C708" s="1877" t="n"/>
      <c r="D708" s="1878" t="n"/>
      <c r="E708" s="1878" t="n"/>
      <c r="F708" s="1878" t="n"/>
      <c r="G708" s="1878" t="n"/>
      <c r="H708" s="1878" t="n"/>
    </row>
    <row r="709" ht="12.75" customHeight="1" s="1158">
      <c r="A709" s="1875" t="n"/>
      <c r="B709" s="1876" t="n"/>
      <c r="C709" s="1877" t="n"/>
      <c r="D709" s="1878" t="n"/>
      <c r="E709" s="1878" t="n"/>
      <c r="F709" s="1878" t="n"/>
      <c r="G709" s="1878" t="n"/>
      <c r="H709" s="1878" t="n"/>
    </row>
    <row r="710" ht="12.75" customHeight="1" s="1158">
      <c r="A710" s="1875" t="n"/>
      <c r="B710" s="1876" t="n"/>
      <c r="C710" s="1877" t="n"/>
      <c r="D710" s="1878" t="n"/>
      <c r="E710" s="1878" t="n"/>
      <c r="F710" s="1878" t="n"/>
      <c r="G710" s="1878" t="n"/>
      <c r="H710" s="1878" t="n"/>
    </row>
    <row r="711" ht="12.75" customHeight="1" s="1158">
      <c r="A711" s="1875" t="n"/>
      <c r="B711" s="1876" t="n"/>
      <c r="C711" s="1877" t="n"/>
      <c r="D711" s="1878" t="n"/>
      <c r="E711" s="1878" t="n"/>
      <c r="F711" s="1878" t="n"/>
      <c r="G711" s="1878" t="n"/>
      <c r="H711" s="1878" t="n"/>
    </row>
    <row r="712" ht="12.75" customHeight="1" s="1158">
      <c r="A712" s="1875" t="n"/>
      <c r="B712" s="1876" t="n"/>
      <c r="C712" s="1877" t="n"/>
      <c r="D712" s="1878" t="n"/>
      <c r="E712" s="1878" t="n"/>
      <c r="F712" s="1878" t="n"/>
      <c r="G712" s="1878" t="n"/>
      <c r="H712" s="1878" t="n"/>
    </row>
    <row r="713" ht="12.75" customHeight="1" s="1158">
      <c r="A713" s="1875" t="n"/>
      <c r="B713" s="1876" t="n"/>
      <c r="C713" s="1877" t="n"/>
      <c r="D713" s="1878" t="n"/>
      <c r="E713" s="1878" t="n"/>
      <c r="F713" s="1878" t="n"/>
      <c r="G713" s="1878" t="n"/>
      <c r="H713" s="1878" t="n"/>
    </row>
    <row r="714" ht="12.75" customHeight="1" s="1158">
      <c r="A714" s="1875" t="n"/>
      <c r="B714" s="1876" t="n"/>
      <c r="C714" s="1877" t="n"/>
      <c r="D714" s="1878" t="n"/>
      <c r="E714" s="1878" t="n"/>
      <c r="F714" s="1878" t="n"/>
      <c r="G714" s="1878" t="n"/>
      <c r="H714" s="1878" t="n"/>
    </row>
    <row r="715" ht="12.75" customHeight="1" s="1158">
      <c r="A715" s="1875" t="n"/>
      <c r="B715" s="1876" t="n"/>
      <c r="C715" s="1877" t="n"/>
      <c r="D715" s="1878" t="n"/>
      <c r="E715" s="1878" t="n"/>
      <c r="F715" s="1878" t="n"/>
      <c r="G715" s="1878" t="n"/>
      <c r="H715" s="1878" t="n"/>
    </row>
    <row r="716" ht="12.75" customHeight="1" s="1158">
      <c r="A716" s="1875" t="n"/>
      <c r="B716" s="1876" t="n"/>
      <c r="C716" s="1877" t="n"/>
      <c r="D716" s="1878" t="n"/>
      <c r="E716" s="1878" t="n"/>
      <c r="F716" s="1878" t="n"/>
      <c r="G716" s="1878" t="n"/>
      <c r="H716" s="1878" t="n"/>
    </row>
    <row r="717" ht="12.75" customHeight="1" s="1158">
      <c r="A717" s="1875" t="n"/>
      <c r="B717" s="1876" t="n"/>
      <c r="C717" s="1877" t="n"/>
      <c r="D717" s="1878" t="n"/>
      <c r="E717" s="1878" t="n"/>
      <c r="F717" s="1878" t="n"/>
      <c r="G717" s="1878" t="n"/>
      <c r="H717" s="1878" t="n"/>
    </row>
    <row r="718" ht="12.75" customHeight="1" s="1158">
      <c r="A718" s="1875" t="n"/>
      <c r="B718" s="1876" t="n"/>
      <c r="C718" s="1877" t="n"/>
      <c r="D718" s="1878" t="n"/>
      <c r="E718" s="1878" t="n"/>
      <c r="F718" s="1878" t="n"/>
      <c r="G718" s="1878" t="n"/>
      <c r="H718" s="1878" t="n"/>
    </row>
    <row r="719" ht="12.75" customHeight="1" s="1158">
      <c r="A719" s="1875" t="n"/>
      <c r="B719" s="1876" t="n"/>
      <c r="C719" s="1877" t="n"/>
      <c r="D719" s="1878" t="n"/>
      <c r="E719" s="1878" t="n"/>
      <c r="F719" s="1878" t="n"/>
      <c r="G719" s="1878" t="n"/>
      <c r="H719" s="1878" t="n"/>
    </row>
    <row r="720" ht="12.75" customHeight="1" s="1158">
      <c r="A720" s="1879" t="n"/>
      <c r="B720" s="1876" t="n"/>
      <c r="C720" s="1877" t="n"/>
      <c r="D720" s="1878" t="n"/>
      <c r="E720" s="1878" t="n"/>
      <c r="F720" s="1878" t="n"/>
      <c r="G720" s="1878" t="n"/>
      <c r="H720" s="1878" t="n"/>
    </row>
    <row r="721" ht="12.75" customHeight="1" s="1158">
      <c r="A721" s="1879" t="n"/>
      <c r="B721" s="1876" t="n"/>
      <c r="C721" s="1877" t="n"/>
      <c r="D721" s="1878" t="n"/>
      <c r="E721" s="1878" t="n"/>
      <c r="F721" s="1878" t="n"/>
      <c r="G721" s="1878" t="n"/>
      <c r="H721" s="1878" t="n"/>
    </row>
    <row r="722" ht="12.75" customHeight="1" s="1158">
      <c r="A722" s="1879" t="n"/>
      <c r="B722" s="1876" t="n"/>
      <c r="C722" s="1877" t="n"/>
      <c r="D722" s="1878" t="n"/>
      <c r="E722" s="1878" t="n"/>
      <c r="F722" s="1878" t="n"/>
      <c r="G722" s="1878" t="n"/>
      <c r="H722" s="1878" t="n"/>
    </row>
    <row r="723" ht="12.75" customHeight="1" s="1158">
      <c r="A723" s="1879" t="n"/>
      <c r="B723" s="1876" t="n"/>
      <c r="C723" s="1877" t="n"/>
      <c r="D723" s="1878" t="n"/>
      <c r="E723" s="1878" t="n"/>
      <c r="F723" s="1878" t="n"/>
      <c r="G723" s="1878" t="n"/>
      <c r="H723" s="1878" t="n"/>
    </row>
    <row r="724" ht="12.75" customHeight="1" s="1158">
      <c r="A724" s="1879" t="n"/>
      <c r="B724" s="1876" t="n"/>
      <c r="C724" s="1877" t="n"/>
      <c r="D724" s="1878" t="n"/>
      <c r="E724" s="1878" t="n"/>
      <c r="F724" s="1878" t="n"/>
      <c r="G724" s="1878" t="n"/>
      <c r="H724" s="1878" t="n"/>
    </row>
    <row r="725" ht="12.75" customHeight="1" s="1158">
      <c r="A725" s="1879" t="n"/>
      <c r="B725" s="1876" t="n"/>
      <c r="C725" s="1877" t="n"/>
      <c r="D725" s="1878" t="n"/>
      <c r="E725" s="1878" t="n"/>
      <c r="F725" s="1878" t="n"/>
      <c r="G725" s="1878" t="n"/>
      <c r="H725" s="1878" t="n"/>
    </row>
    <row r="726" ht="12.75" customHeight="1" s="1158">
      <c r="A726" s="1879" t="n"/>
      <c r="B726" s="1876" t="n"/>
      <c r="C726" s="1877" t="n"/>
      <c r="D726" s="1878" t="n"/>
      <c r="E726" s="1878" t="n"/>
      <c r="F726" s="1878" t="n"/>
      <c r="G726" s="1878" t="n"/>
      <c r="H726" s="1878" t="n"/>
    </row>
    <row r="727" ht="12.75" customHeight="1" s="1158">
      <c r="A727" s="1879" t="n"/>
      <c r="B727" s="1876" t="n"/>
      <c r="C727" s="1877" t="n"/>
      <c r="D727" s="1878" t="n"/>
      <c r="E727" s="1878" t="n"/>
      <c r="F727" s="1878" t="n"/>
      <c r="G727" s="1878" t="n"/>
      <c r="H727" s="1878" t="n"/>
    </row>
    <row r="728" ht="12.75" customHeight="1" s="1158">
      <c r="A728" s="1879" t="n"/>
      <c r="B728" s="1876" t="n"/>
      <c r="C728" s="1877" t="n"/>
      <c r="D728" s="1878" t="n"/>
      <c r="E728" s="1878" t="n"/>
      <c r="F728" s="1878" t="n"/>
      <c r="G728" s="1878" t="n"/>
      <c r="H728" s="1878" t="n"/>
    </row>
    <row r="729" ht="12.75" customHeight="1" s="1158">
      <c r="A729" s="1879" t="n"/>
      <c r="B729" s="1876" t="n"/>
      <c r="C729" s="1877" t="n"/>
      <c r="D729" s="1878" t="n"/>
      <c r="E729" s="1878" t="n"/>
      <c r="F729" s="1878" t="n"/>
      <c r="G729" s="1878" t="n"/>
      <c r="H729" s="1878" t="n"/>
    </row>
    <row r="730" ht="12.75" customHeight="1" s="1158">
      <c r="A730" s="1879" t="n"/>
      <c r="B730" s="1876" t="n"/>
      <c r="C730" s="1877" t="n"/>
      <c r="D730" s="1878" t="n"/>
      <c r="E730" s="1878" t="n"/>
      <c r="F730" s="1878" t="n"/>
      <c r="G730" s="1878" t="n"/>
      <c r="H730" s="1878" t="n"/>
    </row>
    <row r="731" ht="12.75" customHeight="1" s="1158">
      <c r="A731" s="1879" t="n"/>
      <c r="B731" s="1876" t="n"/>
      <c r="C731" s="1877" t="n"/>
      <c r="D731" s="1878" t="n"/>
      <c r="E731" s="1878" t="n"/>
      <c r="F731" s="1878" t="n"/>
      <c r="G731" s="1878" t="n"/>
      <c r="H731" s="1878" t="n"/>
    </row>
    <row r="732" ht="12.75" customHeight="1" s="1158">
      <c r="A732" s="1879" t="n"/>
      <c r="B732" s="1876" t="n"/>
      <c r="C732" s="1877" t="n"/>
      <c r="D732" s="1878" t="n"/>
      <c r="E732" s="1878" t="n"/>
      <c r="F732" s="1878" t="n"/>
      <c r="G732" s="1878" t="n"/>
      <c r="H732" s="1878" t="n"/>
    </row>
    <row r="733" ht="12.75" customHeight="1" s="1158">
      <c r="A733" s="1879" t="n"/>
      <c r="B733" s="1876" t="n"/>
      <c r="C733" s="1877" t="n"/>
      <c r="D733" s="1878" t="n"/>
      <c r="E733" s="1878" t="n"/>
      <c r="F733" s="1878" t="n"/>
      <c r="G733" s="1878" t="n"/>
      <c r="H733" s="1878" t="n"/>
    </row>
    <row r="734" ht="12.75" customHeight="1" s="1158">
      <c r="A734" s="1879" t="n"/>
      <c r="B734" s="1876" t="n"/>
      <c r="C734" s="1877" t="n"/>
      <c r="D734" s="1878" t="n"/>
      <c r="E734" s="1878" t="n"/>
      <c r="F734" s="1878" t="n"/>
      <c r="G734" s="1878" t="n"/>
      <c r="H734" s="1878" t="n"/>
    </row>
    <row r="735" ht="12.75" customHeight="1" s="1158">
      <c r="A735" s="1879" t="n"/>
      <c r="B735" s="1876" t="n"/>
      <c r="C735" s="1877" t="n"/>
      <c r="D735" s="1878" t="n"/>
      <c r="E735" s="1878" t="n"/>
      <c r="F735" s="1878" t="n"/>
      <c r="G735" s="1878" t="n"/>
      <c r="H735" s="1878" t="n"/>
    </row>
    <row r="736" ht="12.75" customHeight="1" s="1158">
      <c r="A736" s="1879" t="n"/>
      <c r="B736" s="1876" t="n"/>
      <c r="C736" s="1877" t="n"/>
      <c r="D736" s="1878" t="n"/>
      <c r="E736" s="1878" t="n"/>
      <c r="F736" s="1878" t="n"/>
      <c r="G736" s="1878" t="n"/>
      <c r="H736" s="1878" t="n"/>
    </row>
    <row r="737" ht="12.75" customHeight="1" s="1158">
      <c r="A737" s="1879" t="n"/>
      <c r="B737" s="1876" t="n"/>
      <c r="C737" s="1877" t="n"/>
      <c r="D737" s="1878" t="n"/>
      <c r="E737" s="1878" t="n"/>
      <c r="F737" s="1878" t="n"/>
      <c r="G737" s="1878" t="n"/>
      <c r="H737" s="1878" t="n"/>
    </row>
    <row r="738" ht="12.75" customHeight="1" s="1158">
      <c r="A738" s="1879" t="n"/>
      <c r="B738" s="1876" t="n"/>
      <c r="C738" s="1877" t="n"/>
      <c r="D738" s="1878" t="n"/>
      <c r="E738" s="1878" t="n"/>
      <c r="F738" s="1878" t="n"/>
      <c r="G738" s="1878" t="n"/>
      <c r="H738" s="1878" t="n"/>
    </row>
    <row r="739" ht="12.75" customHeight="1" s="1158">
      <c r="A739" s="1879" t="n"/>
      <c r="B739" s="1876" t="n"/>
      <c r="C739" s="1877" t="n"/>
      <c r="D739" s="1878" t="n"/>
      <c r="E739" s="1878" t="n"/>
      <c r="F739" s="1878" t="n"/>
      <c r="G739" s="1878" t="n"/>
      <c r="H739" s="1878" t="n"/>
    </row>
    <row r="740" ht="12.75" customHeight="1" s="1158">
      <c r="A740" s="1879" t="n"/>
      <c r="B740" s="1876" t="n"/>
      <c r="C740" s="1877" t="n"/>
      <c r="D740" s="1878" t="n"/>
      <c r="E740" s="1878" t="n"/>
      <c r="F740" s="1878" t="n"/>
      <c r="G740" s="1878" t="n"/>
      <c r="H740" s="1878" t="n"/>
    </row>
    <row r="741" ht="12.75" customHeight="1" s="1158">
      <c r="A741" s="1879" t="n"/>
      <c r="B741" s="1876" t="n"/>
      <c r="C741" s="1877" t="n"/>
      <c r="D741" s="1878" t="n"/>
      <c r="E741" s="1878" t="n"/>
      <c r="F741" s="1878" t="n"/>
      <c r="G741" s="1878" t="n"/>
      <c r="H741" s="1878" t="n"/>
    </row>
    <row r="742" ht="12.75" customHeight="1" s="1158">
      <c r="A742" s="1879" t="n"/>
      <c r="B742" s="1876" t="n"/>
      <c r="C742" s="1877" t="n"/>
      <c r="D742" s="1878" t="n"/>
      <c r="E742" s="1878" t="n"/>
      <c r="F742" s="1878" t="n"/>
      <c r="G742" s="1878" t="n"/>
      <c r="H742" s="1878" t="n"/>
    </row>
    <row r="743" ht="12.75" customHeight="1" s="1158">
      <c r="A743" s="1879" t="n"/>
      <c r="B743" s="1876" t="n"/>
      <c r="C743" s="1877" t="n"/>
      <c r="D743" s="1878" t="n"/>
      <c r="E743" s="1878" t="n"/>
      <c r="F743" s="1878" t="n"/>
      <c r="G743" s="1878" t="n"/>
      <c r="H743" s="1878" t="n"/>
    </row>
    <row r="744" ht="12.75" customHeight="1" s="1158">
      <c r="A744" s="1879" t="n"/>
      <c r="B744" s="1876" t="n"/>
      <c r="C744" s="1877" t="n"/>
      <c r="D744" s="1878" t="n"/>
      <c r="E744" s="1878" t="n"/>
      <c r="F744" s="1878" t="n"/>
      <c r="G744" s="1878" t="n"/>
      <c r="H744" s="1878" t="n"/>
    </row>
    <row r="745" ht="12.75" customHeight="1" s="1158">
      <c r="A745" s="1879" t="n"/>
      <c r="B745" s="1876" t="n"/>
      <c r="C745" s="1877" t="n"/>
      <c r="D745" s="1878" t="n"/>
      <c r="E745" s="1878" t="n"/>
      <c r="F745" s="1878" t="n"/>
      <c r="G745" s="1878" t="n"/>
      <c r="H745" s="1878" t="n"/>
    </row>
    <row r="746" ht="12.75" customHeight="1" s="1158">
      <c r="A746" s="1879" t="n"/>
      <c r="B746" s="1876" t="n"/>
      <c r="C746" s="1877" t="n"/>
      <c r="D746" s="1878" t="n"/>
      <c r="E746" s="1878" t="n"/>
      <c r="F746" s="1878" t="n"/>
      <c r="G746" s="1878" t="n"/>
      <c r="H746" s="1878" t="n"/>
    </row>
    <row r="747" ht="12.75" customHeight="1" s="1158">
      <c r="A747" s="1879" t="n"/>
      <c r="B747" s="1876" t="n"/>
      <c r="C747" s="1877" t="n"/>
      <c r="D747" s="1878" t="n"/>
      <c r="E747" s="1878" t="n"/>
      <c r="F747" s="1878" t="n"/>
      <c r="G747" s="1878" t="n"/>
      <c r="H747" s="1878" t="n"/>
    </row>
    <row r="748" ht="12.75" customHeight="1" s="1158">
      <c r="A748" s="1879" t="n"/>
      <c r="B748" s="1876" t="n"/>
      <c r="C748" s="1877" t="n"/>
      <c r="D748" s="1878" t="n"/>
      <c r="E748" s="1878" t="n"/>
      <c r="F748" s="1878" t="n"/>
      <c r="G748" s="1878" t="n"/>
      <c r="H748" s="1878" t="n"/>
    </row>
    <row r="749" ht="12.75" customHeight="1" s="1158">
      <c r="A749" s="1879" t="n"/>
      <c r="B749" s="1876" t="n"/>
      <c r="C749" s="1877" t="n"/>
      <c r="D749" s="1878" t="n"/>
      <c r="E749" s="1878" t="n"/>
      <c r="F749" s="1878" t="n"/>
      <c r="G749" s="1878" t="n"/>
      <c r="H749" s="1878" t="n"/>
    </row>
    <row r="750" ht="12.75" customHeight="1" s="1158">
      <c r="A750" s="1879" t="n"/>
      <c r="B750" s="1876" t="n"/>
      <c r="C750" s="1877" t="n"/>
      <c r="D750" s="1878" t="n"/>
      <c r="E750" s="1878" t="n"/>
      <c r="F750" s="1878" t="n"/>
      <c r="G750" s="1878" t="n"/>
      <c r="H750" s="1878" t="n"/>
    </row>
    <row r="751" ht="12.75" customHeight="1" s="1158">
      <c r="A751" s="1879" t="n"/>
      <c r="B751" s="1876" t="n"/>
      <c r="C751" s="1877" t="n"/>
      <c r="D751" s="1878" t="n"/>
      <c r="E751" s="1878" t="n"/>
      <c r="F751" s="1878" t="n"/>
      <c r="G751" s="1878" t="n"/>
      <c r="H751" s="1878" t="n"/>
    </row>
    <row r="752" ht="12.75" customHeight="1" s="1158">
      <c r="A752" s="1879" t="n"/>
      <c r="B752" s="1876" t="n"/>
      <c r="C752" s="1877" t="n"/>
      <c r="D752" s="1878" t="n"/>
      <c r="E752" s="1878" t="n"/>
      <c r="F752" s="1878" t="n"/>
      <c r="G752" s="1878" t="n"/>
      <c r="H752" s="1878" t="n"/>
    </row>
    <row r="753" ht="12.75" customHeight="1" s="1158">
      <c r="A753" s="1879" t="n"/>
      <c r="B753" s="1876" t="n"/>
      <c r="C753" s="1877" t="n"/>
      <c r="D753" s="1878" t="n"/>
      <c r="E753" s="1878" t="n"/>
      <c r="F753" s="1878" t="n"/>
      <c r="G753" s="1878" t="n"/>
      <c r="H753" s="1878" t="n"/>
    </row>
    <row r="754" ht="12.75" customHeight="1" s="1158">
      <c r="A754" s="1879" t="n"/>
      <c r="B754" s="1876" t="n"/>
      <c r="C754" s="1877" t="n"/>
      <c r="D754" s="1878" t="n"/>
      <c r="E754" s="1878" t="n"/>
      <c r="F754" s="1878" t="n"/>
      <c r="G754" s="1878" t="n"/>
      <c r="H754" s="1878" t="n"/>
    </row>
    <row r="755" ht="12.75" customHeight="1" s="1158">
      <c r="A755" s="1879" t="n"/>
      <c r="B755" s="1876" t="n"/>
      <c r="C755" s="1877" t="n"/>
      <c r="D755" s="1878" t="n"/>
      <c r="E755" s="1878" t="n"/>
      <c r="F755" s="1878" t="n"/>
      <c r="G755" s="1878" t="n"/>
      <c r="H755" s="1878" t="n"/>
    </row>
    <row r="756" ht="12.75" customHeight="1" s="1158">
      <c r="A756" s="1879" t="n"/>
      <c r="B756" s="1876" t="n"/>
      <c r="C756" s="1877" t="n"/>
      <c r="D756" s="1878" t="n"/>
      <c r="E756" s="1878" t="n"/>
      <c r="F756" s="1878" t="n"/>
      <c r="G756" s="1878" t="n"/>
      <c r="H756" s="1878" t="n"/>
    </row>
    <row r="757" ht="12.75" customHeight="1" s="1158">
      <c r="A757" s="1879" t="n"/>
      <c r="B757" s="1876" t="n"/>
      <c r="C757" s="1877" t="n"/>
      <c r="D757" s="1878" t="n"/>
      <c r="E757" s="1878" t="n"/>
      <c r="F757" s="1878" t="n"/>
      <c r="G757" s="1878" t="n"/>
      <c r="H757" s="1878" t="n"/>
    </row>
    <row r="758" ht="12.75" customHeight="1" s="1158">
      <c r="A758" s="1879" t="n"/>
      <c r="B758" s="1876" t="n"/>
      <c r="C758" s="1877" t="n"/>
      <c r="D758" s="1878" t="n"/>
      <c r="E758" s="1878" t="n"/>
      <c r="F758" s="1878" t="n"/>
      <c r="G758" s="1878" t="n"/>
      <c r="H758" s="1878" t="n"/>
    </row>
    <row r="759" ht="12.75" customHeight="1" s="1158">
      <c r="A759" s="1879" t="n"/>
      <c r="B759" s="1876" t="n"/>
      <c r="C759" s="1877" t="n"/>
      <c r="D759" s="1878" t="n"/>
      <c r="E759" s="1878" t="n"/>
      <c r="F759" s="1878" t="n"/>
      <c r="G759" s="1878" t="n"/>
      <c r="H759" s="1878" t="n"/>
    </row>
    <row r="760" ht="12.75" customHeight="1" s="1158">
      <c r="A760" s="1879" t="n"/>
      <c r="B760" s="1876" t="n"/>
      <c r="C760" s="1877" t="n"/>
      <c r="D760" s="1878" t="n"/>
      <c r="E760" s="1878" t="n"/>
      <c r="F760" s="1878" t="n"/>
      <c r="G760" s="1878" t="n"/>
      <c r="H760" s="1878" t="n"/>
    </row>
    <row r="761" ht="12.75" customHeight="1" s="1158">
      <c r="A761" s="1879" t="n"/>
      <c r="B761" s="1876" t="n"/>
      <c r="C761" s="1877" t="n"/>
      <c r="D761" s="1878" t="n"/>
      <c r="E761" s="1878" t="n"/>
      <c r="F761" s="1878" t="n"/>
      <c r="G761" s="1878" t="n"/>
      <c r="H761" s="1878" t="n"/>
    </row>
    <row r="762" ht="12.75" customHeight="1" s="1158">
      <c r="A762" s="1879" t="n"/>
      <c r="B762" s="1876" t="n"/>
      <c r="C762" s="1877" t="n"/>
      <c r="D762" s="1878" t="n"/>
      <c r="E762" s="1878" t="n"/>
      <c r="F762" s="1878" t="n"/>
      <c r="G762" s="1878" t="n"/>
      <c r="H762" s="1878" t="n"/>
    </row>
    <row r="763" ht="12.75" customHeight="1" s="1158">
      <c r="A763" s="1879" t="n"/>
      <c r="B763" s="1876" t="n"/>
      <c r="C763" s="1877" t="n"/>
      <c r="D763" s="1878" t="n"/>
      <c r="E763" s="1878" t="n"/>
      <c r="F763" s="1878" t="n"/>
      <c r="G763" s="1878" t="n"/>
      <c r="H763" s="1878" t="n"/>
    </row>
    <row r="764" ht="12.75" customHeight="1" s="1158">
      <c r="A764" s="1879" t="n"/>
      <c r="B764" s="1876" t="n"/>
      <c r="C764" s="1877" t="n"/>
      <c r="D764" s="1878" t="n"/>
      <c r="E764" s="1878" t="n"/>
      <c r="F764" s="1878" t="n"/>
      <c r="G764" s="1878" t="n"/>
      <c r="H764" s="1878" t="n"/>
    </row>
    <row r="765" ht="12.75" customHeight="1" s="1158">
      <c r="A765" s="1879" t="n"/>
      <c r="B765" s="1876" t="n"/>
      <c r="C765" s="1877" t="n"/>
      <c r="D765" s="1878" t="n"/>
      <c r="E765" s="1878" t="n"/>
      <c r="F765" s="1878" t="n"/>
      <c r="G765" s="1878" t="n"/>
      <c r="H765" s="1878" t="n"/>
    </row>
    <row r="766" ht="12.75" customHeight="1" s="1158">
      <c r="A766" s="1879" t="n"/>
      <c r="B766" s="1876" t="n"/>
      <c r="C766" s="1877" t="n"/>
      <c r="D766" s="1878" t="n"/>
      <c r="E766" s="1878" t="n"/>
      <c r="F766" s="1878" t="n"/>
      <c r="G766" s="1878" t="n"/>
      <c r="H766" s="1878" t="n"/>
    </row>
    <row r="767" ht="12.75" customHeight="1" s="1158">
      <c r="A767" s="1879" t="n"/>
      <c r="B767" s="1876" t="n"/>
      <c r="C767" s="1877" t="n"/>
      <c r="D767" s="1878" t="n"/>
      <c r="E767" s="1878" t="n"/>
      <c r="F767" s="1878" t="n"/>
      <c r="G767" s="1878" t="n"/>
      <c r="H767" s="1878" t="n"/>
    </row>
    <row r="768" ht="12.75" customHeight="1" s="1158">
      <c r="A768" s="1879" t="n"/>
      <c r="B768" s="1876" t="n"/>
      <c r="C768" s="1877" t="n"/>
      <c r="D768" s="1878" t="n"/>
      <c r="E768" s="1878" t="n"/>
      <c r="F768" s="1878" t="n"/>
      <c r="G768" s="1878" t="n"/>
      <c r="H768" s="1878" t="n"/>
    </row>
    <row r="769" ht="12.75" customHeight="1" s="1158">
      <c r="A769" s="1879" t="n"/>
      <c r="B769" s="1876" t="n"/>
      <c r="C769" s="1877" t="n"/>
      <c r="D769" s="1878" t="n"/>
      <c r="E769" s="1878" t="n"/>
      <c r="F769" s="1878" t="n"/>
      <c r="G769" s="1878" t="n"/>
      <c r="H769" s="1878" t="n"/>
    </row>
    <row r="770" ht="12.75" customHeight="1" s="1158">
      <c r="A770" s="1879" t="n"/>
      <c r="B770" s="1876" t="n"/>
      <c r="C770" s="1877" t="n"/>
      <c r="D770" s="1878" t="n"/>
      <c r="E770" s="1878" t="n"/>
      <c r="F770" s="1878" t="n"/>
      <c r="G770" s="1878" t="n"/>
      <c r="H770" s="1878" t="n"/>
    </row>
    <row r="771" ht="12.75" customHeight="1" s="1158">
      <c r="A771" s="1879" t="n"/>
      <c r="B771" s="1876" t="n"/>
      <c r="C771" s="1877" t="n"/>
      <c r="D771" s="1878" t="n"/>
      <c r="E771" s="1878" t="n"/>
      <c r="F771" s="1878" t="n"/>
      <c r="G771" s="1878" t="n"/>
      <c r="H771" s="1878" t="n"/>
    </row>
    <row r="772" ht="12.75" customHeight="1" s="1158">
      <c r="A772" s="1879" t="n"/>
      <c r="B772" s="1876" t="n"/>
      <c r="C772" s="1877" t="n"/>
      <c r="D772" s="1878" t="n"/>
      <c r="E772" s="1878" t="n"/>
      <c r="F772" s="1878" t="n"/>
      <c r="G772" s="1878" t="n"/>
      <c r="H772" s="1878" t="n"/>
    </row>
    <row r="773" ht="12.75" customHeight="1" s="1158">
      <c r="A773" s="1879" t="n"/>
      <c r="B773" s="1876" t="n"/>
      <c r="C773" s="1877" t="n"/>
      <c r="D773" s="1878" t="n"/>
      <c r="E773" s="1878" t="n"/>
      <c r="F773" s="1878" t="n"/>
      <c r="G773" s="1878" t="n"/>
      <c r="H773" s="1878" t="n"/>
    </row>
    <row r="774" ht="12.75" customHeight="1" s="1158">
      <c r="A774" s="1879" t="n"/>
      <c r="B774" s="1876" t="n"/>
      <c r="C774" s="1877" t="n"/>
      <c r="D774" s="1878" t="n"/>
      <c r="E774" s="1878" t="n"/>
      <c r="F774" s="1878" t="n"/>
      <c r="G774" s="1878" t="n"/>
      <c r="H774" s="1878" t="n"/>
    </row>
    <row r="775" ht="12.75" customHeight="1" s="1158">
      <c r="A775" s="1879" t="n"/>
      <c r="B775" s="1876" t="n"/>
      <c r="C775" s="1877" t="n"/>
      <c r="D775" s="1878" t="n"/>
      <c r="E775" s="1878" t="n"/>
      <c r="F775" s="1878" t="n"/>
      <c r="G775" s="1878" t="n"/>
      <c r="H775" s="1878" t="n"/>
    </row>
    <row r="776" ht="12.75" customHeight="1" s="1158">
      <c r="A776" s="1879" t="n"/>
      <c r="B776" s="1876" t="n"/>
      <c r="C776" s="1877" t="n"/>
      <c r="D776" s="1878" t="n"/>
      <c r="E776" s="1878" t="n"/>
      <c r="F776" s="1878" t="n"/>
      <c r="G776" s="1878" t="n"/>
      <c r="H776" s="1878" t="n"/>
    </row>
    <row r="777" ht="12.75" customHeight="1" s="1158">
      <c r="A777" s="1879" t="n"/>
      <c r="B777" s="1876" t="n"/>
      <c r="C777" s="1877" t="n"/>
      <c r="D777" s="1878" t="n"/>
      <c r="E777" s="1878" t="n"/>
      <c r="F777" s="1878" t="n"/>
      <c r="G777" s="1878" t="n"/>
      <c r="H777" s="1878" t="n"/>
    </row>
    <row r="778" ht="12.75" customHeight="1" s="1158">
      <c r="A778" s="1879" t="n"/>
      <c r="B778" s="1876" t="n"/>
      <c r="C778" s="1877" t="n"/>
      <c r="D778" s="1878" t="n"/>
      <c r="E778" s="1878" t="n"/>
      <c r="F778" s="1878" t="n"/>
      <c r="G778" s="1878" t="n"/>
      <c r="H778" s="1878" t="n"/>
    </row>
    <row r="779" ht="12.75" customHeight="1" s="1158">
      <c r="A779" s="1880" t="n"/>
      <c r="B779" s="1881" t="n"/>
      <c r="C779" s="1882" t="n"/>
      <c r="D779" s="1747" t="n"/>
      <c r="E779" s="1747" t="n"/>
      <c r="F779" s="1747" t="n"/>
      <c r="G779" s="1747" t="n"/>
      <c r="H779" s="1747" t="n"/>
    </row>
    <row r="780" ht="12.75" customHeight="1" s="1158">
      <c r="A780" s="1880" t="n"/>
      <c r="B780" s="1881" t="n"/>
      <c r="C780" s="1882" t="n"/>
      <c r="D780" s="1747" t="n"/>
      <c r="E780" s="1747" t="n"/>
      <c r="F780" s="1747" t="n"/>
      <c r="G780" s="1747" t="n"/>
      <c r="H780" s="1747" t="n"/>
    </row>
    <row r="781" ht="12.75" customHeight="1" s="1158">
      <c r="A781" s="1880" t="n"/>
      <c r="B781" s="1881" t="n"/>
      <c r="C781" s="1882" t="n"/>
      <c r="D781" s="1747" t="n"/>
      <c r="E781" s="1747" t="n"/>
      <c r="F781" s="1747" t="n"/>
      <c r="G781" s="1747" t="n"/>
      <c r="H781" s="1747" t="n"/>
    </row>
    <row r="782" ht="12.75" customHeight="1" s="1158">
      <c r="A782" s="1880" t="n"/>
      <c r="B782" s="1881" t="n"/>
      <c r="C782" s="1882" t="n"/>
      <c r="D782" s="1747" t="n"/>
      <c r="E782" s="1747" t="n"/>
      <c r="F782" s="1747" t="n"/>
      <c r="G782" s="1747" t="n"/>
      <c r="H782" s="1747" t="n"/>
    </row>
    <row r="783" ht="12.75" customHeight="1" s="1158">
      <c r="A783" s="1880" t="n"/>
      <c r="B783" s="1881" t="n"/>
      <c r="C783" s="1882" t="n"/>
      <c r="D783" s="1747" t="n"/>
      <c r="E783" s="1747" t="n"/>
      <c r="F783" s="1747" t="n"/>
      <c r="G783" s="1747" t="n"/>
      <c r="H783" s="1747" t="n"/>
    </row>
    <row r="784" ht="12.75" customHeight="1" s="1158">
      <c r="A784" s="1880" t="n"/>
      <c r="B784" s="1881" t="n"/>
      <c r="C784" s="1882" t="n"/>
      <c r="D784" s="1747" t="n"/>
      <c r="E784" s="1747" t="n"/>
      <c r="F784" s="1747" t="n"/>
      <c r="G784" s="1747" t="n"/>
      <c r="H784" s="1747" t="n"/>
    </row>
    <row r="785" ht="12.75" customHeight="1" s="1158">
      <c r="A785" s="1880" t="n"/>
      <c r="B785" s="1881" t="n"/>
      <c r="C785" s="1882" t="n"/>
      <c r="D785" s="1747" t="n"/>
      <c r="E785" s="1747" t="n"/>
      <c r="F785" s="1747" t="n"/>
      <c r="G785" s="1747" t="n"/>
      <c r="H785" s="1747" t="n"/>
    </row>
    <row r="786" ht="12.75" customHeight="1" s="1158">
      <c r="A786" s="1880" t="n"/>
      <c r="B786" s="1881" t="n"/>
      <c r="C786" s="1882" t="n"/>
      <c r="D786" s="1747" t="n"/>
      <c r="E786" s="1747" t="n"/>
      <c r="F786" s="1747" t="n"/>
      <c r="G786" s="1747" t="n"/>
      <c r="H786" s="1747" t="n"/>
    </row>
    <row r="787" ht="12.75" customHeight="1" s="1158">
      <c r="A787" s="1880" t="n"/>
      <c r="B787" s="1881" t="n"/>
      <c r="C787" s="1882" t="n"/>
      <c r="D787" s="1747" t="n"/>
      <c r="E787" s="1747" t="n"/>
      <c r="F787" s="1747" t="n"/>
      <c r="G787" s="1747" t="n"/>
      <c r="H787" s="1747" t="n"/>
    </row>
    <row r="788" ht="12.75" customHeight="1" s="1158">
      <c r="A788" s="1880" t="n"/>
      <c r="B788" s="1881" t="n"/>
      <c r="C788" s="1882" t="n"/>
      <c r="D788" s="1747" t="n"/>
      <c r="E788" s="1747" t="n"/>
      <c r="F788" s="1747" t="n"/>
      <c r="G788" s="1747" t="n"/>
      <c r="H788" s="1747" t="n"/>
    </row>
    <row r="789" ht="12.75" customHeight="1" s="1158">
      <c r="A789" s="1880" t="n"/>
      <c r="B789" s="1881" t="n"/>
      <c r="C789" s="1882" t="n"/>
      <c r="D789" s="1747" t="n"/>
      <c r="E789" s="1747" t="n"/>
      <c r="F789" s="1747" t="n"/>
      <c r="G789" s="1747" t="n"/>
      <c r="H789" s="1747" t="n"/>
    </row>
    <row r="790" ht="12.75" customHeight="1" s="1158">
      <c r="A790" s="1880" t="n"/>
      <c r="B790" s="1881" t="n"/>
      <c r="C790" s="1882" t="n"/>
      <c r="D790" s="1747" t="n"/>
      <c r="E790" s="1747" t="n"/>
      <c r="F790" s="1747" t="n"/>
      <c r="G790" s="1747" t="n"/>
      <c r="H790" s="1747" t="n"/>
    </row>
    <row r="791" ht="12.75" customHeight="1" s="1158">
      <c r="A791" s="1880" t="n"/>
      <c r="B791" s="1881" t="n"/>
      <c r="C791" s="1882" t="n"/>
      <c r="D791" s="1747" t="n"/>
      <c r="E791" s="1747" t="n"/>
      <c r="F791" s="1747" t="n"/>
      <c r="G791" s="1747" t="n"/>
      <c r="H791" s="1747" t="n"/>
    </row>
    <row r="792" ht="12.75" customHeight="1" s="1158">
      <c r="A792" s="1880" t="n"/>
      <c r="B792" s="1881" t="n"/>
      <c r="C792" s="1882" t="n"/>
      <c r="D792" s="1747" t="n"/>
      <c r="E792" s="1747" t="n"/>
      <c r="F792" s="1747" t="n"/>
      <c r="G792" s="1747" t="n"/>
      <c r="H792" s="1747" t="n"/>
    </row>
    <row r="793" ht="12.75" customHeight="1" s="1158">
      <c r="A793" s="1880" t="n"/>
      <c r="B793" s="1881" t="n"/>
      <c r="C793" s="1882" t="n"/>
      <c r="D793" s="1747" t="n"/>
      <c r="E793" s="1747" t="n"/>
      <c r="F793" s="1747" t="n"/>
      <c r="G793" s="1747" t="n"/>
      <c r="H793" s="1747" t="n"/>
    </row>
    <row r="794" ht="12.75" customHeight="1" s="1158">
      <c r="A794" s="1880" t="n"/>
      <c r="B794" s="1881" t="n"/>
      <c r="C794" s="1882" t="n"/>
      <c r="D794" s="1747" t="n"/>
      <c r="E794" s="1747" t="n"/>
      <c r="F794" s="1747" t="n"/>
      <c r="G794" s="1747" t="n"/>
      <c r="H794" s="1747" t="n"/>
    </row>
    <row r="795" ht="12.75" customHeight="1" s="1158">
      <c r="A795" s="1880" t="n"/>
      <c r="B795" s="1881" t="n"/>
      <c r="C795" s="1882" t="n"/>
      <c r="D795" s="1747" t="n"/>
      <c r="E795" s="1747" t="n"/>
      <c r="F795" s="1747" t="n"/>
      <c r="G795" s="1747" t="n"/>
      <c r="H795" s="1747" t="n"/>
    </row>
    <row r="796" ht="12.75" customHeight="1" s="1158">
      <c r="A796" s="1880" t="n"/>
      <c r="B796" s="1881" t="n"/>
      <c r="C796" s="1882" t="n"/>
      <c r="D796" s="1747" t="n"/>
      <c r="E796" s="1747" t="n"/>
      <c r="F796" s="1747" t="n"/>
      <c r="G796" s="1747" t="n"/>
      <c r="H796" s="1747" t="n"/>
    </row>
    <row r="797" ht="12.75" customHeight="1" s="1158">
      <c r="A797" s="1880" t="n"/>
      <c r="B797" s="1881" t="n"/>
      <c r="C797" s="1882" t="n"/>
      <c r="D797" s="1747" t="n"/>
      <c r="E797" s="1747" t="n"/>
      <c r="F797" s="1747" t="n"/>
      <c r="G797" s="1747" t="n"/>
      <c r="H797" s="1747" t="n"/>
    </row>
    <row r="798" ht="12.75" customHeight="1" s="1158">
      <c r="A798" s="1880" t="n"/>
      <c r="B798" s="1881" t="n"/>
      <c r="C798" s="1882" t="n"/>
      <c r="D798" s="1747" t="n"/>
      <c r="E798" s="1747" t="n"/>
      <c r="F798" s="1747" t="n"/>
      <c r="G798" s="1747" t="n"/>
      <c r="H798" s="1747" t="n"/>
    </row>
    <row r="799" ht="12.75" customHeight="1" s="1158">
      <c r="A799" s="1880" t="n"/>
      <c r="B799" s="1881" t="n"/>
      <c r="C799" s="1882" t="n"/>
      <c r="D799" s="1747" t="n"/>
      <c r="E799" s="1747" t="n"/>
      <c r="F799" s="1747" t="n"/>
      <c r="G799" s="1747" t="n"/>
      <c r="H799" s="1747" t="n"/>
    </row>
    <row r="800" ht="12.75" customHeight="1" s="1158">
      <c r="A800" s="1880" t="n"/>
      <c r="B800" s="1881" t="n"/>
      <c r="C800" s="1882" t="n"/>
      <c r="D800" s="1747" t="n"/>
      <c r="E800" s="1747" t="n"/>
      <c r="F800" s="1747" t="n"/>
      <c r="G800" s="1747" t="n"/>
      <c r="H800" s="1747" t="n"/>
    </row>
    <row r="801" ht="12.75" customHeight="1" s="1158">
      <c r="A801" s="1880" t="n"/>
      <c r="B801" s="1881" t="n"/>
      <c r="C801" s="1882" t="n"/>
      <c r="D801" s="1747" t="n"/>
      <c r="E801" s="1747" t="n"/>
      <c r="F801" s="1747" t="n"/>
      <c r="G801" s="1747" t="n"/>
      <c r="H801" s="1747" t="n"/>
    </row>
    <row r="802" ht="12.75" customHeight="1" s="1158">
      <c r="A802" s="1880" t="n"/>
      <c r="B802" s="1881" t="n"/>
      <c r="C802" s="1882" t="n"/>
      <c r="D802" s="1747" t="n"/>
      <c r="E802" s="1747" t="n"/>
      <c r="F802" s="1747" t="n"/>
      <c r="G802" s="1747" t="n"/>
      <c r="H802" s="1747" t="n"/>
    </row>
    <row r="803" ht="12.75" customHeight="1" s="1158">
      <c r="A803" s="1880" t="n"/>
      <c r="B803" s="1881" t="n"/>
      <c r="C803" s="1882" t="n"/>
      <c r="D803" s="1747" t="n"/>
      <c r="E803" s="1747" t="n"/>
      <c r="F803" s="1747" t="n"/>
      <c r="G803" s="1747" t="n"/>
      <c r="H803" s="1747" t="n"/>
    </row>
    <row r="804" ht="12.75" customHeight="1" s="1158">
      <c r="A804" s="1880" t="n"/>
      <c r="B804" s="1881" t="n"/>
      <c r="C804" s="1882" t="n"/>
      <c r="D804" s="1747" t="n"/>
      <c r="E804" s="1747" t="n"/>
      <c r="F804" s="1747" t="n"/>
      <c r="G804" s="1747" t="n"/>
      <c r="H804" s="1747" t="n"/>
    </row>
    <row r="805" ht="12.75" customHeight="1" s="1158">
      <c r="A805" s="1880" t="n"/>
      <c r="B805" s="1881" t="n"/>
      <c r="C805" s="1882" t="n"/>
      <c r="D805" s="1747" t="n"/>
      <c r="E805" s="1747" t="n"/>
      <c r="F805" s="1747" t="n"/>
      <c r="G805" s="1747" t="n"/>
      <c r="H805" s="1747" t="n"/>
    </row>
    <row r="806" ht="12.75" customHeight="1" s="1158">
      <c r="A806" s="1880" t="n"/>
      <c r="B806" s="1881" t="n"/>
      <c r="C806" s="1882" t="n"/>
      <c r="D806" s="1747" t="n"/>
      <c r="E806" s="1747" t="n"/>
      <c r="F806" s="1747" t="n"/>
      <c r="G806" s="1747" t="n"/>
      <c r="H806" s="1747" t="n"/>
    </row>
    <row r="807" ht="12.75" customHeight="1" s="1158">
      <c r="A807" s="1880" t="n"/>
      <c r="B807" s="1881" t="n"/>
      <c r="C807" s="1882" t="n"/>
      <c r="D807" s="1747" t="n"/>
      <c r="E807" s="1747" t="n"/>
      <c r="F807" s="1747" t="n"/>
      <c r="G807" s="1747" t="n"/>
      <c r="H807" s="1747" t="n"/>
    </row>
    <row r="808" ht="12.75" customHeight="1" s="1158">
      <c r="A808" s="1880" t="n"/>
      <c r="B808" s="1881" t="n"/>
      <c r="C808" s="1882" t="n"/>
      <c r="D808" s="1747" t="n"/>
      <c r="E808" s="1747" t="n"/>
      <c r="F808" s="1747" t="n"/>
      <c r="G808" s="1747" t="n"/>
      <c r="H808" s="1747" t="n"/>
    </row>
    <row r="809" ht="12.75" customHeight="1" s="1158">
      <c r="A809" s="1880" t="n"/>
      <c r="B809" s="1881" t="n"/>
      <c r="C809" s="1882" t="n"/>
      <c r="D809" s="1747" t="n"/>
      <c r="E809" s="1747" t="n"/>
      <c r="F809" s="1747" t="n"/>
      <c r="G809" s="1747" t="n"/>
      <c r="H809" s="1747" t="n"/>
    </row>
    <row r="810" ht="12.75" customHeight="1" s="1158">
      <c r="A810" s="1880" t="n"/>
      <c r="B810" s="1881" t="n"/>
      <c r="C810" s="1882" t="n"/>
      <c r="D810" s="1747" t="n"/>
      <c r="E810" s="1747" t="n"/>
      <c r="F810" s="1747" t="n"/>
      <c r="G810" s="1747" t="n"/>
      <c r="H810" s="1747" t="n"/>
    </row>
    <row r="811" ht="12.75" customHeight="1" s="1158">
      <c r="A811" s="1880" t="n"/>
      <c r="B811" s="1881" t="n"/>
      <c r="C811" s="1882" t="n"/>
      <c r="D811" s="1747" t="n"/>
      <c r="E811" s="1747" t="n"/>
      <c r="F811" s="1747" t="n"/>
      <c r="G811" s="1747" t="n"/>
      <c r="H811" s="1747" t="n"/>
    </row>
    <row r="812" ht="12.75" customHeight="1" s="1158">
      <c r="A812" s="1880" t="n"/>
      <c r="B812" s="1881" t="n"/>
      <c r="C812" s="1882" t="n"/>
      <c r="D812" s="1747" t="n"/>
      <c r="E812" s="1747" t="n"/>
      <c r="F812" s="1747" t="n"/>
      <c r="G812" s="1747" t="n"/>
      <c r="H812" s="1747" t="n"/>
    </row>
    <row r="813" ht="12.75" customHeight="1" s="1158">
      <c r="A813" s="1880" t="n"/>
      <c r="B813" s="1881" t="n"/>
      <c r="C813" s="1882" t="n"/>
      <c r="D813" s="1747" t="n"/>
      <c r="E813" s="1747" t="n"/>
      <c r="F813" s="1747" t="n"/>
      <c r="G813" s="1747" t="n"/>
      <c r="H813" s="1747" t="n"/>
    </row>
    <row r="814" ht="12.75" customHeight="1" s="1158">
      <c r="A814" s="1880" t="n"/>
      <c r="B814" s="1881" t="n"/>
      <c r="C814" s="1882" t="n"/>
      <c r="D814" s="1747" t="n"/>
      <c r="E814" s="1747" t="n"/>
      <c r="F814" s="1747" t="n"/>
      <c r="G814" s="1747" t="n"/>
      <c r="H814" s="1747" t="n"/>
    </row>
    <row r="815" ht="12.75" customHeight="1" s="1158">
      <c r="A815" s="1880" t="n"/>
      <c r="B815" s="1881" t="n"/>
      <c r="C815" s="1882" t="n"/>
      <c r="D815" s="1747" t="n"/>
      <c r="E815" s="1747" t="n"/>
      <c r="F815" s="1747" t="n"/>
      <c r="G815" s="1747" t="n"/>
      <c r="H815" s="1747" t="n"/>
    </row>
    <row r="816" ht="12.75" customHeight="1" s="1158">
      <c r="A816" s="1880" t="n"/>
      <c r="B816" s="1881" t="n"/>
      <c r="C816" s="1882" t="n"/>
      <c r="D816" s="1747" t="n"/>
      <c r="E816" s="1747" t="n"/>
      <c r="F816" s="1747" t="n"/>
      <c r="G816" s="1747" t="n"/>
      <c r="H816" s="1747" t="n"/>
    </row>
    <row r="817" ht="12.75" customHeight="1" s="1158">
      <c r="A817" s="1880" t="n"/>
      <c r="B817" s="1881" t="n"/>
      <c r="C817" s="1882" t="n"/>
      <c r="D817" s="1747" t="n"/>
      <c r="E817" s="1747" t="n"/>
      <c r="F817" s="1747" t="n"/>
      <c r="G817" s="1747" t="n"/>
      <c r="H817" s="1747" t="n"/>
    </row>
    <row r="818" ht="12.75" customHeight="1" s="1158">
      <c r="A818" s="1880" t="n"/>
      <c r="B818" s="1881" t="n"/>
      <c r="C818" s="1882" t="n"/>
      <c r="D818" s="1747" t="n"/>
      <c r="E818" s="1747" t="n"/>
      <c r="F818" s="1747" t="n"/>
      <c r="G818" s="1747" t="n"/>
      <c r="H818" s="1747" t="n"/>
    </row>
    <row r="819" ht="12.75" customHeight="1" s="1158">
      <c r="A819" s="1880" t="n"/>
      <c r="B819" s="1881" t="n"/>
      <c r="C819" s="1882" t="n"/>
      <c r="D819" s="1747" t="n"/>
      <c r="E819" s="1747" t="n"/>
      <c r="F819" s="1747" t="n"/>
      <c r="G819" s="1747" t="n"/>
      <c r="H819" s="1747" t="n"/>
    </row>
    <row r="820" ht="12.75" customHeight="1" s="1158">
      <c r="A820" s="1880" t="n"/>
      <c r="B820" s="1881" t="n"/>
      <c r="C820" s="1882" t="n"/>
      <c r="D820" s="1747" t="n"/>
      <c r="E820" s="1747" t="n"/>
      <c r="F820" s="1747" t="n"/>
      <c r="G820" s="1747" t="n"/>
      <c r="H820" s="1747" t="n"/>
    </row>
    <row r="821" ht="12.75" customHeight="1" s="1158">
      <c r="A821" s="1880" t="n"/>
      <c r="B821" s="1881" t="n"/>
      <c r="C821" s="1882" t="n"/>
      <c r="D821" s="1747" t="n"/>
      <c r="E821" s="1747" t="n"/>
      <c r="F821" s="1747" t="n"/>
      <c r="G821" s="1747" t="n"/>
      <c r="H821" s="1747" t="n"/>
    </row>
    <row r="822" ht="12.75" customHeight="1" s="1158">
      <c r="A822" s="1880" t="n"/>
      <c r="B822" s="1881" t="n"/>
      <c r="C822" s="1882" t="n"/>
      <c r="D822" s="1747" t="n"/>
      <c r="E822" s="1747" t="n"/>
      <c r="F822" s="1747" t="n"/>
      <c r="G822" s="1747" t="n"/>
      <c r="H822" s="1747" t="n"/>
    </row>
    <row r="823" ht="12.75" customHeight="1" s="1158">
      <c r="A823" s="1883" t="n"/>
    </row>
    <row r="824" ht="12.75" customHeight="1" s="1158">
      <c r="A824" s="1883" t="n"/>
    </row>
    <row r="825" ht="12.75" customHeight="1" s="1158">
      <c r="A825" s="1883" t="n"/>
    </row>
    <row r="826" ht="12.75" customHeight="1" s="1158">
      <c r="A826" s="1883" t="n"/>
    </row>
    <row r="827" ht="12.75" customHeight="1" s="1158">
      <c r="A827" s="1883" t="n"/>
    </row>
    <row r="828" ht="12.75" customHeight="1" s="1158">
      <c r="A828" s="1883" t="n"/>
    </row>
    <row r="829" ht="12.75" customHeight="1" s="1158">
      <c r="A829" s="1883" t="n"/>
    </row>
    <row r="830" ht="12.75" customHeight="1" s="1158">
      <c r="A830" s="1883" t="n"/>
    </row>
    <row r="831" ht="12.75" customHeight="1" s="1158">
      <c r="A831" s="1883" t="n"/>
    </row>
    <row r="832" ht="12.75" customHeight="1" s="1158">
      <c r="A832" s="1883" t="n"/>
    </row>
    <row r="833" ht="12.75" customFormat="1" customHeight="1" s="1884">
      <c r="A833" s="1883" t="n"/>
      <c r="B833" s="1672" t="n"/>
      <c r="C833" s="1672" t="n"/>
    </row>
    <row r="834" ht="12.75" customFormat="1" customHeight="1" s="1884">
      <c r="A834" s="1883" t="n"/>
      <c r="B834" s="1672" t="n"/>
      <c r="C834" s="1672" t="n"/>
    </row>
    <row r="835" ht="12.75" customFormat="1" customHeight="1" s="1884">
      <c r="A835" s="1883" t="n"/>
      <c r="B835" s="1672" t="n"/>
      <c r="C835" s="1672" t="n"/>
    </row>
    <row r="836" ht="12.75" customFormat="1" customHeight="1" s="1884">
      <c r="A836" s="1883" t="n"/>
      <c r="B836" s="1672" t="n"/>
      <c r="C836" s="1672" t="n"/>
    </row>
    <row r="837" ht="12.75" customFormat="1" customHeight="1" s="1884">
      <c r="A837" s="1883" t="n"/>
      <c r="B837" s="1672" t="n"/>
      <c r="C837" s="1672" t="n"/>
    </row>
    <row r="838" ht="12.75" customFormat="1" customHeight="1" s="1884">
      <c r="A838" s="1883" t="n"/>
      <c r="B838" s="1672" t="n"/>
      <c r="C838" s="1672" t="n"/>
    </row>
    <row r="839" ht="12.75" customFormat="1" customHeight="1" s="1884">
      <c r="A839" s="1883" t="n"/>
      <c r="B839" s="1672" t="n"/>
      <c r="C839" s="1672" t="n"/>
    </row>
    <row r="840" ht="12.75" customFormat="1" customHeight="1" s="1884">
      <c r="A840" s="1883" t="n"/>
      <c r="B840" s="1672" t="n"/>
      <c r="C840" s="1672" t="n"/>
    </row>
    <row r="841" ht="12.75" customFormat="1" customHeight="1" s="1884">
      <c r="A841" s="1883" t="n"/>
      <c r="B841" s="1672" t="n"/>
      <c r="C841" s="1672" t="n"/>
    </row>
    <row r="842" ht="12.75" customFormat="1" customHeight="1" s="1884">
      <c r="A842" s="1883" t="n"/>
      <c r="B842" s="1672" t="n"/>
      <c r="C842" s="1672" t="n"/>
    </row>
    <row r="843" ht="12.75" customFormat="1" customHeight="1" s="1884">
      <c r="A843" s="1883" t="n"/>
      <c r="B843" s="1672" t="n"/>
      <c r="C843" s="1672" t="n"/>
    </row>
    <row r="844" ht="12.75" customFormat="1" customHeight="1" s="1884">
      <c r="A844" s="1883" t="n"/>
      <c r="B844" s="1672" t="n"/>
      <c r="C844" s="1672" t="n"/>
    </row>
    <row r="845" ht="12.75" customFormat="1" customHeight="1" s="1884">
      <c r="A845" s="1883" t="n"/>
      <c r="B845" s="1672" t="n"/>
      <c r="C845" s="1672" t="n"/>
    </row>
    <row r="846" ht="12.75" customFormat="1" customHeight="1" s="1884">
      <c r="A846" s="1883" t="n"/>
      <c r="B846" s="1672" t="n"/>
      <c r="C846" s="1672" t="n"/>
    </row>
    <row r="847" ht="12.75" customFormat="1" customHeight="1" s="1884">
      <c r="A847" s="1883" t="n"/>
      <c r="B847" s="1672" t="n"/>
      <c r="C847" s="1672" t="n"/>
    </row>
    <row r="848" ht="12.75" customFormat="1" customHeight="1" s="1884">
      <c r="A848" s="1883" t="n"/>
      <c r="B848" s="1672" t="n"/>
      <c r="C848" s="1672" t="n"/>
    </row>
    <row r="849" ht="12.75" customFormat="1" customHeight="1" s="1884">
      <c r="A849" s="1883" t="n"/>
      <c r="B849" s="1672" t="n"/>
      <c r="C849" s="1672" t="n"/>
    </row>
    <row r="850" ht="12.75" customFormat="1" customHeight="1" s="1884">
      <c r="A850" s="1883" t="n"/>
      <c r="B850" s="1672" t="n"/>
      <c r="C850" s="1672" t="n"/>
    </row>
    <row r="851" ht="12.75" customFormat="1" customHeight="1" s="1884">
      <c r="A851" s="1883" t="n"/>
      <c r="B851" s="1672" t="n"/>
      <c r="C851" s="1672" t="n"/>
    </row>
    <row r="852" ht="12.75" customFormat="1" customHeight="1" s="1884">
      <c r="A852" s="1883" t="n"/>
      <c r="B852" s="1672" t="n"/>
      <c r="C852" s="1672" t="n"/>
    </row>
    <row r="853" ht="12.75" customFormat="1" customHeight="1" s="1884">
      <c r="A853" s="1883" t="n"/>
      <c r="B853" s="1672" t="n"/>
      <c r="C853" s="1672" t="n"/>
    </row>
    <row r="854" ht="12.75" customFormat="1" customHeight="1" s="1884">
      <c r="A854" s="1883" t="n"/>
      <c r="B854" s="1672" t="n"/>
      <c r="C854" s="1672" t="n"/>
    </row>
    <row r="855" ht="12.75" customFormat="1" customHeight="1" s="1884">
      <c r="A855" s="1883" t="n"/>
      <c r="B855" s="1672" t="n"/>
      <c r="C855" s="1672" t="n"/>
    </row>
    <row r="856" ht="12.75" customFormat="1" customHeight="1" s="1884">
      <c r="A856" s="1883" t="n"/>
      <c r="B856" s="1672" t="n"/>
      <c r="C856" s="1672" t="n"/>
    </row>
    <row r="857" ht="12.75" customFormat="1" customHeight="1" s="1884">
      <c r="A857" s="1883" t="n"/>
      <c r="B857" s="1672" t="n"/>
      <c r="C857" s="1672" t="n"/>
    </row>
    <row r="858" ht="12.75" customFormat="1" customHeight="1" s="1884">
      <c r="A858" s="1883" t="n"/>
      <c r="B858" s="1672" t="n"/>
      <c r="C858" s="1672" t="n"/>
    </row>
    <row r="859" ht="12.75" customFormat="1" customHeight="1" s="1884">
      <c r="A859" s="1883" t="n"/>
      <c r="B859" s="1672" t="n"/>
      <c r="C859" s="1672" t="n"/>
    </row>
    <row r="860" ht="12.75" customFormat="1" customHeight="1" s="1884">
      <c r="A860" s="1883" t="n"/>
      <c r="B860" s="1672" t="n"/>
      <c r="C860" s="1672" t="n"/>
    </row>
    <row r="861" ht="12.75" customFormat="1" customHeight="1" s="1884">
      <c r="A861" s="1883" t="n"/>
      <c r="B861" s="1672" t="n"/>
      <c r="C861" s="1672" t="n"/>
    </row>
    <row r="862" ht="12.75" customFormat="1" customHeight="1" s="1884">
      <c r="A862" s="1883" t="n"/>
      <c r="B862" s="1672" t="n"/>
      <c r="C862" s="1672" t="n"/>
    </row>
    <row r="863" ht="12.75" customFormat="1" customHeight="1" s="1884">
      <c r="A863" s="1883" t="n"/>
      <c r="B863" s="1672" t="n"/>
      <c r="C863" s="1672" t="n"/>
    </row>
    <row r="864" ht="12.75" customFormat="1" customHeight="1" s="1884">
      <c r="A864" s="1883" t="n"/>
      <c r="B864" s="1672" t="n"/>
      <c r="C864" s="1672" t="n"/>
    </row>
    <row r="865" ht="12.75" customFormat="1" customHeight="1" s="1884">
      <c r="A865" s="1883" t="n"/>
      <c r="B865" s="1672" t="n"/>
      <c r="C865" s="1672" t="n"/>
    </row>
    <row r="866" ht="12.75" customFormat="1" customHeight="1" s="1884">
      <c r="A866" s="1883" t="n"/>
      <c r="B866" s="1672" t="n"/>
      <c r="C866" s="1672" t="n"/>
    </row>
    <row r="867" ht="12.75" customFormat="1" customHeight="1" s="1884">
      <c r="A867" s="1883" t="n"/>
      <c r="B867" s="1672" t="n"/>
      <c r="C867" s="1672" t="n"/>
    </row>
    <row r="868" ht="12.75" customFormat="1" customHeight="1" s="1884">
      <c r="A868" s="1883" t="n"/>
      <c r="B868" s="1672" t="n"/>
      <c r="C868" s="1672" t="n"/>
    </row>
    <row r="869" ht="12.75" customFormat="1" customHeight="1" s="1884">
      <c r="A869" s="1883" t="n"/>
      <c r="B869" s="1672" t="n"/>
      <c r="C869" s="1672" t="n"/>
    </row>
    <row r="870" ht="12.75" customFormat="1" customHeight="1" s="1884">
      <c r="A870" s="1883" t="n"/>
      <c r="B870" s="1672" t="n"/>
      <c r="C870" s="1672" t="n"/>
    </row>
    <row r="871" ht="12.75" customFormat="1" customHeight="1" s="1884">
      <c r="A871" s="1883" t="n"/>
      <c r="B871" s="1672" t="n"/>
      <c r="C871" s="1672" t="n"/>
    </row>
    <row r="872" ht="12.75" customFormat="1" customHeight="1" s="1884">
      <c r="A872" s="1883" t="n"/>
      <c r="B872" s="1672" t="n"/>
      <c r="C872" s="1672" t="n"/>
    </row>
    <row r="873" ht="12.75" customFormat="1" customHeight="1" s="1884">
      <c r="A873" s="1883" t="n"/>
      <c r="B873" s="1672" t="n"/>
      <c r="C873" s="1672" t="n"/>
    </row>
    <row r="874" ht="12.75" customFormat="1" customHeight="1" s="1884">
      <c r="A874" s="1883" t="n"/>
      <c r="B874" s="1672" t="n"/>
      <c r="C874" s="1672" t="n"/>
    </row>
    <row r="875" ht="12.75" customFormat="1" customHeight="1" s="1884">
      <c r="A875" s="1883" t="n"/>
      <c r="B875" s="1672" t="n"/>
      <c r="C875" s="1672" t="n"/>
    </row>
    <row r="876" ht="12.75" customFormat="1" customHeight="1" s="1884">
      <c r="A876" s="1883" t="n"/>
      <c r="B876" s="1672" t="n"/>
      <c r="C876" s="1672" t="n"/>
    </row>
    <row r="877" ht="12.75" customFormat="1" customHeight="1" s="1884">
      <c r="A877" s="1883" t="n"/>
      <c r="B877" s="1672" t="n"/>
      <c r="C877" s="1672" t="n"/>
    </row>
    <row r="878" ht="12.75" customFormat="1" customHeight="1" s="1884">
      <c r="A878" s="1883" t="n"/>
      <c r="B878" s="1672" t="n"/>
      <c r="C878" s="1672" t="n"/>
    </row>
    <row r="879" ht="12.75" customFormat="1" customHeight="1" s="1884">
      <c r="A879" s="1883" t="n"/>
      <c r="B879" s="1672" t="n"/>
      <c r="C879" s="1672" t="n"/>
    </row>
    <row r="880" ht="12.75" customFormat="1" customHeight="1" s="1884">
      <c r="A880" s="1883" t="n"/>
      <c r="B880" s="1672" t="n"/>
      <c r="C880" s="1672" t="n"/>
    </row>
    <row r="881" ht="12.75" customFormat="1" customHeight="1" s="1884">
      <c r="A881" s="1883" t="n"/>
      <c r="B881" s="1672" t="n"/>
      <c r="C881" s="1672" t="n"/>
    </row>
    <row r="882" ht="12.75" customFormat="1" customHeight="1" s="1884">
      <c r="A882" s="1883" t="n"/>
      <c r="B882" s="1672" t="n"/>
      <c r="C882" s="1672" t="n"/>
    </row>
    <row r="883" ht="12.75" customFormat="1" customHeight="1" s="1884">
      <c r="A883" s="1883" t="n"/>
      <c r="B883" s="1672" t="n"/>
      <c r="C883" s="1672" t="n"/>
    </row>
    <row r="884" ht="12.75" customFormat="1" customHeight="1" s="1884">
      <c r="A884" s="1883" t="n"/>
      <c r="B884" s="1672" t="n"/>
      <c r="C884" s="1672" t="n"/>
    </row>
    <row r="885" ht="12.75" customFormat="1" customHeight="1" s="1884">
      <c r="A885" s="1883" t="n"/>
      <c r="B885" s="1672" t="n"/>
      <c r="C885" s="1672" t="n"/>
    </row>
    <row r="886" ht="12.75" customFormat="1" customHeight="1" s="1884">
      <c r="A886" s="1883" t="n"/>
      <c r="B886" s="1672" t="n"/>
      <c r="C886" s="1672" t="n"/>
    </row>
    <row r="887" ht="12.75" customFormat="1" customHeight="1" s="1884">
      <c r="A887" s="1883" t="n"/>
      <c r="B887" s="1672" t="n"/>
      <c r="C887" s="1672" t="n"/>
    </row>
    <row r="888" ht="12.75" customFormat="1" customHeight="1" s="1884">
      <c r="A888" s="1883" t="n"/>
      <c r="B888" s="1672" t="n"/>
      <c r="C888" s="1672" t="n"/>
    </row>
    <row r="889" ht="12.75" customFormat="1" customHeight="1" s="1884">
      <c r="A889" s="1883" t="n"/>
      <c r="B889" s="1672" t="n"/>
      <c r="C889" s="1672" t="n"/>
    </row>
    <row r="890" ht="12.75" customFormat="1" customHeight="1" s="1884">
      <c r="A890" s="1883" t="n"/>
      <c r="B890" s="1672" t="n"/>
      <c r="C890" s="1672" t="n"/>
    </row>
    <row r="891" ht="12.75" customFormat="1" customHeight="1" s="1884">
      <c r="A891" s="1883" t="n"/>
      <c r="B891" s="1672" t="n"/>
      <c r="C891" s="1672" t="n"/>
    </row>
    <row r="892" ht="12.75" customFormat="1" customHeight="1" s="1884">
      <c r="A892" s="1883" t="n"/>
      <c r="B892" s="1672" t="n"/>
      <c r="C892" s="1672" t="n"/>
    </row>
    <row r="893" ht="12.75" customFormat="1" customHeight="1" s="1884">
      <c r="A893" s="1883" t="n"/>
      <c r="B893" s="1672" t="n"/>
      <c r="C893" s="1672" t="n"/>
    </row>
    <row r="894" ht="12.75" customFormat="1" customHeight="1" s="1884">
      <c r="A894" s="1883" t="n"/>
      <c r="B894" s="1672" t="n"/>
      <c r="C894" s="1672" t="n"/>
    </row>
    <row r="895" ht="12.75" customFormat="1" customHeight="1" s="1884">
      <c r="A895" s="1883" t="n"/>
      <c r="B895" s="1672" t="n"/>
      <c r="C895" s="1672" t="n"/>
    </row>
    <row r="896" ht="12.75" customFormat="1" customHeight="1" s="1884">
      <c r="A896" s="1883" t="n"/>
      <c r="B896" s="1672" t="n"/>
      <c r="C896" s="1672" t="n"/>
    </row>
    <row r="897" ht="12.75" customFormat="1" customHeight="1" s="1884">
      <c r="A897" s="1883" t="n"/>
      <c r="B897" s="1672" t="n"/>
      <c r="C897" s="1672" t="n"/>
    </row>
    <row r="898" ht="12.75" customFormat="1" customHeight="1" s="1884">
      <c r="A898" s="1883" t="n"/>
      <c r="B898" s="1672" t="n"/>
      <c r="C898" s="1672" t="n"/>
    </row>
    <row r="899" ht="12.75" customFormat="1" customHeight="1" s="1884">
      <c r="A899" s="1883" t="n"/>
      <c r="B899" s="1672" t="n"/>
      <c r="C899" s="1672" t="n"/>
    </row>
    <row r="900" ht="12.75" customFormat="1" customHeight="1" s="1884">
      <c r="A900" s="1883" t="n"/>
      <c r="B900" s="1672" t="n"/>
      <c r="C900" s="1672" t="n"/>
    </row>
    <row r="901" ht="12.75" customFormat="1" customHeight="1" s="1884">
      <c r="A901" s="1883" t="n"/>
      <c r="B901" s="1672" t="n"/>
      <c r="C901" s="1672" t="n"/>
    </row>
    <row r="902" ht="12.75" customFormat="1" customHeight="1" s="1884">
      <c r="A902" s="1883" t="n"/>
      <c r="B902" s="1672" t="n"/>
      <c r="C902" s="1672" t="n"/>
    </row>
    <row r="903" ht="12.75" customFormat="1" customHeight="1" s="1884">
      <c r="A903" s="1883" t="n"/>
      <c r="B903" s="1672" t="n"/>
      <c r="C903" s="1672" t="n"/>
    </row>
    <row r="904" ht="12.75" customFormat="1" customHeight="1" s="1884">
      <c r="A904" s="1883" t="n"/>
      <c r="B904" s="1672" t="n"/>
      <c r="C904" s="1672" t="n"/>
    </row>
    <row r="905" ht="12.75" customFormat="1" customHeight="1" s="1884">
      <c r="A905" s="1883" t="n"/>
      <c r="B905" s="1672" t="n"/>
      <c r="C905" s="1672" t="n"/>
    </row>
    <row r="906" ht="12.75" customFormat="1" customHeight="1" s="1884">
      <c r="A906" s="1883" t="n"/>
      <c r="B906" s="1672" t="n"/>
      <c r="C906" s="1672" t="n"/>
    </row>
    <row r="907" ht="12.75" customFormat="1" customHeight="1" s="1884">
      <c r="A907" s="1883" t="n"/>
      <c r="B907" s="1672" t="n"/>
      <c r="C907" s="1672" t="n"/>
    </row>
    <row r="908" ht="12.75" customFormat="1" customHeight="1" s="1884">
      <c r="A908" s="1883" t="n"/>
      <c r="B908" s="1672" t="n"/>
      <c r="C908" s="1672" t="n"/>
    </row>
    <row r="909" ht="12.75" customFormat="1" customHeight="1" s="1884">
      <c r="A909" s="1883" t="n"/>
      <c r="B909" s="1672" t="n"/>
      <c r="C909" s="1672" t="n"/>
    </row>
    <row r="910" ht="12.75" customFormat="1" customHeight="1" s="1884">
      <c r="A910" s="1883" t="n"/>
      <c r="B910" s="1672" t="n"/>
      <c r="C910" s="1672" t="n"/>
    </row>
    <row r="911" ht="12.75" customFormat="1" customHeight="1" s="1884">
      <c r="A911" s="1883" t="n"/>
      <c r="B911" s="1672" t="n"/>
      <c r="C911" s="1672" t="n"/>
    </row>
    <row r="912" ht="12.75" customFormat="1" customHeight="1" s="1884">
      <c r="A912" s="1883" t="n"/>
      <c r="B912" s="1672" t="n"/>
      <c r="C912" s="1672" t="n"/>
    </row>
    <row r="913" ht="12.75" customFormat="1" customHeight="1" s="1884">
      <c r="A913" s="1883" t="n"/>
      <c r="B913" s="1672" t="n"/>
      <c r="C913" s="1672" t="n"/>
    </row>
    <row r="914" ht="12.75" customFormat="1" customHeight="1" s="1884">
      <c r="A914" s="1883" t="n"/>
      <c r="B914" s="1672" t="n"/>
      <c r="C914" s="1672" t="n"/>
    </row>
    <row r="915" ht="12.75" customFormat="1" customHeight="1" s="1884">
      <c r="A915" s="1883" t="n"/>
      <c r="B915" s="1672" t="n"/>
      <c r="C915" s="1672" t="n"/>
    </row>
    <row r="916" ht="12.75" customFormat="1" customHeight="1" s="1884">
      <c r="A916" s="1883" t="n"/>
      <c r="B916" s="1672" t="n"/>
      <c r="C916" s="1672" t="n"/>
    </row>
    <row r="917" ht="12.75" customFormat="1" customHeight="1" s="1884">
      <c r="A917" s="1883" t="n"/>
      <c r="B917" s="1672" t="n"/>
      <c r="C917" s="1672" t="n"/>
    </row>
    <row r="918" ht="12.75" customFormat="1" customHeight="1" s="1884">
      <c r="A918" s="1883" t="n"/>
      <c r="B918" s="1672" t="n"/>
      <c r="C918" s="1672" t="n"/>
    </row>
    <row r="919" ht="12.75" customFormat="1" customHeight="1" s="1884">
      <c r="A919" s="1883" t="n"/>
      <c r="B919" s="1672" t="n"/>
      <c r="C919" s="1672" t="n"/>
    </row>
    <row r="920" ht="12.75" customFormat="1" customHeight="1" s="1884">
      <c r="A920" s="1883" t="n"/>
      <c r="B920" s="1672" t="n"/>
      <c r="C920" s="1672" t="n"/>
    </row>
    <row r="921" ht="12.75" customFormat="1" customHeight="1" s="1884">
      <c r="A921" s="1883" t="n"/>
      <c r="B921" s="1672" t="n"/>
      <c r="C921" s="1672" t="n"/>
    </row>
    <row r="922" ht="12.75" customFormat="1" customHeight="1" s="1884">
      <c r="A922" s="1883" t="n"/>
      <c r="B922" s="1672" t="n"/>
      <c r="C922" s="1672" t="n"/>
    </row>
    <row r="923" ht="12.75" customFormat="1" customHeight="1" s="1884">
      <c r="A923" s="1883" t="n"/>
      <c r="B923" s="1672" t="n"/>
      <c r="C923" s="1672" t="n"/>
    </row>
    <row r="924" ht="12.75" customFormat="1" customHeight="1" s="1884">
      <c r="A924" s="1883" t="n"/>
      <c r="B924" s="1672" t="n"/>
      <c r="C924" s="1672" t="n"/>
    </row>
    <row r="925" ht="12.75" customFormat="1" customHeight="1" s="1884">
      <c r="A925" s="1883" t="n"/>
      <c r="B925" s="1672" t="n"/>
      <c r="C925" s="1672" t="n"/>
    </row>
    <row r="926" ht="12.75" customFormat="1" customHeight="1" s="1884">
      <c r="A926" s="1883" t="n"/>
      <c r="B926" s="1672" t="n"/>
      <c r="C926" s="1672" t="n"/>
    </row>
    <row r="927" ht="12.75" customFormat="1" customHeight="1" s="1884">
      <c r="A927" s="1883" t="n"/>
      <c r="B927" s="1672" t="n"/>
      <c r="C927" s="1672" t="n"/>
    </row>
    <row r="928" ht="12.75" customFormat="1" customHeight="1" s="1884">
      <c r="A928" s="1883" t="n"/>
      <c r="B928" s="1672" t="n"/>
      <c r="C928" s="1672" t="n"/>
    </row>
    <row r="929" ht="12.75" customFormat="1" customHeight="1" s="1884">
      <c r="A929" s="1883" t="n"/>
      <c r="B929" s="1672" t="n"/>
      <c r="C929" s="1672" t="n"/>
    </row>
    <row r="930" ht="12.75" customFormat="1" customHeight="1" s="1884">
      <c r="A930" s="1883" t="n"/>
      <c r="B930" s="1672" t="n"/>
      <c r="C930" s="1672" t="n"/>
    </row>
    <row r="931" ht="12.75" customFormat="1" customHeight="1" s="1884">
      <c r="A931" s="1883" t="n"/>
      <c r="B931" s="1672" t="n"/>
      <c r="C931" s="1672" t="n"/>
    </row>
    <row r="932" ht="12.75" customFormat="1" customHeight="1" s="1884">
      <c r="A932" s="1883" t="n"/>
      <c r="B932" s="1672" t="n"/>
      <c r="C932" s="1672" t="n"/>
    </row>
    <row r="933" ht="12.75" customFormat="1" customHeight="1" s="1884">
      <c r="A933" s="1883" t="n"/>
      <c r="B933" s="1672" t="n"/>
      <c r="C933" s="1672" t="n"/>
    </row>
    <row r="934" ht="12.75" customFormat="1" customHeight="1" s="1884">
      <c r="A934" s="1883" t="n"/>
      <c r="B934" s="1672" t="n"/>
      <c r="C934" s="1672" t="n"/>
    </row>
    <row r="935" ht="12.75" customFormat="1" customHeight="1" s="1884">
      <c r="A935" s="1883" t="n"/>
      <c r="B935" s="1672" t="n"/>
      <c r="C935" s="1672" t="n"/>
    </row>
    <row r="936" ht="12.75" customFormat="1" customHeight="1" s="1884">
      <c r="A936" s="1883" t="n"/>
      <c r="B936" s="1672" t="n"/>
      <c r="C936" s="1672" t="n"/>
    </row>
    <row r="937" ht="12.75" customFormat="1" customHeight="1" s="1884">
      <c r="A937" s="1883" t="n"/>
      <c r="B937" s="1672" t="n"/>
      <c r="C937" s="1672" t="n"/>
    </row>
    <row r="938" ht="12.75" customFormat="1" customHeight="1" s="1884">
      <c r="A938" s="1883" t="n"/>
      <c r="B938" s="1672" t="n"/>
      <c r="C938" s="1672" t="n"/>
    </row>
    <row r="939" ht="12.75" customFormat="1" customHeight="1" s="1884">
      <c r="A939" s="1883" t="n"/>
      <c r="B939" s="1672" t="n"/>
      <c r="C939" s="1672" t="n"/>
    </row>
    <row r="940" ht="12.75" customFormat="1" customHeight="1" s="1884">
      <c r="A940" s="1883" t="n"/>
      <c r="B940" s="1672" t="n"/>
      <c r="C940" s="1672" t="n"/>
    </row>
    <row r="941" ht="12.75" customFormat="1" customHeight="1" s="1884">
      <c r="A941" s="1883" t="n"/>
      <c r="B941" s="1672" t="n"/>
      <c r="C941" s="1672" t="n"/>
    </row>
    <row r="942" ht="12.75" customFormat="1" customHeight="1" s="1884">
      <c r="A942" s="1883" t="n"/>
      <c r="B942" s="1672" t="n"/>
      <c r="C942" s="1672" t="n"/>
    </row>
    <row r="943" ht="12.75" customFormat="1" customHeight="1" s="1884">
      <c r="A943" s="1883" t="n"/>
      <c r="B943" s="1672" t="n"/>
      <c r="C943" s="1672" t="n"/>
    </row>
    <row r="944" ht="12.75" customFormat="1" customHeight="1" s="1884">
      <c r="A944" s="1883" t="n"/>
      <c r="B944" s="1672" t="n"/>
      <c r="C944" s="1672" t="n"/>
    </row>
    <row r="945" ht="12.75" customFormat="1" customHeight="1" s="1884">
      <c r="A945" s="1883" t="n"/>
      <c r="B945" s="1672" t="n"/>
      <c r="C945" s="1672" t="n"/>
    </row>
    <row r="946" ht="12.75" customFormat="1" customHeight="1" s="1884">
      <c r="A946" s="1883" t="n"/>
      <c r="B946" s="1672" t="n"/>
      <c r="C946" s="1672" t="n"/>
    </row>
    <row r="947" ht="12.75" customFormat="1" customHeight="1" s="1884">
      <c r="A947" s="1883" t="n"/>
      <c r="B947" s="1672" t="n"/>
      <c r="C947" s="1672" t="n"/>
    </row>
    <row r="948" ht="12.75" customFormat="1" customHeight="1" s="1884">
      <c r="A948" s="1883" t="n"/>
      <c r="B948" s="1672" t="n"/>
      <c r="C948" s="1672" t="n"/>
    </row>
    <row r="949" ht="12.75" customFormat="1" customHeight="1" s="1884">
      <c r="A949" s="1883" t="n"/>
      <c r="B949" s="1672" t="n"/>
      <c r="C949" s="1672" t="n"/>
    </row>
    <row r="950" ht="12.75" customFormat="1" customHeight="1" s="1884">
      <c r="A950" s="1883" t="n"/>
      <c r="B950" s="1672" t="n"/>
      <c r="C950" s="1672" t="n"/>
    </row>
    <row r="951" ht="12.75" customFormat="1" customHeight="1" s="1884">
      <c r="A951" s="1883" t="n"/>
      <c r="B951" s="1672" t="n"/>
      <c r="C951" s="1672" t="n"/>
    </row>
    <row r="952" ht="12.75" customFormat="1" customHeight="1" s="1884">
      <c r="A952" s="1883" t="n"/>
      <c r="B952" s="1672" t="n"/>
      <c r="C952" s="1672" t="n"/>
    </row>
    <row r="953" ht="12.75" customFormat="1" customHeight="1" s="1884">
      <c r="A953" s="1883" t="n"/>
      <c r="B953" s="1672" t="n"/>
      <c r="C953" s="1672" t="n"/>
    </row>
    <row r="954" ht="12.75" customFormat="1" customHeight="1" s="1884">
      <c r="A954" s="1883" t="n"/>
      <c r="B954" s="1672" t="n"/>
      <c r="C954" s="167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1.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3" colorId="64" zoomScale="85" zoomScaleNormal="145" zoomScalePageLayoutView="85" workbookViewId="0">
      <selection pane="topLeft" activeCell="D95" activeCellId="1" sqref="A11:S58 D95"/>
    </sheetView>
  </sheetViews>
  <sheetFormatPr baseColWidth="8" defaultColWidth="8.59765625" defaultRowHeight="14.25" customHeight="0" zeroHeight="0" outlineLevelRow="0"/>
  <cols>
    <col width="5.66" customWidth="1" style="1885" min="1" max="1"/>
    <col width="1.44" customWidth="1" style="1207" min="2" max="2"/>
    <col width="12.55" customWidth="1" style="1207" min="3" max="3"/>
    <col width="14.11" customWidth="1" style="1207" min="4" max="4"/>
    <col width="16" customWidth="1" style="1207" min="5" max="5"/>
    <col width="11.78" customWidth="1" style="1207" min="6" max="6"/>
    <col width="8.890000000000001" customWidth="1" style="1207" min="7" max="7"/>
    <col width="9.56" customWidth="1" style="1207" min="8" max="8"/>
    <col width="10.22" customWidth="1" style="1207" min="9" max="10"/>
    <col width="15.33" customWidth="1" style="1207" min="11" max="11"/>
    <col width="50" customWidth="1" style="1207" min="12" max="12"/>
  </cols>
  <sheetData>
    <row r="1" ht="15" customFormat="1" customHeight="1" s="1886">
      <c r="A1" s="1887" t="n"/>
      <c r="B1" s="1888" t="inlineStr">
        <is>
          <t xml:space="preserve">RUNNING PROCEDURE : </t>
        </is>
      </c>
      <c r="C1" s="1889" t="n"/>
      <c r="D1" s="1889" t="n"/>
      <c r="F1" s="1890" t="n"/>
      <c r="G1" s="1890" t="n"/>
      <c r="H1" s="1890" t="n"/>
      <c r="I1" s="1890" t="n"/>
      <c r="J1" s="1890" t="n"/>
      <c r="K1" s="1891" t="n"/>
      <c r="M1" s="1892" t="n"/>
      <c r="N1" s="1892" t="n"/>
      <c r="O1" s="1892" t="n"/>
      <c r="P1" s="1892" t="n"/>
      <c r="Q1" s="1892" t="n"/>
      <c r="R1" s="1892" t="n"/>
      <c r="S1" s="1892" t="n"/>
      <c r="T1" s="1892" t="n"/>
      <c r="U1" s="1892" t="n"/>
    </row>
    <row r="2" ht="24.45" customFormat="1" customHeight="1" s="1886">
      <c r="A2" s="1887" t="n"/>
      <c r="B2" s="1893" t="n"/>
      <c r="C2" s="1894" t="inlineStr">
        <is>
          <t>Well  :</t>
        </is>
      </c>
      <c r="D2" s="1895">
        <f>'MS2'!I9</f>
        <v/>
      </c>
      <c r="E2" s="1894" t="inlineStr">
        <is>
          <t>Rig   :</t>
        </is>
      </c>
      <c r="F2" s="1896">
        <f>'MS2'!I8</f>
        <v/>
      </c>
      <c r="G2" s="1897" t="n"/>
      <c r="H2" s="1897" t="n"/>
      <c r="I2" s="1897" t="n"/>
      <c r="J2" s="1897" t="n"/>
      <c r="M2" s="1898" t="inlineStr">
        <is>
          <t>Annulus Test</t>
        </is>
      </c>
      <c r="N2" s="1898" t="inlineStr">
        <is>
          <t>Hanger Test</t>
        </is>
      </c>
      <c r="O2" s="1898" t="inlineStr">
        <is>
          <t>CL Test</t>
        </is>
      </c>
      <c r="P2" s="1899" t="n"/>
      <c r="Q2" s="1899" t="inlineStr">
        <is>
          <t xml:space="preserve">PRESSURE UP TBG TO </t>
        </is>
      </c>
      <c r="R2" s="1899" t="inlineStr">
        <is>
          <t xml:space="preserve"> PSI / 10 MINS TO SET PKR, INCREASE TO </t>
        </is>
      </c>
      <c r="S2" s="1899" t="inlineStr">
        <is>
          <t xml:space="preserve"> / 30 MINS TO TEST TBG</t>
        </is>
      </c>
      <c r="T2" s="1899" t="n"/>
      <c r="U2" s="1899" t="n"/>
      <c r="V2" s="1900" t="n"/>
    </row>
    <row r="3" ht="28.5" customFormat="1" customHeight="1" s="1886">
      <c r="A3" s="1887" t="n"/>
      <c r="B3" s="1893" t="n"/>
      <c r="C3" s="1894" t="inlineStr">
        <is>
          <t>CWLE :</t>
        </is>
      </c>
      <c r="D3" s="1888" t="inlineStr">
        <is>
          <t xml:space="preserve">MAHMOUD </t>
        </is>
      </c>
      <c r="E3" s="1894" t="inlineStr">
        <is>
          <t>DS   :</t>
        </is>
      </c>
      <c r="F3" s="1896" t="n"/>
      <c r="G3" s="1893" t="n"/>
      <c r="H3" s="1893" t="n"/>
      <c r="I3" s="1893" t="n"/>
      <c r="J3" s="1893" t="n"/>
      <c r="M3" s="1898" t="inlineStr">
        <is>
          <t>3500 PSI</t>
        </is>
      </c>
      <c r="N3" s="1898" t="inlineStr">
        <is>
          <t>5000 PSI</t>
        </is>
      </c>
      <c r="O3" s="1898" t="inlineStr">
        <is>
          <t>5000 PSI</t>
        </is>
      </c>
      <c r="P3" s="1899" t="n"/>
      <c r="Q3" s="1899" t="inlineStr">
        <is>
          <t xml:space="preserve">PRESSURE TEST ANNULUS TO </t>
        </is>
      </c>
      <c r="R3" s="1899" t="inlineStr">
        <is>
          <t xml:space="preserve"> / 30 MINS. OBSERVE TBG FOR RETURN</t>
        </is>
      </c>
      <c r="S3" s="1899" t="n"/>
      <c r="T3" s="1899" t="n"/>
      <c r="U3" s="1899" t="n"/>
      <c r="V3" s="1900" t="n"/>
    </row>
    <row r="4" ht="14.25" customFormat="1" customHeight="1" s="1886">
      <c r="A4" s="1887" t="n"/>
      <c r="C4" s="1901" t="n"/>
      <c r="D4" s="1902" t="n"/>
      <c r="E4" s="1903" t="n"/>
      <c r="F4" s="1904" t="n"/>
      <c r="G4" s="1904" t="n"/>
      <c r="H4" s="1904" t="n"/>
      <c r="I4" s="1904" t="n"/>
      <c r="J4" s="1904" t="n"/>
      <c r="K4" s="1904" t="n"/>
      <c r="M4" s="1899" t="n"/>
      <c r="N4" s="1899" t="n"/>
      <c r="O4" s="1899" t="n"/>
      <c r="P4" s="1899" t="n"/>
      <c r="Q4" s="1899" t="n"/>
      <c r="R4" s="1899" t="n"/>
      <c r="S4" s="1899" t="n"/>
      <c r="T4" s="1899" t="n"/>
      <c r="U4" s="1899" t="n"/>
      <c r="V4" s="1900" t="n"/>
    </row>
    <row r="5" ht="17.35" customFormat="1" customHeight="1" s="1886">
      <c r="A5" s="1905" t="n"/>
      <c r="B5" s="1906" t="n"/>
      <c r="C5" s="1907" t="inlineStr">
        <is>
          <t xml:space="preserve">NOTES : </t>
        </is>
      </c>
      <c r="D5" s="1906" t="n"/>
      <c r="E5" s="1906" t="n"/>
      <c r="F5" s="1906" t="n"/>
      <c r="G5" s="1906" t="n"/>
      <c r="H5" s="1906" t="n"/>
      <c r="I5" s="1906" t="n"/>
      <c r="J5" s="1906" t="n"/>
      <c r="K5" s="1906" t="n"/>
      <c r="L5" s="1906" t="n"/>
      <c r="M5" s="1892" t="n"/>
      <c r="N5" s="1892" t="n"/>
      <c r="O5" s="1892" t="n"/>
      <c r="P5" s="1892" t="n"/>
      <c r="Q5" s="1892" t="n"/>
      <c r="R5" s="1892" t="n"/>
      <c r="S5" s="1892" t="n"/>
      <c r="T5" s="1892" t="n"/>
      <c r="U5" s="1892" t="n"/>
    </row>
    <row r="6" ht="17.35" customFormat="1" customHeight="1" s="1886">
      <c r="A6" s="1908" t="n">
        <v>1</v>
      </c>
      <c r="B6" s="1909" t="inlineStr">
        <is>
          <t xml:space="preserve"> USE FILTRATION UNIT FOR COMPLETION FLUID. COMPLETION FLUID TO BE USED ALL THE TIME.</t>
        </is>
      </c>
      <c r="M6" s="1910" t="n"/>
      <c r="N6" s="1892" t="n"/>
      <c r="O6" s="1892" t="n"/>
      <c r="P6" s="1892" t="n"/>
      <c r="Q6" s="1892" t="n"/>
      <c r="R6" s="1892" t="n"/>
      <c r="S6" s="1892" t="n"/>
      <c r="T6" s="1892" t="n"/>
      <c r="U6" s="1892" t="n"/>
    </row>
    <row r="7" ht="17.35" customFormat="1" customHeight="1" s="1886">
      <c r="A7" s="1908" t="n">
        <v>2</v>
      </c>
      <c r="B7" s="1909" t="inlineStr">
        <is>
          <t>ENSURE THE WELL HOLE IS CENTRALLY ALIGNED BEFORE RIH COMPLETION</t>
        </is>
      </c>
      <c r="M7" s="1910" t="n"/>
      <c r="N7" s="1892" t="n"/>
      <c r="O7" s="1892" t="n"/>
      <c r="P7" s="1892" t="n"/>
      <c r="Q7" s="1892" t="n"/>
      <c r="R7" s="1892" t="n"/>
      <c r="S7" s="1892" t="n"/>
      <c r="T7" s="1892" t="n"/>
      <c r="U7" s="1892" t="n"/>
    </row>
    <row r="8" ht="17.35" customFormat="1" customHeight="1" s="1886">
      <c r="A8" s="1908" t="n">
        <v>3</v>
      </c>
      <c r="B8" s="1909" t="inlineStr">
        <is>
          <t>SAFETY VALVE WITH REQUIRED X-OVERS TO BE READY AND AVAILABLE ON THE RIG FLOOR FOR USE IN DUE TIME</t>
        </is>
      </c>
      <c r="M8" s="1910" t="n"/>
      <c r="N8" s="1892" t="n"/>
      <c r="O8" s="1892" t="n"/>
      <c r="P8" s="1892" t="n"/>
      <c r="Q8" s="1892" t="n"/>
      <c r="R8" s="1892" t="n"/>
      <c r="S8" s="1892" t="n"/>
      <c r="T8" s="1892" t="n"/>
      <c r="U8" s="1892" t="n"/>
    </row>
    <row r="9" ht="17.35" customFormat="1" customHeight="1" s="1886">
      <c r="A9" s="1908" t="n">
        <v>4</v>
      </c>
      <c r="B9" s="1909" t="inlineStr">
        <is>
          <t>USE SAFETY CLAMP ON STRING TILL REQUIRED STRING WEIGHT IS ACHIEVED  TILL 20K +-</t>
        </is>
      </c>
      <c r="M9" s="1910" t="n"/>
      <c r="N9" s="1892" t="n"/>
      <c r="O9" s="1892" t="n"/>
      <c r="P9" s="1892" t="n"/>
      <c r="Q9" s="1892" t="n"/>
      <c r="R9" s="1892" t="n"/>
      <c r="S9" s="1892" t="n"/>
      <c r="T9" s="1892" t="n"/>
      <c r="U9" s="1892" t="n"/>
    </row>
    <row r="10" ht="17.35" customFormat="1" customHeight="1" s="1886">
      <c r="A10" s="1908" t="n">
        <v>5</v>
      </c>
      <c r="B10" s="1909" t="inlineStr">
        <is>
          <t>IF ANY TUBING DAMAGE (DIRECTLY REPLACE), IF FOUND OVER TORQUE - COMMUNICATE W/ THREAD INSPECTOR</t>
        </is>
      </c>
      <c r="M10" s="1910" t="n"/>
      <c r="N10" s="1892" t="n"/>
      <c r="O10" s="1892" t="n"/>
      <c r="P10" s="1892" t="n"/>
      <c r="Q10" s="1892" t="n"/>
      <c r="R10" s="1892" t="n"/>
      <c r="S10" s="1892" t="n"/>
      <c r="T10" s="1892" t="n"/>
      <c r="U10" s="1892" t="n"/>
    </row>
    <row r="11" ht="17.35" customFormat="1" customHeight="1" s="1886">
      <c r="A11" s="1908" t="n">
        <v>6</v>
      </c>
      <c r="B11" s="1909" t="inlineStr">
        <is>
          <t xml:space="preserve"> COVER THE HOLE WHILE PERFORMING ANY TASK OVER THE ROTARY</t>
        </is>
      </c>
      <c r="M11" s="1910" t="n"/>
      <c r="N11" s="1892" t="n"/>
      <c r="O11" s="1892" t="n"/>
      <c r="P11" s="1892" t="n"/>
      <c r="Q11" s="1892" t="n"/>
      <c r="R11" s="1892" t="n"/>
      <c r="S11" s="1892" t="n"/>
      <c r="T11" s="1892" t="n"/>
      <c r="U11" s="1892" t="n"/>
    </row>
    <row r="12" ht="17.35" customFormat="1" customHeight="1" s="1886">
      <c r="A12" s="1908" t="n">
        <v>7</v>
      </c>
      <c r="B12" s="1909" t="inlineStr">
        <is>
          <t>AFTER M/UP TRSV, CARE SHOULD BE TAKEN WHILE SETTING SLIPS NOT TO CRUSH CONTROL LINE</t>
        </is>
      </c>
      <c r="M12" s="1910" t="n"/>
      <c r="N12" s="1892" t="n"/>
      <c r="O12" s="1892" t="n"/>
      <c r="P12" s="1892" t="n"/>
      <c r="Q12" s="1892" t="n"/>
      <c r="R12" s="1892" t="n"/>
      <c r="S12" s="1892" t="n"/>
      <c r="T12" s="1892" t="n"/>
      <c r="U12" s="1892" t="n"/>
    </row>
    <row r="13" ht="17.35" customFormat="1" customHeight="1" s="1886">
      <c r="A13" s="1908" t="n">
        <v>8</v>
      </c>
      <c r="B13" s="1909" t="inlineStr">
        <is>
          <t>USE THE MINIMUM AMOUNT OF PIPE DOPE WITH PAINT BRUSH AND ONLY IN PIN SIDE</t>
        </is>
      </c>
      <c r="M13" s="1910" t="n"/>
      <c r="N13" s="1892" t="n"/>
      <c r="O13" s="1892" t="n"/>
      <c r="P13" s="1892" t="n"/>
      <c r="Q13" s="1892" t="n"/>
      <c r="R13" s="1892" t="n"/>
      <c r="S13" s="1892" t="n"/>
      <c r="T13" s="1892" t="n"/>
      <c r="U13" s="1892" t="n"/>
    </row>
    <row r="14" ht="17.35" customFormat="1" customHeight="1" s="1886">
      <c r="A14" s="1908" t="n">
        <v>9</v>
      </c>
      <c r="B14" s="1909" t="inlineStr">
        <is>
          <t>WELLHEAD ENGR TO ENSURE THE LOCKDOWN SCREWS RETRACTED BEFORE START RIH.</t>
        </is>
      </c>
      <c r="M14" s="1910" t="n"/>
      <c r="N14" s="1892" t="n"/>
      <c r="O14" s="1892" t="n"/>
      <c r="P14" s="1892" t="n"/>
      <c r="Q14" s="1892" t="n"/>
      <c r="R14" s="1892" t="n"/>
      <c r="S14" s="1892" t="n"/>
      <c r="T14" s="1892" t="n"/>
      <c r="U14" s="1892" t="n"/>
    </row>
    <row r="15" ht="14.25" customFormat="1" customHeight="1" s="1886">
      <c r="A15" s="1911" t="inlineStr">
        <is>
          <t xml:space="preserve">        IMPORTANT NOTES:-   </t>
        </is>
      </c>
      <c r="B15" s="1333" t="n"/>
      <c r="C15" s="1333" t="n"/>
      <c r="D15" s="1333" t="n"/>
      <c r="E15" s="1333" t="n"/>
      <c r="F15" s="1333" t="n"/>
      <c r="G15" s="1333" t="n"/>
      <c r="H15" s="1333" t="n"/>
      <c r="I15" s="1333" t="n"/>
      <c r="J15" s="1333" t="n"/>
      <c r="K15" s="1333" t="n"/>
      <c r="L15" s="1333" t="n"/>
      <c r="M15" s="1910" t="n"/>
      <c r="N15" s="1892" t="n"/>
      <c r="O15" s="1892" t="n"/>
      <c r="P15" s="1892" t="n"/>
      <c r="Q15" s="1892" t="n"/>
      <c r="R15" s="1892" t="n"/>
      <c r="S15" s="1892" t="n"/>
      <c r="T15" s="1892" t="n"/>
      <c r="U15" s="1892" t="n"/>
    </row>
    <row r="16" ht="10.5" customFormat="1" customHeight="1" s="1886">
      <c r="A16" s="1296" t="n"/>
      <c r="B16" s="1295" t="n"/>
      <c r="C16" s="1295" t="n"/>
      <c r="D16" s="1295" t="n"/>
      <c r="E16" s="1295" t="n"/>
      <c r="F16" s="1295" t="n"/>
      <c r="G16" s="1295" t="n"/>
      <c r="H16" s="1295" t="n"/>
      <c r="I16" s="1295" t="n"/>
      <c r="J16" s="1295" t="n"/>
      <c r="K16" s="1295" t="n"/>
      <c r="L16" s="1295" t="n"/>
      <c r="M16" s="1910" t="n"/>
      <c r="N16" s="1892" t="n"/>
      <c r="O16" s="1892" t="n"/>
      <c r="P16" s="1892" t="n"/>
      <c r="Q16" s="1892" t="n"/>
      <c r="R16" s="1892" t="n"/>
      <c r="S16" s="1892" t="n"/>
      <c r="T16" s="1892" t="n"/>
      <c r="U16" s="1892" t="n"/>
    </row>
    <row r="17" ht="82.5" customFormat="1" customHeight="1" s="1886">
      <c r="A17" s="1912" t="inlineStr">
        <is>
          <t>NO FILL-UP BY MUD PUMP / SUPERCHARGER.USE  HOSE TO FILL THE COMPLETION STRING, AND ENSURE THE TUBING IS FULL BEFORE PROCEEDING WITH RIH FOR THE FIRST 5 JOINTS. AFTER EVERY 10 JOINTS, PERFORM FILL-UP.</t>
        </is>
      </c>
      <c r="B17" s="1162" t="n"/>
      <c r="C17" s="1162" t="n"/>
      <c r="D17" s="1162" t="n"/>
      <c r="E17" s="1162" t="n"/>
      <c r="F17" s="1162" t="n"/>
      <c r="G17" s="1162" t="n"/>
      <c r="H17" s="1162" t="n"/>
      <c r="I17" s="1162" t="n"/>
      <c r="J17" s="1162" t="n"/>
      <c r="K17" s="1162" t="n"/>
      <c r="L17" s="1162" t="n"/>
      <c r="M17" s="1913" t="n"/>
      <c r="N17" s="1892" t="n"/>
      <c r="O17" s="1892" t="n"/>
      <c r="P17" s="1892" t="n"/>
      <c r="Q17" s="1892" t="n"/>
      <c r="R17" s="1892" t="n"/>
      <c r="S17" s="1892" t="n"/>
      <c r="T17" s="1892" t="n"/>
      <c r="U17" s="1892" t="n"/>
    </row>
    <row r="18" ht="21" customFormat="1" customHeight="1" s="1886">
      <c r="A18" s="1914" t="inlineStr">
        <is>
          <t>●  DRILLER TO MAKE SURE KEEP ANNULUS FILLED ALL THE TIME BY RUNNING FROM TRIP TANK	&amp; TRIP SHEET FILLED</t>
        </is>
      </c>
      <c r="B18" s="1333" t="n"/>
      <c r="C18" s="1333" t="n"/>
      <c r="D18" s="1333" t="n"/>
      <c r="E18" s="1333" t="n"/>
      <c r="F18" s="1333" t="n"/>
      <c r="G18" s="1333" t="n"/>
      <c r="H18" s="1333" t="n"/>
      <c r="I18" s="1333" t="n"/>
      <c r="J18" s="1333" t="n"/>
      <c r="K18" s="1333" t="n"/>
      <c r="L18" s="1333" t="n"/>
      <c r="M18" s="1913" t="n"/>
      <c r="N18" s="1892" t="n"/>
      <c r="O18" s="1892" t="n"/>
      <c r="P18" s="1892" t="n"/>
      <c r="Q18" s="1892" t="n"/>
      <c r="R18" s="1892" t="n"/>
      <c r="S18" s="1892" t="n"/>
      <c r="T18" s="1892" t="n"/>
      <c r="U18" s="1892" t="n"/>
    </row>
    <row r="19" ht="27" customFormat="1" customHeight="1" s="1886">
      <c r="A19" s="1915" t="inlineStr">
        <is>
          <t>● BEFORE FILLING UP THE TUBING, MAKE SURE TO GET CLEAR BRINE ON THE RIG FLOOR AND FLUSH THE SURFACE LINES. DO NOT PROCEED UNTIL CLEAR BRINE IS OBSERVED ON THE RIG FLOOR</t>
        </is>
      </c>
      <c r="M19" s="1913" t="n"/>
      <c r="N19" s="1892" t="n"/>
      <c r="O19" s="1892" t="n"/>
      <c r="P19" s="1892" t="n"/>
      <c r="Q19" s="1892" t="n"/>
      <c r="R19" s="1892" t="n"/>
      <c r="S19" s="1892" t="n"/>
      <c r="T19" s="1892" t="n"/>
      <c r="U19" s="1892" t="n"/>
    </row>
    <row r="20" ht="19.5" customFormat="1" customHeight="1" s="1886">
      <c r="A20" s="1915" t="inlineStr">
        <is>
          <t xml:space="preserve">●  NO SLACK OFF WEIGHT ON PACKER  MORE THAN 3 TO 4KIPS . NOTE:- CONTROL RUNNING SPEED INSIDE 7" CASING DURING RIH,   NO JERKING &amp; ROTATION.			                                      		                                                           </t>
        </is>
      </c>
      <c r="M20" s="1913" t="n"/>
      <c r="N20" s="1892" t="n"/>
      <c r="O20" s="1892" t="n"/>
      <c r="P20" s="1892" t="n"/>
      <c r="Q20" s="1892" t="n"/>
      <c r="R20" s="1892" t="n"/>
      <c r="S20" s="1892" t="n"/>
      <c r="T20" s="1892" t="n"/>
      <c r="U20" s="1892" t="n"/>
    </row>
    <row r="21" ht="30.75" customFormat="1" customHeight="1" s="1886">
      <c r="A21" s="1915" t="inlineStr">
        <is>
          <t>● EXTRA CARE TO BE TAKEN AT TOL TO PREVENT IMPACT BECAUSE IF IMPACTED THE SUDDEN STOP CAN CAUSE A HAMMER EFFECT ON THE TOOL RESULTING IN A POSSIBLE COMPLETE CYCLE   . NO JERKING ALLOWED CONTROL RUNNING SPEED</t>
        </is>
      </c>
      <c r="M21" s="1913" t="n"/>
      <c r="N21" s="1892" t="n"/>
      <c r="O21" s="1892" t="n"/>
      <c r="P21" s="1892" t="n"/>
      <c r="Q21" s="1892" t="n"/>
      <c r="R21" s="1892" t="n"/>
      <c r="S21" s="1892" t="n"/>
      <c r="T21" s="1892" t="n"/>
      <c r="U21" s="1892" t="n"/>
    </row>
    <row r="22" ht="17.25" customFormat="1" customHeight="1" s="1886">
      <c r="A22" s="1916" t="inlineStr">
        <is>
          <t xml:space="preserve"> ●  IN A POSSIBLE COMPLETE CYCLE  NO JERKING ALLOWED CONTROL RUNNING SPEED    in 9-5/8" 60 FT /MIN )   in 7"   (45 FT/MIN)  LINER REDUCE RUNNING SPEED  </t>
        </is>
      </c>
      <c r="M22" s="1913" t="n"/>
      <c r="N22" s="1892" t="n"/>
      <c r="O22" s="1892" t="n"/>
      <c r="P22" s="1892" t="n"/>
      <c r="Q22" s="1892" t="n"/>
      <c r="R22" s="1892" t="n"/>
      <c r="S22" s="1892" t="n"/>
      <c r="T22" s="1892" t="n"/>
      <c r="U22" s="1892" t="n"/>
    </row>
    <row r="23" ht="31.5" customFormat="1" customHeight="1" s="1886">
      <c r="A23" s="1917" t="inlineStr">
        <is>
          <t>CAUTION: RUNNING SPEED OF THE PACKER IS LIMITED TO MAXIMUM RATE OF A 60-FT STAND/30 SEC. EXCEEDING THE SPECIFIED RUNNING SPEED MAY CAUSE DAMAGE TO THE PACKER. REDUCE RUNNING SPEED WHILE PASSING THE PACKER THROUGH RESTRICTIONS</t>
        </is>
      </c>
      <c r="M23" s="1913" t="n"/>
      <c r="N23" s="1892" t="n"/>
      <c r="O23" s="1892" t="n"/>
      <c r="P23" s="1892" t="n"/>
      <c r="Q23" s="1892" t="n"/>
      <c r="R23" s="1892" t="n"/>
      <c r="S23" s="1892" t="n"/>
      <c r="T23" s="1892" t="n"/>
      <c r="U23" s="1892" t="n"/>
    </row>
    <row r="24" ht="18" customFormat="1" customHeight="1" s="1886">
      <c r="A24" s="1918" t="n"/>
      <c r="M24" s="1913" t="n"/>
      <c r="N24" s="1892" t="n"/>
      <c r="O24" s="1892" t="n"/>
      <c r="P24" s="1892" t="n"/>
      <c r="Q24" s="1892" t="n"/>
      <c r="R24" s="1892" t="n"/>
      <c r="S24" s="1892" t="n"/>
      <c r="T24" s="1892" t="n"/>
      <c r="U24" s="1892" t="n"/>
    </row>
    <row r="25" ht="18" customFormat="1" customHeight="1" s="1886">
      <c r="A25" s="1919" t="inlineStr">
        <is>
          <t xml:space="preserve"> ● WHILE PICK UP THE GAS LIFT MANDREL EXTRA CARE SHOULD BE TAKEN AS THERE IS EXTERNAL DVX CHECK VALVES INSTALLED</t>
        </is>
      </c>
      <c r="M25" s="1913" t="n"/>
      <c r="N25" s="1892" t="n"/>
      <c r="O25" s="1892" t="n"/>
      <c r="P25" s="1892" t="n"/>
      <c r="Q25" s="1892" t="n"/>
      <c r="R25" s="1892" t="n"/>
      <c r="S25" s="1892" t="n"/>
      <c r="T25" s="1892" t="n"/>
      <c r="U25" s="1892" t="n"/>
    </row>
    <row r="26" ht="18" customFormat="1" customHeight="1" s="1886">
      <c r="A26" s="1920" t="inlineStr">
        <is>
          <t xml:space="preserve">●  REMOVE WEAR BUSHING AND CHECK WB CONDITION.  </t>
        </is>
      </c>
      <c r="M26" s="1913" t="n"/>
      <c r="N26" s="1892" t="n"/>
      <c r="O26" s="1892" t="n"/>
      <c r="P26" s="1892" t="n"/>
      <c r="Q26" s="1892" t="n"/>
      <c r="R26" s="1892" t="n"/>
      <c r="S26" s="1892" t="n"/>
      <c r="T26" s="1892" t="n"/>
      <c r="U26" s="1892" t="n"/>
    </row>
    <row r="27" ht="15" customFormat="1" customHeight="1" s="1886">
      <c r="A27" s="1920" t="inlineStr">
        <is>
          <t xml:space="preserve">●  PERFORM PJSM (PRE JOB SAFETY MEETING)- FOR TRS RIG UP </t>
        </is>
      </c>
      <c r="M27" s="1913" t="n"/>
      <c r="N27" s="1892" t="n"/>
      <c r="O27" s="1892" t="n"/>
      <c r="P27" s="1892" t="n"/>
      <c r="Q27" s="1892" t="n"/>
      <c r="R27" s="1892" t="n"/>
      <c r="S27" s="1892" t="n"/>
      <c r="T27" s="1892" t="n"/>
      <c r="U27" s="1892" t="n"/>
    </row>
    <row r="28" ht="15" customFormat="1" customHeight="1" s="1921">
      <c r="A28" s="1922" t="n"/>
      <c r="B28" s="1923" t="n"/>
      <c r="C28" s="1924" t="n"/>
      <c r="D28" s="1925" t="n"/>
      <c r="E28" s="1925" t="n"/>
      <c r="F28" s="1925" t="n"/>
      <c r="G28" s="1925" t="n"/>
      <c r="H28" s="1925" t="n"/>
      <c r="I28" s="1925" t="n"/>
      <c r="J28" s="1925" t="n"/>
      <c r="K28" s="1925" t="n"/>
      <c r="L28" s="1925" t="n"/>
      <c r="M28" s="1926" t="n"/>
      <c r="N28" s="1926" t="n"/>
      <c r="O28" s="1926" t="n"/>
      <c r="P28" s="1926" t="n"/>
      <c r="Q28" s="1926" t="n"/>
      <c r="R28" s="1926" t="n"/>
      <c r="S28" s="1926" t="n"/>
      <c r="T28" s="1926" t="n"/>
      <c r="U28" s="1926" t="n"/>
    </row>
    <row r="29" ht="15" customFormat="1" customHeight="1" s="1927">
      <c r="A29" s="1928" t="inlineStr">
        <is>
          <t xml:space="preserve">1) </t>
        </is>
      </c>
      <c r="B29" s="1929" t="n"/>
      <c r="C29" s="1930" t="inlineStr">
        <is>
          <t>P/U ASSY</t>
        </is>
      </c>
      <c r="D29" s="1931" t="inlineStr">
        <is>
          <t>A</t>
        </is>
      </c>
      <c r="E29" s="1930" t="n"/>
      <c r="F29" s="1932" t="inlineStr">
        <is>
          <t xml:space="preserve">WIRELINE ENTRY GUIDE       SN: 16339547-10-008              PN 2996481 </t>
        </is>
      </c>
      <c r="G29" s="1932" t="n"/>
      <c r="H29" s="1932" t="n"/>
      <c r="I29" s="1932" t="n"/>
      <c r="J29" s="1933" t="n"/>
      <c r="K29" s="1933" t="n"/>
      <c r="L29" s="1933" t="n"/>
    </row>
    <row r="30" ht="11.25" customFormat="1" customHeight="1" s="1921">
      <c r="A30" s="1922" t="n"/>
      <c r="B30" s="1923" t="n"/>
      <c r="C30" s="1924" t="n"/>
      <c r="D30" s="1934" t="n"/>
      <c r="E30" s="1924" t="n"/>
      <c r="F30" s="1935" t="n"/>
      <c r="G30" s="1935" t="n"/>
      <c r="H30" s="1935" t="n"/>
      <c r="I30" s="1935" t="n"/>
      <c r="J30" s="1925" t="n"/>
      <c r="K30" s="1925" t="n"/>
      <c r="L30" s="1925" t="n"/>
      <c r="M30" s="1926" t="n"/>
    </row>
    <row r="31" ht="15" customFormat="1" customHeight="1" s="1921">
      <c r="A31" s="1922" t="inlineStr">
        <is>
          <t xml:space="preserve">2) </t>
        </is>
      </c>
      <c r="B31" s="1923" t="n"/>
      <c r="C31" s="1924" t="inlineStr">
        <is>
          <t>M/U TBG JT</t>
        </is>
      </c>
      <c r="D31" s="1936" t="n">
        <v>5</v>
      </c>
      <c r="E31" s="1924" t="n"/>
      <c r="F31" s="1925" t="n"/>
      <c r="G31" s="1937" t="inlineStr">
        <is>
          <t>66</t>
        </is>
      </c>
      <c r="H31" s="1938">
        <f>G31-D31+1</f>
        <v/>
      </c>
      <c r="I31" s="1939" t="inlineStr">
        <is>
          <t>3-1/2" TUBING 9.2 LB/FT ALLOY 28 TSH BL</t>
        </is>
      </c>
      <c r="L31" s="1925" t="n"/>
      <c r="M31" s="1926" t="n"/>
    </row>
    <row r="32" ht="15" customFormat="1" customHeight="1" s="1921">
      <c r="A32" s="1922" t="n"/>
      <c r="B32" s="1923" t="n"/>
      <c r="C32" s="1924" t="n"/>
      <c r="D32" s="1940" t="n"/>
      <c r="E32" s="1924" t="n"/>
      <c r="F32" s="1925" t="n"/>
      <c r="G32" s="1941" t="n"/>
      <c r="H32" s="1942" t="n"/>
      <c r="I32" s="1934" t="n"/>
      <c r="J32" s="1943" t="n"/>
      <c r="K32" s="1944" t="n"/>
      <c r="L32" s="1337" t="n"/>
      <c r="M32" s="1926" t="n"/>
    </row>
    <row r="33" ht="15" customFormat="1" customHeight="1" s="1921">
      <c r="A33" s="1922" t="inlineStr">
        <is>
          <t>3)</t>
        </is>
      </c>
      <c r="B33" s="1923" t="n"/>
      <c r="C33" s="1924" t="inlineStr">
        <is>
          <t>P/U ASSY</t>
        </is>
      </c>
      <c r="D33" s="1945" t="inlineStr">
        <is>
          <t>SP-1</t>
        </is>
      </c>
      <c r="E33" s="1924" t="inlineStr">
        <is>
          <t xml:space="preserve"> &amp; RIH</t>
        </is>
      </c>
      <c r="F33" s="1934" t="inlineStr">
        <is>
          <t xml:space="preserve">SWELL PAKER </t>
        </is>
      </c>
      <c r="J33" s="1946" t="n"/>
      <c r="K33" s="1386" t="n"/>
      <c r="L33" s="1272" t="n"/>
      <c r="M33" s="1926" t="n"/>
    </row>
    <row r="34" ht="15" customFormat="1" customHeight="1" s="1921">
      <c r="A34" s="1922" t="n"/>
      <c r="B34" s="1923" t="n"/>
      <c r="C34" s="1924" t="n"/>
      <c r="D34" s="1934" t="n"/>
      <c r="E34" s="1924" t="n"/>
      <c r="F34" s="1934" t="n"/>
      <c r="G34" s="1934" t="n"/>
      <c r="H34" s="1934" t="n"/>
      <c r="I34" s="1934" t="n"/>
      <c r="J34" s="1947" t="n"/>
      <c r="K34" s="1296" t="n"/>
      <c r="L34" s="1345" t="n"/>
      <c r="M34" s="1926" t="n"/>
    </row>
    <row r="35" ht="15" customFormat="1" customHeight="1" s="1921">
      <c r="A35" s="1922" t="inlineStr">
        <is>
          <t>4)</t>
        </is>
      </c>
      <c r="B35" s="1923" t="n"/>
      <c r="C35" s="1924" t="inlineStr">
        <is>
          <t>M/U TBG JT</t>
        </is>
      </c>
      <c r="D35" s="1936" t="n">
        <v>67</v>
      </c>
      <c r="E35" s="1924" t="n"/>
      <c r="F35" s="1925" t="n"/>
      <c r="G35" s="1937" t="inlineStr">
        <is>
          <t>145</t>
        </is>
      </c>
      <c r="H35" s="1938">
        <f>G35-D35+1</f>
        <v/>
      </c>
      <c r="I35" s="1939" t="inlineStr">
        <is>
          <t>3-1/2" TUBING 9.2 LB/FT ALLOY 28 TSH BL</t>
        </is>
      </c>
      <c r="L35" s="1925" t="n"/>
      <c r="M35" s="1926" t="n"/>
    </row>
    <row r="36" ht="15" customFormat="1" customHeight="1" s="1921">
      <c r="A36" s="1948" t="n"/>
      <c r="B36" s="1925" t="n"/>
      <c r="C36" s="1949" t="n"/>
      <c r="D36" s="1949" t="n"/>
      <c r="E36" s="1949" t="n"/>
      <c r="F36" s="1949" t="n"/>
      <c r="G36" s="1949" t="n"/>
      <c r="H36" s="1949" t="n"/>
      <c r="I36" s="1949" t="n"/>
      <c r="J36" s="1949" t="n"/>
      <c r="K36" s="1949" t="n"/>
      <c r="L36" s="1925" t="n"/>
      <c r="M36" s="1950" t="n"/>
    </row>
    <row r="37" ht="18" customFormat="1" customHeight="1" s="1921">
      <c r="A37" s="1922" t="inlineStr">
        <is>
          <t>5)</t>
        </is>
      </c>
      <c r="B37" s="1923" t="n"/>
      <c r="C37" s="1924" t="inlineStr">
        <is>
          <t>P/U ASSY</t>
        </is>
      </c>
      <c r="D37" s="1945" t="inlineStr">
        <is>
          <t>B</t>
        </is>
      </c>
      <c r="E37" s="1924" t="inlineStr">
        <is>
          <t xml:space="preserve"> &amp; RIH</t>
        </is>
      </c>
      <c r="F37" s="1951" t="inlineStr">
        <is>
          <t>3-1/2" MCBD NINE-DH  BARRIER DEVICE</t>
        </is>
      </c>
      <c r="I37" s="1272" t="n"/>
      <c r="J37" s="1943" t="n"/>
      <c r="K37" s="1944" t="inlineStr">
        <is>
          <t xml:space="preserve">FILL UP BY HOSE ONLY  NO MUD PUMP  OR SUPERCHARGER </t>
        </is>
      </c>
      <c r="L37" s="1337" t="n"/>
      <c r="M37" s="1926" t="n"/>
    </row>
    <row r="38" ht="20.25" customFormat="1" customHeight="1" s="1921">
      <c r="A38" s="1948" t="n"/>
      <c r="B38" s="1925" t="n"/>
      <c r="C38" s="1949" t="n"/>
      <c r="D38" s="1949" t="n"/>
      <c r="E38" s="1949" t="n"/>
      <c r="F38" s="1952" t="n"/>
      <c r="G38" s="1952" t="n"/>
      <c r="H38" s="1952" t="n"/>
      <c r="I38" s="1952" t="n"/>
      <c r="J38" s="1946" t="inlineStr">
        <is>
          <t xml:space="preserve">FILL UP </t>
        </is>
      </c>
      <c r="K38" s="1386" t="n"/>
      <c r="L38" s="1272" t="n"/>
      <c r="M38" s="1950" t="n"/>
    </row>
    <row r="39" ht="14.25" customFormat="1" customHeight="1" s="1921">
      <c r="A39" s="1948" t="n"/>
      <c r="B39" s="1925" t="n"/>
      <c r="C39" s="1949" t="n"/>
      <c r="D39" s="1949" t="n"/>
      <c r="E39" s="1949" t="n"/>
      <c r="F39" s="1953" t="n"/>
      <c r="G39" s="1949" t="n"/>
      <c r="H39" s="1949" t="n"/>
      <c r="I39" s="1949" t="n"/>
      <c r="J39" s="1947" t="n"/>
      <c r="K39" s="1296" t="n"/>
      <c r="L39" s="1345" t="n"/>
      <c r="M39" s="1950" t="n"/>
    </row>
    <row r="40" ht="1.5" customFormat="1" customHeight="1" s="1921">
      <c r="A40" s="1948" t="n"/>
      <c r="B40" s="1925" t="n"/>
      <c r="C40" s="1954" t="n"/>
      <c r="D40" s="1955" t="n"/>
      <c r="E40" s="1955" t="n"/>
      <c r="F40" s="1953" t="n"/>
      <c r="G40" s="1955" t="n"/>
      <c r="H40" s="1955" t="n"/>
      <c r="I40" s="1955" t="n"/>
      <c r="J40" s="1955" t="n"/>
      <c r="K40" s="1955" t="n"/>
      <c r="L40" s="1925" t="n"/>
      <c r="M40" s="1950" t="n"/>
    </row>
    <row r="41" ht="15" customFormat="1" customHeight="1" s="1921">
      <c r="A41" s="1948" t="n"/>
      <c r="B41" s="1925" t="n"/>
      <c r="C41" s="1956" t="inlineStr">
        <is>
          <t xml:space="preserve">●	CONTROL RUNNING SPEED NO JERKING OR OVER SLACK OFF MORE THAN 3 KLBS	</t>
        </is>
      </c>
      <c r="L41" s="1925" t="n"/>
      <c r="M41" s="1950" t="n"/>
    </row>
    <row r="42" ht="9.75" customFormat="1" customHeight="1" s="1921">
      <c r="A42" s="1948" t="n"/>
      <c r="B42" s="1925" t="n"/>
      <c r="L42" s="1925" t="n"/>
      <c r="M42" s="1950" t="n"/>
    </row>
    <row r="43" ht="15" customFormat="1" customHeight="1" s="1921">
      <c r="A43" s="1922" t="inlineStr">
        <is>
          <t>6)</t>
        </is>
      </c>
      <c r="B43" s="1923" t="n"/>
      <c r="C43" s="1924" t="inlineStr">
        <is>
          <t>M/U TBG JT</t>
        </is>
      </c>
      <c r="D43" s="1936" t="n">
        <v>146</v>
      </c>
      <c r="E43" s="1924" t="n"/>
      <c r="F43" s="1925" t="n"/>
      <c r="G43" s="1937" t="inlineStr">
        <is>
          <t>147</t>
        </is>
      </c>
      <c r="H43" s="1938">
        <f>G43-D43+1</f>
        <v/>
      </c>
      <c r="I43" s="1939" t="inlineStr">
        <is>
          <t>3-1/2" TUBING 9.2 LB/FT ALLOY 28 TSH BL</t>
        </is>
      </c>
      <c r="L43" s="1925" t="n"/>
      <c r="M43" s="1926" t="n"/>
    </row>
    <row r="44" ht="15" customFormat="1" customHeight="1" s="1957">
      <c r="A44" s="1958" t="n"/>
      <c r="B44" s="1959" t="n"/>
      <c r="C44" s="1960" t="inlineStr">
        <is>
          <t>● ALWAYS COVER THE HOLE TO AVOID DROP OBJECT</t>
        </is>
      </c>
      <c r="L44" s="1961" t="n"/>
    </row>
    <row r="45" ht="83.25" customFormat="1" customHeight="1" s="1921">
      <c r="A45" s="1922" t="inlineStr">
        <is>
          <t>7)</t>
        </is>
      </c>
      <c r="B45" s="1923" t="n"/>
      <c r="C45" s="1924" t="inlineStr">
        <is>
          <t>P/U ASSY</t>
        </is>
      </c>
      <c r="D45" s="1962" t="inlineStr">
        <is>
          <t>C</t>
        </is>
      </c>
      <c r="E45" s="1924" t="inlineStr">
        <is>
          <t xml:space="preserve"> &amp; RIH</t>
        </is>
      </c>
      <c r="F45" s="1963"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950" t="n"/>
    </row>
    <row r="46" ht="17.25" customFormat="1" customHeight="1" s="1964">
      <c r="A46" s="1965" t="n"/>
      <c r="B46" s="1966" t="n"/>
      <c r="C46" s="1960" t="n"/>
      <c r="D46" s="1960" t="n"/>
      <c r="E46" s="1960" t="n"/>
      <c r="F46" s="1967" t="inlineStr">
        <is>
          <t>CHECK NUMBER OF SHEAR SCREW (COMPARE WITH SUB ASSEMBLY DATASHEET), RUBBER ELEMENT CONDITION, SLIPS AND ETC</t>
        </is>
      </c>
      <c r="G46" s="1960" t="n"/>
      <c r="H46" s="1960" t="n"/>
      <c r="I46" s="1960" t="n"/>
      <c r="J46" s="1960" t="n"/>
      <c r="K46" s="1960" t="n"/>
      <c r="L46" s="1968" t="n"/>
    </row>
    <row r="47" ht="15" customFormat="1" customHeight="1" s="1969">
      <c r="A47" s="1970" t="inlineStr">
        <is>
          <t>8)</t>
        </is>
      </c>
      <c r="B47" s="1971" t="n"/>
      <c r="C47" s="1972" t="inlineStr">
        <is>
          <t>M/U TBG JT</t>
        </is>
      </c>
      <c r="D47" s="1973" t="n">
        <v>148</v>
      </c>
      <c r="E47" s="1972" t="inlineStr">
        <is>
          <t xml:space="preserve"> &amp;  RIH TILL TBG JT</t>
        </is>
      </c>
      <c r="F47" s="1953" t="n"/>
      <c r="G47" s="1973" t="n">
        <v>192</v>
      </c>
      <c r="H47" s="1938">
        <f>G47-D47+1</f>
        <v/>
      </c>
      <c r="I47" s="1939" t="inlineStr">
        <is>
          <t>3-1/2" TUBING 9.2 LB/FT ALLOY 28 TSH BL</t>
        </is>
      </c>
      <c r="L47" s="1972" t="n"/>
    </row>
    <row r="48" ht="17.25" customFormat="1" customHeight="1" s="1964">
      <c r="A48" s="1965" t="n"/>
      <c r="B48" s="1966" t="n"/>
      <c r="C48" s="1960" t="n"/>
      <c r="D48" s="1960" t="n"/>
      <c r="E48" s="1960" t="n"/>
      <c r="F48" s="1960" t="n"/>
      <c r="G48" s="1960" t="n"/>
      <c r="H48" s="1960" t="n"/>
      <c r="I48" s="1960" t="n"/>
      <c r="J48" s="1960" t="n"/>
      <c r="K48" s="1960" t="n"/>
      <c r="L48" s="1968" t="n"/>
    </row>
    <row r="49" ht="46.5" customFormat="1" customHeight="1" s="1921">
      <c r="A49" s="1922" t="inlineStr">
        <is>
          <t>9)</t>
        </is>
      </c>
      <c r="B49" s="1923" t="n"/>
      <c r="C49" s="1924" t="inlineStr">
        <is>
          <t>P/U ASSY</t>
        </is>
      </c>
      <c r="D49" s="1962" t="inlineStr">
        <is>
          <t>D1</t>
        </is>
      </c>
      <c r="E49" s="1924" t="inlineStr">
        <is>
          <t xml:space="preserve"> &amp; RIH</t>
        </is>
      </c>
      <c r="F49" s="1974" t="inlineStr">
        <is>
          <t xml:space="preserve">WEATHERFORD SIDE POCKET MANDREL GROOVED Mandrel, SBRO-2NGRDUMMY                                 </t>
        </is>
      </c>
      <c r="M49" s="1950" t="n"/>
    </row>
    <row r="50" ht="15" customFormat="1" customHeight="1" s="1921">
      <c r="A50" s="1922" t="inlineStr">
        <is>
          <t>10)</t>
        </is>
      </c>
      <c r="B50" s="1923" t="n"/>
      <c r="C50" s="1924" t="inlineStr">
        <is>
          <t>M/U TBG JT</t>
        </is>
      </c>
      <c r="D50" s="1936" t="n">
        <v>193</v>
      </c>
      <c r="E50" s="1924" t="n"/>
      <c r="F50" s="1925" t="n"/>
      <c r="G50" s="1937" t="inlineStr">
        <is>
          <t>207</t>
        </is>
      </c>
      <c r="H50" s="1938">
        <f>G50-D50+1</f>
        <v/>
      </c>
      <c r="I50" s="1939" t="inlineStr">
        <is>
          <t>3-1/2" TUBING 9.2 LB/FT ALLOY 28 TSH BL</t>
        </is>
      </c>
      <c r="L50" s="1925" t="n"/>
      <c r="M50" s="1926" t="n"/>
    </row>
    <row r="51" ht="15" customFormat="1" customHeight="1" s="1921">
      <c r="A51" s="1948" t="n"/>
      <c r="B51" s="1925" t="n"/>
      <c r="C51" s="1949" t="n"/>
      <c r="D51" s="1949" t="n"/>
      <c r="E51" s="1949" t="n"/>
      <c r="F51" s="1949" t="n"/>
      <c r="G51" s="1949" t="n"/>
      <c r="H51" s="1949" t="n"/>
      <c r="I51" s="1949" t="n"/>
      <c r="J51" s="1949" t="n"/>
      <c r="K51" s="1949" t="n"/>
      <c r="L51" s="1925" t="n"/>
      <c r="M51" s="1950" t="n"/>
    </row>
    <row r="52" ht="15" customFormat="1" customHeight="1" s="1921">
      <c r="A52" s="1922" t="inlineStr">
        <is>
          <t>11)</t>
        </is>
      </c>
      <c r="B52" s="1923" t="n"/>
      <c r="C52" s="1924" t="inlineStr">
        <is>
          <t>P/U ASSY</t>
        </is>
      </c>
      <c r="D52" s="1945" t="inlineStr">
        <is>
          <t>D2</t>
        </is>
      </c>
      <c r="E52" s="1924" t="inlineStr">
        <is>
          <t xml:space="preserve"> &amp; RIH</t>
        </is>
      </c>
      <c r="F52" s="1974" t="inlineStr">
        <is>
          <t xml:space="preserve">WEATHERFORD SIDE POCKET MANDREL GROOVED Mandrel, SBRO-2NGRDUMMY                                 </t>
        </is>
      </c>
      <c r="M52" s="1926" t="n"/>
    </row>
    <row r="53" ht="20.25" customFormat="1" customHeight="1" s="1921">
      <c r="A53" s="1948" t="n"/>
      <c r="B53" s="1925" t="n"/>
      <c r="C53" s="1949" t="n"/>
      <c r="D53" s="1949" t="n"/>
      <c r="E53" s="1949" t="n"/>
      <c r="M53" s="1950" t="n"/>
    </row>
    <row r="54" ht="14.25" customFormat="1" customHeight="1" s="1921">
      <c r="A54" s="1948" t="n"/>
      <c r="B54" s="1925" t="n"/>
      <c r="C54" s="1949" t="n"/>
      <c r="D54" s="1949" t="n"/>
      <c r="E54" s="1949" t="n"/>
      <c r="F54" s="1953" t="n"/>
      <c r="G54" s="1949" t="n"/>
      <c r="H54" s="1949" t="n"/>
      <c r="I54" s="1949" t="n"/>
      <c r="J54" s="1949" t="n"/>
      <c r="K54" s="1949" t="n"/>
      <c r="L54" s="1925" t="n"/>
      <c r="M54" s="1950" t="n"/>
    </row>
    <row r="55" ht="1.5" customFormat="1" customHeight="1" s="1921">
      <c r="A55" s="1948" t="n"/>
      <c r="B55" s="1925" t="n"/>
      <c r="C55" s="1954" t="n"/>
      <c r="D55" s="1955" t="n"/>
      <c r="E55" s="1955" t="n"/>
      <c r="F55" s="1953" t="n"/>
      <c r="G55" s="1955" t="n"/>
      <c r="H55" s="1955" t="n"/>
      <c r="I55" s="1955" t="n"/>
      <c r="J55" s="1955" t="n"/>
      <c r="K55" s="1955" t="n"/>
      <c r="L55" s="1925" t="n"/>
      <c r="M55" s="1950" t="n"/>
    </row>
    <row r="56" ht="15" customFormat="1" customHeight="1" s="1921">
      <c r="A56" s="1948" t="n"/>
      <c r="B56" s="1925" t="n"/>
      <c r="C56" s="1956" t="inlineStr">
        <is>
          <t xml:space="preserve">●	CONTROL RUNNING SPEED NO JERKING OR OVER SLACK OFF MORE THAN 3 KLBS	</t>
        </is>
      </c>
      <c r="L56" s="1925" t="n"/>
      <c r="M56" s="1950" t="n"/>
    </row>
    <row r="57" ht="9.75" customFormat="1" customHeight="1" s="1921">
      <c r="A57" s="1948" t="n"/>
      <c r="B57" s="1925" t="n"/>
      <c r="L57" s="1925" t="n"/>
      <c r="M57" s="1950" t="n"/>
    </row>
    <row r="58" ht="15" customFormat="1" customHeight="1" s="1921">
      <c r="A58" s="1922" t="inlineStr">
        <is>
          <t>12)</t>
        </is>
      </c>
      <c r="B58" s="1923" t="n"/>
      <c r="C58" s="1924" t="inlineStr">
        <is>
          <t>M/U TBG JT</t>
        </is>
      </c>
      <c r="D58" s="1936" t="n">
        <v>208</v>
      </c>
      <c r="E58" s="1924" t="n"/>
      <c r="F58" s="1925" t="n"/>
      <c r="G58" s="1937" t="inlineStr">
        <is>
          <t>235</t>
        </is>
      </c>
      <c r="H58" s="1938">
        <f>G58-D58+1</f>
        <v/>
      </c>
      <c r="I58" s="1939" t="inlineStr">
        <is>
          <t>3-1/2" TUBING 9.2 LB/FT ALLOY 28 TSH BL</t>
        </is>
      </c>
      <c r="L58" s="1925" t="n"/>
      <c r="M58" s="1926" t="n"/>
    </row>
    <row r="59" ht="15" customFormat="1" customHeight="1" s="1957">
      <c r="A59" s="1958" t="n"/>
      <c r="B59" s="1959" t="n"/>
      <c r="C59" s="1960" t="inlineStr">
        <is>
          <t>● ALWAYS COVER THE HOLE TO AVOID DROP OBJECT</t>
        </is>
      </c>
      <c r="L59" s="1961" t="n"/>
    </row>
    <row r="60" ht="35.25" customFormat="1" customHeight="1" s="1921">
      <c r="A60" s="1922" t="inlineStr">
        <is>
          <t>13)</t>
        </is>
      </c>
      <c r="B60" s="1923" t="n"/>
      <c r="C60" s="1924" t="inlineStr">
        <is>
          <t>P/U ASSY</t>
        </is>
      </c>
      <c r="D60" s="1962" t="inlineStr">
        <is>
          <t>D3</t>
        </is>
      </c>
      <c r="E60" s="1924" t="inlineStr">
        <is>
          <t xml:space="preserve"> &amp; RIH</t>
        </is>
      </c>
      <c r="F60" s="1974" t="inlineStr">
        <is>
          <t xml:space="preserve">WEATHERFORD SIDE POCKET MANDREL GROOVED Mandrel, SBRO-2NGRDUMMY                                 </t>
        </is>
      </c>
      <c r="M60" s="1950" t="n"/>
    </row>
    <row r="61" ht="17.25" customFormat="1" customHeight="1" s="1964">
      <c r="A61" s="1965" t="n"/>
      <c r="B61" s="1966" t="n"/>
      <c r="C61" s="1960" t="n"/>
      <c r="D61" s="1960" t="n"/>
      <c r="E61" s="1960" t="n"/>
      <c r="F61" s="1960" t="n"/>
      <c r="G61" s="1960" t="n"/>
      <c r="H61" s="1960" t="n"/>
      <c r="I61" s="1960" t="n"/>
      <c r="J61" s="1960" t="n"/>
      <c r="K61" s="1960" t="n"/>
      <c r="L61" s="1968" t="n"/>
    </row>
    <row r="62" ht="15" customFormat="1" customHeight="1" s="1969">
      <c r="A62" s="1970" t="inlineStr">
        <is>
          <t>14)</t>
        </is>
      </c>
      <c r="B62" s="1971" t="n"/>
      <c r="C62" s="1972" t="inlineStr">
        <is>
          <t>M/U TBG JT</t>
        </is>
      </c>
      <c r="D62" s="1973" t="n">
        <v>236</v>
      </c>
      <c r="E62" s="1972" t="inlineStr">
        <is>
          <t xml:space="preserve"> &amp;  RIH TILL TBG JT</t>
        </is>
      </c>
      <c r="F62" s="1953" t="n"/>
      <c r="G62" s="1973" t="n">
        <v>284</v>
      </c>
      <c r="H62" s="1938">
        <f>G62-D62+1</f>
        <v/>
      </c>
      <c r="I62" s="1939" t="inlineStr">
        <is>
          <t>3-1/2" TUBING 9.2 LB/FT ALLOY 28 TSH BL</t>
        </is>
      </c>
      <c r="L62" s="1972" t="n"/>
    </row>
    <row r="63" ht="17.25" customFormat="1" customHeight="1" s="1964">
      <c r="A63" s="1965" t="n"/>
      <c r="B63" s="1966" t="n"/>
      <c r="C63" s="1960" t="n"/>
      <c r="D63" s="1960" t="n"/>
      <c r="E63" s="1960" t="n"/>
      <c r="F63" s="1960" t="n"/>
      <c r="G63" s="1960" t="n"/>
      <c r="H63" s="1960" t="n"/>
      <c r="I63" s="1960" t="n"/>
      <c r="J63" s="1960" t="n"/>
      <c r="K63" s="1960" t="n"/>
      <c r="L63" s="1968" t="n"/>
    </row>
    <row r="64" ht="46.5" customFormat="1" customHeight="1" s="1921">
      <c r="A64" s="1922" t="inlineStr">
        <is>
          <t>15)</t>
        </is>
      </c>
      <c r="B64" s="1923" t="n"/>
      <c r="C64" s="1924" t="inlineStr">
        <is>
          <t>P/U ASSY</t>
        </is>
      </c>
      <c r="D64" s="1962" t="inlineStr">
        <is>
          <t>D4</t>
        </is>
      </c>
      <c r="E64" s="1924" t="inlineStr">
        <is>
          <t xml:space="preserve"> &amp; RIH</t>
        </is>
      </c>
      <c r="F64" s="1974" t="inlineStr">
        <is>
          <t>WEATHERFORD SIDE POCKET MANDREL Mandrel, SBRO-2JGRDVX 3.5 9.2# Vam Top BxP S13CR95 QP-277DUMMY SN 12796498-02</t>
        </is>
      </c>
      <c r="M64" s="1950" t="n"/>
    </row>
    <row r="65" ht="17.25" customFormat="1" customHeight="1" s="1964">
      <c r="A65" s="1965" t="n"/>
      <c r="B65" s="1966" t="n"/>
      <c r="C65" s="1960" t="n"/>
      <c r="D65" s="1960" t="n"/>
      <c r="E65" s="1960" t="n"/>
      <c r="F65" s="1960" t="n"/>
      <c r="G65" s="1960" t="n"/>
      <c r="H65" s="1960" t="n"/>
      <c r="I65" s="1960" t="n"/>
      <c r="J65" s="1960" t="n"/>
      <c r="K65" s="1960" t="n"/>
      <c r="L65" s="1968" t="n"/>
    </row>
    <row r="66" ht="15" customFormat="1" customHeight="1" s="1969">
      <c r="A66" s="1970" t="inlineStr">
        <is>
          <t>16)</t>
        </is>
      </c>
      <c r="B66" s="1971" t="n"/>
      <c r="C66" s="1972" t="inlineStr">
        <is>
          <t>M/U TBG JT</t>
        </is>
      </c>
      <c r="D66" s="1973" t="n">
        <v>285</v>
      </c>
      <c r="E66" s="1972" t="inlineStr">
        <is>
          <t xml:space="preserve"> &amp;  RIH TILL TBG JT</t>
        </is>
      </c>
      <c r="F66" s="1953" t="n"/>
      <c r="G66" s="1973" t="n">
        <v>359</v>
      </c>
      <c r="H66" s="1938">
        <f>G66-D66+1</f>
        <v/>
      </c>
      <c r="I66" s="1939" t="inlineStr">
        <is>
          <t>3-1/2" TUBING 9.2 LB/FT ALLOY 28 TSH BL</t>
        </is>
      </c>
      <c r="L66" s="1972" t="n"/>
    </row>
    <row r="67" ht="17.25" customFormat="1" customHeight="1" s="1964">
      <c r="A67" s="1965" t="n"/>
      <c r="B67" s="1966" t="n"/>
      <c r="C67" s="1960" t="n"/>
      <c r="D67" s="1960" t="n"/>
      <c r="E67" s="1960" t="n"/>
      <c r="F67" s="1960" t="n"/>
      <c r="G67" s="1960" t="n"/>
      <c r="H67" s="1960" t="n"/>
      <c r="I67" s="1960" t="n"/>
      <c r="J67" s="1960" t="n"/>
      <c r="K67" s="1960" t="n"/>
      <c r="L67" s="1968" t="n"/>
    </row>
    <row r="68" ht="65.25" customFormat="1" customHeight="1" s="1921">
      <c r="A68" s="1922" t="inlineStr">
        <is>
          <t>17)</t>
        </is>
      </c>
      <c r="B68" s="1923" t="n"/>
      <c r="C68" s="1924" t="inlineStr">
        <is>
          <t>P/U ASSY</t>
        </is>
      </c>
      <c r="D68" s="1962" t="inlineStr">
        <is>
          <t>F</t>
        </is>
      </c>
      <c r="E68" s="1924" t="inlineStr">
        <is>
          <t xml:space="preserve"> &amp; RIH</t>
        </is>
      </c>
      <c r="F68" s="1963" t="inlineStr">
        <is>
          <t xml:space="preserve">
DESCRIPTION : WEATHERFORD ASSY,TRSV,3.5WZPE-10 2.813WOR,2KSD,9.2H VAM TOP,WN302
PN: 2980845
S/N: 12777594-01
SAP: 130010038007
SUPPLIER: WEATHERFORD
</t>
        </is>
      </c>
      <c r="M68" s="1950" t="n"/>
    </row>
    <row r="69" ht="17.25" customFormat="1" customHeight="1" s="1964">
      <c r="A69" s="1965" t="n"/>
      <c r="B69" s="1966" t="n"/>
      <c r="C69" s="1960" t="n"/>
      <c r="D69" s="1960" t="n"/>
      <c r="E69" s="1960" t="n"/>
      <c r="F69" s="1960" t="n"/>
      <c r="G69" s="1960" t="n"/>
      <c r="H69" s="1960" t="n"/>
      <c r="I69" s="1960" t="n"/>
      <c r="J69" s="1960" t="n"/>
      <c r="K69" s="1960" t="n"/>
      <c r="L69" s="1968" t="n"/>
    </row>
    <row r="70" ht="15" customFormat="1" customHeight="1" s="1969">
      <c r="A70" s="1970" t="inlineStr">
        <is>
          <t>18)</t>
        </is>
      </c>
      <c r="B70" s="1971" t="n"/>
      <c r="C70" s="1972" t="inlineStr">
        <is>
          <t xml:space="preserve">M/U TBG </t>
        </is>
      </c>
      <c r="D70" s="1973" t="n">
        <v>360</v>
      </c>
      <c r="E70" s="1972" t="inlineStr">
        <is>
          <t xml:space="preserve"> &amp;  RIH TILL TBG JT</t>
        </is>
      </c>
      <c r="F70" s="1953" t="n"/>
      <c r="G70" s="1973" t="n">
        <v>364</v>
      </c>
      <c r="H70" s="1938">
        <f>G70-D70+1</f>
        <v/>
      </c>
      <c r="I70" s="1939" t="inlineStr">
        <is>
          <t>3-1/2" TUBING 9.2 LB/FT ALLOY 28 TSH BL</t>
        </is>
      </c>
      <c r="L70" s="1972" t="n"/>
    </row>
    <row r="71" ht="35.25" customFormat="1" customHeight="1" s="1969">
      <c r="A71" s="1970" t="n">
        <v>19</v>
      </c>
      <c r="B71" s="1971" t="n"/>
      <c r="C71" s="1972" t="inlineStr">
        <is>
          <t xml:space="preserve">CHANGE ELEVATORS FRO, 3-1/2"  TO 4-1/2" </t>
        </is>
      </c>
      <c r="D71" s="1975" t="n"/>
      <c r="E71" s="1972" t="n"/>
      <c r="F71" s="1953" t="n"/>
      <c r="G71" s="1975" t="n"/>
      <c r="H71" s="1976" t="n"/>
      <c r="I71" s="1977" t="n"/>
      <c r="J71" s="1977" t="n"/>
      <c r="K71" s="1977" t="n"/>
      <c r="L71" s="1977" t="n"/>
    </row>
    <row r="72" ht="17.25" customFormat="1" customHeight="1" s="1964">
      <c r="A72" s="1965" t="n"/>
      <c r="B72" s="1966" t="n"/>
      <c r="C72" s="1960" t="n"/>
      <c r="D72" s="1960" t="n"/>
      <c r="E72" s="1960" t="n"/>
      <c r="F72" s="1960" t="n"/>
      <c r="G72" s="1960" t="n"/>
      <c r="H72" s="1960" t="n"/>
      <c r="I72" s="1960" t="n"/>
      <c r="J72" s="1960" t="n"/>
      <c r="K72" s="1960" t="n"/>
      <c r="L72" s="1968" t="n"/>
    </row>
    <row r="73" ht="17.25" customFormat="1" customHeight="1" s="1964">
      <c r="A73" s="1965" t="n"/>
      <c r="B73" s="1966" t="n"/>
      <c r="C73" s="1960" t="n"/>
      <c r="D73" s="1960" t="n"/>
      <c r="E73" s="1960" t="n"/>
      <c r="F73" s="1960" t="n"/>
      <c r="G73" s="1960" t="n"/>
      <c r="H73" s="1960" t="n"/>
      <c r="I73" s="1960" t="n"/>
      <c r="J73" s="1960" t="n"/>
      <c r="K73" s="1960" t="n"/>
      <c r="L73" s="1968" t="n"/>
    </row>
    <row r="74" ht="15.75" customFormat="1" customHeight="1" s="1969">
      <c r="A74" s="1978" t="n">
        <v>20</v>
      </c>
      <c r="B74" s="1972" t="n"/>
      <c r="C74" s="1972" t="inlineStr">
        <is>
          <t>P/U ASSY</t>
        </is>
      </c>
      <c r="D74" s="1979" t="inlineStr">
        <is>
          <t>G</t>
        </is>
      </c>
      <c r="E74" s="1972" t="n"/>
      <c r="F74" s="1979" t="inlineStr">
        <is>
          <t>4-1/2''  TUBING HANGER</t>
        </is>
      </c>
      <c r="G74" s="1171" t="n"/>
      <c r="H74" s="1171" t="n"/>
      <c r="I74" s="1171" t="n"/>
      <c r="J74" s="1171" t="n"/>
      <c r="K74" s="1168" t="n"/>
      <c r="L74" s="1972" t="n"/>
    </row>
    <row r="75" ht="111" customFormat="1" customHeight="1" s="1210">
      <c r="A75" s="1980" t="n"/>
      <c r="B75" s="1981" t="n"/>
      <c r="C75" s="1982" t="inlineStr">
        <is>
          <t xml:space="preserve">COMPLETION TESTING </t>
        </is>
      </c>
    </row>
    <row r="76" ht="28.5" customFormat="1" customHeight="1" s="1210">
      <c r="A76" s="1983" t="n">
        <v>21</v>
      </c>
      <c r="B76" s="1984" t="n"/>
      <c r="C76" s="1985" t="inlineStr">
        <is>
          <t>P/U &amp; M/U tubing hanger and Feedthru control line into same (do not wrap control line). Test control line to 7,500
psi for 10 minutes. Extend control line to surface and kept 7500 psi on C/L.</t>
        </is>
      </c>
      <c r="L76" s="1984" t="n"/>
    </row>
    <row r="77" ht="15" customFormat="1" customHeight="1" s="1986">
      <c r="A77" s="1987" t="n"/>
      <c r="B77" s="1988" t="n"/>
      <c r="C77" s="1989" t="inlineStr">
        <is>
          <t>● CLEAN OUT TUBING HEAD SPOOL FROM ANY DEBRIS AND ENSURE THE LOCK DOWN SCREW IN THE TUBING</t>
        </is>
      </c>
      <c r="D77" s="1989" t="n"/>
      <c r="E77" s="1989" t="n"/>
      <c r="F77" s="1989" t="n"/>
      <c r="G77" s="1989" t="n"/>
      <c r="H77" s="1989" t="n"/>
      <c r="I77" s="1989" t="n"/>
      <c r="J77" s="1989" t="n"/>
      <c r="K77" s="1989" t="n"/>
      <c r="L77" s="1988" t="n"/>
    </row>
    <row r="78" ht="15" customFormat="1" customHeight="1" s="1990">
      <c r="A78" s="1991" t="n"/>
      <c r="B78" s="1992" t="n"/>
      <c r="C78" s="1993" t="inlineStr">
        <is>
          <t>● WELLHEAD ENGR TO ENSURE THE LOCKDOWN SCREWS RETRACTED BEFORE LANDING TUBING HANGER.</t>
        </is>
      </c>
      <c r="D78" s="1993" t="n"/>
      <c r="E78" s="1993" t="n"/>
      <c r="F78" s="1993" t="n"/>
      <c r="G78" s="1993" t="n"/>
      <c r="H78" s="1993" t="n"/>
      <c r="I78" s="1993" t="n"/>
      <c r="J78" s="1993" t="n"/>
      <c r="K78" s="1993" t="n"/>
      <c r="L78" s="1992" t="n"/>
    </row>
    <row r="79" ht="15" customFormat="1" customHeight="1" s="1990">
      <c r="A79" s="1994" t="n"/>
      <c r="B79" s="1992" t="n"/>
      <c r="C79" s="1993" t="inlineStr">
        <is>
          <t>● WELLHEAD ENGR TO MARK THE TBG HGR TO VISIBLY CHECK FOR PROPER LANDING THROUGH SOV</t>
        </is>
      </c>
      <c r="D79" s="1993" t="n"/>
      <c r="E79" s="1993" t="n"/>
      <c r="F79" s="1993" t="n"/>
      <c r="G79" s="1993" t="n"/>
      <c r="H79" s="1993" t="n"/>
      <c r="I79" s="1993" t="n"/>
      <c r="J79" s="1993" t="n"/>
      <c r="K79" s="1993" t="n"/>
      <c r="L79" s="1992" t="n"/>
    </row>
    <row r="80" ht="15" customFormat="1" customHeight="1" s="1990">
      <c r="A80" s="1983" t="n"/>
      <c r="B80" s="1992" t="n"/>
      <c r="C80" s="1993" t="inlineStr">
        <is>
          <t xml:space="preserve">●RECORD P/U AND S/O WEIGHT. </t>
        </is>
      </c>
      <c r="D80" s="1993" t="n"/>
      <c r="E80" s="1993" t="n"/>
      <c r="F80" s="1993" t="n"/>
      <c r="G80" s="1993" t="n"/>
      <c r="H80" s="1993" t="n"/>
      <c r="I80" s="1993" t="n"/>
      <c r="J80" s="1993" t="n"/>
      <c r="K80" s="1993" t="n"/>
      <c r="L80" s="1995" t="n"/>
    </row>
    <row r="81" ht="15" customHeight="1" s="1158">
      <c r="A81" s="1983" t="n">
        <v>22</v>
      </c>
      <c r="B81" s="1996" t="n"/>
      <c r="C81" s="1997" t="inlineStr">
        <is>
          <t>R/U INJECTION MANIFOLD AND TESTED TO 5000 PSI FOR 10 MINS IN SOLID HOLDING PRESSURE.</t>
        </is>
      </c>
      <c r="D81" s="1997" t="n"/>
      <c r="E81" s="1997" t="n"/>
      <c r="F81" s="1997" t="n"/>
      <c r="G81" s="1997" t="n"/>
      <c r="H81" s="1997" t="n"/>
      <c r="I81" s="1997" t="n"/>
      <c r="J81" s="1997" t="n"/>
      <c r="K81" s="1997" t="n"/>
      <c r="L81" s="1996" t="n"/>
    </row>
    <row r="82" ht="62.25" customHeight="1" s="1158">
      <c r="A82" s="1983" t="n">
        <v>23</v>
      </c>
      <c r="B82" s="1996" t="n"/>
      <c r="C82" s="1985"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1158">
      <c r="A83" s="1983" t="n">
        <v>24</v>
      </c>
      <c r="B83" s="1996" t="n"/>
      <c r="C83" s="1996" t="inlineStr">
        <is>
          <t>KEEP 4000 PSI ON THE TUBING, BLEED CONTROL LINE PRESSURE TO 0 PSI TO CLOSE THE TRSV</t>
        </is>
      </c>
      <c r="D83" s="1996" t="n"/>
      <c r="E83" s="1996" t="n"/>
      <c r="F83" s="1996" t="n"/>
      <c r="G83" s="1996" t="n"/>
      <c r="H83" s="1996" t="n"/>
      <c r="I83" s="1996" t="n"/>
      <c r="J83" s="1996" t="n"/>
      <c r="K83" s="1996" t="n"/>
      <c r="L83" s="1997" t="n"/>
    </row>
    <row r="84" ht="15" customHeight="1" s="1158">
      <c r="A84" s="1983" t="n">
        <v>25</v>
      </c>
      <c r="B84" s="1996" t="n"/>
      <c r="C84" s="1996" t="inlineStr">
        <is>
          <t>BLEED TUBING ABOVE SV TO 3500 PSI AS QUICKLY AS PRACTICAL AND MEASURE RETURNS AND MONITOR FOR 15 MINUTES.</t>
        </is>
      </c>
      <c r="D84" s="1996" t="n"/>
      <c r="E84" s="1996" t="n"/>
      <c r="F84" s="1996" t="n"/>
      <c r="G84" s="1996" t="n"/>
      <c r="H84" s="1996" t="n"/>
      <c r="I84" s="1996" t="n"/>
      <c r="J84" s="1996" t="n"/>
      <c r="K84" s="1996" t="n"/>
      <c r="L84" s="1997" t="n"/>
    </row>
    <row r="85" ht="15" customHeight="1" s="1158">
      <c r="A85" s="1983" t="n">
        <v>26</v>
      </c>
      <c r="B85" s="1996" t="n"/>
      <c r="C85" s="1996" t="inlineStr">
        <is>
          <t>BLEED TUBING ABOVE SV TO 800  PSI AS QUICKLY AS PRACTICAL AND MEASURE RETURNS AND MONITOR FOR 15 MINUTES.</t>
        </is>
      </c>
      <c r="D85" s="1996" t="n"/>
      <c r="E85" s="1996" t="n"/>
      <c r="F85" s="1996" t="n"/>
      <c r="G85" s="1996" t="n"/>
      <c r="H85" s="1996" t="n"/>
      <c r="I85" s="1996" t="n"/>
      <c r="J85" s="1996" t="n"/>
      <c r="K85" s="1996" t="n"/>
      <c r="L85" s="1997" t="n"/>
    </row>
    <row r="86" ht="15" customHeight="1" s="1158">
      <c r="A86" s="1983" t="n">
        <v>27</v>
      </c>
      <c r="B86" s="1996" t="n"/>
      <c r="C86" s="1996" t="inlineStr">
        <is>
          <t>INCREASE TUBING PRESSURE BACK TO 4000 PSI TO EQUALIZE ACROSS THE TRSV . INCREASE CL PRESSURETO 7500 PSI TO OPEN TRSV</t>
        </is>
      </c>
      <c r="D86" s="1996" t="n"/>
      <c r="E86" s="1996" t="n"/>
      <c r="F86" s="1996" t="n"/>
      <c r="G86" s="1996" t="n"/>
      <c r="H86" s="1996" t="n"/>
      <c r="I86" s="1996" t="n"/>
      <c r="J86" s="1996" t="n"/>
      <c r="K86" s="1996" t="n"/>
      <c r="L86" s="1997" t="n"/>
    </row>
    <row r="87" ht="15" customHeight="1" s="1158">
      <c r="A87" s="1983" t="n">
        <v>28</v>
      </c>
      <c r="B87" s="1996" t="n"/>
      <c r="C87" s="1998" t="inlineStr">
        <is>
          <t>BLEED TUBING PRESSURE DOWN TO 0 PSI. CHECK RETURNS TO ENSURE VALVE IS OPEN. RECORD VOLUME.</t>
        </is>
      </c>
      <c r="D87" s="1996" t="n"/>
      <c r="E87" s="1996" t="n"/>
      <c r="F87" s="1996" t="n"/>
      <c r="G87" s="1996" t="n"/>
      <c r="H87" s="1996" t="n"/>
      <c r="I87" s="1996" t="n"/>
      <c r="J87" s="1996" t="n"/>
      <c r="K87" s="1996" t="n"/>
      <c r="L87" s="1997" t="n"/>
    </row>
    <row r="88" ht="15" customHeight="1" s="1158">
      <c r="A88" s="1983" t="n">
        <v>29</v>
      </c>
      <c r="B88" s="1996" t="n"/>
      <c r="C88" s="1996" t="inlineStr">
        <is>
          <t>REFER TO SERVICE PROVIDER PROCEDURE FOR ANY DEVIATION FROM THE PROGRAM</t>
        </is>
      </c>
      <c r="D88" s="1996" t="n"/>
      <c r="E88" s="1996" t="n"/>
      <c r="F88" s="1996" t="n"/>
      <c r="G88" s="1996" t="n"/>
      <c r="H88" s="1996" t="n"/>
      <c r="I88" s="1996" t="n"/>
      <c r="J88" s="1996" t="n"/>
      <c r="K88" s="1996" t="n"/>
      <c r="L88" s="1997" t="n"/>
    </row>
    <row r="89" ht="15" customHeight="1" s="1158">
      <c r="A89" s="1983" t="n"/>
      <c r="B89" s="1996" t="n"/>
      <c r="C89" s="1997" t="inlineStr">
        <is>
          <t>● REVIEW AND VERIFY REMAINING CYCLES BASED ON TAG RECORD</t>
        </is>
      </c>
      <c r="D89" s="1997" t="n"/>
      <c r="E89" s="1997" t="n"/>
      <c r="F89" s="1997" t="n"/>
      <c r="G89" s="1997" t="n"/>
      <c r="H89" s="1997" t="n"/>
      <c r="I89" s="1997" t="n"/>
      <c r="J89" s="1997" t="n"/>
      <c r="K89" s="1997" t="n"/>
      <c r="L89" s="1997" t="n"/>
    </row>
    <row r="90" ht="15" customHeight="1" s="1158">
      <c r="A90" s="1983" t="n"/>
      <c r="B90" s="1996" t="n"/>
      <c r="C90" s="1997" t="inlineStr">
        <is>
          <t>● APPLY PRESSURE IN THE TUBING STRING 2500 PSI FOR 5 MINS. AND BLEED OFF AS QUICK AS POSSIBLE TO 0 PSI KEEP 10 MINS.</t>
        </is>
      </c>
      <c r="D90" s="1997" t="n"/>
      <c r="E90" s="1997" t="n"/>
      <c r="F90" s="1997" t="n"/>
      <c r="G90" s="1997" t="n"/>
      <c r="H90" s="1997" t="n"/>
      <c r="I90" s="1997" t="n"/>
      <c r="J90" s="1997" t="n"/>
      <c r="K90" s="1997" t="n"/>
      <c r="L90" s="1997" t="n"/>
    </row>
    <row r="91" ht="15" customHeight="1" s="1158">
      <c r="A91" s="1983" t="n"/>
      <c r="B91" s="1996" t="n"/>
      <c r="C91" s="1999" t="inlineStr">
        <is>
          <t>●CALL TOWN TO DECIDE EXTRA PRESSURE (4000 PSI) AND CYCLES. IF NOT SUCCESS - PROCEED TO RUPTURE WITH SLICK LINE CHISSEL.</t>
        </is>
      </c>
      <c r="D91" s="1997" t="n"/>
      <c r="E91" s="1997" t="n"/>
      <c r="F91" s="1997" t="n"/>
      <c r="G91" s="1997" t="n"/>
      <c r="H91" s="1997" t="n"/>
      <c r="I91" s="1997" t="n"/>
      <c r="J91" s="1997" t="n"/>
      <c r="K91" s="1997" t="n"/>
      <c r="L91" s="1997" t="n"/>
    </row>
    <row r="92" ht="15" customHeight="1" s="1158">
      <c r="A92" s="1983" t="n"/>
      <c r="B92" s="1996" t="n"/>
      <c r="C92" s="2000" t="inlineStr">
        <is>
          <t xml:space="preserve">NOTE: IF THE BARRIER DEVICE DOES NOT RUPTURE AS PER PROGRAMMED CYCLES, CALL OFFICE PRIOR DOING EXTRA CYCLES.  </t>
        </is>
      </c>
      <c r="D92" s="1997" t="n"/>
      <c r="E92" s="1997" t="n"/>
      <c r="F92" s="1997" t="n"/>
      <c r="G92" s="1997" t="n"/>
      <c r="H92" s="1997" t="n"/>
      <c r="I92" s="1997" t="n"/>
      <c r="J92" s="1997" t="n"/>
      <c r="K92" s="1997" t="n"/>
      <c r="L92" s="1997" t="n"/>
    </row>
    <row r="93" ht="15" customHeight="1" s="1158">
      <c r="A93" s="1983" t="n">
        <v>30</v>
      </c>
      <c r="B93" s="1996" t="n"/>
      <c r="C93" s="1992" t="inlineStr">
        <is>
          <t xml:space="preserve">TEST TUBING AGAINST OPEN HOLE TO 0.65 PSI/FT OR MAX 1000 PSI  OR 3 BPM W/CMT UNIT. </t>
        </is>
      </c>
      <c r="D93" s="1996" t="n"/>
      <c r="E93" s="1996" t="n"/>
      <c r="F93" s="1996" t="n"/>
      <c r="G93" s="1996" t="n"/>
      <c r="H93" s="1996" t="n"/>
      <c r="I93" s="1996" t="n"/>
      <c r="J93" s="1996" t="n"/>
      <c r="K93" s="1996" t="n"/>
      <c r="L93" s="1997" t="n"/>
    </row>
    <row r="94" ht="15" customFormat="1" customHeight="1" s="1990">
      <c r="A94" s="1983" t="n"/>
      <c r="B94" s="1992" t="n"/>
      <c r="C94" s="1993" t="inlineStr">
        <is>
          <t>● OPEN SOV (ANNULUS VALVE). ENSURE ANNULUS IS FULL AND OBSERVE ANNULUS FOR RETURNS.</t>
        </is>
      </c>
      <c r="D94" s="1993" t="n"/>
      <c r="E94" s="1993" t="n"/>
      <c r="F94" s="1993" t="n"/>
      <c r="G94" s="1993" t="n"/>
      <c r="H94" s="1993" t="n"/>
      <c r="I94" s="1993" t="n"/>
      <c r="J94" s="1993" t="n"/>
      <c r="K94" s="1993" t="n"/>
      <c r="L94" s="1993" t="n"/>
    </row>
    <row r="95" ht="15" customHeight="1" s="1158">
      <c r="A95" s="1983" t="n">
        <v>31</v>
      </c>
      <c r="B95" s="1996" t="n"/>
      <c r="C95" s="1993" t="inlineStr">
        <is>
          <t>PRESSURE TEST ANNULUS TO 3700 PSI/30MINS, OK W/CMT UNIT.</t>
        </is>
      </c>
      <c r="D95" s="1993" t="n"/>
      <c r="E95" s="1993" t="n"/>
      <c r="F95" s="1993" t="n"/>
      <c r="G95" s="1997" t="n"/>
      <c r="H95" s="1997" t="n"/>
      <c r="I95" s="1997" t="n"/>
      <c r="J95" s="1997" t="n"/>
      <c r="K95" s="1997" t="n"/>
      <c r="L95" s="1997" t="n"/>
    </row>
    <row r="96" ht="15" customFormat="1" customHeight="1" s="1990">
      <c r="A96" s="1983" t="n"/>
      <c r="B96" s="1992" t="n"/>
      <c r="C96" s="1993" t="inlineStr">
        <is>
          <t>● OBSERVE TBG STRING FOR RETURNS.</t>
        </is>
      </c>
      <c r="D96" s="1993" t="n"/>
      <c r="E96" s="1993" t="n"/>
      <c r="F96" s="1993" t="n"/>
      <c r="G96" s="1993" t="n"/>
      <c r="H96" s="1993" t="n"/>
      <c r="I96" s="1993" t="n"/>
      <c r="J96" s="1993" t="n"/>
      <c r="K96" s="1993" t="n"/>
      <c r="L96" s="1993" t="n"/>
    </row>
    <row r="97" ht="15" customHeight="1" s="1158">
      <c r="A97" s="1983" t="n">
        <v>32</v>
      </c>
      <c r="B97" s="1996" t="n"/>
      <c r="C97" s="1997" t="inlineStr">
        <is>
          <t xml:space="preserve"> BLEED OFF C/ LINE TO ZERO, BACK OUT AND L/D LANDING JT.  INSTALL NRV IN TBG HGR.</t>
        </is>
      </c>
      <c r="D97" s="1997" t="n"/>
      <c r="E97" s="1997" t="n"/>
      <c r="F97" s="1997" t="n"/>
      <c r="G97" s="1997" t="n"/>
      <c r="H97" s="1997" t="n"/>
      <c r="I97" s="1997" t="n"/>
      <c r="J97" s="1997" t="n"/>
      <c r="K97" s="1997" t="n"/>
      <c r="L97" s="1997" t="n"/>
    </row>
    <row r="98" ht="15" customFormat="1" customHeight="1" s="1990">
      <c r="A98" s="1983" t="n"/>
      <c r="B98" s="1992" t="n"/>
      <c r="C98" s="1993" t="inlineStr">
        <is>
          <t>● CHECK LANDING JT THREADS, CLEAN, DOPE &amp; INSTALL CLEAN PROTECTORS ON PIN &amp; BOX</t>
        </is>
      </c>
      <c r="D98" s="1993" t="n"/>
      <c r="E98" s="1993" t="n"/>
      <c r="F98" s="1993" t="n"/>
      <c r="G98" s="1993" t="n"/>
      <c r="H98" s="1993" t="n"/>
      <c r="I98" s="1993" t="n"/>
      <c r="J98" s="1993" t="n"/>
      <c r="K98" s="1993" t="n"/>
      <c r="L98" s="1993" t="n"/>
    </row>
    <row r="99" ht="15" customHeight="1" s="1158">
      <c r="A99" s="1983" t="n">
        <v>33</v>
      </c>
      <c r="B99" s="1996" t="n"/>
      <c r="C99" s="1997" t="inlineStr">
        <is>
          <t>N/D BOP'S AS PER WELLHEAD PROCEDURE.</t>
        </is>
      </c>
      <c r="D99" s="1997" t="n"/>
      <c r="E99" s="1997" t="n"/>
      <c r="F99" s="1997" t="n"/>
      <c r="G99" s="1997" t="n"/>
      <c r="H99" s="1997" t="n"/>
      <c r="I99" s="1997" t="n"/>
      <c r="J99" s="1997" t="n"/>
      <c r="K99" s="1997" t="n"/>
      <c r="L99" s="1996" t="n"/>
    </row>
    <row r="100" ht="15" customHeight="1" s="1158">
      <c r="A100" s="1983" t="n">
        <v>34</v>
      </c>
      <c r="B100" s="1996" t="n"/>
      <c r="C100" s="1997" t="inlineStr">
        <is>
          <t>N/U XMAS TREE &amp; TEST TBG HGR CAVITY AS PER PROCEDURE.</t>
        </is>
      </c>
      <c r="D100" s="1997" t="n"/>
      <c r="E100" s="1997" t="n"/>
      <c r="F100" s="1997" t="n"/>
      <c r="G100" s="1997" t="n"/>
      <c r="H100" s="1997" t="n"/>
      <c r="I100" s="1997" t="n"/>
      <c r="J100" s="1997" t="n"/>
      <c r="K100" s="1997" t="n"/>
      <c r="L100" s="1993" t="n"/>
    </row>
    <row r="101" ht="15" customHeight="1" s="1158">
      <c r="A101" s="1983" t="n"/>
      <c r="B101" s="1996" t="n"/>
      <c r="C101" s="2001" t="inlineStr">
        <is>
          <t xml:space="preserve">● TEST THE CONTROL LINE AGAINST THE SAFETY VALVE TO 5000PSI/15 MINS AND ENSURE THE INDICATIONS OF OPENING OF SAFETY VALVE (STROKES) ARE VERY CLEAR. </t>
        </is>
      </c>
      <c r="L101" s="1993" t="n"/>
    </row>
    <row r="102" ht="15" customHeight="1" s="1158">
      <c r="A102" s="1983" t="n"/>
      <c r="B102" s="1996" t="n"/>
      <c r="L102" s="1993" t="n"/>
    </row>
    <row r="103" ht="19.5" customHeight="1" s="1158">
      <c r="A103" s="1983" t="n"/>
      <c r="B103" s="1996" t="n"/>
      <c r="C103" s="2001" t="inlineStr">
        <is>
          <t>● INSTALLATION &amp; TESTING THE TUBING HANGER AND X-TREE WILL BE MADE AS PER WELLHEAD MANUFACTURER PROCEDURE AND THEIR SERVICE ENGINEER RECOMMENDATIONS</t>
        </is>
      </c>
      <c r="L103" s="1993" t="n"/>
    </row>
    <row r="104" ht="15" customHeight="1" s="1158">
      <c r="A104" s="1983" t="n"/>
      <c r="B104" s="1996" t="n"/>
      <c r="L104" s="1993" t="n"/>
    </row>
    <row r="105" ht="15" customHeight="1" s="1158">
      <c r="A105" s="1983" t="n"/>
      <c r="B105" s="1996" t="n"/>
      <c r="C105" s="1993" t="inlineStr">
        <is>
          <t xml:space="preserve">● WELLHEAD ENGINEER TO ENSURE THE CLEANING OF THE PORT DURING TREE INSTALLATION. </t>
        </is>
      </c>
      <c r="D105" s="1993" t="n"/>
      <c r="E105" s="1993" t="n"/>
      <c r="F105" s="1993" t="n"/>
      <c r="G105" s="1993" t="n"/>
      <c r="H105" s="1993" t="n"/>
      <c r="I105" s="1993" t="n"/>
      <c r="J105" s="1993" t="n"/>
      <c r="K105" s="1993" t="n"/>
      <c r="L105" s="2002" t="n"/>
    </row>
    <row r="106" ht="15" customHeight="1" s="1158">
      <c r="A106" s="1983" t="n"/>
      <c r="B106" s="2003" t="n"/>
      <c r="C106" s="2002" t="inlineStr">
        <is>
          <t xml:space="preserve">TEST ALL XMAS TREE COMPONENTS AS PER WELLHEAD ENGINEER PROCEDURE. </t>
        </is>
      </c>
      <c r="D106" s="2002" t="n"/>
      <c r="E106" s="2002" t="n"/>
      <c r="F106" s="2002" t="n"/>
      <c r="G106" s="2002" t="n"/>
      <c r="H106" s="2002" t="n"/>
      <c r="I106" s="2002" t="n"/>
      <c r="J106" s="2002" t="n"/>
      <c r="K106" s="2002" t="n"/>
      <c r="L106" s="2003" t="n"/>
    </row>
    <row r="107" ht="15" customFormat="1" customHeight="1" s="2004">
      <c r="A107" s="1983" t="n">
        <v>35</v>
      </c>
      <c r="B107" s="2005" t="n"/>
      <c r="C107" s="2005" t="inlineStr">
        <is>
          <t>REMOVE TEST PLUG AND INSTALL NRV</t>
        </is>
      </c>
      <c r="D107" s="2005" t="n"/>
      <c r="E107" s="2005" t="n"/>
      <c r="F107" s="2005" t="n"/>
      <c r="G107" s="2005" t="n"/>
      <c r="H107" s="2005" t="n"/>
      <c r="I107" s="2005" t="n"/>
      <c r="J107" s="2005" t="n"/>
      <c r="K107" s="2005" t="n"/>
      <c r="L107" s="2005" t="n"/>
    </row>
    <row r="108" ht="15" customFormat="1" customHeight="1" s="2004">
      <c r="A108" s="1983" t="n">
        <v>36</v>
      </c>
      <c r="B108" s="2005" t="n"/>
      <c r="C108" s="2005" t="inlineStr">
        <is>
          <t>SECURE WELL &amp; RELEASE RIG AS PER ADM</t>
        </is>
      </c>
      <c r="D108" s="2005" t="n"/>
      <c r="E108" s="2005" t="n"/>
      <c r="F108" s="2005" t="n"/>
      <c r="G108" s="2005" t="n"/>
      <c r="H108" s="2005" t="n"/>
      <c r="I108" s="2005" t="n"/>
      <c r="J108" s="2005" t="n"/>
      <c r="K108" s="2005" t="n"/>
      <c r="L108" s="2005" t="n"/>
    </row>
    <row r="109" ht="15" customHeight="1" s="1158">
      <c r="A109" s="2006" t="n"/>
      <c r="B109" s="2003" t="n"/>
      <c r="C109" s="2003" t="n"/>
      <c r="D109" s="2003" t="n"/>
      <c r="E109" s="2003" t="n"/>
      <c r="F109" s="2003" t="n"/>
      <c r="G109" s="2003" t="n"/>
      <c r="H109" s="2003" t="n"/>
      <c r="I109" s="2003" t="n"/>
      <c r="J109" s="2003" t="n"/>
      <c r="K109" s="2003" t="n"/>
      <c r="L109" s="2003" t="n"/>
    </row>
    <row r="110" ht="14.25" customHeight="1" s="1158">
      <c r="A110" s="2007" t="n"/>
      <c r="B110" s="2008" t="n"/>
      <c r="C110" s="2009" t="n"/>
      <c r="J110" s="2008" t="n"/>
      <c r="K110" s="2008" t="n"/>
    </row>
    <row r="111" ht="14.25" customHeight="1" s="1158">
      <c r="A111" s="2007" t="n"/>
      <c r="B111" s="2008" t="n"/>
      <c r="C111" s="2008" t="n"/>
      <c r="D111" s="2008" t="n"/>
      <c r="E111" s="2008" t="n"/>
      <c r="F111" s="2008" t="n"/>
      <c r="G111" s="2008" t="n"/>
      <c r="H111" s="2008" t="n"/>
      <c r="I111" s="2008" t="n"/>
      <c r="J111" s="2008" t="n"/>
      <c r="K111" s="2008" t="n"/>
    </row>
    <row r="112" ht="14.25" customHeight="1" s="1158">
      <c r="A112" s="2007" t="n"/>
      <c r="B112" s="2008" t="n"/>
      <c r="C112" s="2008" t="n"/>
      <c r="D112" s="2008" t="n"/>
      <c r="E112" s="2008" t="n"/>
      <c r="F112" s="2008" t="n"/>
      <c r="G112" s="2008" t="n"/>
      <c r="H112" s="2008" t="n"/>
      <c r="I112" s="2008" t="n"/>
      <c r="J112" s="2008" t="n"/>
      <c r="K112" s="2008" t="n"/>
    </row>
    <row r="117" ht="14.25" customHeight="1" s="1158">
      <c r="A117" s="2007" t="n"/>
      <c r="B117" s="2008" t="n"/>
      <c r="C117" s="2008" t="n"/>
      <c r="D117" s="2008" t="n"/>
      <c r="E117" s="2008" t="n"/>
      <c r="F117" s="2008" t="n"/>
      <c r="G117" s="2008" t="n"/>
      <c r="H117" s="2008" t="n"/>
      <c r="I117" s="2008" t="n"/>
      <c r="J117" s="2008" t="n"/>
      <c r="K117" s="2008"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41" colorId="64" zoomScale="100" zoomScaleNormal="100" zoomScalePageLayoutView="100" workbookViewId="0">
      <selection pane="topLeft" activeCell="A2" activeCellId="1" sqref="A11:S58 A2"/>
    </sheetView>
  </sheetViews>
  <sheetFormatPr baseColWidth="8" defaultColWidth="8.59765625" defaultRowHeight="14.25" customHeight="0" zeroHeight="0" outlineLevelRow="0"/>
  <cols>
    <col width="20" customWidth="1" style="1207" min="1" max="1"/>
    <col width="75" customWidth="1" style="1207" min="2" max="2"/>
    <col width="15" customWidth="1" style="1207" min="3" max="5"/>
    <col width="18" customWidth="1" style="1207" min="6" max="8"/>
    <col width="14" customWidth="1" style="1207" min="9" max="9"/>
  </cols>
  <sheetData>
    <row r="1" ht="14.25" customHeight="1" s="1158">
      <c r="A1" s="2010" t="inlineStr">
        <is>
          <t>Image Name</t>
        </is>
      </c>
      <c r="B1" s="2010" t="inlineStr">
        <is>
          <t>Description</t>
        </is>
      </c>
      <c r="C1" s="2010" t="inlineStr">
        <is>
          <t>Length</t>
        </is>
      </c>
      <c r="D1" s="2010" t="inlineStr">
        <is>
          <t>OD</t>
        </is>
      </c>
      <c r="E1" s="2010" t="inlineStr">
        <is>
          <t>ID</t>
        </is>
      </c>
      <c r="F1" s="2010" t="inlineStr">
        <is>
          <t>PN</t>
        </is>
      </c>
      <c r="G1" s="2010" t="inlineStr">
        <is>
          <t>SN</t>
        </is>
      </c>
      <c r="H1" s="2010" t="inlineStr">
        <is>
          <t>SAP</t>
        </is>
      </c>
      <c r="I1" s="2010" t="inlineStr">
        <is>
          <t>CAT ID</t>
        </is>
      </c>
    </row>
    <row r="2" ht="86.25" customHeight="1" s="1158">
      <c r="A2" s="2011" t="inlineStr">
        <is>
          <t>A</t>
        </is>
      </c>
      <c r="B2" s="2012" t="inlineStr">
        <is>
          <t>UPPER CONN. 3-1/2" VAM TOP 9.2#PPF BOX VM 28 110 KSI
DESCRIPTION: WIRELINE ENTRY GUIDE
SN: 16339547-10-008
PN 2996481
SAP: 130010036277
SUPPLIER: WEATHERFORD</t>
        </is>
      </c>
      <c r="C2" s="2013" t="n">
        <v>0.6</v>
      </c>
      <c r="D2" s="2014" t="n">
        <v>3.937</v>
      </c>
      <c r="E2" s="2014" t="n">
        <v>2.949</v>
      </c>
      <c r="F2" s="2015" t="inlineStr">
        <is>
          <t>2996481</t>
        </is>
      </c>
      <c r="G2" s="2015" t="inlineStr">
        <is>
          <t>16339547-10-008</t>
        </is>
      </c>
      <c r="H2" s="2015" t="inlineStr">
        <is>
          <t>130010036277</t>
        </is>
      </c>
      <c r="I2" s="2015" t="inlineStr">
        <is>
          <t>N/A</t>
        </is>
      </c>
    </row>
    <row r="3" ht="72" customHeight="1" s="1158">
      <c r="B3" s="2012" t="inlineStr">
        <is>
          <t>UPPER CONN. 3-1/2" TSH BLUE BOX 9.2 PPF SN 28 110 KSI
DESCRIPTION: 5 FEET XOVER
SAP: 130005011340
SUPPLIER: TENARIS
LOWER CONN. 3-1/2" VAM TOP PIN 9.2 PPF SN 28 110 KSI</t>
        </is>
      </c>
      <c r="C3" s="2013" t="n">
        <v>4.96</v>
      </c>
      <c r="D3" s="2014" t="n">
        <v>3.937</v>
      </c>
      <c r="E3" s="2014" t="n">
        <v>2.969</v>
      </c>
      <c r="F3" s="2015" t="inlineStr">
        <is>
          <t>N/A</t>
        </is>
      </c>
      <c r="G3" s="2015" t="inlineStr">
        <is>
          <t>N/A</t>
        </is>
      </c>
      <c r="H3" s="2015" t="inlineStr">
        <is>
          <t>130005011340</t>
        </is>
      </c>
      <c r="I3" s="2015" t="inlineStr">
        <is>
          <t>N/A</t>
        </is>
      </c>
    </row>
    <row r="4" ht="14.25" customHeight="1" s="1158">
      <c r="A4" s="1207" t="inlineStr">
        <is>
          <t>JT.#1</t>
        </is>
      </c>
      <c r="B4" s="1207" t="inlineStr">
        <is>
          <t>3 1/2" TSH</t>
        </is>
      </c>
      <c r="C4" s="1431" t="n">
        <v>31</v>
      </c>
    </row>
    <row r="5" ht="14.25" customHeight="1" s="1158">
      <c r="A5" s="1207" t="inlineStr">
        <is>
          <t>JT.#2</t>
        </is>
      </c>
      <c r="B5" s="1207" t="inlineStr">
        <is>
          <t>3 1/2" TSH</t>
        </is>
      </c>
      <c r="C5" s="1431" t="n">
        <v>31</v>
      </c>
    </row>
    <row r="6" ht="14.25" customHeight="1" s="1158">
      <c r="A6" s="1207" t="inlineStr">
        <is>
          <t>JT.#3</t>
        </is>
      </c>
      <c r="B6" s="1207" t="inlineStr">
        <is>
          <t>3 1/2" TSH</t>
        </is>
      </c>
      <c r="C6" s="1431" t="n">
        <v>31</v>
      </c>
    </row>
    <row r="7" ht="14.25" customHeight="1" s="1158">
      <c r="A7" s="1207" t="inlineStr">
        <is>
          <t>JT.#4</t>
        </is>
      </c>
      <c r="B7" s="1207" t="inlineStr">
        <is>
          <t>3 1/2" TSH</t>
        </is>
      </c>
      <c r="C7" s="1431" t="n">
        <v>31</v>
      </c>
    </row>
    <row r="8" ht="14.25" customHeight="1" s="1158">
      <c r="A8" s="1207" t="inlineStr">
        <is>
          <t>JT.#5</t>
        </is>
      </c>
      <c r="B8" s="1207" t="inlineStr">
        <is>
          <t>3 1/2" TSH</t>
        </is>
      </c>
      <c r="C8" s="1431" t="n">
        <v>31</v>
      </c>
    </row>
    <row r="9" ht="72" customHeight="1" s="1158">
      <c r="A9" s="2016" t="inlineStr">
        <is>
          <t>SP-01</t>
        </is>
      </c>
      <c r="B9" s="2017" t="inlineStr">
        <is>
          <t>UPPER CONN. 3-1/2" VAM TOP BOX 9.2 PPF SN 28 110 KSI
DESCRIPTION: 5 FEET XOVER
SAP: 130005011340
SUPPLIER: TENARIS
UPPER CONN. 3-1/2" TSH BLUE PIN 9.2 PPF SN 28 110 KSI</t>
        </is>
      </c>
      <c r="C9" s="2018" t="n">
        <v>5.18</v>
      </c>
      <c r="D9" s="2019" t="n">
        <v>3.908</v>
      </c>
      <c r="E9" s="2019" t="n">
        <v>2.959</v>
      </c>
      <c r="F9" s="2020" t="inlineStr">
        <is>
          <t>N/A</t>
        </is>
      </c>
      <c r="G9" s="2020" t="inlineStr">
        <is>
          <t>N/A</t>
        </is>
      </c>
      <c r="H9" s="2020" t="inlineStr">
        <is>
          <t>130005011340</t>
        </is>
      </c>
      <c r="I9" s="2020" t="inlineStr">
        <is>
          <t>N/A</t>
        </is>
      </c>
    </row>
    <row r="10" ht="129" customHeight="1" s="1158">
      <c r="B10" s="2017" t="inlineStr">
        <is>
          <t>UPPER CONN.
3-1/2 9.2 PPF, 110KSI VAM TOP BOX
DESCRIPTION:
PCKR, SWEL,6,3-1/2,A925, OIL
P/N: 2991712
S/N: RDT-UAE-1003629
SAP: 130010039426
SUPPLIER: WFD-REACTIVE
LOWER CONN.</t>
        </is>
      </c>
      <c r="C10" s="2018" t="n">
        <v>30.88</v>
      </c>
      <c r="D10" s="2019" t="n">
        <v>5.7</v>
      </c>
      <c r="E10" s="2019" t="n">
        <v>2.953</v>
      </c>
      <c r="F10" s="2020" t="inlineStr">
        <is>
          <t>2991712</t>
        </is>
      </c>
      <c r="G10" s="2020" t="inlineStr">
        <is>
          <t>RDT-UAE-1003629</t>
        </is>
      </c>
      <c r="H10" s="2020" t="inlineStr">
        <is>
          <t>130010039426</t>
        </is>
      </c>
      <c r="I10" s="2020" t="inlineStr">
        <is>
          <t>N/A</t>
        </is>
      </c>
    </row>
    <row r="11" ht="72" customHeight="1" s="1158">
      <c r="B11" s="2017" t="inlineStr">
        <is>
          <t>UPPER CONN . 3-1/2" TSH BLUE BOX 9.2 PPF SN 28 110 KSI
DESCRIPTION: 3 FEET XOVER
SAP: 130005011337
SUPPLIER: TENARIS
LOWER CONN. 3-1/2" VAM TOP PIN 9.2 PPF SN 28 110 KSI</t>
        </is>
      </c>
      <c r="C11" s="2018" t="n">
        <v>2.78</v>
      </c>
      <c r="D11" s="2019" t="n">
        <v>3.937</v>
      </c>
      <c r="E11" s="2019" t="n">
        <v>2.969</v>
      </c>
      <c r="F11" s="2020" t="inlineStr">
        <is>
          <t>N/A</t>
        </is>
      </c>
      <c r="G11" s="2020" t="inlineStr">
        <is>
          <t>N/A</t>
        </is>
      </c>
      <c r="H11" s="2020" t="inlineStr">
        <is>
          <t>130005011337</t>
        </is>
      </c>
      <c r="I11" s="2020" t="inlineStr">
        <is>
          <t>N/A</t>
        </is>
      </c>
    </row>
    <row r="12" ht="14.25" customHeight="1" s="1158">
      <c r="A12" s="1207" t="inlineStr">
        <is>
          <t>JT.#6</t>
        </is>
      </c>
      <c r="B12" s="1207" t="inlineStr">
        <is>
          <t>3 1/2" TSH</t>
        </is>
      </c>
      <c r="C12" s="1431" t="n">
        <v>31</v>
      </c>
    </row>
    <row r="13" ht="14.25" customHeight="1" s="1158">
      <c r="A13" s="1207" t="inlineStr">
        <is>
          <t>JT.#7</t>
        </is>
      </c>
      <c r="B13" s="1207" t="inlineStr">
        <is>
          <t>3 1/2" TSH</t>
        </is>
      </c>
      <c r="C13" s="1431" t="n">
        <v>31</v>
      </c>
    </row>
    <row r="14" ht="14.25" customHeight="1" s="1158">
      <c r="A14" s="1207" t="inlineStr">
        <is>
          <t>JT.#8</t>
        </is>
      </c>
      <c r="B14" s="1207" t="inlineStr">
        <is>
          <t>3 1/2" TSH</t>
        </is>
      </c>
      <c r="C14" s="1431" t="n">
        <v>31</v>
      </c>
    </row>
    <row r="15" ht="14.25" customHeight="1" s="1158">
      <c r="A15" s="1207" t="inlineStr">
        <is>
          <t>JT.#9</t>
        </is>
      </c>
      <c r="B15" s="1207" t="inlineStr">
        <is>
          <t>3 1/2" TSH</t>
        </is>
      </c>
      <c r="C15" s="1431" t="n">
        <v>31</v>
      </c>
    </row>
    <row r="16" ht="14.25" customHeight="1" s="1158">
      <c r="A16" s="1207" t="inlineStr">
        <is>
          <t>JT.#10</t>
        </is>
      </c>
      <c r="B16" s="1207" t="inlineStr">
        <is>
          <t>3 1/2" TSH</t>
        </is>
      </c>
      <c r="C16" s="1431" t="n">
        <v>31</v>
      </c>
    </row>
    <row r="17" ht="14.25" customHeight="1" s="1158">
      <c r="A17" s="1207" t="inlineStr">
        <is>
          <t>JT.#11</t>
        </is>
      </c>
      <c r="B17" s="1207" t="inlineStr">
        <is>
          <t>3 1/2" TSH</t>
        </is>
      </c>
      <c r="C17" s="1431" t="n">
        <v>31</v>
      </c>
    </row>
    <row r="18" ht="14.25" customHeight="1" s="1158">
      <c r="A18" s="1207" t="inlineStr">
        <is>
          <t>JT.#12</t>
        </is>
      </c>
      <c r="B18" s="1207" t="inlineStr">
        <is>
          <t>3 1/2" TSH</t>
        </is>
      </c>
      <c r="C18" s="1431" t="n">
        <v>31</v>
      </c>
    </row>
    <row r="19" ht="14.25" customHeight="1" s="1158">
      <c r="A19" s="1207" t="inlineStr">
        <is>
          <t>JT.#13</t>
        </is>
      </c>
      <c r="B19" s="1207" t="inlineStr">
        <is>
          <t>3 1/2" TSH</t>
        </is>
      </c>
      <c r="C19" s="1431" t="n">
        <v>31</v>
      </c>
    </row>
    <row r="20" ht="14.25" customHeight="1" s="1158">
      <c r="A20" s="1207" t="inlineStr">
        <is>
          <t>JT.#14</t>
        </is>
      </c>
      <c r="B20" s="1207" t="inlineStr">
        <is>
          <t>3 1/2" TSH</t>
        </is>
      </c>
      <c r="C20" s="1431" t="n">
        <v>31</v>
      </c>
    </row>
    <row r="21" ht="14.25" customHeight="1" s="1158">
      <c r="A21" s="1207" t="inlineStr">
        <is>
          <t>JT.#15</t>
        </is>
      </c>
      <c r="B21" s="1207" t="inlineStr">
        <is>
          <t>3 1/2" TSH</t>
        </is>
      </c>
      <c r="C21" s="1431" t="n">
        <v>31</v>
      </c>
    </row>
    <row r="22" ht="72" customHeight="1" s="1158">
      <c r="A22" s="2021" t="inlineStr">
        <is>
          <t>B</t>
        </is>
      </c>
      <c r="B22" s="2022" t="inlineStr">
        <is>
          <t>UPPER CONN. 3-1/2" VAM TOP BOX 9.2 PPF SN 28 110 KSI
DESCRIPTION: 5 FEET XOVER
SAP: 130005011340
SUPPLIER: TENARIS
LOWER CONN. 3-1/2" TSH BLUE PIN 9.2 PPF SN 28 110 KSI</t>
        </is>
      </c>
      <c r="C22" s="2023" t="n">
        <v>5.18</v>
      </c>
      <c r="D22" s="2024" t="n">
        <v>3.908</v>
      </c>
      <c r="E22" s="2024" t="n">
        <v>2.959</v>
      </c>
      <c r="F22" s="2025" t="inlineStr">
        <is>
          <t>N/A</t>
        </is>
      </c>
      <c r="G22" s="2025" t="inlineStr">
        <is>
          <t>N/A</t>
        </is>
      </c>
      <c r="H22" s="2025" t="inlineStr">
        <is>
          <t>130005011340</t>
        </is>
      </c>
      <c r="I22" s="2025" t="inlineStr">
        <is>
          <t>N/A</t>
        </is>
      </c>
    </row>
    <row r="23" ht="72" customHeight="1" s="1158">
      <c r="B23" s="2022" t="inlineStr">
        <is>
          <t>UPPER CONN. 3-1/2" SENTINEL PRIME BOX 9.2 PPF TX28-110 KSI
DESCRIPTION: 5 FEET XOVER
SAP: 130013006385
SUPPLIER: TBX
LOWER CONN. 3-1/2" VAM TOP PIN 9.2 PPF TX28- 110 KSI</t>
        </is>
      </c>
      <c r="C23" s="2023" t="n">
        <v>4.91</v>
      </c>
      <c r="D23" s="2024" t="n">
        <v>3.929</v>
      </c>
      <c r="E23" s="2024" t="n">
        <v>2.921</v>
      </c>
      <c r="F23" s="2025" t="inlineStr">
        <is>
          <t>N/A</t>
        </is>
      </c>
      <c r="G23" s="2025" t="inlineStr">
        <is>
          <t>N/A</t>
        </is>
      </c>
      <c r="H23" s="2025" t="inlineStr">
        <is>
          <t>130013006385</t>
        </is>
      </c>
      <c r="I23" s="2025" t="inlineStr">
        <is>
          <t>N/A</t>
        </is>
      </c>
    </row>
    <row r="24" ht="100.5" customHeight="1" s="1158">
      <c r="B24" s="2022" t="inlineStr">
        <is>
          <t>UPPER CONN. 3-1/2" SENTINEL PRIME 9.2#PPF INC 925 BOX
DESCRIPTION: NINE ENERGY MULTICYCLE BARRIER DEVICE
7 CYCLES REMAINING
P/N: 3207251
S/N: 100 086 877
SAP: 130010036003 SUPPLIER: NINE ENERGY
LOWER CONN- 3 1/2 9.2 SENTINEL PRIME 9.2 PPF INC 925 PIN</t>
        </is>
      </c>
      <c r="C24" s="2023" t="n">
        <v>5.22</v>
      </c>
      <c r="D24" s="2024" t="n">
        <v>4.8</v>
      </c>
      <c r="E24" s="2024" t="n">
        <v>2.91</v>
      </c>
      <c r="F24" s="2025" t="inlineStr">
        <is>
          <t>3207251</t>
        </is>
      </c>
      <c r="G24" s="2025" t="inlineStr">
        <is>
          <t>100 086 877</t>
        </is>
      </c>
      <c r="H24" s="2025" t="inlineStr">
        <is>
          <t>130010036003</t>
        </is>
      </c>
      <c r="I24" s="2025" t="inlineStr">
        <is>
          <t>N/A</t>
        </is>
      </c>
    </row>
    <row r="25" ht="72" customHeight="1" s="1158">
      <c r="B25" s="2022" t="inlineStr">
        <is>
          <t>UPPER CONN. 3-1/2" VAM TOP BOX 9.2 PPF TX28- 110 KSI
DESCRIPTION: 5 FEET XOVER
SAP: 130013006383
SUPPLIER: TBX
LOWER CONN -3-1/2" SENTINEL PRIME PIN 9.2 PPF TX28-110 KSI</t>
        </is>
      </c>
      <c r="C25" s="2023" t="n">
        <v>4.8</v>
      </c>
      <c r="D25" s="2024" t="n">
        <v>3.908</v>
      </c>
      <c r="E25" s="2024" t="n">
        <v>2.959</v>
      </c>
      <c r="F25" s="2025" t="inlineStr">
        <is>
          <t>N/A</t>
        </is>
      </c>
      <c r="G25" s="2025" t="inlineStr">
        <is>
          <t>N/A</t>
        </is>
      </c>
      <c r="H25" s="2025" t="inlineStr">
        <is>
          <t>130013006383</t>
        </is>
      </c>
      <c r="I25" s="2025" t="inlineStr">
        <is>
          <t>N/A</t>
        </is>
      </c>
    </row>
    <row r="26" ht="72" customHeight="1" s="1158">
      <c r="B26" s="2022" t="inlineStr">
        <is>
          <t>UPPER CONN. 3-1/2" TSH BLUE BOX 9.2 PPF SN 28 110 KSI
DESCRIPTION: 10 FEET XOVER
SAP: 130005011444
SUPPLIER: TENARIS
LOWER CONN. 3-1/2" VAM TOP PIN 9.2 PPF SN 28 110 KSI</t>
        </is>
      </c>
      <c r="C26" s="2023" t="n">
        <v>9.83</v>
      </c>
      <c r="D26" s="2024" t="n">
        <v>3.937</v>
      </c>
      <c r="E26" s="2024" t="n">
        <v>2.969</v>
      </c>
      <c r="F26" s="2025" t="inlineStr">
        <is>
          <t>N/A</t>
        </is>
      </c>
      <c r="G26" s="2025" t="inlineStr">
        <is>
          <t>N/A</t>
        </is>
      </c>
      <c r="H26" s="2025" t="inlineStr">
        <is>
          <t>130005011444</t>
        </is>
      </c>
      <c r="I26" s="2025" t="inlineStr">
        <is>
          <t>N/A</t>
        </is>
      </c>
    </row>
    <row r="27" ht="14.25" customHeight="1" s="1158">
      <c r="A27" s="1207" t="inlineStr">
        <is>
          <t>JT.#16</t>
        </is>
      </c>
      <c r="B27" s="1207" t="inlineStr">
        <is>
          <t>3 1/2" TSH</t>
        </is>
      </c>
      <c r="C27" s="1431" t="n">
        <v>31</v>
      </c>
    </row>
    <row r="28" ht="14.25" customHeight="1" s="1158">
      <c r="A28" s="1207" t="inlineStr">
        <is>
          <t>JT.#17</t>
        </is>
      </c>
      <c r="B28" s="1207" t="inlineStr">
        <is>
          <t>3 1/2" TSH</t>
        </is>
      </c>
      <c r="C28" s="1431" t="n">
        <v>31</v>
      </c>
    </row>
    <row r="29" ht="14.25" customHeight="1" s="1158">
      <c r="A29" s="1207" t="inlineStr">
        <is>
          <t>JT.#18</t>
        </is>
      </c>
      <c r="B29" s="1207" t="inlineStr">
        <is>
          <t>3 1/2" TSH</t>
        </is>
      </c>
      <c r="C29" s="1431" t="n">
        <v>31</v>
      </c>
    </row>
    <row r="30" ht="14.25" customHeight="1" s="1158">
      <c r="A30" s="1207" t="inlineStr">
        <is>
          <t>JT.#19</t>
        </is>
      </c>
      <c r="B30" s="1207" t="inlineStr">
        <is>
          <t>3 1/2" TSH</t>
        </is>
      </c>
      <c r="C30" s="1431" t="n">
        <v>31</v>
      </c>
    </row>
    <row r="31" ht="14.25" customHeight="1" s="1158">
      <c r="A31" s="1207" t="inlineStr">
        <is>
          <t>JT.#20</t>
        </is>
      </c>
      <c r="B31" s="1207" t="inlineStr">
        <is>
          <t>3 1/2" TSH</t>
        </is>
      </c>
      <c r="C31" s="1431" t="n">
        <v>31</v>
      </c>
    </row>
    <row r="32" ht="14.25" customHeight="1" s="1158">
      <c r="A32" s="1207" t="inlineStr">
        <is>
          <t>JT.#21</t>
        </is>
      </c>
      <c r="B32" s="1207" t="inlineStr">
        <is>
          <t>3 1/2" TSH</t>
        </is>
      </c>
      <c r="C32" s="1431" t="n">
        <v>31</v>
      </c>
    </row>
    <row r="33" ht="14.25" customHeight="1" s="1158">
      <c r="A33" s="1207" t="inlineStr">
        <is>
          <t>JT.#22</t>
        </is>
      </c>
      <c r="B33" s="1207" t="inlineStr">
        <is>
          <t>3 1/2" TSH</t>
        </is>
      </c>
      <c r="C33" s="1431" t="n">
        <v>31</v>
      </c>
    </row>
    <row r="34" ht="14.25" customHeight="1" s="1158">
      <c r="A34" s="1207" t="inlineStr">
        <is>
          <t>JT.#23</t>
        </is>
      </c>
      <c r="B34" s="1207" t="inlineStr">
        <is>
          <t>3 1/2" TSH</t>
        </is>
      </c>
      <c r="C34" s="1431" t="n">
        <v>31</v>
      </c>
    </row>
    <row r="35" ht="14.25" customHeight="1" s="1158">
      <c r="A35" s="1207" t="inlineStr">
        <is>
          <t>JT.#24</t>
        </is>
      </c>
      <c r="B35" s="1207" t="inlineStr">
        <is>
          <t>3 1/2" TSH</t>
        </is>
      </c>
      <c r="C35" s="1431" t="n">
        <v>31</v>
      </c>
    </row>
    <row r="36" ht="14.25" customHeight="1" s="1158">
      <c r="A36" s="1207" t="inlineStr">
        <is>
          <t>JT.#25</t>
        </is>
      </c>
      <c r="B36" s="1207" t="inlineStr">
        <is>
          <t>3 1/2" TSH</t>
        </is>
      </c>
      <c r="C36" s="1431" t="n">
        <v>31</v>
      </c>
    </row>
    <row r="37" ht="14.25" customHeight="1" s="1158">
      <c r="A37" s="1207" t="inlineStr">
        <is>
          <t>JT.#26</t>
        </is>
      </c>
      <c r="B37" s="1207" t="inlineStr">
        <is>
          <t>3 1/2" TSH</t>
        </is>
      </c>
      <c r="C37" s="1431" t="n">
        <v>31</v>
      </c>
    </row>
    <row r="38" ht="14.25" customHeight="1" s="1158">
      <c r="A38" s="1207" t="inlineStr">
        <is>
          <t>JT.#27</t>
        </is>
      </c>
      <c r="B38" s="1207" t="inlineStr">
        <is>
          <t>3 1/2" TSH</t>
        </is>
      </c>
      <c r="C38" s="1431" t="n">
        <v>31</v>
      </c>
    </row>
    <row r="39" ht="14.25" customHeight="1" s="1158">
      <c r="A39" s="1207" t="inlineStr">
        <is>
          <t>JT.#28</t>
        </is>
      </c>
      <c r="B39" s="1207" t="inlineStr">
        <is>
          <t>3 1/2" TSH</t>
        </is>
      </c>
      <c r="C39" s="1431" t="n">
        <v>31</v>
      </c>
    </row>
    <row r="40" ht="14.25" customHeight="1" s="1158">
      <c r="A40" s="1207" t="inlineStr">
        <is>
          <t>JT.#29</t>
        </is>
      </c>
      <c r="B40" s="1207" t="inlineStr">
        <is>
          <t>3 1/2" TSH</t>
        </is>
      </c>
      <c r="C40" s="1431" t="n">
        <v>31</v>
      </c>
    </row>
    <row r="41" ht="14.25" customHeight="1" s="1158">
      <c r="A41" s="1207" t="inlineStr">
        <is>
          <t>JT.#30</t>
        </is>
      </c>
      <c r="B41" s="1207" t="inlineStr">
        <is>
          <t>3 1/2" TSH</t>
        </is>
      </c>
      <c r="C41" s="1431" t="n">
        <v>31</v>
      </c>
    </row>
    <row r="42" ht="14.25" customHeight="1" s="1158">
      <c r="A42" s="1207" t="inlineStr">
        <is>
          <t>JT.#31</t>
        </is>
      </c>
      <c r="B42" s="1207" t="inlineStr">
        <is>
          <t>3 1/2" TSH</t>
        </is>
      </c>
      <c r="C42" s="1431" t="n">
        <v>31</v>
      </c>
    </row>
    <row r="43" ht="14.25" customHeight="1" s="1158">
      <c r="A43" s="1207" t="inlineStr">
        <is>
          <t>JT.#32</t>
        </is>
      </c>
      <c r="B43" s="1207" t="inlineStr">
        <is>
          <t>3 1/2" TSH</t>
        </is>
      </c>
      <c r="C43" s="1431" t="n">
        <v>31</v>
      </c>
    </row>
    <row r="44" ht="14.25" customHeight="1" s="1158">
      <c r="A44" s="1207" t="inlineStr">
        <is>
          <t>JT.#33</t>
        </is>
      </c>
      <c r="B44" s="1207" t="inlineStr">
        <is>
          <t>3 1/2" TSH</t>
        </is>
      </c>
      <c r="C44" s="1431" t="n">
        <v>31</v>
      </c>
    </row>
    <row r="45" ht="14.25" customHeight="1" s="1158">
      <c r="A45" s="1207" t="inlineStr">
        <is>
          <t>JT.#34</t>
        </is>
      </c>
      <c r="B45" s="1207" t="inlineStr">
        <is>
          <t>3 1/2" TSH</t>
        </is>
      </c>
      <c r="C45" s="1431" t="n">
        <v>31</v>
      </c>
    </row>
    <row r="46" ht="14.25" customHeight="1" s="1158">
      <c r="A46" s="1207" t="inlineStr">
        <is>
          <t>JT.#35</t>
        </is>
      </c>
      <c r="B46" s="1207" t="inlineStr">
        <is>
          <t>3 1/2" TSH</t>
        </is>
      </c>
      <c r="C46" s="1431" t="n">
        <v>31</v>
      </c>
    </row>
    <row r="47" ht="14.25" customHeight="1" s="1158">
      <c r="A47" s="1207" t="inlineStr">
        <is>
          <t>JT.#36</t>
        </is>
      </c>
      <c r="B47" s="1207" t="inlineStr">
        <is>
          <t>3 1/2" TSH</t>
        </is>
      </c>
      <c r="C47" s="1431" t="n">
        <v>31</v>
      </c>
    </row>
    <row r="48" ht="14.25" customHeight="1" s="1158">
      <c r="A48" s="1207" t="inlineStr">
        <is>
          <t>JT.#37</t>
        </is>
      </c>
      <c r="B48" s="1207" t="inlineStr">
        <is>
          <t>3 1/2" TSH</t>
        </is>
      </c>
      <c r="C48" s="1431" t="n">
        <v>31</v>
      </c>
    </row>
    <row r="49" ht="72" customHeight="1" s="1158">
      <c r="A49" s="2026" t="inlineStr">
        <is>
          <t>C</t>
        </is>
      </c>
      <c r="B49" s="2027" t="inlineStr">
        <is>
          <t>UPPER CONN. 3-1/2" VAM TOP BOX 9.2 PPF SN 28 110 KSI
DESCRIPTION: 5 FEET XOVER
SAP: 130005011340
SUPPLIER: TENARIS
LOWER CONN. 3-1/2" TSH BLUE PIN 9.2 PPF SN 28 110 KSI</t>
        </is>
      </c>
      <c r="C49" s="2028" t="n">
        <v>5.16</v>
      </c>
      <c r="D49" s="2029" t="n">
        <v>3.908</v>
      </c>
      <c r="E49" s="2029" t="n">
        <v>2.959</v>
      </c>
      <c r="F49" s="2030" t="inlineStr">
        <is>
          <t>N/A</t>
        </is>
      </c>
      <c r="G49" s="2030" t="inlineStr">
        <is>
          <t>N/A</t>
        </is>
      </c>
      <c r="H49" s="2030" t="inlineStr">
        <is>
          <t>130005011340</t>
        </is>
      </c>
      <c r="I49" s="2030" t="inlineStr">
        <is>
          <t>N/A</t>
        </is>
      </c>
    </row>
    <row r="50" ht="100.5" customHeight="1" s="1158">
      <c r="B50" s="2027" t="inlineStr">
        <is>
          <t>UPPER CONN. 3-1/2" VAM TOP 9.2#PPF INC 925 KSI BOX
DESCRIPTION: 2.750 WXN Nipple
PN: 2963809
S/N :12527047-08
SAP: 130010036868
SUPPLIER: WEATHERFORD
LOWER CONN.3-1/2" VAM TOP 9.2#PPF INC 925KSI PIN</t>
        </is>
      </c>
      <c r="C50" s="2028" t="n">
        <v>1.15</v>
      </c>
      <c r="D50" s="2029" t="n">
        <v>3.885</v>
      </c>
      <c r="E50" s="2029" t="n">
        <v>2.637</v>
      </c>
      <c r="F50" s="2030" t="inlineStr">
        <is>
          <t>2963809</t>
        </is>
      </c>
      <c r="G50" s="2030" t="inlineStr">
        <is>
          <t>12527047-08</t>
        </is>
      </c>
      <c r="H50" s="2030" t="inlineStr">
        <is>
          <t>130010036868</t>
        </is>
      </c>
      <c r="I50" s="2030" t="inlineStr">
        <is>
          <t>N/A</t>
        </is>
      </c>
    </row>
    <row r="51" ht="72" customHeight="1" s="1158">
      <c r="B51" s="2027" t="inlineStr">
        <is>
          <t>UPPER CONN. 3-1/2" VAM TOP 9.2#PPF SM 2535 BOX
DESCRIPTION: 5 FEET PUP JOINT
SAP: 130005002758
SUPPLIER: VAM
LOWER CONN. 3-1/2" VAM TOP 9.2#PPF SM 2535 PIN</t>
        </is>
      </c>
      <c r="C51" s="2028" t="n">
        <v>4.92</v>
      </c>
      <c r="D51" s="2029" t="n">
        <v>3.908</v>
      </c>
      <c r="E51" s="2029" t="n">
        <v>2.959</v>
      </c>
      <c r="F51" s="2030" t="inlineStr">
        <is>
          <t>N/A</t>
        </is>
      </c>
      <c r="G51" s="2030" t="inlineStr">
        <is>
          <t>N/A</t>
        </is>
      </c>
      <c r="H51" s="2030" t="inlineStr">
        <is>
          <t>130005002758</t>
        </is>
      </c>
      <c r="I51" s="2030" t="inlineStr">
        <is>
          <t>N/A</t>
        </is>
      </c>
    </row>
    <row r="52" ht="72" customHeight="1" s="1158">
      <c r="B52" s="2027" t="inlineStr">
        <is>
          <t>UPPER CONN. 3-1/2" VAM TOP 9.2#PPF SM2535 BOX
DESCRIPTION: 10 FEET PUP JOINT
SAP: 130013000213
SUPPLIER: VAM
LOWER CONN. 3-1/2" VAM TOP 9.2#PPF SM2535 PIN</t>
        </is>
      </c>
      <c r="C52" s="2028" t="n">
        <v>9.92</v>
      </c>
      <c r="D52" s="2029" t="n">
        <v>3.908</v>
      </c>
      <c r="E52" s="2029" t="n">
        <v>2.959</v>
      </c>
      <c r="F52" s="2030" t="inlineStr">
        <is>
          <t>N/A</t>
        </is>
      </c>
      <c r="G52" s="2030" t="inlineStr">
        <is>
          <t>N/A</t>
        </is>
      </c>
      <c r="H52" s="2030" t="inlineStr">
        <is>
          <t>130013000213</t>
        </is>
      </c>
      <c r="I52" s="2030" t="inlineStr">
        <is>
          <t>N/A</t>
        </is>
      </c>
    </row>
    <row r="53" ht="144" customHeight="1" s="1158">
      <c r="B53" s="202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2028" t="n">
        <v>9.710000000000001</v>
      </c>
      <c r="D53" s="2029" t="n">
        <v>5.91</v>
      </c>
      <c r="E53" s="2029" t="n">
        <v>2.919</v>
      </c>
      <c r="F53" s="2030" t="inlineStr">
        <is>
          <t>2960170</t>
        </is>
      </c>
      <c r="G53" s="2030" t="inlineStr">
        <is>
          <t>12857761-01</t>
        </is>
      </c>
      <c r="H53" s="2030" t="inlineStr">
        <is>
          <t>130010037571</t>
        </is>
      </c>
      <c r="I53" s="2030" t="inlineStr">
        <is>
          <t>N/A</t>
        </is>
      </c>
    </row>
    <row r="54" ht="72" customHeight="1" s="1158">
      <c r="B54" s="2027" t="inlineStr">
        <is>
          <t>UPPER CONN. 3-1/2" TSH BLUE BOX 9.2 PPF SN 28 110 KSI
DESCRIPTION: 5 FEET XOVER
SAP: 130005011444
SUPPLIER: TENARIS
LOWER CONN. 3-1/2" VAM TOP PIN 9.2 PPF SN 28 110 KSI</t>
        </is>
      </c>
      <c r="C54" s="2028" t="n">
        <v>4.99</v>
      </c>
      <c r="D54" s="2029" t="n">
        <v>3.937</v>
      </c>
      <c r="E54" s="2029" t="n">
        <v>2.969</v>
      </c>
      <c r="F54" s="2030" t="inlineStr">
        <is>
          <t>N/A</t>
        </is>
      </c>
      <c r="G54" s="2030" t="inlineStr">
        <is>
          <t>N/A</t>
        </is>
      </c>
      <c r="H54" s="2030" t="inlineStr">
        <is>
          <t>130005011444</t>
        </is>
      </c>
      <c r="I54" s="2030" t="inlineStr">
        <is>
          <t>N/A</t>
        </is>
      </c>
    </row>
    <row r="55" ht="14.25" customHeight="1" s="1158">
      <c r="A55" s="1207" t="inlineStr">
        <is>
          <t>JT.#38</t>
        </is>
      </c>
      <c r="B55" s="1207" t="inlineStr">
        <is>
          <t>3 1/2" TSH</t>
        </is>
      </c>
      <c r="C55" s="1431" t="n">
        <v>31</v>
      </c>
    </row>
    <row r="56" ht="14.25" customHeight="1" s="1158">
      <c r="A56" s="1207" t="inlineStr">
        <is>
          <t>JT.#39</t>
        </is>
      </c>
      <c r="B56" s="1207" t="inlineStr">
        <is>
          <t>3 1/2" TSH</t>
        </is>
      </c>
      <c r="C56" s="1431" t="n">
        <v>31</v>
      </c>
    </row>
    <row r="57" ht="14.25" customHeight="1" s="1158">
      <c r="A57" s="1207" t="inlineStr">
        <is>
          <t>JT.#40</t>
        </is>
      </c>
      <c r="B57" s="1207" t="inlineStr">
        <is>
          <t>3 1/2" TSH</t>
        </is>
      </c>
      <c r="C57" s="1431" t="n">
        <v>31</v>
      </c>
    </row>
    <row r="58" ht="14.25" customHeight="1" s="1158">
      <c r="A58" s="1207" t="inlineStr">
        <is>
          <t>JT.#41</t>
        </is>
      </c>
      <c r="B58" s="1207" t="inlineStr">
        <is>
          <t>3 1/2" TSH</t>
        </is>
      </c>
      <c r="C58" s="1431" t="n">
        <v>31</v>
      </c>
    </row>
    <row r="59" ht="14.25" customHeight="1" s="1158">
      <c r="A59" s="1207" t="inlineStr">
        <is>
          <t>JT.#42</t>
        </is>
      </c>
      <c r="B59" s="1207" t="inlineStr">
        <is>
          <t>3 1/2" TSH</t>
        </is>
      </c>
      <c r="C59" s="1431" t="n">
        <v>31</v>
      </c>
    </row>
    <row r="60" ht="14.25" customHeight="1" s="1158">
      <c r="A60" s="1207" t="inlineStr">
        <is>
          <t>JT.#43</t>
        </is>
      </c>
      <c r="B60" s="1207" t="inlineStr">
        <is>
          <t>3 1/2" TSH</t>
        </is>
      </c>
      <c r="C60" s="1431" t="n">
        <v>31</v>
      </c>
    </row>
    <row r="61" ht="14.25" customHeight="1" s="1158">
      <c r="A61" s="1207" t="inlineStr">
        <is>
          <t>JT.#44</t>
        </is>
      </c>
      <c r="B61" s="1207" t="inlineStr">
        <is>
          <t>3 1/2" TSH</t>
        </is>
      </c>
      <c r="C61" s="1431" t="n">
        <v>31</v>
      </c>
    </row>
    <row r="62" ht="14.25" customHeight="1" s="1158">
      <c r="A62" s="1207" t="inlineStr">
        <is>
          <t>JT.#45</t>
        </is>
      </c>
      <c r="B62" s="1207" t="inlineStr">
        <is>
          <t>3 1/2" TSH</t>
        </is>
      </c>
      <c r="C62" s="1431" t="n">
        <v>31</v>
      </c>
    </row>
    <row r="63" ht="14.25" customHeight="1" s="1158">
      <c r="A63" s="1207" t="inlineStr">
        <is>
          <t>JT.#46</t>
        </is>
      </c>
      <c r="B63" s="1207" t="inlineStr">
        <is>
          <t>3 1/2" TSH</t>
        </is>
      </c>
      <c r="C63" s="1431" t="n">
        <v>31</v>
      </c>
    </row>
    <row r="64" ht="14.25" customHeight="1" s="1158">
      <c r="A64" s="1207" t="inlineStr">
        <is>
          <t>JT.#47</t>
        </is>
      </c>
      <c r="B64" s="1207" t="inlineStr">
        <is>
          <t>3 1/2" TSH</t>
        </is>
      </c>
      <c r="C64" s="1431" t="n">
        <v>31</v>
      </c>
    </row>
    <row r="65" ht="14.25" customHeight="1" s="1158">
      <c r="A65" s="1207" t="inlineStr">
        <is>
          <t>JT.#48</t>
        </is>
      </c>
      <c r="B65" s="1207" t="inlineStr">
        <is>
          <t>3 1/2" TSH</t>
        </is>
      </c>
      <c r="C65" s="1431" t="n">
        <v>31</v>
      </c>
    </row>
    <row r="66" ht="14.25" customHeight="1" s="1158">
      <c r="A66" s="1207" t="inlineStr">
        <is>
          <t>JT.#49</t>
        </is>
      </c>
      <c r="B66" s="1207" t="inlineStr">
        <is>
          <t>3 1/2" TSH</t>
        </is>
      </c>
      <c r="C66" s="1431" t="n">
        <v>31</v>
      </c>
    </row>
    <row r="67" ht="14.25" customHeight="1" s="1158">
      <c r="A67" s="1207" t="inlineStr">
        <is>
          <t>JT.#50</t>
        </is>
      </c>
      <c r="B67" s="1207" t="inlineStr">
        <is>
          <t>3 1/2" TSH</t>
        </is>
      </c>
      <c r="C67" s="1431" t="n">
        <v>31</v>
      </c>
    </row>
    <row r="68" ht="14.25" customHeight="1" s="1158">
      <c r="A68" s="1207" t="inlineStr">
        <is>
          <t>JT.#51</t>
        </is>
      </c>
      <c r="B68" s="1207" t="inlineStr">
        <is>
          <t>3 1/2" TSH</t>
        </is>
      </c>
      <c r="C68" s="1431" t="n">
        <v>31</v>
      </c>
    </row>
    <row r="69" ht="14.25" customHeight="1" s="1158">
      <c r="A69" s="1207" t="inlineStr">
        <is>
          <t>JT.#52</t>
        </is>
      </c>
      <c r="B69" s="1207" t="inlineStr">
        <is>
          <t>3 1/2" TSH</t>
        </is>
      </c>
      <c r="C69" s="1431" t="n">
        <v>31</v>
      </c>
    </row>
    <row r="70" ht="14.25" customHeight="1" s="1158">
      <c r="A70" s="1207" t="inlineStr">
        <is>
          <t>JT.#53</t>
        </is>
      </c>
      <c r="B70" s="1207" t="inlineStr">
        <is>
          <t>3 1/2" TSH</t>
        </is>
      </c>
      <c r="C70" s="1431" t="n">
        <v>31</v>
      </c>
    </row>
    <row r="71" ht="14.25" customHeight="1" s="1158">
      <c r="A71" s="1207" t="inlineStr">
        <is>
          <t>JT.#54</t>
        </is>
      </c>
      <c r="B71" s="1207" t="inlineStr">
        <is>
          <t>3 1/2" TSH</t>
        </is>
      </c>
      <c r="C71" s="1431" t="n">
        <v>31</v>
      </c>
    </row>
    <row r="72" ht="14.25" customHeight="1" s="1158">
      <c r="A72" s="1207" t="inlineStr">
        <is>
          <t>JT.#55</t>
        </is>
      </c>
      <c r="B72" s="1207" t="inlineStr">
        <is>
          <t>3 1/2" TSH</t>
        </is>
      </c>
      <c r="C72" s="1431" t="n">
        <v>31</v>
      </c>
    </row>
    <row r="73" ht="14.25" customHeight="1" s="1158">
      <c r="A73" s="1207" t="inlineStr">
        <is>
          <t>JT.#56</t>
        </is>
      </c>
      <c r="B73" s="1207" t="inlineStr">
        <is>
          <t>3 1/2" TSH</t>
        </is>
      </c>
      <c r="C73" s="1431" t="n">
        <v>31</v>
      </c>
    </row>
    <row r="74" ht="14.25" customHeight="1" s="1158">
      <c r="A74" s="1207" t="inlineStr">
        <is>
          <t>JT.#57</t>
        </is>
      </c>
      <c r="B74" s="1207" t="inlineStr">
        <is>
          <t>3 1/2" TSH</t>
        </is>
      </c>
      <c r="C74" s="1431" t="n">
        <v>31</v>
      </c>
    </row>
    <row r="75" ht="72" customHeight="1" s="1158">
      <c r="A75" s="2031" t="inlineStr">
        <is>
          <t>D1</t>
        </is>
      </c>
      <c r="B75" s="2032" t="inlineStr">
        <is>
          <t>UPPER CONN. 3-1/2" VAM TOP BOX 9.2 PPF SN 28 110 KSI
DESCRIPTION: 5 FEET XOVER
SAP: 130005011340
SUPPLIER: TENARIS
LOWER CONN. 3-1/2" TSH BLUE PIN 9.2 PPF SN 28 110 KSI</t>
        </is>
      </c>
      <c r="C75" s="2033" t="n">
        <v>5.2</v>
      </c>
      <c r="D75" s="2034" t="n">
        <v>3.908</v>
      </c>
      <c r="E75" s="2034" t="n">
        <v>2.959</v>
      </c>
      <c r="F75" s="2035" t="inlineStr">
        <is>
          <t>N/A</t>
        </is>
      </c>
      <c r="G75" s="2035" t="inlineStr">
        <is>
          <t>N/A</t>
        </is>
      </c>
      <c r="H75" s="2035" t="inlineStr">
        <is>
          <t>130005011340</t>
        </is>
      </c>
      <c r="I75" s="2035" t="inlineStr">
        <is>
          <t>N/A</t>
        </is>
      </c>
    </row>
    <row r="76" ht="72" customHeight="1" s="1158">
      <c r="B76" s="2032" t="inlineStr">
        <is>
          <t>UPPER CONN. 3-1/2" SENTINEL PRIME BOX 9.2 PPF TX28-110 KSI
DESCRIPTION: 5 FEET XOVER
SAP: 130013006385
SUPPLIER: TBX
LOWER CONN. 3-1/2" VAM TOP PIN 9.2 PPF TX28-110 KSI</t>
        </is>
      </c>
      <c r="C76" s="2033" t="n">
        <v>4.96</v>
      </c>
      <c r="D76" s="2034" t="n">
        <v>3.929</v>
      </c>
      <c r="E76" s="2034" t="n">
        <v>2.921</v>
      </c>
      <c r="F76" s="2035" t="inlineStr">
        <is>
          <t>N/A</t>
        </is>
      </c>
      <c r="G76" s="2035" t="inlineStr">
        <is>
          <t>N/A</t>
        </is>
      </c>
      <c r="H76" s="2035" t="inlineStr">
        <is>
          <t>130013006385</t>
        </is>
      </c>
      <c r="I76" s="2035" t="inlineStr">
        <is>
          <t>N/A</t>
        </is>
      </c>
    </row>
    <row r="77" ht="129" customHeight="1" s="1158">
      <c r="B77" s="203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2033" t="n">
        <v>8.69</v>
      </c>
      <c r="D77" s="2034" t="n">
        <v>5.82</v>
      </c>
      <c r="E77" s="2034" t="n">
        <v>2.9</v>
      </c>
      <c r="F77" s="2035" t="inlineStr">
        <is>
          <t>3205577</t>
        </is>
      </c>
      <c r="G77" s="2035" t="inlineStr">
        <is>
          <t>12636080-03</t>
        </is>
      </c>
      <c r="H77" s="2035" t="inlineStr">
        <is>
          <t>130010036652</t>
        </is>
      </c>
      <c r="I77" s="2035" t="inlineStr">
        <is>
          <t>N/A</t>
        </is>
      </c>
    </row>
    <row r="78" ht="72" customHeight="1" s="1158">
      <c r="B78" s="2032" t="inlineStr">
        <is>
          <t>UPPER CONN. 3-1/2" VAM TOP BOX 9.2 PPF TX28- 110 KSI
DESCRIPTION: 5 FEET XOVER
SAP: 130013006383
SUPPLIER: TBX
LOWER CONN -3-1/2" SENTINEL PRIME PIN 9.2 PPF TX28-110 KSI</t>
        </is>
      </c>
      <c r="C78" s="2033" t="n">
        <v>4.85</v>
      </c>
      <c r="D78" s="2034" t="n">
        <v>3.908</v>
      </c>
      <c r="E78" s="2034" t="n">
        <v>2.959</v>
      </c>
      <c r="F78" s="2035" t="inlineStr">
        <is>
          <t>N/A</t>
        </is>
      </c>
      <c r="G78" s="2035" t="inlineStr">
        <is>
          <t>N/A</t>
        </is>
      </c>
      <c r="H78" s="2035" t="inlineStr">
        <is>
          <t>130013006383</t>
        </is>
      </c>
      <c r="I78" s="2035" t="inlineStr">
        <is>
          <t>N/A</t>
        </is>
      </c>
    </row>
    <row r="79" ht="72" customHeight="1" s="1158">
      <c r="B79" s="2032" t="inlineStr">
        <is>
          <t>UPPER CONN. 3-1/2" TSH BLUE BOX 9.2 PPF SN 28 110 KSI
DESCRIPTION: 10 FEET XOVER
SAP: 130005012487
SUPPLIER: TENARIS
LOWER CONN. 3-1/2" VAM TOP PIN 9.2 PPF SN 28 110 KSI</t>
        </is>
      </c>
      <c r="C79" s="2033" t="n">
        <v>9.949999999999999</v>
      </c>
      <c r="D79" s="2034" t="n">
        <v>3.937</v>
      </c>
      <c r="E79" s="2034" t="n">
        <v>2.969</v>
      </c>
      <c r="F79" s="2035" t="inlineStr">
        <is>
          <t>N/A</t>
        </is>
      </c>
      <c r="G79" s="2035" t="inlineStr">
        <is>
          <t>N/A</t>
        </is>
      </c>
      <c r="H79" s="2035" t="inlineStr">
        <is>
          <t>130005012487</t>
        </is>
      </c>
      <c r="I79" s="2035" t="inlineStr">
        <is>
          <t>N/A</t>
        </is>
      </c>
    </row>
    <row r="80" ht="14.25" customHeight="1" s="1158">
      <c r="A80" s="1207" t="inlineStr">
        <is>
          <t>JT.#58</t>
        </is>
      </c>
      <c r="B80" s="1207" t="inlineStr">
        <is>
          <t>3 1/2" TSH</t>
        </is>
      </c>
      <c r="C80" s="1431" t="n">
        <v>31</v>
      </c>
    </row>
    <row r="81" ht="14.25" customHeight="1" s="1158">
      <c r="A81" s="1207" t="inlineStr">
        <is>
          <t>JT.#59</t>
        </is>
      </c>
      <c r="B81" s="1207" t="inlineStr">
        <is>
          <t>3 1/2" TSH</t>
        </is>
      </c>
      <c r="C81" s="1431" t="n">
        <v>31</v>
      </c>
    </row>
    <row r="82" ht="14.25" customHeight="1" s="1158">
      <c r="A82" s="1207" t="inlineStr">
        <is>
          <t>JT.#60</t>
        </is>
      </c>
      <c r="B82" s="1207" t="inlineStr">
        <is>
          <t>3 1/2" TSH</t>
        </is>
      </c>
      <c r="C82" s="1431" t="n">
        <v>31</v>
      </c>
    </row>
    <row r="83" ht="14.25" customHeight="1" s="1158">
      <c r="A83" s="1207" t="inlineStr">
        <is>
          <t>JT.#61</t>
        </is>
      </c>
      <c r="B83" s="1207" t="inlineStr">
        <is>
          <t>3 1/2" TSH</t>
        </is>
      </c>
      <c r="C83" s="1431" t="n">
        <v>31</v>
      </c>
    </row>
    <row r="84" ht="14.25" customHeight="1" s="1158">
      <c r="A84" s="1207" t="inlineStr">
        <is>
          <t>JT.#62</t>
        </is>
      </c>
      <c r="B84" s="1207" t="inlineStr">
        <is>
          <t>3 1/2" TSH</t>
        </is>
      </c>
      <c r="C84" s="1431" t="n">
        <v>31</v>
      </c>
    </row>
    <row r="85" ht="14.25" customHeight="1" s="1158">
      <c r="A85" s="1207" t="inlineStr">
        <is>
          <t>JT.#63</t>
        </is>
      </c>
      <c r="B85" s="1207" t="inlineStr">
        <is>
          <t>3 1/2" TSH</t>
        </is>
      </c>
      <c r="C85" s="1431" t="n">
        <v>31</v>
      </c>
    </row>
    <row r="86" ht="14.25" customHeight="1" s="1158">
      <c r="A86" s="1207" t="inlineStr">
        <is>
          <t>JT.#64</t>
        </is>
      </c>
      <c r="B86" s="1207" t="inlineStr">
        <is>
          <t>3 1/2" TSH</t>
        </is>
      </c>
      <c r="C86" s="1431" t="n">
        <v>31</v>
      </c>
    </row>
    <row r="87" ht="14.25" customHeight="1" s="1158">
      <c r="A87" s="1207" t="inlineStr">
        <is>
          <t>JT.#65</t>
        </is>
      </c>
      <c r="B87" s="1207" t="inlineStr">
        <is>
          <t>3 1/2" TSH</t>
        </is>
      </c>
      <c r="C87" s="1431" t="n">
        <v>31</v>
      </c>
    </row>
    <row r="88" ht="14.25" customHeight="1" s="1158">
      <c r="A88" s="1207" t="inlineStr">
        <is>
          <t>JT.#66</t>
        </is>
      </c>
      <c r="B88" s="1207" t="inlineStr">
        <is>
          <t>3 1/2" TSH</t>
        </is>
      </c>
      <c r="C88" s="1431" t="n">
        <v>31</v>
      </c>
    </row>
    <row r="89" ht="14.25" customHeight="1" s="1158">
      <c r="A89" s="1207" t="inlineStr">
        <is>
          <t>JT.#67</t>
        </is>
      </c>
      <c r="B89" s="1207" t="inlineStr">
        <is>
          <t>3 1/2" TSH</t>
        </is>
      </c>
      <c r="C89" s="1431" t="n">
        <v>31</v>
      </c>
    </row>
    <row r="90" ht="14.25" customHeight="1" s="1158">
      <c r="A90" s="1207" t="inlineStr">
        <is>
          <t>JT.#68</t>
        </is>
      </c>
      <c r="B90" s="1207" t="inlineStr">
        <is>
          <t>3 1/2" TSH</t>
        </is>
      </c>
      <c r="C90" s="1431" t="n">
        <v>31</v>
      </c>
    </row>
    <row r="91" ht="14.25" customHeight="1" s="1158">
      <c r="A91" s="1207" t="inlineStr">
        <is>
          <t>JT.#69</t>
        </is>
      </c>
      <c r="B91" s="1207" t="inlineStr">
        <is>
          <t>3 1/2" TSH</t>
        </is>
      </c>
      <c r="C91" s="1431" t="n">
        <v>31</v>
      </c>
    </row>
    <row r="92" ht="14.25" customHeight="1" s="1158">
      <c r="A92" s="1207" t="inlineStr">
        <is>
          <t>JT.#70</t>
        </is>
      </c>
      <c r="B92" s="1207" t="inlineStr">
        <is>
          <t>3 1/2" TSH</t>
        </is>
      </c>
      <c r="C92" s="1431" t="n">
        <v>31</v>
      </c>
    </row>
    <row r="93" ht="14.25" customHeight="1" s="1158">
      <c r="A93" s="1207" t="inlineStr">
        <is>
          <t>JT.#71</t>
        </is>
      </c>
      <c r="B93" s="1207" t="inlineStr">
        <is>
          <t>3 1/2" TSH</t>
        </is>
      </c>
      <c r="C93" s="1431" t="n">
        <v>31</v>
      </c>
    </row>
    <row r="94" ht="14.25" customHeight="1" s="1158">
      <c r="A94" s="1207" t="inlineStr">
        <is>
          <t>JT.#72</t>
        </is>
      </c>
      <c r="B94" s="1207" t="inlineStr">
        <is>
          <t>3 1/2" TSH</t>
        </is>
      </c>
      <c r="C94" s="1431" t="n">
        <v>31</v>
      </c>
    </row>
    <row r="95" ht="14.25" customHeight="1" s="1158">
      <c r="A95" s="1207" t="inlineStr">
        <is>
          <t>JT.#73</t>
        </is>
      </c>
      <c r="B95" s="1207" t="inlineStr">
        <is>
          <t>3 1/2" TSH</t>
        </is>
      </c>
      <c r="C95" s="1431" t="n">
        <v>31</v>
      </c>
    </row>
    <row r="96" ht="14.25" customHeight="1" s="1158">
      <c r="A96" s="1207" t="inlineStr">
        <is>
          <t>JT.#74</t>
        </is>
      </c>
      <c r="B96" s="1207" t="inlineStr">
        <is>
          <t>3 1/2" TSH</t>
        </is>
      </c>
      <c r="C96" s="1431" t="n">
        <v>31</v>
      </c>
    </row>
    <row r="97" ht="14.25" customHeight="1" s="1158">
      <c r="A97" s="1207" t="inlineStr">
        <is>
          <t>JT.#75</t>
        </is>
      </c>
      <c r="B97" s="1207" t="inlineStr">
        <is>
          <t>3 1/2" TSH</t>
        </is>
      </c>
      <c r="C97" s="1431" t="n">
        <v>31</v>
      </c>
    </row>
    <row r="98" ht="14.25" customHeight="1" s="1158">
      <c r="A98" s="1207" t="inlineStr">
        <is>
          <t>JT.#76</t>
        </is>
      </c>
      <c r="B98" s="1207" t="inlineStr">
        <is>
          <t>3 1/2" TSH</t>
        </is>
      </c>
      <c r="C98" s="1431" t="n">
        <v>31</v>
      </c>
    </row>
    <row r="99" ht="14.25" customHeight="1" s="1158">
      <c r="A99" s="1207" t="inlineStr">
        <is>
          <t>JT.#77</t>
        </is>
      </c>
      <c r="B99" s="1207" t="inlineStr">
        <is>
          <t>3 1/2" TSH</t>
        </is>
      </c>
      <c r="C99" s="1431" t="n">
        <v>31</v>
      </c>
    </row>
    <row r="100" ht="72" customHeight="1" s="1158">
      <c r="A100" s="2036" t="inlineStr">
        <is>
          <t>D2</t>
        </is>
      </c>
      <c r="B100" s="2037" t="inlineStr">
        <is>
          <t>UPPER CONN. 3-1/2" VAM TOP BOX 9.2 PPF SN 28 110 KSI
DESCRIPTION: 5 FEET XOVER
SAP: 130005011340
SUPPLIER: TENARIS
LOWER CONN. 3-1/2" TSH BLUE PIN 9.2 PPF SN 28 110 KSI</t>
        </is>
      </c>
      <c r="C100" s="2038" t="n">
        <v>5.18</v>
      </c>
      <c r="D100" s="2039" t="n">
        <v>3.908</v>
      </c>
      <c r="E100" s="2039" t="n">
        <v>2.959</v>
      </c>
      <c r="F100" s="2040" t="inlineStr">
        <is>
          <t>N/A</t>
        </is>
      </c>
      <c r="G100" s="2040" t="inlineStr">
        <is>
          <t>N/A</t>
        </is>
      </c>
      <c r="H100" s="2040" t="inlineStr">
        <is>
          <t>130005011340</t>
        </is>
      </c>
      <c r="I100" s="2040" t="inlineStr">
        <is>
          <t>N/A</t>
        </is>
      </c>
    </row>
    <row r="101" ht="72" customHeight="1" s="1158">
      <c r="B101" s="2037" t="inlineStr">
        <is>
          <t>UPPER CONN. 3-1/2" SENTINEL PRIME BOX 9.2 PPF TX28- 110 KSI
DESCRIPTION: 5 FEET XOVER
SAP: 130013006385
SUPPLIER: TBX
LOWER CONN. 3-1/2" VAM TOP PIN 9.2 PPF TX28-110 KSI</t>
        </is>
      </c>
      <c r="C101" s="2038" t="n">
        <v>4.97</v>
      </c>
      <c r="D101" s="2039" t="n">
        <v>3.929</v>
      </c>
      <c r="E101" s="2039" t="n">
        <v>2.921</v>
      </c>
      <c r="F101" s="2040" t="inlineStr">
        <is>
          <t>N/A</t>
        </is>
      </c>
      <c r="G101" s="2040" t="inlineStr">
        <is>
          <t>N/A</t>
        </is>
      </c>
      <c r="H101" s="2040" t="inlineStr">
        <is>
          <t>130013006385</t>
        </is>
      </c>
      <c r="I101" s="2040" t="inlineStr">
        <is>
          <t>N/A</t>
        </is>
      </c>
    </row>
    <row r="102" ht="129" customHeight="1" s="1158">
      <c r="B102" s="203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2038" t="n">
        <v>8.69</v>
      </c>
      <c r="D102" s="2039" t="n">
        <v>5.82</v>
      </c>
      <c r="E102" s="2039" t="n">
        <v>2.9</v>
      </c>
      <c r="F102" s="2040" t="inlineStr">
        <is>
          <t>3205577</t>
        </is>
      </c>
      <c r="G102" s="2040" t="inlineStr">
        <is>
          <t>12636080-05</t>
        </is>
      </c>
      <c r="H102" s="2040" t="inlineStr">
        <is>
          <t>130010036652</t>
        </is>
      </c>
      <c r="I102" s="2040" t="inlineStr">
        <is>
          <t>N/A</t>
        </is>
      </c>
    </row>
    <row r="103" ht="72" customHeight="1" s="1158">
      <c r="B103" s="2037" t="inlineStr">
        <is>
          <t>UPPER CONN. 3-1/2" VAM TOP BOX 9.2 PPF TX28- 110 KSI
DESCRIPTION: 5 FEET XOVER
SAP: 130013006383
SUPPLIER: TBX
LOWER CONN -3-1/2" SENTINEL PRIME PIN 9.2 PPF TX28-110 KSI</t>
        </is>
      </c>
      <c r="C103" s="2038" t="n">
        <v>4.8</v>
      </c>
      <c r="D103" s="2039" t="n">
        <v>3.908</v>
      </c>
      <c r="E103" s="2039" t="n">
        <v>2.959</v>
      </c>
      <c r="F103" s="2040" t="inlineStr">
        <is>
          <t>N/A</t>
        </is>
      </c>
      <c r="G103" s="2040" t="inlineStr">
        <is>
          <t>N/A</t>
        </is>
      </c>
      <c r="H103" s="2040" t="inlineStr">
        <is>
          <t>130013006383</t>
        </is>
      </c>
      <c r="I103" s="2040" t="inlineStr">
        <is>
          <t>N/A</t>
        </is>
      </c>
    </row>
    <row r="104" ht="72" customHeight="1" s="1158">
      <c r="B104" s="2037" t="inlineStr">
        <is>
          <t>UPPER CONN. 3-1/2" TSH BLUE BOX 9.2 PPF SN 28 110 KSI
DESCRIPTION: 10 FEET XOVER
SAP: 130005012487
SUPPLIER: TENARIS
LOWER CONN. 3-1/2" VAM TOP PIN 9.2 PPF SN 28 110 KSI</t>
        </is>
      </c>
      <c r="C104" s="2038" t="n">
        <v>9.949999999999999</v>
      </c>
      <c r="D104" s="2039" t="n">
        <v>3.937</v>
      </c>
      <c r="E104" s="2039" t="n">
        <v>2.969</v>
      </c>
      <c r="F104" s="2040" t="inlineStr">
        <is>
          <t>N/A</t>
        </is>
      </c>
      <c r="G104" s="2040" t="inlineStr">
        <is>
          <t>N/A</t>
        </is>
      </c>
      <c r="H104" s="2040" t="inlineStr">
        <is>
          <t>130005012487</t>
        </is>
      </c>
      <c r="I104" s="2040" t="inlineStr">
        <is>
          <t>N/A</t>
        </is>
      </c>
    </row>
    <row r="105" ht="14.25" customHeight="1" s="1158">
      <c r="A105" s="1207" t="inlineStr">
        <is>
          <t>JT.#78</t>
        </is>
      </c>
      <c r="B105" s="1207" t="inlineStr">
        <is>
          <t>3 1/2" TSH</t>
        </is>
      </c>
      <c r="C105" s="1431" t="n">
        <v>31</v>
      </c>
    </row>
    <row r="106" ht="14.25" customHeight="1" s="1158">
      <c r="A106" s="1207" t="inlineStr">
        <is>
          <t>JT.#79</t>
        </is>
      </c>
      <c r="B106" s="1207" t="inlineStr">
        <is>
          <t>3 1/2" TSH</t>
        </is>
      </c>
      <c r="C106" s="1431" t="n">
        <v>31</v>
      </c>
    </row>
    <row r="107" ht="14.25" customHeight="1" s="1158">
      <c r="A107" s="1207" t="inlineStr">
        <is>
          <t>JT.#80</t>
        </is>
      </c>
      <c r="B107" s="1207" t="inlineStr">
        <is>
          <t>3 1/2" TSH</t>
        </is>
      </c>
      <c r="C107" s="1431" t="n">
        <v>31</v>
      </c>
    </row>
    <row r="108" ht="14.25" customHeight="1" s="1158">
      <c r="A108" s="1207" t="inlineStr">
        <is>
          <t>JT.#81</t>
        </is>
      </c>
      <c r="B108" s="1207" t="inlineStr">
        <is>
          <t>3 1/2" TSH</t>
        </is>
      </c>
      <c r="C108" s="1431" t="n">
        <v>31</v>
      </c>
    </row>
    <row r="109" ht="14.25" customHeight="1" s="1158">
      <c r="A109" s="1207" t="inlineStr">
        <is>
          <t>JT.#82</t>
        </is>
      </c>
      <c r="B109" s="1207" t="inlineStr">
        <is>
          <t>3 1/2" TSH</t>
        </is>
      </c>
      <c r="C109" s="1431" t="n">
        <v>31</v>
      </c>
    </row>
    <row r="110" ht="14.25" customHeight="1" s="1158">
      <c r="A110" s="1207" t="inlineStr">
        <is>
          <t>JT.#83</t>
        </is>
      </c>
      <c r="B110" s="1207" t="inlineStr">
        <is>
          <t>3 1/2" TSH</t>
        </is>
      </c>
      <c r="C110" s="1431" t="n">
        <v>31</v>
      </c>
    </row>
    <row r="111" ht="14.25" customHeight="1" s="1158">
      <c r="A111" s="1207" t="inlineStr">
        <is>
          <t>JT.#84</t>
        </is>
      </c>
      <c r="B111" s="1207" t="inlineStr">
        <is>
          <t>3 1/2" TSH</t>
        </is>
      </c>
      <c r="C111" s="1431" t="n">
        <v>31</v>
      </c>
    </row>
    <row r="112" ht="14.25" customHeight="1" s="1158">
      <c r="A112" s="1207" t="inlineStr">
        <is>
          <t>JT.#85</t>
        </is>
      </c>
      <c r="B112" s="1207" t="inlineStr">
        <is>
          <t>3 1/2" TSH</t>
        </is>
      </c>
      <c r="C112" s="1431" t="n">
        <v>31</v>
      </c>
    </row>
    <row r="113" ht="14.25" customHeight="1" s="1158">
      <c r="A113" s="1207" t="inlineStr">
        <is>
          <t>JT.#86</t>
        </is>
      </c>
      <c r="B113" s="1207" t="inlineStr">
        <is>
          <t>3 1/2" TSH</t>
        </is>
      </c>
      <c r="C113" s="1431" t="n">
        <v>31</v>
      </c>
    </row>
    <row r="114" ht="14.25" customHeight="1" s="1158">
      <c r="A114" s="1207" t="inlineStr">
        <is>
          <t>JT.#87</t>
        </is>
      </c>
      <c r="B114" s="1207" t="inlineStr">
        <is>
          <t>3 1/2" TSH</t>
        </is>
      </c>
      <c r="C114" s="1431" t="n">
        <v>31</v>
      </c>
    </row>
    <row r="115" ht="14.25" customHeight="1" s="1158">
      <c r="A115" s="1207" t="inlineStr">
        <is>
          <t>JT.#88</t>
        </is>
      </c>
      <c r="B115" s="1207" t="inlineStr">
        <is>
          <t>3 1/2" TSH</t>
        </is>
      </c>
      <c r="C115" s="1431" t="n">
        <v>31</v>
      </c>
    </row>
    <row r="116" ht="14.25" customHeight="1" s="1158">
      <c r="A116" s="1207" t="inlineStr">
        <is>
          <t>JT.#89</t>
        </is>
      </c>
      <c r="B116" s="1207" t="inlineStr">
        <is>
          <t>3 1/2" TSH</t>
        </is>
      </c>
      <c r="C116" s="1431" t="n">
        <v>31</v>
      </c>
    </row>
    <row r="117" ht="14.25" customHeight="1" s="1158">
      <c r="A117" s="1207" t="inlineStr">
        <is>
          <t>JT.#90</t>
        </is>
      </c>
      <c r="B117" s="1207" t="inlineStr">
        <is>
          <t>3 1/2" TSH</t>
        </is>
      </c>
      <c r="C117" s="1431" t="n">
        <v>31</v>
      </c>
    </row>
    <row r="118" ht="14.25" customHeight="1" s="1158">
      <c r="A118" s="1207" t="inlineStr">
        <is>
          <t>JT.#91</t>
        </is>
      </c>
      <c r="B118" s="1207" t="inlineStr">
        <is>
          <t>3 1/2" TSH</t>
        </is>
      </c>
      <c r="C118" s="1431" t="n">
        <v>31</v>
      </c>
    </row>
    <row r="119" ht="14.25" customHeight="1" s="1158">
      <c r="A119" s="1207" t="inlineStr">
        <is>
          <t>JT.#92</t>
        </is>
      </c>
      <c r="B119" s="1207" t="inlineStr">
        <is>
          <t>3 1/2" TSH</t>
        </is>
      </c>
      <c r="C119" s="1431" t="n">
        <v>31</v>
      </c>
    </row>
    <row r="120" ht="14.25" customHeight="1" s="1158">
      <c r="A120" s="1207" t="inlineStr">
        <is>
          <t>JT.#93</t>
        </is>
      </c>
      <c r="B120" s="1207" t="inlineStr">
        <is>
          <t>3 1/2" TSH</t>
        </is>
      </c>
      <c r="C120" s="1431" t="n">
        <v>31</v>
      </c>
    </row>
    <row r="121" ht="14.25" customHeight="1" s="1158">
      <c r="A121" s="1207" t="inlineStr">
        <is>
          <t>JT.#94</t>
        </is>
      </c>
      <c r="B121" s="1207" t="inlineStr">
        <is>
          <t>3 1/2" TSH</t>
        </is>
      </c>
      <c r="C121" s="1431" t="n">
        <v>31</v>
      </c>
    </row>
    <row r="122" ht="14.25" customHeight="1" s="1158">
      <c r="A122" s="1207" t="inlineStr">
        <is>
          <t>JT.#95</t>
        </is>
      </c>
      <c r="B122" s="1207" t="inlineStr">
        <is>
          <t>3 1/2" TSH</t>
        </is>
      </c>
      <c r="C122" s="1431" t="n">
        <v>31</v>
      </c>
    </row>
    <row r="123" ht="14.25" customHeight="1" s="1158">
      <c r="A123" s="1207" t="inlineStr">
        <is>
          <t>JT.#96</t>
        </is>
      </c>
      <c r="B123" s="1207" t="inlineStr">
        <is>
          <t>3 1/2" TSH</t>
        </is>
      </c>
      <c r="C123" s="1431" t="n">
        <v>31</v>
      </c>
    </row>
    <row r="124" ht="14.25" customHeight="1" s="1158">
      <c r="A124" s="1207" t="inlineStr">
        <is>
          <t>JT.#97</t>
        </is>
      </c>
      <c r="B124" s="1207" t="inlineStr">
        <is>
          <t>3 1/2" TSH</t>
        </is>
      </c>
      <c r="C124" s="1431" t="n">
        <v>31</v>
      </c>
    </row>
    <row r="125" ht="72" customHeight="1" s="1158">
      <c r="A125" s="2041" t="inlineStr">
        <is>
          <t>D3</t>
        </is>
      </c>
      <c r="B125" s="2042" t="inlineStr">
        <is>
          <t>UPPER CONN. 3-1/2" VAM TOP BOX 9.2 PPF SN 28 110 KSI
DESCRIPTION: 5 FEET XOVER
SAP: 130005011340
SUPPLIER: TENARIS
LOWER CONN. 3-1/2" TSH BLUE PIN 9.2 PPF SN 28 110 KSI</t>
        </is>
      </c>
      <c r="C125" s="2043" t="n">
        <v>5.19</v>
      </c>
      <c r="D125" s="2044" t="n">
        <v>3.908</v>
      </c>
      <c r="E125" s="2044" t="n">
        <v>2.959</v>
      </c>
      <c r="F125" s="2045" t="inlineStr">
        <is>
          <t>N/A</t>
        </is>
      </c>
      <c r="G125" s="2045" t="inlineStr">
        <is>
          <t>N/A</t>
        </is>
      </c>
      <c r="H125" s="2045" t="inlineStr">
        <is>
          <t>130005011340</t>
        </is>
      </c>
      <c r="I125" s="2045" t="inlineStr">
        <is>
          <t>N/A</t>
        </is>
      </c>
    </row>
    <row r="126" ht="72" customHeight="1" s="1158">
      <c r="B126" s="2042" t="inlineStr">
        <is>
          <t>UPPER CONN. 3-1/2" SENTINEL PRIME BOX 9.2 PPF TX28-110 KSI
DESCRIPTION: 5 FEET XOVER
SAP: 130013006385
SUPPLIER: TBX
LOWER CONN. 3-1/2" VAM TOP PIN 9.2 PPF TX28-110 KSI</t>
        </is>
      </c>
      <c r="C126" s="2043" t="n">
        <v>4.96</v>
      </c>
      <c r="D126" s="2044" t="n">
        <v>3.929</v>
      </c>
      <c r="E126" s="2044" t="n">
        <v>2.921</v>
      </c>
      <c r="F126" s="2045" t="inlineStr">
        <is>
          <t>N/A</t>
        </is>
      </c>
      <c r="G126" s="2045" t="inlineStr">
        <is>
          <t>N/A</t>
        </is>
      </c>
      <c r="H126" s="2045" t="inlineStr">
        <is>
          <t>130013006385</t>
        </is>
      </c>
      <c r="I126" s="2045" t="inlineStr">
        <is>
          <t>N/A</t>
        </is>
      </c>
    </row>
    <row r="127" ht="129" customHeight="1" s="1158">
      <c r="B127" s="204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2043" t="n">
        <v>8.69</v>
      </c>
      <c r="D127" s="2044" t="n">
        <v>5.82</v>
      </c>
      <c r="E127" s="2044" t="n">
        <v>2.9</v>
      </c>
      <c r="F127" s="2045" t="inlineStr">
        <is>
          <t>3205577</t>
        </is>
      </c>
      <c r="G127" s="2045" t="inlineStr">
        <is>
          <t>12600735-08</t>
        </is>
      </c>
      <c r="H127" s="2045" t="inlineStr">
        <is>
          <t>130010036652</t>
        </is>
      </c>
      <c r="I127" s="2045" t="inlineStr">
        <is>
          <t>N/A</t>
        </is>
      </c>
    </row>
    <row r="128" ht="72" customHeight="1" s="1158">
      <c r="B128" s="2042" t="inlineStr">
        <is>
          <t>UPPER CONN. 3-1/2" VAM TOP BOX 9.2 PPF TX28- 110 KSI
DESCRIPTION: 5 FEET XOVER
SAP: 130013006383
SUPPLIER: TBX
LOWER CONN -3-1/2" SENTINEL PRIME PIN 9.2 PPF TX28-110 KSI</t>
        </is>
      </c>
      <c r="C128" s="2043" t="n">
        <v>4.88</v>
      </c>
      <c r="D128" s="2044" t="n">
        <v>3.908</v>
      </c>
      <c r="E128" s="2044" t="n">
        <v>2.959</v>
      </c>
      <c r="F128" s="2045" t="inlineStr">
        <is>
          <t>N/A</t>
        </is>
      </c>
      <c r="G128" s="2045" t="inlineStr">
        <is>
          <t>N/A</t>
        </is>
      </c>
      <c r="H128" s="2045" t="inlineStr">
        <is>
          <t>130013006383</t>
        </is>
      </c>
      <c r="I128" s="2045" t="inlineStr">
        <is>
          <t>N/A</t>
        </is>
      </c>
    </row>
    <row r="129" ht="72" customHeight="1" s="1158">
      <c r="B129" s="2042" t="inlineStr">
        <is>
          <t>UPPER CONN. 3-1/2" TSH BLUE BOX 9.2 PPF SN 28 110 KSI
DESCRIPTION: 10 FEET XOVER
SAP: 130005012487
SUPPLIER: TENARIS
LOWER CONN. 3-1/2" VAM TOP PIN 9.2 PPF SN 28 110 KSI</t>
        </is>
      </c>
      <c r="C129" s="2043" t="n">
        <v>9.93</v>
      </c>
      <c r="D129" s="2044" t="n">
        <v>3.937</v>
      </c>
      <c r="E129" s="2044" t="n">
        <v>2.969</v>
      </c>
      <c r="F129" s="2045" t="inlineStr">
        <is>
          <t>N/A</t>
        </is>
      </c>
      <c r="G129" s="2045" t="inlineStr">
        <is>
          <t>N/A</t>
        </is>
      </c>
      <c r="H129" s="2045" t="inlineStr">
        <is>
          <t>130005012487</t>
        </is>
      </c>
      <c r="I129" s="2045" t="inlineStr">
        <is>
          <t>N/A</t>
        </is>
      </c>
    </row>
    <row r="130" ht="14.25" customHeight="1" s="1158">
      <c r="A130" s="1207" t="inlineStr">
        <is>
          <t>JT.#98</t>
        </is>
      </c>
      <c r="B130" s="1207" t="inlineStr">
        <is>
          <t>3 1/2" TSH</t>
        </is>
      </c>
      <c r="C130" s="1431" t="n">
        <v>31</v>
      </c>
    </row>
    <row r="131" ht="14.25" customHeight="1" s="1158">
      <c r="A131" s="1207" t="inlineStr">
        <is>
          <t>JT.#99</t>
        </is>
      </c>
      <c r="B131" s="1207" t="inlineStr">
        <is>
          <t>3 1/2" TSH</t>
        </is>
      </c>
      <c r="C131" s="1431" t="n">
        <v>31</v>
      </c>
    </row>
    <row r="132" ht="14.25" customHeight="1" s="1158">
      <c r="A132" s="1207" t="inlineStr">
        <is>
          <t>JT.#100</t>
        </is>
      </c>
      <c r="B132" s="1207" t="inlineStr">
        <is>
          <t>3 1/2" TSH</t>
        </is>
      </c>
      <c r="C132" s="1431" t="n">
        <v>31</v>
      </c>
    </row>
    <row r="133" ht="14.25" customHeight="1" s="1158">
      <c r="A133" s="1207" t="inlineStr">
        <is>
          <t>JT.#101</t>
        </is>
      </c>
      <c r="B133" s="1207" t="inlineStr">
        <is>
          <t>3 1/2" TSH</t>
        </is>
      </c>
      <c r="C133" s="1431" t="n">
        <v>31</v>
      </c>
    </row>
    <row r="134" ht="14.25" customHeight="1" s="1158">
      <c r="A134" s="1207" t="inlineStr">
        <is>
          <t>JT.#102</t>
        </is>
      </c>
      <c r="B134" s="1207" t="inlineStr">
        <is>
          <t>3 1/2" TSH</t>
        </is>
      </c>
      <c r="C134" s="1431" t="n">
        <v>31</v>
      </c>
    </row>
    <row r="135" ht="14.25" customHeight="1" s="1158">
      <c r="A135" s="1207" t="inlineStr">
        <is>
          <t>JT.#103</t>
        </is>
      </c>
      <c r="B135" s="1207" t="inlineStr">
        <is>
          <t>3 1/2" TSH</t>
        </is>
      </c>
      <c r="C135" s="1431" t="n">
        <v>31</v>
      </c>
    </row>
    <row r="136" ht="14.25" customHeight="1" s="1158">
      <c r="A136" s="1207" t="inlineStr">
        <is>
          <t>JT.#104</t>
        </is>
      </c>
      <c r="B136" s="1207" t="inlineStr">
        <is>
          <t>3 1/2" TSH</t>
        </is>
      </c>
      <c r="C136" s="1431" t="n">
        <v>31</v>
      </c>
    </row>
    <row r="137" ht="14.25" customHeight="1" s="1158">
      <c r="A137" s="1207" t="inlineStr">
        <is>
          <t>JT.#105</t>
        </is>
      </c>
      <c r="B137" s="1207" t="inlineStr">
        <is>
          <t>3 1/2" TSH</t>
        </is>
      </c>
      <c r="C137" s="1431" t="n">
        <v>31</v>
      </c>
    </row>
    <row r="138" ht="14.25" customHeight="1" s="1158">
      <c r="A138" s="1207" t="inlineStr">
        <is>
          <t>JT.#106</t>
        </is>
      </c>
      <c r="B138" s="1207" t="inlineStr">
        <is>
          <t>3 1/2" TSH</t>
        </is>
      </c>
      <c r="C138" s="1431" t="n">
        <v>31</v>
      </c>
    </row>
    <row r="139" ht="14.25" customHeight="1" s="1158">
      <c r="A139" s="1207" t="inlineStr">
        <is>
          <t>JT.#107</t>
        </is>
      </c>
      <c r="B139" s="1207" t="inlineStr">
        <is>
          <t>3 1/2" TSH</t>
        </is>
      </c>
      <c r="C139" s="1431" t="n">
        <v>31</v>
      </c>
    </row>
    <row r="140" ht="14.25" customHeight="1" s="1158">
      <c r="A140" s="1207" t="inlineStr">
        <is>
          <t>JT.#108</t>
        </is>
      </c>
      <c r="B140" s="1207" t="inlineStr">
        <is>
          <t>3 1/2" TSH</t>
        </is>
      </c>
      <c r="C140" s="1431" t="n">
        <v>31</v>
      </c>
    </row>
    <row r="141" ht="14.25" customHeight="1" s="1158">
      <c r="A141" s="1207" t="inlineStr">
        <is>
          <t>JT.#109</t>
        </is>
      </c>
      <c r="B141" s="1207" t="inlineStr">
        <is>
          <t>3 1/2" TSH</t>
        </is>
      </c>
      <c r="C141" s="1431" t="n">
        <v>31</v>
      </c>
    </row>
    <row r="142" ht="14.25" customHeight="1" s="1158">
      <c r="A142" s="1207" t="inlineStr">
        <is>
          <t>JT.#110</t>
        </is>
      </c>
      <c r="B142" s="1207" t="inlineStr">
        <is>
          <t>3 1/2" TSH</t>
        </is>
      </c>
      <c r="C142" s="1431" t="n">
        <v>31</v>
      </c>
    </row>
    <row r="143" ht="14.25" customHeight="1" s="1158">
      <c r="A143" s="1207" t="inlineStr">
        <is>
          <t>JT.#111</t>
        </is>
      </c>
      <c r="B143" s="1207" t="inlineStr">
        <is>
          <t>3 1/2" TSH</t>
        </is>
      </c>
      <c r="C143" s="1431" t="n">
        <v>31</v>
      </c>
    </row>
    <row r="144" ht="14.25" customHeight="1" s="1158">
      <c r="A144" s="1207" t="inlineStr">
        <is>
          <t>JT.#112</t>
        </is>
      </c>
      <c r="B144" s="1207" t="inlineStr">
        <is>
          <t>3 1/2" TSH</t>
        </is>
      </c>
      <c r="C144" s="1431" t="n">
        <v>31</v>
      </c>
    </row>
    <row r="145" ht="14.25" customHeight="1" s="1158">
      <c r="A145" s="1207" t="inlineStr">
        <is>
          <t>JT.#113</t>
        </is>
      </c>
      <c r="B145" s="1207" t="inlineStr">
        <is>
          <t>3 1/2" TSH</t>
        </is>
      </c>
      <c r="C145" s="1431" t="n">
        <v>31</v>
      </c>
    </row>
    <row r="146" ht="14.25" customHeight="1" s="1158">
      <c r="A146" s="1207" t="inlineStr">
        <is>
          <t>JT.#114</t>
        </is>
      </c>
      <c r="B146" s="1207" t="inlineStr">
        <is>
          <t>3 1/2" TSH</t>
        </is>
      </c>
      <c r="C146" s="1431" t="n">
        <v>31</v>
      </c>
    </row>
    <row r="147" ht="14.25" customHeight="1" s="1158">
      <c r="A147" s="1207" t="inlineStr">
        <is>
          <t>JT.#115</t>
        </is>
      </c>
      <c r="B147" s="1207" t="inlineStr">
        <is>
          <t>3 1/2" TSH</t>
        </is>
      </c>
      <c r="C147" s="1431" t="n">
        <v>31</v>
      </c>
    </row>
    <row r="148" ht="14.25" customHeight="1" s="1158">
      <c r="A148" s="1207" t="inlineStr">
        <is>
          <t>JT.#116</t>
        </is>
      </c>
      <c r="B148" s="1207" t="inlineStr">
        <is>
          <t>3 1/2" TSH</t>
        </is>
      </c>
      <c r="C148" s="1431" t="n">
        <v>31</v>
      </c>
    </row>
    <row r="149" ht="14.25" customHeight="1" s="1158">
      <c r="A149" s="1207" t="inlineStr">
        <is>
          <t>JT.#117</t>
        </is>
      </c>
      <c r="B149" s="1207" t="inlineStr">
        <is>
          <t>3 1/2" TSH</t>
        </is>
      </c>
      <c r="C149" s="1431" t="n">
        <v>31</v>
      </c>
    </row>
    <row r="150" ht="72" customHeight="1" s="1158">
      <c r="A150" s="2046" t="inlineStr">
        <is>
          <t>D4</t>
        </is>
      </c>
      <c r="B150" s="2047" t="inlineStr">
        <is>
          <t>UPPER CONN. 3-1/2" VAM TOP BOX 9.2 PPF SN 28 110 KSI
DESCRIPTION: 5 FEET XOVER
SAP: 130005011340
SUPPLIER: TENARIS
LOWER CONN. 3-1/2" TSH BLUE PIN 9.2 PPF SN 28 110 KSI</t>
        </is>
      </c>
      <c r="C150" s="2048" t="n">
        <v>5.18</v>
      </c>
      <c r="D150" s="2049" t="n">
        <v>3.908</v>
      </c>
      <c r="E150" s="2049" t="n">
        <v>2.959</v>
      </c>
      <c r="F150" s="2050" t="inlineStr">
        <is>
          <t>N/A</t>
        </is>
      </c>
      <c r="G150" s="2050" t="inlineStr">
        <is>
          <t>N/A</t>
        </is>
      </c>
      <c r="H150" s="2050" t="inlineStr">
        <is>
          <t>130005011340</t>
        </is>
      </c>
      <c r="I150" s="2050" t="inlineStr">
        <is>
          <t>N/A</t>
        </is>
      </c>
    </row>
    <row r="151" ht="72" customHeight="1" s="1158">
      <c r="B151" s="2047" t="inlineStr">
        <is>
          <t>UPPER CONN. 3-1/2" SENTINEL PRIME BOX 9.2 PPF TX28-110 KSI
DESCRIPTION: 5 FEET XOVER
SAP: 130013006385
SUPPLIER: TBX
LOWER CONN. 3-1/2" VAM TOP PIN 9.2 PPF TX28-110 KSI</t>
        </is>
      </c>
      <c r="C151" s="2048" t="n">
        <v>4.96</v>
      </c>
      <c r="D151" s="2049" t="n">
        <v>3.929</v>
      </c>
      <c r="E151" s="2049" t="n">
        <v>2.921</v>
      </c>
      <c r="F151" s="2050" t="inlineStr">
        <is>
          <t>N/A</t>
        </is>
      </c>
      <c r="G151" s="2050" t="inlineStr">
        <is>
          <t>N/A</t>
        </is>
      </c>
      <c r="H151" s="2050" t="inlineStr">
        <is>
          <t>130013006385</t>
        </is>
      </c>
      <c r="I151" s="2050" t="inlineStr">
        <is>
          <t>N/A</t>
        </is>
      </c>
    </row>
    <row r="152" ht="129" customHeight="1" s="1158">
      <c r="B152" s="2047"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2048" t="n">
        <v>8.69</v>
      </c>
      <c r="D152" s="2049" t="n">
        <v>5.82</v>
      </c>
      <c r="E152" s="2049" t="n">
        <v>2.9</v>
      </c>
      <c r="F152" s="2050" t="inlineStr">
        <is>
          <t>3205577</t>
        </is>
      </c>
      <c r="G152" s="2050" t="inlineStr">
        <is>
          <t>12696654-13</t>
        </is>
      </c>
      <c r="H152" s="2050" t="inlineStr">
        <is>
          <t>130010036652</t>
        </is>
      </c>
      <c r="I152" s="2050" t="inlineStr">
        <is>
          <t>N/A</t>
        </is>
      </c>
    </row>
    <row r="153" ht="72" customHeight="1" s="1158">
      <c r="B153" s="2047" t="inlineStr">
        <is>
          <t>UPPER CONN. 3-1/2" VAM TOP BOX 9.2 PPF TX28- 110 KSI
DESCRIPTION: 10 FEET XOVER
SAP: 1130013006387
SUPPLIER: TBX
LOWER CONN-3-1/2" SENTINELPRIME PIN 9.2 PPF TX28110 KSI</t>
        </is>
      </c>
      <c r="C153" s="2048" t="n">
        <v>9.779999999999999</v>
      </c>
      <c r="D153" s="2049" t="n">
        <v>3.908</v>
      </c>
      <c r="E153" s="2049" t="n">
        <v>2.959</v>
      </c>
      <c r="F153" s="2050" t="inlineStr">
        <is>
          <t>N/A</t>
        </is>
      </c>
      <c r="G153" s="2050" t="inlineStr">
        <is>
          <t>N/A</t>
        </is>
      </c>
      <c r="H153" s="2050" t="inlineStr">
        <is>
          <t>1130013006387</t>
        </is>
      </c>
      <c r="I153" s="2050" t="inlineStr">
        <is>
          <t>N/A</t>
        </is>
      </c>
    </row>
    <row r="154" ht="72" customHeight="1" s="1158">
      <c r="B154" s="2047" t="inlineStr">
        <is>
          <t>UPPER CONN. 3-1/2" TSH BLUE BOX 9.2 PPF SN 28 110 KSI
DESCRIPTION: 5 FEET XOVER
SAP: 130005011340
SUPPLIER: TENARIS
LOWER CONN. 3-1/2" VAM TOP PIN 9.2 PPF SN 28 110 KSI</t>
        </is>
      </c>
      <c r="C154" s="2048" t="n">
        <v>4.96</v>
      </c>
      <c r="D154" s="2049" t="n">
        <v>3.937</v>
      </c>
      <c r="E154" s="2049" t="n">
        <v>2.969</v>
      </c>
      <c r="F154" s="2050" t="inlineStr">
        <is>
          <t>N/A</t>
        </is>
      </c>
      <c r="G154" s="2050" t="inlineStr">
        <is>
          <t>N/A</t>
        </is>
      </c>
      <c r="H154" s="2050" t="inlineStr">
        <is>
          <t>130005011340</t>
        </is>
      </c>
      <c r="I154" s="2050" t="inlineStr">
        <is>
          <t>N/A</t>
        </is>
      </c>
    </row>
    <row r="155" ht="14.25" customHeight="1" s="1158">
      <c r="A155" s="1207" t="inlineStr">
        <is>
          <t>JT.#118</t>
        </is>
      </c>
      <c r="B155" s="1207" t="inlineStr">
        <is>
          <t>3 1/2" TSH</t>
        </is>
      </c>
      <c r="C155" s="1431" t="n">
        <v>31</v>
      </c>
    </row>
    <row r="156" ht="14.25" customHeight="1" s="1158">
      <c r="A156" s="1207" t="inlineStr">
        <is>
          <t>JT.#119</t>
        </is>
      </c>
      <c r="B156" s="1207" t="inlineStr">
        <is>
          <t>3 1/2" TSH</t>
        </is>
      </c>
      <c r="C156" s="1431" t="n">
        <v>31</v>
      </c>
    </row>
    <row r="157" ht="14.25" customHeight="1" s="1158">
      <c r="A157" s="1207" t="inlineStr">
        <is>
          <t>JT.#120</t>
        </is>
      </c>
      <c r="B157" s="1207" t="inlineStr">
        <is>
          <t>3 1/2" TSH</t>
        </is>
      </c>
      <c r="C157" s="1431" t="n">
        <v>31</v>
      </c>
    </row>
    <row r="158" ht="14.25" customHeight="1" s="1158">
      <c r="A158" s="1207" t="inlineStr">
        <is>
          <t>JT.#121</t>
        </is>
      </c>
      <c r="B158" s="1207" t="inlineStr">
        <is>
          <t>3 1/2" TSH</t>
        </is>
      </c>
      <c r="C158" s="1431" t="n">
        <v>31</v>
      </c>
    </row>
    <row r="159" ht="14.25" customHeight="1" s="1158">
      <c r="A159" s="1207" t="inlineStr">
        <is>
          <t>JT.#122</t>
        </is>
      </c>
      <c r="B159" s="1207" t="inlineStr">
        <is>
          <t>3 1/2" TSH</t>
        </is>
      </c>
      <c r="C159" s="1431" t="n">
        <v>31</v>
      </c>
    </row>
    <row r="160" ht="14.25" customHeight="1" s="1158">
      <c r="A160" s="1207" t="inlineStr">
        <is>
          <t>JT.#123</t>
        </is>
      </c>
      <c r="B160" s="1207" t="inlineStr">
        <is>
          <t>3 1/2" TSH</t>
        </is>
      </c>
      <c r="C160" s="1431" t="n">
        <v>31</v>
      </c>
    </row>
    <row r="161" ht="14.25" customHeight="1" s="1158">
      <c r="A161" s="1207" t="inlineStr">
        <is>
          <t>JT.#124</t>
        </is>
      </c>
      <c r="B161" s="1207" t="inlineStr">
        <is>
          <t>3 1/2" TSH</t>
        </is>
      </c>
      <c r="C161" s="1431" t="n">
        <v>31</v>
      </c>
    </row>
    <row r="162" ht="14.25" customHeight="1" s="1158">
      <c r="A162" s="1207" t="inlineStr">
        <is>
          <t>JT.#125</t>
        </is>
      </c>
      <c r="B162" s="1207" t="inlineStr">
        <is>
          <t>3 1/2" TSH</t>
        </is>
      </c>
      <c r="C162" s="1431" t="n">
        <v>31</v>
      </c>
    </row>
    <row r="163" ht="14.25" customHeight="1" s="1158">
      <c r="A163" s="1207" t="inlineStr">
        <is>
          <t>JT.#126</t>
        </is>
      </c>
      <c r="B163" s="1207" t="inlineStr">
        <is>
          <t>3 1/2" TSH</t>
        </is>
      </c>
      <c r="C163" s="1431" t="n">
        <v>31</v>
      </c>
    </row>
    <row r="164" ht="14.25" customHeight="1" s="1158">
      <c r="A164" s="1207" t="inlineStr">
        <is>
          <t>JT.#127</t>
        </is>
      </c>
      <c r="B164" s="1207" t="inlineStr">
        <is>
          <t>3 1/2" TSH</t>
        </is>
      </c>
      <c r="C164" s="1431" t="n">
        <v>31</v>
      </c>
    </row>
    <row r="165" ht="14.25" customHeight="1" s="1158">
      <c r="A165" s="1207" t="inlineStr">
        <is>
          <t>JT.#128</t>
        </is>
      </c>
      <c r="B165" s="1207" t="inlineStr">
        <is>
          <t>3 1/2" TSH</t>
        </is>
      </c>
      <c r="C165" s="1431" t="n">
        <v>31</v>
      </c>
    </row>
    <row r="166" ht="14.25" customHeight="1" s="1158">
      <c r="A166" s="1207" t="inlineStr">
        <is>
          <t>JT.#129</t>
        </is>
      </c>
      <c r="B166" s="1207" t="inlineStr">
        <is>
          <t>3 1/2" TSH</t>
        </is>
      </c>
      <c r="C166" s="1431" t="n">
        <v>31</v>
      </c>
    </row>
    <row r="167" ht="14.25" customHeight="1" s="1158">
      <c r="A167" s="1207" t="inlineStr">
        <is>
          <t>JT.#130</t>
        </is>
      </c>
      <c r="B167" s="1207" t="inlineStr">
        <is>
          <t>3 1/2" TSH</t>
        </is>
      </c>
      <c r="C167" s="1431" t="n">
        <v>31</v>
      </c>
    </row>
    <row r="168" ht="14.25" customHeight="1" s="1158">
      <c r="A168" s="1207" t="inlineStr">
        <is>
          <t>JT.#131</t>
        </is>
      </c>
      <c r="B168" s="1207" t="inlineStr">
        <is>
          <t>3 1/2" TSH</t>
        </is>
      </c>
      <c r="C168" s="1431" t="n">
        <v>31</v>
      </c>
    </row>
    <row r="169" ht="14.25" customHeight="1" s="1158">
      <c r="A169" s="1207" t="inlineStr">
        <is>
          <t>JT.#132</t>
        </is>
      </c>
      <c r="B169" s="1207" t="inlineStr">
        <is>
          <t>3 1/2" TSH</t>
        </is>
      </c>
      <c r="C169" s="1431" t="n">
        <v>31</v>
      </c>
    </row>
    <row r="170" ht="14.25" customHeight="1" s="1158">
      <c r="A170" s="1207" t="inlineStr">
        <is>
          <t>JT.#133</t>
        </is>
      </c>
      <c r="B170" s="1207" t="inlineStr">
        <is>
          <t>3 1/2" TSH</t>
        </is>
      </c>
      <c r="C170" s="1431" t="n">
        <v>31</v>
      </c>
    </row>
    <row r="171" ht="14.25" customHeight="1" s="1158">
      <c r="A171" s="1207" t="inlineStr">
        <is>
          <t>JT.#134</t>
        </is>
      </c>
      <c r="B171" s="1207" t="inlineStr">
        <is>
          <t>3 1/2" TSH</t>
        </is>
      </c>
      <c r="C171" s="1431" t="n">
        <v>31</v>
      </c>
    </row>
    <row r="172" ht="14.25" customHeight="1" s="1158">
      <c r="A172" s="1207" t="inlineStr">
        <is>
          <t>JT.#135</t>
        </is>
      </c>
      <c r="B172" s="1207" t="inlineStr">
        <is>
          <t>3 1/2" TSH</t>
        </is>
      </c>
      <c r="C172" s="1431" t="n">
        <v>31</v>
      </c>
    </row>
    <row r="173" ht="14.25" customHeight="1" s="1158">
      <c r="A173" s="1207" t="inlineStr">
        <is>
          <t>JT.#136</t>
        </is>
      </c>
      <c r="B173" s="1207" t="inlineStr">
        <is>
          <t>3 1/2" TSH</t>
        </is>
      </c>
      <c r="C173" s="1431" t="n">
        <v>31</v>
      </c>
    </row>
    <row r="174" ht="14.25" customHeight="1" s="1158">
      <c r="A174" s="1207" t="inlineStr">
        <is>
          <t>JT.#137</t>
        </is>
      </c>
      <c r="B174" s="1207" t="inlineStr">
        <is>
          <t>3 1/2" TSH</t>
        </is>
      </c>
      <c r="C174" s="1431" t="n">
        <v>31</v>
      </c>
    </row>
    <row r="175" ht="72" customHeight="1" s="1158">
      <c r="A175" s="2051" t="inlineStr">
        <is>
          <t>F</t>
        </is>
      </c>
      <c r="B175" s="2052" t="inlineStr">
        <is>
          <t>UPPER CONN. 3-1/2" VAM TOP BOX 9.2 PPF SN 28 110 KSI
DESCRIPTION: 5 FEET XOVER
SAP: 130005011340
SUPPLIER: TENARIS
UPPER CONN. 3-1/2" TSH BLUE PIN 9.2 PPF SN 28 110 KSI</t>
        </is>
      </c>
      <c r="C175" s="2053" t="n">
        <v>5.02</v>
      </c>
      <c r="D175" s="2054" t="n">
        <v>3.908</v>
      </c>
      <c r="E175" s="2054" t="n">
        <v>2.959</v>
      </c>
      <c r="F175" s="2055" t="inlineStr">
        <is>
          <t>N/A</t>
        </is>
      </c>
      <c r="G175" s="2055" t="inlineStr">
        <is>
          <t>N/A</t>
        </is>
      </c>
      <c r="H175" s="2055" t="inlineStr">
        <is>
          <t>130005011340</t>
        </is>
      </c>
      <c r="I175" s="2055" t="inlineStr">
        <is>
          <t>N/A</t>
        </is>
      </c>
    </row>
    <row r="176" ht="100.5" customHeight="1" s="1158">
      <c r="B176" s="2052" t="inlineStr">
        <is>
          <t>UPPER CONN. 3-1/2" VAM TOP 9.2#PPF INCOLOY 925 BOX
DESCRIPTION: FLOW COUPLING
PN: 2996124
S/N: 130777-04-001
SAP: 130010035671
S UPPLIER: WEATHERFORD
LOWER CONN. 3-1/2" VAM TOP 9.2#PPF</t>
        </is>
      </c>
      <c r="C176" s="2053" t="n">
        <v>5.75</v>
      </c>
      <c r="D176" s="2054" t="n">
        <v>3.937</v>
      </c>
      <c r="E176" s="2054" t="n">
        <v>2.949</v>
      </c>
      <c r="F176" s="2055" t="inlineStr">
        <is>
          <t>2996124</t>
        </is>
      </c>
      <c r="G176" s="2055" t="inlineStr">
        <is>
          <t>130777-04-001</t>
        </is>
      </c>
      <c r="H176" s="2055" t="inlineStr">
        <is>
          <t>130010035671</t>
        </is>
      </c>
      <c r="I176" s="2055" t="inlineStr">
        <is>
          <t>N/A</t>
        </is>
      </c>
    </row>
    <row r="177" ht="144" customHeight="1" s="1158">
      <c r="B177" s="2052" t="inlineStr">
        <is>
          <t>UPPER CONN. 3-1/2" VAM TOP 9.2#PPF
INCOLOY 925
BOX
DESCRIPTION: WEATHERFORD ASSY, TRSV,3.5WZPE-10
2.813WOR,2kSD,9.2# VAM TOP, WN302
PN: 2980845
S/N: 12777594-01
SAP: 130010038007
SUPPLIER: WEATHERFORD
LOWER CONN. 3-1/2" VAM TOP 9.2#PPF</t>
        </is>
      </c>
      <c r="C177" s="2053" t="n">
        <v>4.44</v>
      </c>
      <c r="D177" s="2054" t="n">
        <v>5.46</v>
      </c>
      <c r="E177" s="2054" t="n">
        <v>2.813</v>
      </c>
      <c r="F177" s="2055" t="inlineStr">
        <is>
          <t>2980845</t>
        </is>
      </c>
      <c r="G177" s="2055" t="inlineStr">
        <is>
          <t>12777594-01</t>
        </is>
      </c>
      <c r="H177" s="2055" t="inlineStr">
        <is>
          <t>130010038007</t>
        </is>
      </c>
      <c r="I177" s="2055" t="inlineStr">
        <is>
          <t>N/A</t>
        </is>
      </c>
    </row>
    <row r="178" ht="129" customHeight="1" s="1158">
      <c r="B178" s="2052" t="inlineStr">
        <is>
          <t>UPPER CONN. 3-1/2" VAM TOP 9.2#PPF
INCOLOY 925
BOX
DESCRIPTION: FLOW COUPLING
P/N: 2996124
S/N: 130777-02-002
SAP: 130010035671
SUPPLIER: WEATHERFORD
LOWER CONN. 3-1/2" VAM TOP 9.2#PPF</t>
        </is>
      </c>
      <c r="C178" s="2053" t="n">
        <v>5.75</v>
      </c>
      <c r="D178" s="2054" t="n">
        <v>3.937</v>
      </c>
      <c r="E178" s="2054" t="n">
        <v>2.949</v>
      </c>
      <c r="F178" s="2055" t="inlineStr">
        <is>
          <t>2996124</t>
        </is>
      </c>
      <c r="G178" s="2055" t="inlineStr">
        <is>
          <t>130777-02-002</t>
        </is>
      </c>
      <c r="H178" s="2055" t="inlineStr">
        <is>
          <t>130010035671</t>
        </is>
      </c>
      <c r="I178" s="2055" t="inlineStr">
        <is>
          <t>N/A</t>
        </is>
      </c>
    </row>
    <row r="179" ht="72" customHeight="1" s="1158">
      <c r="B179" s="2052" t="inlineStr">
        <is>
          <t>UPPER CONN. 3-1/2" TSH BLUE BOX 9.2 PPF SN 28 110 KSI
DESCRIPTION: 10 FEET XOVER
SAP: 130005012487
SUPPLIER: TENARIS
LOWER CONN. 3-1/2" VAM TOP PIN 9.2 PPF SN 28 110 KSI</t>
        </is>
      </c>
      <c r="C179" s="2053" t="n">
        <v>9.93</v>
      </c>
      <c r="D179" s="2054" t="n">
        <v>3.937</v>
      </c>
      <c r="E179" s="2054" t="n">
        <v>2.969</v>
      </c>
      <c r="F179" s="2055" t="inlineStr">
        <is>
          <t>N/A</t>
        </is>
      </c>
      <c r="G179" s="2055" t="inlineStr">
        <is>
          <t>N/A</t>
        </is>
      </c>
      <c r="H179" s="2055" t="inlineStr">
        <is>
          <t>130005012487</t>
        </is>
      </c>
      <c r="I179" s="2055" t="inlineStr">
        <is>
          <t>N/A</t>
        </is>
      </c>
    </row>
    <row r="180" ht="14.25" customHeight="1" s="1158">
      <c r="A180" s="1207" t="inlineStr">
        <is>
          <t>JT.#138</t>
        </is>
      </c>
      <c r="B180" s="1207" t="inlineStr">
        <is>
          <t>3 1/2" TSH</t>
        </is>
      </c>
      <c r="C180" s="1431" t="n">
        <v>31</v>
      </c>
    </row>
    <row r="181" ht="14.25" customHeight="1" s="1158">
      <c r="A181" s="1207" t="inlineStr">
        <is>
          <t>JT.#139</t>
        </is>
      </c>
      <c r="B181" s="1207" t="inlineStr">
        <is>
          <t>3 1/2" TSH</t>
        </is>
      </c>
      <c r="C181" s="1431" t="n">
        <v>31</v>
      </c>
    </row>
    <row r="182" ht="14.25" customHeight="1" s="1158">
      <c r="A182" s="1207" t="inlineStr">
        <is>
          <t>JT.#140</t>
        </is>
      </c>
      <c r="B182" s="1207" t="inlineStr">
        <is>
          <t>3 1/2" TSH</t>
        </is>
      </c>
      <c r="C182" s="1431" t="n">
        <v>31</v>
      </c>
    </row>
    <row r="183" ht="14.25" customHeight="1" s="1158">
      <c r="A183" s="1207" t="inlineStr">
        <is>
          <t>JT.#141</t>
        </is>
      </c>
      <c r="B183" s="1207" t="inlineStr">
        <is>
          <t>3 1/2" TSH</t>
        </is>
      </c>
      <c r="C183" s="1431" t="n">
        <v>31</v>
      </c>
    </row>
    <row r="184" ht="14.25" customHeight="1" s="1158">
      <c r="A184" s="1207" t="inlineStr">
        <is>
          <t>JT.#142</t>
        </is>
      </c>
      <c r="B184" s="1207" t="inlineStr">
        <is>
          <t>3 1/2" TSH</t>
        </is>
      </c>
      <c r="C184" s="1431" t="n">
        <v>31</v>
      </c>
    </row>
    <row r="185" ht="72" customHeight="1" s="1158">
      <c r="A185" s="2056" t="inlineStr">
        <is>
          <t>F - 1</t>
        </is>
      </c>
      <c r="B185" s="2057" t="inlineStr">
        <is>
          <t>UPPER CONN. 3-1/2" TENARIS BLUE 9.2#PPF SN 28 110 KSI
DESCRIPTION: 5 FEET PUP JOINT
SAP: 130005011338
SUPPLIER:TENARIS
LOWER CONN. 3-1/2" TENARIS BLUE 9.2#PPF SN 28 110 KSI</t>
        </is>
      </c>
      <c r="C185" s="2058" t="n">
        <v>5.08</v>
      </c>
      <c r="D185" s="2059" t="n">
        <v>3.937</v>
      </c>
      <c r="E185" s="2059" t="n">
        <v>2.969</v>
      </c>
      <c r="F185" s="2060" t="inlineStr">
        <is>
          <t>N/A</t>
        </is>
      </c>
      <c r="G185" s="2060" t="inlineStr">
        <is>
          <t>N/A</t>
        </is>
      </c>
      <c r="H185" s="2060" t="inlineStr">
        <is>
          <t>130005011338</t>
        </is>
      </c>
      <c r="I185" s="2060" t="inlineStr">
        <is>
          <t>N/A</t>
        </is>
      </c>
    </row>
    <row r="186" ht="72" customHeight="1" s="1158">
      <c r="B186" s="2057" t="inlineStr">
        <is>
          <t>UPPER CONN. 4-1/2" VAM TOP 12.6 #PPF SN 28 120 KSI BOX
DESCRIPTION : X OVER
4 1/2 PIN TOP X 3 1/2 PIN BTM
SAP: 130005012767 SUPPLIER: TENARIS
LOWER CONN. 3-1/2" TENARIS BLUE 9.2#PPF SN 28 120 KSI PIN</t>
        </is>
      </c>
      <c r="C186" s="2058" t="n">
        <v>2.48</v>
      </c>
      <c r="D186" s="2059" t="n">
        <v>4.5</v>
      </c>
      <c r="E186" s="2059" t="n">
        <v>2.969</v>
      </c>
      <c r="F186" s="2060" t="inlineStr">
        <is>
          <t>N/A</t>
        </is>
      </c>
      <c r="G186" s="2060" t="inlineStr">
        <is>
          <t>N/A</t>
        </is>
      </c>
      <c r="H186" s="2060" t="inlineStr">
        <is>
          <t>130005012767</t>
        </is>
      </c>
      <c r="I186" s="2060" t="inlineStr">
        <is>
          <t>N/A</t>
        </is>
      </c>
    </row>
    <row r="187" ht="114.75" customHeight="1" s="1158">
      <c r="B187" s="2057" t="inlineStr">
        <is>
          <t>UPPER CONN. 4-1/2" VAM TOP 12.6 #PPF INC 718 120 KSI BOX
DESCRIPTION: GE TBGHGR; CWCT-ED-CLL; 11 X 4-1/2; 4-1/2 12.6 PPF
VAM TOP BOX BTM; 4-1/2 VAM
P/N: R893330-1ADC11 REV D
S/N - ADWHT80698-05
SAP: 130010044633
SUPPLIER: GE
LOWER CONN. 4-1/2" VAM TOP 12.6 #PPF INC 718 120 KSI BOX</t>
        </is>
      </c>
      <c r="C187" s="2058" t="n">
        <v>1.9</v>
      </c>
      <c r="D187" s="2059" t="n">
        <v>11</v>
      </c>
      <c r="E187" s="2059" t="n">
        <v>3.9</v>
      </c>
      <c r="F187" s="2060" t="inlineStr">
        <is>
          <t>R893330-1ADC11 REV D</t>
        </is>
      </c>
      <c r="G187" s="2060" t="inlineStr">
        <is>
          <t>ADWHT80698-05</t>
        </is>
      </c>
      <c r="H187" s="2060" t="inlineStr">
        <is>
          <t>130010044633</t>
        </is>
      </c>
      <c r="I187" s="2060" t="inlineStr">
        <is>
          <t>N/A</t>
        </is>
      </c>
    </row>
    <row r="188" ht="86.25" customHeight="1" s="1158">
      <c r="B188" s="2057" t="inlineStr">
        <is>
          <t>UPPER CONN. 4-1/2" VAMTOP 12.6# L80
Box
DESCRIPTION: 30' LANDING JOINT
SAP: 130005009160
SUPPLIER:VAM
LOWER CONN. 4-1/2" VAMTOP 12.6# L80 PIN</t>
        </is>
      </c>
      <c r="C188" s="2058" t="n">
        <v>24.82</v>
      </c>
      <c r="D188" s="2059" t="n">
        <v>4.937</v>
      </c>
      <c r="E188" s="2059" t="n">
        <v>3.913</v>
      </c>
      <c r="F188" s="2060" t="inlineStr">
        <is>
          <t>N/A</t>
        </is>
      </c>
      <c r="G188" s="2060" t="inlineStr">
        <is>
          <t>N/A</t>
        </is>
      </c>
      <c r="H188" s="2060" t="inlineStr">
        <is>
          <t>130005009160</t>
        </is>
      </c>
      <c r="I188" s="2060" t="inlineStr">
        <is>
          <t>N/A</t>
        </is>
      </c>
    </row>
    <row r="190" ht="91" customHeight="1" s="1158">
      <c r="A190" s="2061" t="inlineStr">
        <is>
          <t>A</t>
        </is>
      </c>
      <c r="B190" s="2062" t="inlineStr">
        <is>
          <t>UPPER CONN. 3-1/2" VAM TOP 9.2#PPF BOX VM 28 110 KSI
DESCRIPTION: WIRELINE ENTRY GUIDE
SN: 16339547-10-008
PN 2996481
SAP: 130010036277
SUPPLIER: WEATHERFORD</t>
        </is>
      </c>
      <c r="C190" s="2063" t="n">
        <v>0.6</v>
      </c>
      <c r="D190" s="2064" t="n">
        <v>3.937</v>
      </c>
      <c r="E190" s="2064" t="n">
        <v>2.949</v>
      </c>
      <c r="F190" s="2065" t="inlineStr">
        <is>
          <t>2996481</t>
        </is>
      </c>
      <c r="G190" s="2065" t="inlineStr">
        <is>
          <t>16339547-10-008</t>
        </is>
      </c>
      <c r="H190" s="2065" t="inlineStr">
        <is>
          <t>130010036277</t>
        </is>
      </c>
      <c r="I190" s="2065" t="inlineStr">
        <is>
          <t>N/A</t>
        </is>
      </c>
    </row>
    <row r="191" ht="76.09999999999999" customHeight="1" s="1158">
      <c r="B191" s="2062" t="inlineStr">
        <is>
          <t>UPPER CONN. 3-1/2" TSH BLUE BOX 9.2 PPF SN 28 110 KSI
DESCRIPTION: 5 FEET XOVER
SAP: 130005011340
SUPPLIER: TENARIS
LOWER CONN. 3-1/2" VAM TOP PIN 9.2 PPF SN 28 110 KSI</t>
        </is>
      </c>
      <c r="C191" s="2063" t="n">
        <v>4.96</v>
      </c>
      <c r="D191" s="2064" t="n">
        <v>3.937</v>
      </c>
      <c r="E191" s="2064" t="n">
        <v>2.969</v>
      </c>
      <c r="F191" s="2065" t="inlineStr">
        <is>
          <t>N/A</t>
        </is>
      </c>
      <c r="G191" s="2065" t="inlineStr">
        <is>
          <t>N/A</t>
        </is>
      </c>
      <c r="H191" s="2065" t="inlineStr">
        <is>
          <t>130005011340</t>
        </is>
      </c>
      <c r="I191" s="2065" t="inlineStr">
        <is>
          <t>N/A</t>
        </is>
      </c>
    </row>
    <row r="192" ht="14.25" customHeight="1" s="1158">
      <c r="A192" s="1207" t="inlineStr">
        <is>
          <t>JT.#1</t>
        </is>
      </c>
      <c r="B192" s="1207" t="inlineStr">
        <is>
          <t>3-1/2" TUBING 9.2 LB/FT ALLOY 28 TSH BL</t>
        </is>
      </c>
      <c r="C192" s="1431" t="n">
        <v>31</v>
      </c>
    </row>
    <row r="193" ht="14.25" customHeight="1" s="1158">
      <c r="A193" s="1207" t="inlineStr">
        <is>
          <t>JT.#2</t>
        </is>
      </c>
      <c r="B193" s="1207" t="inlineStr">
        <is>
          <t>3-1/2" TUBING 9.2 LB/FT ALLOY 28 TSH BL</t>
        </is>
      </c>
      <c r="C193" s="1431" t="n">
        <v>31</v>
      </c>
    </row>
    <row r="194" ht="14.25" customHeight="1" s="1158">
      <c r="A194" s="1207" t="inlineStr">
        <is>
          <t>JT.#3</t>
        </is>
      </c>
      <c r="B194" s="1207" t="inlineStr">
        <is>
          <t>3-1/2" TUBING 9.2 LB/FT ALLOY 28 TSH BL</t>
        </is>
      </c>
      <c r="C194" s="1431" t="n">
        <v>31</v>
      </c>
    </row>
    <row r="195" ht="14.25" customHeight="1" s="1158">
      <c r="A195" s="1207" t="inlineStr">
        <is>
          <t>JT.#4</t>
        </is>
      </c>
      <c r="B195" s="1207" t="inlineStr">
        <is>
          <t>3-1/2" TUBING 9.2 LB/FT ALLOY 28 TSH BL</t>
        </is>
      </c>
      <c r="C195" s="1431" t="n">
        <v>31</v>
      </c>
    </row>
    <row r="196" ht="14.25" customHeight="1" s="1158">
      <c r="A196" s="1207" t="inlineStr">
        <is>
          <t>JT.#5</t>
        </is>
      </c>
      <c r="B196" s="1207" t="inlineStr">
        <is>
          <t>3-1/2" TUBING 9.2 LB/FT ALLOY 28 TSH BL</t>
        </is>
      </c>
      <c r="C196" s="1431" t="n">
        <v>31</v>
      </c>
    </row>
    <row r="197" ht="14.25" customHeight="1" s="1158">
      <c r="A197" s="1207" t="inlineStr">
        <is>
          <t>JT.#6</t>
        </is>
      </c>
      <c r="B197" s="1207" t="inlineStr">
        <is>
          <t>3-1/2" TUBING 9.2 LB/FT ALLOY 28 TSH BL</t>
        </is>
      </c>
      <c r="C197" s="1431" t="n">
        <v>31</v>
      </c>
    </row>
    <row r="198" ht="14.25" customHeight="1" s="1158">
      <c r="A198" s="1207" t="inlineStr">
        <is>
          <t>JT.#7</t>
        </is>
      </c>
      <c r="B198" s="1207" t="inlineStr">
        <is>
          <t>3-1/2" TUBING 9.2 LB/FT ALLOY 28 TSH BL</t>
        </is>
      </c>
      <c r="C198" s="1431" t="n">
        <v>31</v>
      </c>
    </row>
    <row r="199" ht="14.25" customHeight="1" s="1158">
      <c r="A199" s="1207" t="inlineStr">
        <is>
          <t>JT.#8</t>
        </is>
      </c>
      <c r="B199" s="1207" t="inlineStr">
        <is>
          <t>3-1/2" TUBING 9.2 LB/FT ALLOY 28 TSH BL</t>
        </is>
      </c>
      <c r="C199" s="1431" t="n">
        <v>31</v>
      </c>
    </row>
    <row r="200" ht="14.25" customHeight="1" s="1158">
      <c r="A200" s="1207" t="inlineStr">
        <is>
          <t>JT.#9</t>
        </is>
      </c>
      <c r="B200" s="1207" t="inlineStr">
        <is>
          <t>3-1/2" TUBING 9.2 LB/FT ALLOY 28 TSH BL</t>
        </is>
      </c>
      <c r="C200" s="1431" t="n">
        <v>31</v>
      </c>
    </row>
    <row r="201" ht="14.25" customHeight="1" s="1158">
      <c r="A201" s="1207" t="inlineStr">
        <is>
          <t>JT.#10</t>
        </is>
      </c>
      <c r="B201" s="1207" t="inlineStr">
        <is>
          <t>3-1/2" TUBING 9.2 LB/FT ALLOY 28 TSH BL</t>
        </is>
      </c>
      <c r="C201" s="1431" t="n">
        <v>31</v>
      </c>
    </row>
    <row r="202" ht="14.25" customHeight="1" s="1158">
      <c r="A202" s="1207" t="inlineStr">
        <is>
          <t>JT.#11</t>
        </is>
      </c>
      <c r="B202" s="1207" t="inlineStr">
        <is>
          <t>3-1/2" TUBING 9.2 LB/FT ALLOY 28 TSH BL</t>
        </is>
      </c>
      <c r="C202" s="1431" t="n">
        <v>31</v>
      </c>
    </row>
    <row r="203" ht="14.25" customHeight="1" s="1158">
      <c r="A203" s="1207" t="inlineStr">
        <is>
          <t>JT.#12</t>
        </is>
      </c>
      <c r="B203" s="1207" t="inlineStr">
        <is>
          <t>3-1/2" TUBING 9.2 LB/FT ALLOY 28 TSH BL</t>
        </is>
      </c>
      <c r="C203" s="1431" t="n">
        <v>31</v>
      </c>
    </row>
    <row r="204" ht="14.25" customHeight="1" s="1158">
      <c r="A204" s="1207" t="inlineStr">
        <is>
          <t>JT.#13</t>
        </is>
      </c>
      <c r="B204" s="1207" t="inlineStr">
        <is>
          <t>3-1/2" TUBING 9.2 LB/FT ALLOY 28 TSH BL</t>
        </is>
      </c>
      <c r="C204" s="1431" t="n">
        <v>31</v>
      </c>
    </row>
    <row r="205" ht="14.25" customHeight="1" s="1158">
      <c r="A205" s="1207" t="inlineStr">
        <is>
          <t>JT.#14</t>
        </is>
      </c>
      <c r="B205" s="1207" t="inlineStr">
        <is>
          <t>3-1/2" TUBING 9.2 LB/FT ALLOY 28 TSH BL</t>
        </is>
      </c>
      <c r="C205" s="1431" t="n">
        <v>31</v>
      </c>
    </row>
    <row r="206" ht="14.25" customHeight="1" s="1158">
      <c r="A206" s="1207" t="inlineStr">
        <is>
          <t>JT.#15</t>
        </is>
      </c>
      <c r="B206" s="1207" t="inlineStr">
        <is>
          <t>3-1/2" TUBING 9.2 LB/FT ALLOY 28 TSH BL</t>
        </is>
      </c>
      <c r="C206" s="1431" t="n">
        <v>31</v>
      </c>
    </row>
    <row r="207" ht="14.25" customHeight="1" s="1158">
      <c r="A207" s="1207" t="inlineStr">
        <is>
          <t>JT.#16</t>
        </is>
      </c>
      <c r="B207" s="1207" t="inlineStr">
        <is>
          <t>3-1/2" TUBING 9.2 LB/FT ALLOY 28 TSH BL</t>
        </is>
      </c>
      <c r="C207" s="1431" t="n">
        <v>31</v>
      </c>
    </row>
    <row r="208" ht="14.25" customHeight="1" s="1158">
      <c r="A208" s="1207" t="inlineStr">
        <is>
          <t>JT.#17</t>
        </is>
      </c>
      <c r="B208" s="1207" t="inlineStr">
        <is>
          <t>3-1/2" TUBING 9.2 LB/FT ALLOY 28 TSH BL</t>
        </is>
      </c>
      <c r="C208" s="1431" t="n">
        <v>31</v>
      </c>
    </row>
    <row r="209" ht="14.25" customHeight="1" s="1158">
      <c r="A209" s="1207" t="inlineStr">
        <is>
          <t>JT.#18</t>
        </is>
      </c>
      <c r="B209" s="1207" t="inlineStr">
        <is>
          <t>3-1/2" TUBING 9.2 LB/FT ALLOY 28 TSH BL</t>
        </is>
      </c>
      <c r="C209" s="1431" t="n">
        <v>31</v>
      </c>
    </row>
    <row r="210" ht="14.25" customHeight="1" s="1158">
      <c r="A210" s="1207" t="inlineStr">
        <is>
          <t>JT.#19</t>
        </is>
      </c>
      <c r="B210" s="1207" t="inlineStr">
        <is>
          <t>3-1/2" TUBING 9.2 LB/FT ALLOY 28 TSH BL</t>
        </is>
      </c>
      <c r="C210" s="1431" t="n">
        <v>31</v>
      </c>
    </row>
    <row r="211" ht="14.25" customHeight="1" s="1158">
      <c r="A211" s="1207" t="inlineStr">
        <is>
          <t>JT.#20</t>
        </is>
      </c>
      <c r="B211" s="1207" t="inlineStr">
        <is>
          <t>3-1/2" TUBING 9.2 LB/FT ALLOY 28 TSH BL</t>
        </is>
      </c>
      <c r="C211" s="1431" t="n">
        <v>31</v>
      </c>
    </row>
    <row r="212" ht="14.25" customHeight="1" s="1158">
      <c r="A212" s="1207" t="inlineStr">
        <is>
          <t>JT.#21</t>
        </is>
      </c>
      <c r="B212" s="1207" t="inlineStr">
        <is>
          <t>3-1/2" TUBING 9.2 LB/FT ALLOY 28 TSH BL</t>
        </is>
      </c>
      <c r="C212" s="1431" t="n">
        <v>31</v>
      </c>
    </row>
    <row r="213" ht="14.25" customHeight="1" s="1158">
      <c r="A213" s="1207" t="inlineStr">
        <is>
          <t>JT.#22</t>
        </is>
      </c>
      <c r="B213" s="1207" t="inlineStr">
        <is>
          <t>3-1/2" TUBING 9.2 LB/FT ALLOY 28 TSH BL</t>
        </is>
      </c>
      <c r="C213" s="1431" t="n">
        <v>31</v>
      </c>
    </row>
    <row r="214" ht="14.25" customHeight="1" s="1158">
      <c r="A214" s="1207" t="inlineStr">
        <is>
          <t>JT.#23</t>
        </is>
      </c>
      <c r="B214" s="1207" t="inlineStr">
        <is>
          <t>3-1/2" TUBING 9.2 LB/FT ALLOY 28 TSH BL</t>
        </is>
      </c>
      <c r="C214" s="1431" t="n">
        <v>31</v>
      </c>
    </row>
    <row r="215" ht="14.25" customHeight="1" s="1158">
      <c r="A215" s="1207" t="inlineStr">
        <is>
          <t>JT.#24</t>
        </is>
      </c>
      <c r="B215" s="1207" t="inlineStr">
        <is>
          <t>3-1/2" TUBING 9.2 LB/FT ALLOY 28 TSH BL</t>
        </is>
      </c>
      <c r="C215" s="1431" t="n">
        <v>31</v>
      </c>
    </row>
    <row r="216" ht="14.25" customHeight="1" s="1158">
      <c r="A216" s="1207" t="inlineStr">
        <is>
          <t>JT.#25</t>
        </is>
      </c>
      <c r="B216" s="1207" t="inlineStr">
        <is>
          <t>3-1/2" TUBING 9.2 LB/FT ALLOY 28 TSH BL</t>
        </is>
      </c>
      <c r="C216" s="1431" t="n">
        <v>31</v>
      </c>
    </row>
    <row r="217" ht="14.25" customHeight="1" s="1158">
      <c r="A217" s="1207" t="inlineStr">
        <is>
          <t>JT.#26</t>
        </is>
      </c>
      <c r="B217" s="1207" t="inlineStr">
        <is>
          <t>3-1/2" TUBING 9.2 LB/FT ALLOY 28 TSH BL</t>
        </is>
      </c>
      <c r="C217" s="1431" t="n">
        <v>31</v>
      </c>
    </row>
    <row r="218" ht="14.25" customHeight="1" s="1158">
      <c r="A218" s="1207" t="inlineStr">
        <is>
          <t>JT.#27</t>
        </is>
      </c>
      <c r="B218" s="1207" t="inlineStr">
        <is>
          <t>3-1/2" TUBING 9.2 LB/FT ALLOY 28 TSH BL</t>
        </is>
      </c>
      <c r="C218" s="1431" t="n">
        <v>31</v>
      </c>
    </row>
    <row r="219" ht="14.25" customHeight="1" s="1158">
      <c r="A219" s="1207" t="inlineStr">
        <is>
          <t>JT.#28</t>
        </is>
      </c>
      <c r="B219" s="1207" t="inlineStr">
        <is>
          <t>3-1/2" TUBING 9.2 LB/FT ALLOY 28 TSH BL</t>
        </is>
      </c>
      <c r="C219" s="1431" t="n">
        <v>31</v>
      </c>
    </row>
    <row r="220" ht="14.25" customHeight="1" s="1158">
      <c r="A220" s="1207" t="inlineStr">
        <is>
          <t>JT.#29</t>
        </is>
      </c>
      <c r="B220" s="1207" t="inlineStr">
        <is>
          <t>3-1/2" TUBING 9.2 LB/FT ALLOY 28 TSH BL</t>
        </is>
      </c>
      <c r="C220" s="1431" t="n">
        <v>31</v>
      </c>
    </row>
    <row r="221" ht="14.25" customHeight="1" s="1158">
      <c r="A221" s="1207" t="inlineStr">
        <is>
          <t>JT.#30</t>
        </is>
      </c>
      <c r="B221" s="1207" t="inlineStr">
        <is>
          <t>3-1/2" TUBING 9.2 LB/FT ALLOY 28 TSH BL</t>
        </is>
      </c>
      <c r="C221" s="1431" t="n">
        <v>31</v>
      </c>
    </row>
    <row r="222" ht="14.25" customHeight="1" s="1158">
      <c r="A222" s="1207" t="inlineStr">
        <is>
          <t>JT.#31</t>
        </is>
      </c>
      <c r="B222" s="1207" t="inlineStr">
        <is>
          <t>3-1/2" TUBING 9.2 LB/FT ALLOY 28 TSH BL</t>
        </is>
      </c>
      <c r="C222" s="1431" t="n">
        <v>31</v>
      </c>
    </row>
    <row r="223" ht="14.25" customHeight="1" s="1158">
      <c r="A223" s="1207" t="inlineStr">
        <is>
          <t>JT.#32</t>
        </is>
      </c>
      <c r="B223" s="1207" t="inlineStr">
        <is>
          <t>3-1/2" TUBING 9.2 LB/FT ALLOY 28 TSH BL</t>
        </is>
      </c>
      <c r="C223" s="1431" t="n">
        <v>31</v>
      </c>
    </row>
    <row r="224" ht="14.25" customHeight="1" s="1158">
      <c r="A224" s="1207" t="inlineStr">
        <is>
          <t>JT.#33</t>
        </is>
      </c>
      <c r="B224" s="1207" t="inlineStr">
        <is>
          <t>3-1/2" TUBING 9.2 LB/FT ALLOY 28 TSH BL</t>
        </is>
      </c>
      <c r="C224" s="1431" t="n">
        <v>31</v>
      </c>
    </row>
    <row r="225" ht="14.25" customHeight="1" s="1158">
      <c r="A225" s="1207" t="inlineStr">
        <is>
          <t>JT.#34</t>
        </is>
      </c>
      <c r="B225" s="1207" t="inlineStr">
        <is>
          <t>3-1/2" TUBING 9.2 LB/FT ALLOY 28 TSH BL</t>
        </is>
      </c>
      <c r="C225" s="1431" t="n">
        <v>31</v>
      </c>
    </row>
    <row r="226" ht="14.25" customHeight="1" s="1158">
      <c r="A226" s="1207" t="inlineStr">
        <is>
          <t>JT.#35</t>
        </is>
      </c>
      <c r="B226" s="1207" t="inlineStr">
        <is>
          <t>3-1/2" TUBING 9.2 LB/FT ALLOY 28 TSH BL</t>
        </is>
      </c>
      <c r="C226" s="1431" t="n">
        <v>31</v>
      </c>
    </row>
    <row r="227" ht="14.25" customHeight="1" s="1158">
      <c r="A227" s="1207" t="inlineStr">
        <is>
          <t>JT.#36</t>
        </is>
      </c>
      <c r="B227" s="1207" t="inlineStr">
        <is>
          <t>3-1/2" TUBING 9.2 LB/FT ALLOY 28 TSH BL</t>
        </is>
      </c>
      <c r="C227" s="1431" t="n">
        <v>31</v>
      </c>
    </row>
    <row r="228" ht="14.25" customHeight="1" s="1158">
      <c r="A228" s="1207" t="inlineStr">
        <is>
          <t>JT.#37</t>
        </is>
      </c>
      <c r="B228" s="1207" t="inlineStr">
        <is>
          <t>3-1/2" TUBING 9.2 LB/FT ALLOY 28 TSH BL</t>
        </is>
      </c>
      <c r="C228" s="1431" t="n">
        <v>31</v>
      </c>
    </row>
    <row r="229" ht="14.25" customHeight="1" s="1158">
      <c r="A229" s="1207" t="inlineStr">
        <is>
          <t>JT.#38</t>
        </is>
      </c>
      <c r="B229" s="1207" t="inlineStr">
        <is>
          <t>3-1/2" TUBING 9.2 LB/FT ALLOY 28 TSH BL</t>
        </is>
      </c>
      <c r="C229" s="1431" t="n">
        <v>31</v>
      </c>
    </row>
    <row r="230" ht="14.25" customHeight="1" s="1158">
      <c r="A230" s="1207" t="inlineStr">
        <is>
          <t>JT.#39</t>
        </is>
      </c>
      <c r="B230" s="1207" t="inlineStr">
        <is>
          <t>3-1/2" TUBING 9.2 LB/FT ALLOY 28 TSH BL</t>
        </is>
      </c>
      <c r="C230" s="1431" t="n">
        <v>31</v>
      </c>
    </row>
    <row r="231" ht="14.25" customHeight="1" s="1158">
      <c r="A231" s="1207" t="inlineStr">
        <is>
          <t>JT.#40</t>
        </is>
      </c>
      <c r="B231" s="1207" t="inlineStr">
        <is>
          <t>3-1/2" TUBING 9.2 LB/FT ALLOY 28 TSH BL</t>
        </is>
      </c>
      <c r="C231" s="1431" t="n">
        <v>31</v>
      </c>
    </row>
    <row r="232" ht="14.25" customHeight="1" s="1158">
      <c r="A232" s="1207" t="inlineStr">
        <is>
          <t>JT.#41</t>
        </is>
      </c>
      <c r="B232" s="1207" t="inlineStr">
        <is>
          <t>3-1/2" TUBING 9.2 LB/FT ALLOY 28 TSH BL</t>
        </is>
      </c>
      <c r="C232" s="1431" t="n">
        <v>31</v>
      </c>
    </row>
    <row r="233" ht="14.25" customHeight="1" s="1158">
      <c r="A233" s="1207" t="inlineStr">
        <is>
          <t>JT.#42</t>
        </is>
      </c>
      <c r="B233" s="1207" t="inlineStr">
        <is>
          <t>3-1/2" TUBING 9.2 LB/FT ALLOY 28 TSH BL</t>
        </is>
      </c>
      <c r="C233" s="1431" t="n">
        <v>31</v>
      </c>
    </row>
    <row r="234" ht="14.25" customHeight="1" s="1158">
      <c r="A234" s="1207" t="inlineStr">
        <is>
          <t>JT.#43</t>
        </is>
      </c>
      <c r="B234" s="1207" t="inlineStr">
        <is>
          <t>3-1/2" TUBING 9.2 LB/FT ALLOY 28 TSH BL</t>
        </is>
      </c>
      <c r="C234" s="1431" t="n">
        <v>31</v>
      </c>
    </row>
    <row r="235" ht="14.25" customHeight="1" s="1158">
      <c r="A235" s="1207" t="inlineStr">
        <is>
          <t>JT.#44</t>
        </is>
      </c>
      <c r="B235" s="1207" t="inlineStr">
        <is>
          <t>3-1/2" TUBING 9.2 LB/FT ALLOY 28 TSH BL</t>
        </is>
      </c>
      <c r="C235" s="1431" t="n">
        <v>31</v>
      </c>
    </row>
    <row r="236" ht="14.25" customHeight="1" s="1158">
      <c r="A236" s="1207" t="inlineStr">
        <is>
          <t>JT.#45</t>
        </is>
      </c>
      <c r="B236" s="1207" t="inlineStr">
        <is>
          <t>3-1/2" TUBING 9.2 LB/FT ALLOY 28 TSH BL</t>
        </is>
      </c>
      <c r="C236" s="1431" t="n">
        <v>31</v>
      </c>
    </row>
    <row r="237" ht="14.25" customHeight="1" s="1158">
      <c r="A237" s="1207" t="inlineStr">
        <is>
          <t>JT.#46</t>
        </is>
      </c>
      <c r="B237" s="1207" t="inlineStr">
        <is>
          <t>3-1/2" TUBING 9.2 LB/FT ALLOY 28 TSH BL</t>
        </is>
      </c>
      <c r="C237" s="1431" t="n">
        <v>31</v>
      </c>
    </row>
    <row r="238" ht="14.25" customHeight="1" s="1158">
      <c r="A238" s="1207" t="inlineStr">
        <is>
          <t>JT.#47</t>
        </is>
      </c>
      <c r="B238" s="1207" t="inlineStr">
        <is>
          <t>3-1/2" TUBING 9.2 LB/FT ALLOY 28 TSH BL</t>
        </is>
      </c>
      <c r="C238" s="1431" t="n">
        <v>31</v>
      </c>
    </row>
    <row r="239" ht="14.25" customHeight="1" s="1158">
      <c r="A239" s="1207" t="inlineStr">
        <is>
          <t>JT.#48</t>
        </is>
      </c>
      <c r="B239" s="1207" t="inlineStr">
        <is>
          <t>3-1/2" TUBING 9.2 LB/FT ALLOY 28 TSH BL</t>
        </is>
      </c>
      <c r="C239" s="1431" t="n">
        <v>31</v>
      </c>
    </row>
    <row r="240" ht="14.25" customHeight="1" s="1158">
      <c r="A240" s="1207" t="inlineStr">
        <is>
          <t>JT.#49</t>
        </is>
      </c>
      <c r="B240" s="1207" t="inlineStr">
        <is>
          <t>3-1/2" TUBING 9.2 LB/FT ALLOY 28 TSH BL</t>
        </is>
      </c>
      <c r="C240" s="1431" t="n">
        <v>31</v>
      </c>
    </row>
    <row r="241" ht="14.25" customHeight="1" s="1158">
      <c r="A241" s="1207" t="inlineStr">
        <is>
          <t>JT.#50</t>
        </is>
      </c>
      <c r="B241" s="1207" t="inlineStr">
        <is>
          <t>3-1/2" TUBING 9.2 LB/FT ALLOY 28 TSH BL</t>
        </is>
      </c>
      <c r="C241" s="1431" t="n">
        <v>31</v>
      </c>
    </row>
    <row r="242" ht="14.25" customHeight="1" s="1158">
      <c r="A242" s="1207" t="inlineStr">
        <is>
          <t>JT.#51</t>
        </is>
      </c>
      <c r="B242" s="1207" t="inlineStr">
        <is>
          <t>3-1/2" TUBING 9.2 LB/FT ALLOY 28 TSH BL</t>
        </is>
      </c>
      <c r="C242" s="1431" t="n">
        <v>31</v>
      </c>
    </row>
    <row r="243" ht="14.25" customHeight="1" s="1158">
      <c r="A243" s="1207" t="inlineStr">
        <is>
          <t>JT.#52</t>
        </is>
      </c>
      <c r="B243" s="1207" t="inlineStr">
        <is>
          <t>3-1/2" TUBING 9.2 LB/FT ALLOY 28 TSH BL</t>
        </is>
      </c>
      <c r="C243" s="1431" t="n">
        <v>31</v>
      </c>
    </row>
    <row r="244" ht="14.25" customHeight="1" s="1158">
      <c r="A244" s="1207" t="inlineStr">
        <is>
          <t>JT.#53</t>
        </is>
      </c>
      <c r="B244" s="1207" t="inlineStr">
        <is>
          <t>3-1/2" TUBING 9.2 LB/FT ALLOY 28 TSH BL</t>
        </is>
      </c>
      <c r="C244" s="1431" t="n">
        <v>31</v>
      </c>
    </row>
    <row r="245" ht="14.25" customHeight="1" s="1158">
      <c r="A245" s="1207" t="inlineStr">
        <is>
          <t>JT.#54</t>
        </is>
      </c>
      <c r="B245" s="1207" t="inlineStr">
        <is>
          <t>3-1/2" TUBING 9.2 LB/FT ALLOY 28 TSH BL</t>
        </is>
      </c>
      <c r="C245" s="1431" t="n">
        <v>31</v>
      </c>
    </row>
    <row r="246" ht="14.25" customHeight="1" s="1158">
      <c r="A246" s="1207" t="inlineStr">
        <is>
          <t>JT.#55</t>
        </is>
      </c>
      <c r="B246" s="1207" t="inlineStr">
        <is>
          <t>3-1/2" TUBING 9.2 LB/FT ALLOY 28 TSH BL</t>
        </is>
      </c>
      <c r="C246" s="1431" t="n">
        <v>31</v>
      </c>
    </row>
    <row r="247" ht="14.25" customHeight="1" s="1158">
      <c r="A247" s="1207" t="inlineStr">
        <is>
          <t>JT.#56</t>
        </is>
      </c>
      <c r="B247" s="1207" t="inlineStr">
        <is>
          <t>3-1/2" TUBING 9.2 LB/FT ALLOY 28 TSH BL</t>
        </is>
      </c>
      <c r="C247" s="1431" t="n">
        <v>31</v>
      </c>
    </row>
    <row r="248" ht="14.25" customHeight="1" s="1158">
      <c r="A248" s="1207" t="inlineStr">
        <is>
          <t>JT.#57</t>
        </is>
      </c>
      <c r="B248" s="1207" t="inlineStr">
        <is>
          <t>3-1/2" TUBING 9.2 LB/FT ALLOY 28 TSH BL</t>
        </is>
      </c>
      <c r="C248" s="1431" t="n">
        <v>31</v>
      </c>
    </row>
    <row r="249" ht="14.25" customHeight="1" s="1158">
      <c r="A249" s="1207" t="inlineStr">
        <is>
          <t>JT.#58</t>
        </is>
      </c>
      <c r="B249" s="1207" t="inlineStr">
        <is>
          <t>3-1/2" TUBING 9.2 LB/FT ALLOY 28 TSH BL</t>
        </is>
      </c>
      <c r="C249" s="1431" t="n">
        <v>31</v>
      </c>
    </row>
    <row r="250" ht="14.25" customHeight="1" s="1158">
      <c r="A250" s="1207" t="inlineStr">
        <is>
          <t>JT.#59</t>
        </is>
      </c>
      <c r="B250" s="1207" t="inlineStr">
        <is>
          <t>3-1/2" TUBING 9.2 LB/FT ALLOY 28 TSH BL</t>
        </is>
      </c>
      <c r="C250" s="1431" t="n">
        <v>31</v>
      </c>
    </row>
    <row r="251" ht="14.25" customHeight="1" s="1158">
      <c r="A251" s="1207" t="inlineStr">
        <is>
          <t>JT.#60</t>
        </is>
      </c>
      <c r="B251" s="1207" t="inlineStr">
        <is>
          <t>3-1/2" TUBING 9.2 LB/FT ALLOY 28 TSH BL</t>
        </is>
      </c>
      <c r="C251" s="1431" t="n">
        <v>31</v>
      </c>
    </row>
    <row r="252" ht="14.25" customHeight="1" s="1158">
      <c r="A252" s="1207" t="inlineStr">
        <is>
          <t>JT.#61</t>
        </is>
      </c>
      <c r="B252" s="1207" t="inlineStr">
        <is>
          <t>3-1/2" TUBING 9.2 LB/FT ALLOY 28 TSH BL</t>
        </is>
      </c>
      <c r="C252" s="1431" t="n">
        <v>31</v>
      </c>
    </row>
    <row r="253" ht="14.25" customHeight="1" s="1158">
      <c r="A253" s="1207" t="inlineStr">
        <is>
          <t>JT.#62</t>
        </is>
      </c>
      <c r="B253" s="1207" t="inlineStr">
        <is>
          <t>3-1/2" TUBING 9.2 LB/FT ALLOY 28 TSH BL</t>
        </is>
      </c>
      <c r="C253" s="1431" t="n">
        <v>31</v>
      </c>
    </row>
    <row r="254" ht="14.25" customHeight="1" s="1158">
      <c r="A254" s="1207" t="inlineStr">
        <is>
          <t>JT.#63</t>
        </is>
      </c>
      <c r="B254" s="1207" t="inlineStr">
        <is>
          <t>3-1/2" TUBING 9.2 LB/FT ALLOY 28 TSH BL</t>
        </is>
      </c>
      <c r="C254" s="1431" t="n">
        <v>31</v>
      </c>
    </row>
    <row r="255" ht="14.25" customHeight="1" s="1158">
      <c r="A255" s="1207" t="inlineStr">
        <is>
          <t>JT.#64</t>
        </is>
      </c>
      <c r="B255" s="1207" t="inlineStr">
        <is>
          <t>3-1/2" TUBING 9.2 LB/FT ALLOY 28 TSH BL</t>
        </is>
      </c>
      <c r="C255" s="1431" t="n">
        <v>31</v>
      </c>
    </row>
    <row r="256" ht="14.25" customHeight="1" s="1158">
      <c r="A256" s="1207" t="inlineStr">
        <is>
          <t>JT.#65</t>
        </is>
      </c>
      <c r="B256" s="1207" t="inlineStr">
        <is>
          <t>3-1/2" TUBING 9.2 LB/FT ALLOY 28 TSH BL</t>
        </is>
      </c>
      <c r="C256" s="1431" t="n">
        <v>31</v>
      </c>
    </row>
    <row r="257" ht="14.25" customHeight="1" s="1158">
      <c r="A257" s="1207" t="inlineStr">
        <is>
          <t>JT.#66</t>
        </is>
      </c>
      <c r="B257" s="1207" t="inlineStr">
        <is>
          <t>3-1/2" TUBING 9.2 LB/FT ALLOY 28 TSH BL</t>
        </is>
      </c>
      <c r="C257" s="1431" t="n">
        <v>31</v>
      </c>
    </row>
    <row r="258" ht="76.09999999999999" customHeight="1" s="1158">
      <c r="A258" s="2066" t="inlineStr">
        <is>
          <t>SP-01</t>
        </is>
      </c>
      <c r="B258" s="2067" t="inlineStr">
        <is>
          <t>UPPER CONN. 3-1/2" VAM TOP BOX 9.2 PPF SN 28 110 KSI
DESCRIPTION: 5 FEET XOVER
SAP: 130005011340
SUPPLIER: TENARIS
UPPER CONN. 3-1/2" TSH BLUE PIN 9.2 PPF SN 28 110 KSI</t>
        </is>
      </c>
      <c r="C258" s="2068" t="n">
        <v>5.18</v>
      </c>
      <c r="D258" s="2069" t="n">
        <v>3.908</v>
      </c>
      <c r="E258" s="2069" t="n">
        <v>2.959</v>
      </c>
      <c r="F258" s="2070" t="inlineStr">
        <is>
          <t>N/A</t>
        </is>
      </c>
      <c r="G258" s="2070" t="inlineStr">
        <is>
          <t>N/A</t>
        </is>
      </c>
      <c r="H258" s="2070" t="inlineStr">
        <is>
          <t>130005011340</t>
        </is>
      </c>
      <c r="I258" s="2070" t="inlineStr">
        <is>
          <t>N/A</t>
        </is>
      </c>
    </row>
    <row r="259" ht="135.8" customHeight="1" s="1158">
      <c r="B259" s="2067" t="inlineStr">
        <is>
          <t>UPPER CONN.
3-1/2 9.2 PPF, 110KSI VAM TOP BOX
DESCRIPTION:
PCKR, SWEL,6,3-1/2,A925, OIL
P/N: 2991712
S/N: RDT-UAE-1003629
SAP: 130010039426
SUPPLIER: WFD-REACTIVE
LOWER CONN.</t>
        </is>
      </c>
      <c r="C259" s="2068" t="n">
        <v>30.88</v>
      </c>
      <c r="D259" s="2069" t="n">
        <v>5.7</v>
      </c>
      <c r="E259" s="2069" t="n">
        <v>2.953</v>
      </c>
      <c r="F259" s="2070" t="inlineStr">
        <is>
          <t>2991712</t>
        </is>
      </c>
      <c r="G259" s="2070" t="inlineStr">
        <is>
          <t>RDT-UAE-1003629</t>
        </is>
      </c>
      <c r="H259" s="2070" t="inlineStr">
        <is>
          <t>130010039426</t>
        </is>
      </c>
      <c r="I259" s="2070" t="inlineStr">
        <is>
          <t>N/A</t>
        </is>
      </c>
    </row>
    <row r="260" ht="76.09999999999999" customHeight="1" s="1158">
      <c r="B260" s="2067" t="inlineStr">
        <is>
          <t>UPPER CONN . 3-1/2" TSH BLUE BOX 9.2 PPF SN 28 110 KSI
DESCRIPTION: 3 FEET XOVER
SAP: 130005011337
SUPPLIER: TENARIS
LOWER CONN. 3-1/2" VAM TOP PIN 9.2 PPF SN 28 110 KSI</t>
        </is>
      </c>
      <c r="C260" s="2068" t="n">
        <v>2.78</v>
      </c>
      <c r="D260" s="2069" t="n">
        <v>3.937</v>
      </c>
      <c r="E260" s="2069" t="n">
        <v>2.969</v>
      </c>
      <c r="F260" s="2070" t="inlineStr">
        <is>
          <t>N/A</t>
        </is>
      </c>
      <c r="G260" s="2070" t="inlineStr">
        <is>
          <t>N/A</t>
        </is>
      </c>
      <c r="H260" s="2070" t="inlineStr">
        <is>
          <t>130005011337</t>
        </is>
      </c>
      <c r="I260" s="2070" t="inlineStr">
        <is>
          <t>N/A</t>
        </is>
      </c>
    </row>
    <row r="261" ht="14.25" customHeight="1" s="1158">
      <c r="A261" s="1207" t="inlineStr">
        <is>
          <t>JT.#67</t>
        </is>
      </c>
      <c r="B261" s="1207" t="inlineStr">
        <is>
          <t>3-1/2" TUBING 9.2 LB/FT ALLOY 28 TSH BL</t>
        </is>
      </c>
      <c r="C261" s="1431" t="n">
        <v>31</v>
      </c>
    </row>
    <row r="262" ht="14.25" customHeight="1" s="1158">
      <c r="A262" s="1207" t="inlineStr">
        <is>
          <t>JT.#68</t>
        </is>
      </c>
      <c r="B262" s="1207" t="inlineStr">
        <is>
          <t>3-1/2" TUBING 9.2 LB/FT ALLOY 28 TSH BL</t>
        </is>
      </c>
      <c r="C262" s="1431" t="n">
        <v>31</v>
      </c>
    </row>
    <row r="263" ht="14.25" customHeight="1" s="1158">
      <c r="A263" s="1207" t="inlineStr">
        <is>
          <t>JT.#69</t>
        </is>
      </c>
      <c r="B263" s="1207" t="inlineStr">
        <is>
          <t>3-1/2" TUBING 9.2 LB/FT ALLOY 28 TSH BL</t>
        </is>
      </c>
      <c r="C263" s="1431" t="n">
        <v>31</v>
      </c>
    </row>
    <row r="264" ht="14.25" customHeight="1" s="1158">
      <c r="A264" s="1207" t="inlineStr">
        <is>
          <t>JT.#70</t>
        </is>
      </c>
      <c r="B264" s="1207" t="inlineStr">
        <is>
          <t>3-1/2" TUBING 9.2 LB/FT ALLOY 28 TSH BL</t>
        </is>
      </c>
      <c r="C264" s="1431" t="n">
        <v>31</v>
      </c>
    </row>
    <row r="265" ht="14.25" customHeight="1" s="1158">
      <c r="A265" s="1207" t="inlineStr">
        <is>
          <t>JT.#71</t>
        </is>
      </c>
      <c r="B265" s="1207" t="inlineStr">
        <is>
          <t>3-1/2" TUBING 9.2 LB/FT ALLOY 28 TSH BL</t>
        </is>
      </c>
      <c r="C265" s="1431" t="n">
        <v>31</v>
      </c>
    </row>
    <row r="266" ht="14.25" customHeight="1" s="1158">
      <c r="A266" s="1207" t="inlineStr">
        <is>
          <t>JT.#72</t>
        </is>
      </c>
      <c r="B266" s="1207" t="inlineStr">
        <is>
          <t>3-1/2" TUBING 9.2 LB/FT ALLOY 28 TSH BL</t>
        </is>
      </c>
      <c r="C266" s="1431" t="n">
        <v>31</v>
      </c>
    </row>
    <row r="267" ht="14.25" customHeight="1" s="1158">
      <c r="A267" s="1207" t="inlineStr">
        <is>
          <t>JT.#73</t>
        </is>
      </c>
      <c r="B267" s="1207" t="inlineStr">
        <is>
          <t>3-1/2" TUBING 9.2 LB/FT ALLOY 28 TSH BL</t>
        </is>
      </c>
      <c r="C267" s="1431" t="n">
        <v>31</v>
      </c>
    </row>
    <row r="268" ht="14.25" customHeight="1" s="1158">
      <c r="A268" s="1207" t="inlineStr">
        <is>
          <t>JT.#74</t>
        </is>
      </c>
      <c r="B268" s="1207" t="inlineStr">
        <is>
          <t>3-1/2" TUBING 9.2 LB/FT ALLOY 28 TSH BL</t>
        </is>
      </c>
      <c r="C268" s="1431" t="n">
        <v>31</v>
      </c>
    </row>
    <row r="269" ht="14.25" customHeight="1" s="1158">
      <c r="A269" s="1207" t="inlineStr">
        <is>
          <t>JT.#75</t>
        </is>
      </c>
      <c r="B269" s="1207" t="inlineStr">
        <is>
          <t>3-1/2" TUBING 9.2 LB/FT ALLOY 28 TSH BL</t>
        </is>
      </c>
      <c r="C269" s="1431" t="n">
        <v>31</v>
      </c>
    </row>
    <row r="270" ht="14.25" customHeight="1" s="1158">
      <c r="A270" s="1207" t="inlineStr">
        <is>
          <t>JT.#76</t>
        </is>
      </c>
      <c r="B270" s="1207" t="inlineStr">
        <is>
          <t>3-1/2" TUBING 9.2 LB/FT ALLOY 28 TSH BL</t>
        </is>
      </c>
      <c r="C270" s="1431" t="n">
        <v>31</v>
      </c>
    </row>
    <row r="271" ht="14.25" customHeight="1" s="1158">
      <c r="A271" s="1207" t="inlineStr">
        <is>
          <t>JT.#77</t>
        </is>
      </c>
      <c r="B271" s="1207" t="inlineStr">
        <is>
          <t>3-1/2" TUBING 9.2 LB/FT ALLOY 28 TSH BL</t>
        </is>
      </c>
      <c r="C271" s="1431" t="n">
        <v>31</v>
      </c>
    </row>
    <row r="272" ht="14.25" customHeight="1" s="1158">
      <c r="A272" s="1207" t="inlineStr">
        <is>
          <t>JT.#78</t>
        </is>
      </c>
      <c r="B272" s="1207" t="inlineStr">
        <is>
          <t>3-1/2" TUBING 9.2 LB/FT ALLOY 28 TSH BL</t>
        </is>
      </c>
      <c r="C272" s="1431" t="n">
        <v>31</v>
      </c>
    </row>
    <row r="273" ht="14.25" customHeight="1" s="1158">
      <c r="A273" s="1207" t="inlineStr">
        <is>
          <t>JT.#79</t>
        </is>
      </c>
      <c r="B273" s="1207" t="inlineStr">
        <is>
          <t>3-1/2" TUBING 9.2 LB/FT ALLOY 28 TSH BL</t>
        </is>
      </c>
      <c r="C273" s="1431" t="n">
        <v>31</v>
      </c>
    </row>
    <row r="274" ht="14.25" customHeight="1" s="1158">
      <c r="A274" s="1207" t="inlineStr">
        <is>
          <t>JT.#80</t>
        </is>
      </c>
      <c r="B274" s="1207" t="inlineStr">
        <is>
          <t>3-1/2" TUBING 9.2 LB/FT ALLOY 28 TSH BL</t>
        </is>
      </c>
      <c r="C274" s="1431" t="n">
        <v>31</v>
      </c>
    </row>
    <row r="275" ht="14.25" customHeight="1" s="1158">
      <c r="A275" s="1207" t="inlineStr">
        <is>
          <t>JT.#81</t>
        </is>
      </c>
      <c r="B275" s="1207" t="inlineStr">
        <is>
          <t>3-1/2" TUBING 9.2 LB/FT ALLOY 28 TSH BL</t>
        </is>
      </c>
      <c r="C275" s="1431" t="n">
        <v>31</v>
      </c>
    </row>
    <row r="276" ht="14.25" customHeight="1" s="1158">
      <c r="A276" s="1207" t="inlineStr">
        <is>
          <t>JT.#82</t>
        </is>
      </c>
      <c r="B276" s="1207" t="inlineStr">
        <is>
          <t>3-1/2" TUBING 9.2 LB/FT ALLOY 28 TSH BL</t>
        </is>
      </c>
      <c r="C276" s="1431" t="n">
        <v>31</v>
      </c>
    </row>
    <row r="277" ht="14.25" customHeight="1" s="1158">
      <c r="A277" s="1207" t="inlineStr">
        <is>
          <t>JT.#83</t>
        </is>
      </c>
      <c r="B277" s="1207" t="inlineStr">
        <is>
          <t>3-1/2" TUBING 9.2 LB/FT ALLOY 28 TSH BL</t>
        </is>
      </c>
      <c r="C277" s="1431" t="n">
        <v>31</v>
      </c>
    </row>
    <row r="278" ht="14.25" customHeight="1" s="1158">
      <c r="A278" s="1207" t="inlineStr">
        <is>
          <t>JT.#84</t>
        </is>
      </c>
      <c r="B278" s="1207" t="inlineStr">
        <is>
          <t>3-1/2" TUBING 9.2 LB/FT ALLOY 28 TSH BL</t>
        </is>
      </c>
      <c r="C278" s="1431" t="n">
        <v>31</v>
      </c>
    </row>
    <row r="279" ht="14.25" customHeight="1" s="1158">
      <c r="A279" s="1207" t="inlineStr">
        <is>
          <t>JT.#85</t>
        </is>
      </c>
      <c r="B279" s="1207" t="inlineStr">
        <is>
          <t>3-1/2" TUBING 9.2 LB/FT ALLOY 28 TSH BL</t>
        </is>
      </c>
      <c r="C279" s="1431" t="n">
        <v>31</v>
      </c>
    </row>
    <row r="280" ht="14.25" customHeight="1" s="1158">
      <c r="A280" s="1207" t="inlineStr">
        <is>
          <t>JT.#86</t>
        </is>
      </c>
      <c r="B280" s="1207" t="inlineStr">
        <is>
          <t>3-1/2" TUBING 9.2 LB/FT ALLOY 28 TSH BL</t>
        </is>
      </c>
      <c r="C280" s="1431" t="n">
        <v>31</v>
      </c>
    </row>
    <row r="281" ht="14.25" customHeight="1" s="1158">
      <c r="A281" s="1207" t="inlineStr">
        <is>
          <t>JT.#87</t>
        </is>
      </c>
      <c r="B281" s="1207" t="inlineStr">
        <is>
          <t>3-1/2" TUBING 9.2 LB/FT ALLOY 28 TSH BL</t>
        </is>
      </c>
      <c r="C281" s="1431" t="n">
        <v>31</v>
      </c>
    </row>
    <row r="282" ht="14.25" customHeight="1" s="1158">
      <c r="A282" s="1207" t="inlineStr">
        <is>
          <t>JT.#88</t>
        </is>
      </c>
      <c r="B282" s="1207" t="inlineStr">
        <is>
          <t>3-1/2" TUBING 9.2 LB/FT ALLOY 28 TSH BL</t>
        </is>
      </c>
      <c r="C282" s="1431" t="n">
        <v>31</v>
      </c>
    </row>
    <row r="283" ht="14.25" customHeight="1" s="1158">
      <c r="A283" s="1207" t="inlineStr">
        <is>
          <t>JT.#89</t>
        </is>
      </c>
      <c r="B283" s="1207" t="inlineStr">
        <is>
          <t>3-1/2" TUBING 9.2 LB/FT ALLOY 28 TSH BL</t>
        </is>
      </c>
      <c r="C283" s="1431" t="n">
        <v>31</v>
      </c>
    </row>
    <row r="284" ht="14.25" customHeight="1" s="1158">
      <c r="A284" s="1207" t="inlineStr">
        <is>
          <t>JT.#90</t>
        </is>
      </c>
      <c r="B284" s="1207" t="inlineStr">
        <is>
          <t>3-1/2" TUBING 9.2 LB/FT ALLOY 28 TSH BL</t>
        </is>
      </c>
      <c r="C284" s="1431" t="n">
        <v>31</v>
      </c>
    </row>
    <row r="285" ht="14.25" customHeight="1" s="1158">
      <c r="A285" s="1207" t="inlineStr">
        <is>
          <t>JT.#91</t>
        </is>
      </c>
      <c r="B285" s="1207" t="inlineStr">
        <is>
          <t>3-1/2" TUBING 9.2 LB/FT ALLOY 28 TSH BL</t>
        </is>
      </c>
      <c r="C285" s="1431" t="n">
        <v>31</v>
      </c>
    </row>
    <row r="286" ht="14.25" customHeight="1" s="1158">
      <c r="A286" s="1207" t="inlineStr">
        <is>
          <t>JT.#92</t>
        </is>
      </c>
      <c r="B286" s="1207" t="inlineStr">
        <is>
          <t>3-1/2" TUBING 9.2 LB/FT ALLOY 28 TSH BL</t>
        </is>
      </c>
      <c r="C286" s="1431" t="n">
        <v>31</v>
      </c>
    </row>
    <row r="287" ht="14.25" customHeight="1" s="1158">
      <c r="A287" s="1207" t="inlineStr">
        <is>
          <t>JT.#93</t>
        </is>
      </c>
      <c r="B287" s="1207" t="inlineStr">
        <is>
          <t>3-1/2" TUBING 9.2 LB/FT ALLOY 28 TSH BL</t>
        </is>
      </c>
      <c r="C287" s="1431" t="n">
        <v>31</v>
      </c>
    </row>
    <row r="288" ht="14.25" customHeight="1" s="1158">
      <c r="A288" s="1207" t="inlineStr">
        <is>
          <t>JT.#94</t>
        </is>
      </c>
      <c r="B288" s="1207" t="inlineStr">
        <is>
          <t>3-1/2" TUBING 9.2 LB/FT ALLOY 28 TSH BL</t>
        </is>
      </c>
      <c r="C288" s="1431" t="n">
        <v>31</v>
      </c>
    </row>
    <row r="289" ht="14.25" customHeight="1" s="1158">
      <c r="A289" s="1207" t="inlineStr">
        <is>
          <t>JT.#95</t>
        </is>
      </c>
      <c r="B289" s="1207" t="inlineStr">
        <is>
          <t>3-1/2" TUBING 9.2 LB/FT ALLOY 28 TSH BL</t>
        </is>
      </c>
      <c r="C289" s="1431" t="n">
        <v>31</v>
      </c>
    </row>
    <row r="290" ht="14.25" customHeight="1" s="1158">
      <c r="A290" s="1207" t="inlineStr">
        <is>
          <t>JT.#96</t>
        </is>
      </c>
      <c r="B290" s="1207" t="inlineStr">
        <is>
          <t>3-1/2" TUBING 9.2 LB/FT ALLOY 28 TSH BL</t>
        </is>
      </c>
      <c r="C290" s="1431" t="n">
        <v>31</v>
      </c>
    </row>
    <row r="291" ht="14.25" customHeight="1" s="1158">
      <c r="A291" s="1207" t="inlineStr">
        <is>
          <t>JT.#97</t>
        </is>
      </c>
      <c r="B291" s="1207" t="inlineStr">
        <is>
          <t>3-1/2" TUBING 9.2 LB/FT ALLOY 28 TSH BL</t>
        </is>
      </c>
      <c r="C291" s="1431" t="n">
        <v>31</v>
      </c>
    </row>
    <row r="292" ht="14.25" customHeight="1" s="1158">
      <c r="A292" s="1207" t="inlineStr">
        <is>
          <t>JT.#98</t>
        </is>
      </c>
      <c r="B292" s="1207" t="inlineStr">
        <is>
          <t>3-1/2" TUBING 9.2 LB/FT ALLOY 28 TSH BL</t>
        </is>
      </c>
      <c r="C292" s="1431" t="n">
        <v>31</v>
      </c>
    </row>
    <row r="293" ht="14.25" customHeight="1" s="1158">
      <c r="A293" s="1207" t="inlineStr">
        <is>
          <t>JT.#99</t>
        </is>
      </c>
      <c r="B293" s="1207" t="inlineStr">
        <is>
          <t>3-1/2" TUBING 9.2 LB/FT ALLOY 28 TSH BL</t>
        </is>
      </c>
      <c r="C293" s="1431" t="n">
        <v>31</v>
      </c>
    </row>
    <row r="294" ht="14.25" customHeight="1" s="1158">
      <c r="A294" s="1207" t="inlineStr">
        <is>
          <t>JT.#100</t>
        </is>
      </c>
      <c r="B294" s="1207" t="inlineStr">
        <is>
          <t>3-1/2" TUBING 9.2 LB/FT ALLOY 28 TSH BL</t>
        </is>
      </c>
      <c r="C294" s="1431" t="n">
        <v>31</v>
      </c>
    </row>
    <row r="295" ht="14.25" customHeight="1" s="1158">
      <c r="A295" s="1207" t="inlineStr">
        <is>
          <t>JT.#101</t>
        </is>
      </c>
      <c r="B295" s="1207" t="inlineStr">
        <is>
          <t>3-1/2" TUBING 9.2 LB/FT ALLOY 28 TSH BL</t>
        </is>
      </c>
      <c r="C295" s="1431" t="n">
        <v>31</v>
      </c>
    </row>
    <row r="296" ht="14.25" customHeight="1" s="1158">
      <c r="A296" s="1207" t="inlineStr">
        <is>
          <t>JT.#102</t>
        </is>
      </c>
      <c r="B296" s="1207" t="inlineStr">
        <is>
          <t>3-1/2" TUBING 9.2 LB/FT ALLOY 28 TSH BL</t>
        </is>
      </c>
      <c r="C296" s="1431" t="n">
        <v>31</v>
      </c>
    </row>
    <row r="297" ht="14.25" customHeight="1" s="1158">
      <c r="A297" s="1207" t="inlineStr">
        <is>
          <t>JT.#103</t>
        </is>
      </c>
      <c r="B297" s="1207" t="inlineStr">
        <is>
          <t>3-1/2" TUBING 9.2 LB/FT ALLOY 28 TSH BL</t>
        </is>
      </c>
      <c r="C297" s="1431" t="n">
        <v>31</v>
      </c>
    </row>
    <row r="298" ht="14.25" customHeight="1" s="1158">
      <c r="A298" s="1207" t="inlineStr">
        <is>
          <t>JT.#104</t>
        </is>
      </c>
      <c r="B298" s="1207" t="inlineStr">
        <is>
          <t>3-1/2" TUBING 9.2 LB/FT ALLOY 28 TSH BL</t>
        </is>
      </c>
      <c r="C298" s="1431" t="n">
        <v>31</v>
      </c>
    </row>
    <row r="299" ht="14.25" customHeight="1" s="1158">
      <c r="A299" s="1207" t="inlineStr">
        <is>
          <t>JT.#105</t>
        </is>
      </c>
      <c r="B299" s="1207" t="inlineStr">
        <is>
          <t>3-1/2" TUBING 9.2 LB/FT ALLOY 28 TSH BL</t>
        </is>
      </c>
      <c r="C299" s="1431" t="n">
        <v>31</v>
      </c>
    </row>
    <row r="300" ht="14.25" customHeight="1" s="1158">
      <c r="A300" s="1207" t="inlineStr">
        <is>
          <t>JT.#106</t>
        </is>
      </c>
      <c r="B300" s="1207" t="inlineStr">
        <is>
          <t>3-1/2" TUBING 9.2 LB/FT ALLOY 28 TSH BL</t>
        </is>
      </c>
      <c r="C300" s="1431" t="n">
        <v>31</v>
      </c>
    </row>
    <row r="301" ht="14.25" customHeight="1" s="1158">
      <c r="A301" s="1207" t="inlineStr">
        <is>
          <t>JT.#107</t>
        </is>
      </c>
      <c r="B301" s="1207" t="inlineStr">
        <is>
          <t>3-1/2" TUBING 9.2 LB/FT ALLOY 28 TSH BL</t>
        </is>
      </c>
      <c r="C301" s="1431" t="n">
        <v>31</v>
      </c>
    </row>
    <row r="302" ht="14.25" customHeight="1" s="1158">
      <c r="A302" s="1207" t="inlineStr">
        <is>
          <t>JT.#108</t>
        </is>
      </c>
      <c r="B302" s="1207" t="inlineStr">
        <is>
          <t>3-1/2" TUBING 9.2 LB/FT ALLOY 28 TSH BL</t>
        </is>
      </c>
      <c r="C302" s="1431" t="n">
        <v>31</v>
      </c>
    </row>
    <row r="303" ht="14.25" customHeight="1" s="1158">
      <c r="A303" s="1207" t="inlineStr">
        <is>
          <t>JT.#109</t>
        </is>
      </c>
      <c r="B303" s="1207" t="inlineStr">
        <is>
          <t>3-1/2" TUBING 9.2 LB/FT ALLOY 28 TSH BL</t>
        </is>
      </c>
      <c r="C303" s="1431" t="n">
        <v>31</v>
      </c>
    </row>
    <row r="304" ht="14.25" customHeight="1" s="1158">
      <c r="A304" s="1207" t="inlineStr">
        <is>
          <t>JT.#110</t>
        </is>
      </c>
      <c r="B304" s="1207" t="inlineStr">
        <is>
          <t>3-1/2" TUBING 9.2 LB/FT ALLOY 28 TSH BL</t>
        </is>
      </c>
      <c r="C304" s="1431" t="n">
        <v>31</v>
      </c>
    </row>
    <row r="305" ht="14.25" customHeight="1" s="1158">
      <c r="A305" s="1207" t="inlineStr">
        <is>
          <t>JT.#111</t>
        </is>
      </c>
      <c r="B305" s="1207" t="inlineStr">
        <is>
          <t>3-1/2" TUBING 9.2 LB/FT ALLOY 28 TSH BL</t>
        </is>
      </c>
      <c r="C305" s="1431" t="n">
        <v>31</v>
      </c>
    </row>
    <row r="306" ht="14.25" customHeight="1" s="1158">
      <c r="A306" s="1207" t="inlineStr">
        <is>
          <t>JT.#112</t>
        </is>
      </c>
      <c r="B306" s="1207" t="inlineStr">
        <is>
          <t>3-1/2" TUBING 9.2 LB/FT ALLOY 28 TSH BL</t>
        </is>
      </c>
      <c r="C306" s="1431" t="n">
        <v>31</v>
      </c>
    </row>
    <row r="307" ht="14.25" customHeight="1" s="1158">
      <c r="A307" s="1207" t="inlineStr">
        <is>
          <t>JT.#113</t>
        </is>
      </c>
      <c r="B307" s="1207" t="inlineStr">
        <is>
          <t>3-1/2" TUBING 9.2 LB/FT ALLOY 28 TSH BL</t>
        </is>
      </c>
      <c r="C307" s="1431" t="n">
        <v>31</v>
      </c>
    </row>
    <row r="308" ht="14.25" customHeight="1" s="1158">
      <c r="A308" s="1207" t="inlineStr">
        <is>
          <t>JT.#114</t>
        </is>
      </c>
      <c r="B308" s="1207" t="inlineStr">
        <is>
          <t>3-1/2" TUBING 9.2 LB/FT ALLOY 28 TSH BL</t>
        </is>
      </c>
      <c r="C308" s="1431" t="n">
        <v>31</v>
      </c>
    </row>
    <row r="309" ht="14.25" customHeight="1" s="1158">
      <c r="A309" s="1207" t="inlineStr">
        <is>
          <t>JT.#115</t>
        </is>
      </c>
      <c r="B309" s="1207" t="inlineStr">
        <is>
          <t>3-1/2" TUBING 9.2 LB/FT ALLOY 28 TSH BL</t>
        </is>
      </c>
      <c r="C309" s="1431" t="n">
        <v>31</v>
      </c>
    </row>
    <row r="310" ht="14.25" customHeight="1" s="1158">
      <c r="A310" s="1207" t="inlineStr">
        <is>
          <t>JT.#116</t>
        </is>
      </c>
      <c r="B310" s="1207" t="inlineStr">
        <is>
          <t>3-1/2" TUBING 9.2 LB/FT ALLOY 28 TSH BL</t>
        </is>
      </c>
      <c r="C310" s="1431" t="n">
        <v>31</v>
      </c>
    </row>
    <row r="311" ht="14.25" customHeight="1" s="1158">
      <c r="A311" s="1207" t="inlineStr">
        <is>
          <t>JT.#117</t>
        </is>
      </c>
      <c r="B311" s="1207" t="inlineStr">
        <is>
          <t>3-1/2" TUBING 9.2 LB/FT ALLOY 28 TSH BL</t>
        </is>
      </c>
      <c r="C311" s="1431" t="n">
        <v>31</v>
      </c>
    </row>
    <row r="312" ht="14.25" customHeight="1" s="1158">
      <c r="A312" s="1207" t="inlineStr">
        <is>
          <t>JT.#118</t>
        </is>
      </c>
      <c r="B312" s="1207" t="inlineStr">
        <is>
          <t>3-1/2" TUBING 9.2 LB/FT ALLOY 28 TSH BL</t>
        </is>
      </c>
      <c r="C312" s="1431" t="n">
        <v>31</v>
      </c>
    </row>
    <row r="313" ht="14.25" customHeight="1" s="1158">
      <c r="A313" s="1207" t="inlineStr">
        <is>
          <t>JT.#119</t>
        </is>
      </c>
      <c r="B313" s="1207" t="inlineStr">
        <is>
          <t>3-1/2" TUBING 9.2 LB/FT ALLOY 28 TSH BL</t>
        </is>
      </c>
      <c r="C313" s="1431" t="n">
        <v>31</v>
      </c>
    </row>
    <row r="314" ht="14.25" customHeight="1" s="1158">
      <c r="A314" s="1207" t="inlineStr">
        <is>
          <t>JT.#120</t>
        </is>
      </c>
      <c r="B314" s="1207" t="inlineStr">
        <is>
          <t>3-1/2" TUBING 9.2 LB/FT ALLOY 28 TSH BL</t>
        </is>
      </c>
      <c r="C314" s="1431" t="n">
        <v>31</v>
      </c>
    </row>
    <row r="315" ht="14.25" customHeight="1" s="1158">
      <c r="A315" s="1207" t="inlineStr">
        <is>
          <t>JT.#121</t>
        </is>
      </c>
      <c r="B315" s="1207" t="inlineStr">
        <is>
          <t>3-1/2" TUBING 9.2 LB/FT ALLOY 28 TSH BL</t>
        </is>
      </c>
      <c r="C315" s="1431" t="n">
        <v>31</v>
      </c>
    </row>
    <row r="316" ht="14.25" customHeight="1" s="1158">
      <c r="A316" s="1207" t="inlineStr">
        <is>
          <t>JT.#122</t>
        </is>
      </c>
      <c r="B316" s="1207" t="inlineStr">
        <is>
          <t>3-1/2" TUBING 9.2 LB/FT ALLOY 28 TSH BL</t>
        </is>
      </c>
      <c r="C316" s="1431" t="n">
        <v>31</v>
      </c>
    </row>
    <row r="317" ht="14.25" customHeight="1" s="1158">
      <c r="A317" s="1207" t="inlineStr">
        <is>
          <t>JT.#123</t>
        </is>
      </c>
      <c r="B317" s="1207" t="inlineStr">
        <is>
          <t>3-1/2" TUBING 9.2 LB/FT ALLOY 28 TSH BL</t>
        </is>
      </c>
      <c r="C317" s="1431" t="n">
        <v>31</v>
      </c>
    </row>
    <row r="318" ht="14.25" customHeight="1" s="1158">
      <c r="A318" s="1207" t="inlineStr">
        <is>
          <t>JT.#124</t>
        </is>
      </c>
      <c r="B318" s="1207" t="inlineStr">
        <is>
          <t>3-1/2" TUBING 9.2 LB/FT ALLOY 28 TSH BL</t>
        </is>
      </c>
      <c r="C318" s="1431" t="n">
        <v>31</v>
      </c>
    </row>
    <row r="319" ht="14.25" customHeight="1" s="1158">
      <c r="A319" s="1207" t="inlineStr">
        <is>
          <t>JT.#125</t>
        </is>
      </c>
      <c r="B319" s="1207" t="inlineStr">
        <is>
          <t>3-1/2" TUBING 9.2 LB/FT ALLOY 28 TSH BL</t>
        </is>
      </c>
      <c r="C319" s="1431" t="n">
        <v>31</v>
      </c>
    </row>
    <row r="320" ht="14.25" customHeight="1" s="1158">
      <c r="A320" s="1207" t="inlineStr">
        <is>
          <t>JT.#126</t>
        </is>
      </c>
      <c r="B320" s="1207" t="inlineStr">
        <is>
          <t>3-1/2" TUBING 9.2 LB/FT ALLOY 28 TSH BL</t>
        </is>
      </c>
      <c r="C320" s="1431" t="n">
        <v>31</v>
      </c>
    </row>
    <row r="321" ht="14.25" customHeight="1" s="1158">
      <c r="A321" s="1207" t="inlineStr">
        <is>
          <t>JT.#127</t>
        </is>
      </c>
      <c r="B321" s="1207" t="inlineStr">
        <is>
          <t>3-1/2" TUBING 9.2 LB/FT ALLOY 28 TSH BL</t>
        </is>
      </c>
      <c r="C321" s="1431" t="n">
        <v>31</v>
      </c>
    </row>
    <row r="322" ht="14.25" customHeight="1" s="1158">
      <c r="A322" s="1207" t="inlineStr">
        <is>
          <t>JT.#128</t>
        </is>
      </c>
      <c r="B322" s="1207" t="inlineStr">
        <is>
          <t>3-1/2" TUBING 9.2 LB/FT ALLOY 28 TSH BL</t>
        </is>
      </c>
      <c r="C322" s="1431" t="n">
        <v>31</v>
      </c>
    </row>
    <row r="323" ht="14.25" customHeight="1" s="1158">
      <c r="A323" s="1207" t="inlineStr">
        <is>
          <t>JT.#129</t>
        </is>
      </c>
      <c r="B323" s="1207" t="inlineStr">
        <is>
          <t>3-1/2" TUBING 9.2 LB/FT ALLOY 28 TSH BL</t>
        </is>
      </c>
      <c r="C323" s="1431" t="n">
        <v>31</v>
      </c>
    </row>
    <row r="324" ht="14.25" customHeight="1" s="1158">
      <c r="A324" s="1207" t="inlineStr">
        <is>
          <t>JT.#130</t>
        </is>
      </c>
      <c r="B324" s="1207" t="inlineStr">
        <is>
          <t>3-1/2" TUBING 9.2 LB/FT ALLOY 28 TSH BL</t>
        </is>
      </c>
      <c r="C324" s="1431" t="n">
        <v>31</v>
      </c>
    </row>
    <row r="325" ht="14.25" customHeight="1" s="1158">
      <c r="A325" s="1207" t="inlineStr">
        <is>
          <t>JT.#131</t>
        </is>
      </c>
      <c r="B325" s="1207" t="inlineStr">
        <is>
          <t>3-1/2" TUBING 9.2 LB/FT ALLOY 28 TSH BL</t>
        </is>
      </c>
      <c r="C325" s="1431" t="n">
        <v>31</v>
      </c>
    </row>
    <row r="326" ht="14.25" customHeight="1" s="1158">
      <c r="A326" s="1207" t="inlineStr">
        <is>
          <t>JT.#132</t>
        </is>
      </c>
      <c r="B326" s="1207" t="inlineStr">
        <is>
          <t>3-1/2" TUBING 9.2 LB/FT ALLOY 28 TSH BL</t>
        </is>
      </c>
      <c r="C326" s="1431" t="n">
        <v>31</v>
      </c>
    </row>
    <row r="327" ht="14.25" customHeight="1" s="1158">
      <c r="A327" s="1207" t="inlineStr">
        <is>
          <t>JT.#133</t>
        </is>
      </c>
      <c r="B327" s="1207" t="inlineStr">
        <is>
          <t>3-1/2" TUBING 9.2 LB/FT ALLOY 28 TSH BL</t>
        </is>
      </c>
      <c r="C327" s="1431" t="n">
        <v>31</v>
      </c>
    </row>
    <row r="328" ht="14.25" customHeight="1" s="1158">
      <c r="A328" s="1207" t="inlineStr">
        <is>
          <t>JT.#134</t>
        </is>
      </c>
      <c r="B328" s="1207" t="inlineStr">
        <is>
          <t>3-1/2" TUBING 9.2 LB/FT ALLOY 28 TSH BL</t>
        </is>
      </c>
      <c r="C328" s="1431" t="n">
        <v>31</v>
      </c>
    </row>
    <row r="329" ht="14.25" customHeight="1" s="1158">
      <c r="A329" s="1207" t="inlineStr">
        <is>
          <t>JT.#135</t>
        </is>
      </c>
      <c r="B329" s="1207" t="inlineStr">
        <is>
          <t>3-1/2" TUBING 9.2 LB/FT ALLOY 28 TSH BL</t>
        </is>
      </c>
      <c r="C329" s="1431" t="n">
        <v>31</v>
      </c>
    </row>
    <row r="330" ht="14.25" customHeight="1" s="1158">
      <c r="A330" s="1207" t="inlineStr">
        <is>
          <t>JT.#136</t>
        </is>
      </c>
      <c r="B330" s="1207" t="inlineStr">
        <is>
          <t>3-1/2" TUBING 9.2 LB/FT ALLOY 28 TSH BL</t>
        </is>
      </c>
      <c r="C330" s="1431" t="n">
        <v>31</v>
      </c>
    </row>
    <row r="331" ht="14.25" customHeight="1" s="1158">
      <c r="A331" s="1207" t="inlineStr">
        <is>
          <t>JT.#137</t>
        </is>
      </c>
      <c r="B331" s="1207" t="inlineStr">
        <is>
          <t>3-1/2" TUBING 9.2 LB/FT ALLOY 28 TSH BL</t>
        </is>
      </c>
      <c r="C331" s="1431" t="n">
        <v>31</v>
      </c>
    </row>
    <row r="332" ht="14.25" customHeight="1" s="1158">
      <c r="A332" s="1207" t="inlineStr">
        <is>
          <t>JT.#138</t>
        </is>
      </c>
      <c r="B332" s="1207" t="inlineStr">
        <is>
          <t>3-1/2" TUBING 9.2 LB/FT ALLOY 28 TSH BL</t>
        </is>
      </c>
      <c r="C332" s="1431" t="n">
        <v>31</v>
      </c>
    </row>
    <row r="333" ht="14.25" customHeight="1" s="1158">
      <c r="A333" s="1207" t="inlineStr">
        <is>
          <t>JT.#139</t>
        </is>
      </c>
      <c r="B333" s="1207" t="inlineStr">
        <is>
          <t>3-1/2" TUBING 9.2 LB/FT ALLOY 28 TSH BL</t>
        </is>
      </c>
      <c r="C333" s="1431" t="n">
        <v>31</v>
      </c>
    </row>
    <row r="334" ht="14.25" customHeight="1" s="1158">
      <c r="A334" s="1207" t="inlineStr">
        <is>
          <t>JT.#140</t>
        </is>
      </c>
      <c r="B334" s="1207" t="inlineStr">
        <is>
          <t>3-1/2" TUBING 9.2 LB/FT ALLOY 28 TSH BL</t>
        </is>
      </c>
      <c r="C334" s="1431" t="n">
        <v>31</v>
      </c>
    </row>
    <row r="335" ht="14.25" customHeight="1" s="1158">
      <c r="A335" s="1207" t="inlineStr">
        <is>
          <t>JT.#141</t>
        </is>
      </c>
      <c r="B335" s="1207" t="inlineStr">
        <is>
          <t>3-1/2" TUBING 9.2 LB/FT ALLOY 28 TSH BL</t>
        </is>
      </c>
      <c r="C335" s="1431" t="n">
        <v>31</v>
      </c>
    </row>
    <row r="336" ht="14.25" customHeight="1" s="1158">
      <c r="A336" s="1207" t="inlineStr">
        <is>
          <t>JT.#142</t>
        </is>
      </c>
      <c r="B336" s="1207" t="inlineStr">
        <is>
          <t>3-1/2" TUBING 9.2 LB/FT ALLOY 28 TSH BL</t>
        </is>
      </c>
      <c r="C336" s="1431" t="n">
        <v>31</v>
      </c>
    </row>
    <row r="337" ht="14.25" customHeight="1" s="1158">
      <c r="A337" s="1207" t="inlineStr">
        <is>
          <t>JT.#143</t>
        </is>
      </c>
      <c r="B337" s="1207" t="inlineStr">
        <is>
          <t>3-1/2" TUBING 9.2 LB/FT ALLOY 28 TSH BL</t>
        </is>
      </c>
      <c r="C337" s="1431" t="n">
        <v>31</v>
      </c>
    </row>
    <row r="338" ht="14.25" customHeight="1" s="1158">
      <c r="A338" s="1207" t="inlineStr">
        <is>
          <t>JT.#144</t>
        </is>
      </c>
      <c r="B338" s="1207" t="inlineStr">
        <is>
          <t>3-1/2" TUBING 9.2 LB/FT ALLOY 28 TSH BL</t>
        </is>
      </c>
      <c r="C338" s="1431" t="n">
        <v>31</v>
      </c>
    </row>
    <row r="339" ht="14.25" customHeight="1" s="1158">
      <c r="A339" s="1207" t="inlineStr">
        <is>
          <t>JT.#145</t>
        </is>
      </c>
      <c r="B339" s="1207" t="inlineStr">
        <is>
          <t>3-1/2" TUBING 9.2 LB/FT ALLOY 28 TSH BL</t>
        </is>
      </c>
      <c r="C339" s="1431" t="n">
        <v>31</v>
      </c>
    </row>
    <row r="340" ht="76.09999999999999" customHeight="1" s="1158">
      <c r="A340" s="2071" t="inlineStr">
        <is>
          <t>B</t>
        </is>
      </c>
      <c r="B340" s="2072" t="inlineStr">
        <is>
          <t>UPPER CONN. 3-1/2" VAM TOP BOX 9.2 PPF SN 28 110 KSI
DESCRIPTION: 5 FEET XOVER
SAP: 130005011340
SUPPLIER: TENARIS
LOWER CONN. 3-1/2" TSH BLUE PIN 9.2 PPF SN 28 110 KSI</t>
        </is>
      </c>
      <c r="C340" s="2073" t="n">
        <v>5.18</v>
      </c>
      <c r="D340" s="2074" t="n">
        <v>3.908</v>
      </c>
      <c r="E340" s="2074" t="n">
        <v>2.959</v>
      </c>
      <c r="F340" s="2075" t="inlineStr">
        <is>
          <t>N/A</t>
        </is>
      </c>
      <c r="G340" s="2075" t="inlineStr">
        <is>
          <t>N/A</t>
        </is>
      </c>
      <c r="H340" s="2075" t="inlineStr">
        <is>
          <t>130005011340</t>
        </is>
      </c>
      <c r="I340" s="2075" t="inlineStr">
        <is>
          <t>N/A</t>
        </is>
      </c>
    </row>
    <row r="341" ht="76.09999999999999" customHeight="1" s="1158">
      <c r="B341" s="2072" t="inlineStr">
        <is>
          <t>UPPER CONN. 3-1/2" SENTINEL PRIME BOX 9.2 PPF TX28-110 KSI
DESCRIPTION: 5 FEET XOVER
SAP: 130013006385
SUPPLIER: TBX
LOWER CONN. 3-1/2" VAM TOP PIN 9.2 PPF TX28- 110 KSI</t>
        </is>
      </c>
      <c r="C341" s="2073" t="n">
        <v>4.91</v>
      </c>
      <c r="D341" s="2074" t="n">
        <v>3.929</v>
      </c>
      <c r="E341" s="2074" t="n">
        <v>2.921</v>
      </c>
      <c r="F341" s="2075" t="inlineStr">
        <is>
          <t>N/A</t>
        </is>
      </c>
      <c r="G341" s="2075" t="inlineStr">
        <is>
          <t>N/A</t>
        </is>
      </c>
      <c r="H341" s="2075" t="inlineStr">
        <is>
          <t>130013006385</t>
        </is>
      </c>
      <c r="I341" s="2075" t="inlineStr">
        <is>
          <t>N/A</t>
        </is>
      </c>
    </row>
    <row r="342" ht="105.95" customHeight="1" s="1158">
      <c r="B342" s="2072" t="inlineStr">
        <is>
          <t>UPPER CONN. 3-1/2" SENTINEL PRIME 9.2#PPF INC 925 BOX
DESCRIPTION: NINE ENERGY MULTICYCLE BARRIER DEVICE
7 CYCLES REMAINING
P/N: 3207251
S/N: 100 086 877
SAP: 130010036003 SUPPLIER: NINE ENERGY
LOWER CONN- 3 1/2 9.2 SENTINEL PRIME 9.2 PPF INC 925 PIN</t>
        </is>
      </c>
      <c r="C342" s="2073" t="n">
        <v>5.22</v>
      </c>
      <c r="D342" s="2074" t="n">
        <v>4.8</v>
      </c>
      <c r="E342" s="2074" t="n">
        <v>2.91</v>
      </c>
      <c r="F342" s="2075" t="inlineStr">
        <is>
          <t>3207251</t>
        </is>
      </c>
      <c r="G342" s="2075" t="inlineStr">
        <is>
          <t>100 086 877</t>
        </is>
      </c>
      <c r="H342" s="2075" t="inlineStr">
        <is>
          <t>130010036003</t>
        </is>
      </c>
      <c r="I342" s="2075" t="inlineStr">
        <is>
          <t>N/A</t>
        </is>
      </c>
    </row>
    <row r="343" ht="76.09999999999999" customHeight="1" s="1158">
      <c r="B343" s="2072" t="inlineStr">
        <is>
          <t>UPPER CONN. 3-1/2" VAM TOP BOX 9.2 PPF TX28- 110 KSI
DESCRIPTION: 5 FEET XOVER
SAP: 130013006383
SUPPLIER: TBX
LOWER CONN -3-1/2" SENTINEL PRIME PIN 9.2 PPF TX28-110 KSI</t>
        </is>
      </c>
      <c r="C343" s="2073" t="n">
        <v>4.8</v>
      </c>
      <c r="D343" s="2074" t="n">
        <v>3.908</v>
      </c>
      <c r="E343" s="2074" t="n">
        <v>2.959</v>
      </c>
      <c r="F343" s="2075" t="inlineStr">
        <is>
          <t>N/A</t>
        </is>
      </c>
      <c r="G343" s="2075" t="inlineStr">
        <is>
          <t>N/A</t>
        </is>
      </c>
      <c r="H343" s="2075" t="inlineStr">
        <is>
          <t>130013006383</t>
        </is>
      </c>
      <c r="I343" s="2075" t="inlineStr">
        <is>
          <t>N/A</t>
        </is>
      </c>
    </row>
    <row r="344" ht="76.09999999999999" customHeight="1" s="1158">
      <c r="B344" s="2072" t="inlineStr">
        <is>
          <t>UPPER CONN. 3-1/2" TSH BLUE BOX 9.2 PPF SN 28 110 KSI
DESCRIPTION: 10 FEET XOVER
SAP: 130005011444
SUPPLIER: TENARIS
LOWER CONN. 3-1/2" VAM TOP PIN 9.2 PPF SN 28 110 KSI</t>
        </is>
      </c>
      <c r="C344" s="2073" t="n">
        <v>9.83</v>
      </c>
      <c r="D344" s="2074" t="n">
        <v>3.937</v>
      </c>
      <c r="E344" s="2074" t="n">
        <v>2.969</v>
      </c>
      <c r="F344" s="2075" t="inlineStr">
        <is>
          <t>N/A</t>
        </is>
      </c>
      <c r="G344" s="2075" t="inlineStr">
        <is>
          <t>N/A</t>
        </is>
      </c>
      <c r="H344" s="2075" t="inlineStr">
        <is>
          <t>130005011444</t>
        </is>
      </c>
      <c r="I344" s="2075" t="inlineStr">
        <is>
          <t>N/A</t>
        </is>
      </c>
    </row>
    <row r="345" ht="14.25" customHeight="1" s="1158">
      <c r="A345" s="1207" t="inlineStr">
        <is>
          <t>JT.#146</t>
        </is>
      </c>
      <c r="B345" s="1207" t="inlineStr">
        <is>
          <t>3-1/2" TUBING 9.2 LB/FT ALLOY 28 TSH BL</t>
        </is>
      </c>
      <c r="C345" s="1431" t="n">
        <v>31</v>
      </c>
    </row>
    <row r="346" ht="14.25" customHeight="1" s="1158">
      <c r="A346" s="1207" t="inlineStr">
        <is>
          <t>JT.#147</t>
        </is>
      </c>
      <c r="B346" s="1207" t="inlineStr">
        <is>
          <t>3-1/2" TUBING 9.2 LB/FT ALLOY 28 TSH BL</t>
        </is>
      </c>
      <c r="C346" s="1431" t="n">
        <v>31</v>
      </c>
    </row>
    <row r="347" ht="76.09999999999999" customHeight="1" s="1158">
      <c r="A347" s="2076" t="inlineStr">
        <is>
          <t>C</t>
        </is>
      </c>
      <c r="B347" s="2077" t="inlineStr">
        <is>
          <t>UPPER CONN. 3-1/2" VAM TOP BOX 9.2 PPF SN 28 110 KSI
DESCRIPTION: 5 FEET XOVER
SAP: 130005011340
SUPPLIER: TENARIS
LOWER CONN. 3-1/2" TSH BLUE PIN 9.2 PPF SN 28 110 KSI</t>
        </is>
      </c>
      <c r="C347" s="2078" t="n">
        <v>5.16</v>
      </c>
      <c r="D347" s="2079" t="n">
        <v>3.908</v>
      </c>
      <c r="E347" s="2079" t="n">
        <v>2.959</v>
      </c>
      <c r="F347" s="2080" t="inlineStr">
        <is>
          <t>N/A</t>
        </is>
      </c>
      <c r="G347" s="2080" t="inlineStr">
        <is>
          <t>N/A</t>
        </is>
      </c>
      <c r="H347" s="2080" t="inlineStr">
        <is>
          <t>130005011340</t>
        </is>
      </c>
      <c r="I347" s="2080" t="inlineStr">
        <is>
          <t>N/A</t>
        </is>
      </c>
    </row>
    <row r="348" ht="105.95" customHeight="1" s="1158">
      <c r="B348" s="2077" t="inlineStr">
        <is>
          <t>UPPER CONN. 3-1/2" VAM TOP 9.2#PPF INC 925 KSI BOX
DESCRIPTION: 2.750 WXN Nipple
PN: 2963809
S/N :12527047-08
SAP: 130010036868
SUPPLIER: WEATHERFORD
LOWER CONN.3-1/2" VAM TOP 9.2#PPF INC 925KSI PIN</t>
        </is>
      </c>
      <c r="C348" s="2078" t="n">
        <v>1.15</v>
      </c>
      <c r="D348" s="2079" t="n">
        <v>3.885</v>
      </c>
      <c r="E348" s="2079" t="n">
        <v>2.637</v>
      </c>
      <c r="F348" s="2080" t="inlineStr">
        <is>
          <t>2963809</t>
        </is>
      </c>
      <c r="G348" s="2080" t="inlineStr">
        <is>
          <t>12527047-08</t>
        </is>
      </c>
      <c r="H348" s="2080" t="inlineStr">
        <is>
          <t>130010036868</t>
        </is>
      </c>
      <c r="I348" s="2080" t="inlineStr">
        <is>
          <t>N/A</t>
        </is>
      </c>
    </row>
    <row r="349" ht="76.09999999999999" customHeight="1" s="1158">
      <c r="B349" s="2077" t="inlineStr">
        <is>
          <t>UPPER CONN. 3-1/2" VAM TOP 9.2#PPF SM 2535 BOX
DESCRIPTION: 5 FEET PUP JOINT
SAP: 130005002758
SUPPLIER: VAM
LOWER CONN. 3-1/2" VAM TOP 9.2#PPF SM 2535 PIN</t>
        </is>
      </c>
      <c r="C349" s="2078" t="n">
        <v>4.92</v>
      </c>
      <c r="D349" s="2079" t="n">
        <v>3.908</v>
      </c>
      <c r="E349" s="2079" t="n">
        <v>2.959</v>
      </c>
      <c r="F349" s="2080" t="inlineStr">
        <is>
          <t>N/A</t>
        </is>
      </c>
      <c r="G349" s="2080" t="inlineStr">
        <is>
          <t>N/A</t>
        </is>
      </c>
      <c r="H349" s="2080" t="inlineStr">
        <is>
          <t>130005002758</t>
        </is>
      </c>
      <c r="I349" s="2080" t="inlineStr">
        <is>
          <t>N/A</t>
        </is>
      </c>
    </row>
    <row r="350" ht="76.09999999999999" customHeight="1" s="1158">
      <c r="B350" s="2077" t="inlineStr">
        <is>
          <t>UPPER CONN. 3-1/2" VAM TOP 9.2#PPF SM2535 BOX
DESCRIPTION: 10 FEET PUP JOINT
SAP: 130013000213
SUPPLIER: VAM
LOWER CONN. 3-1/2" VAM TOP 9.2#PPF SM2535 PIN</t>
        </is>
      </c>
      <c r="C350" s="2078" t="n">
        <v>9.92</v>
      </c>
      <c r="D350" s="2079" t="n">
        <v>3.908</v>
      </c>
      <c r="E350" s="2079" t="n">
        <v>2.959</v>
      </c>
      <c r="F350" s="2080" t="inlineStr">
        <is>
          <t>N/A</t>
        </is>
      </c>
      <c r="G350" s="2080" t="inlineStr">
        <is>
          <t>N/A</t>
        </is>
      </c>
      <c r="H350" s="2080" t="inlineStr">
        <is>
          <t>130013000213</t>
        </is>
      </c>
      <c r="I350" s="2080" t="inlineStr">
        <is>
          <t>N/A</t>
        </is>
      </c>
    </row>
    <row r="351" ht="150.7" customHeight="1" s="1158">
      <c r="B351" s="207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2078" t="n">
        <v>9.710000000000001</v>
      </c>
      <c r="D351" s="2079" t="n">
        <v>5.91</v>
      </c>
      <c r="E351" s="2079" t="n">
        <v>2.919</v>
      </c>
      <c r="F351" s="2080" t="inlineStr">
        <is>
          <t>2960170</t>
        </is>
      </c>
      <c r="G351" s="2080" t="inlineStr">
        <is>
          <t>12857761-01</t>
        </is>
      </c>
      <c r="H351" s="2080" t="inlineStr">
        <is>
          <t>130010037571</t>
        </is>
      </c>
      <c r="I351" s="2080" t="inlineStr">
        <is>
          <t>N/A</t>
        </is>
      </c>
    </row>
    <row r="352" ht="76.09999999999999" customHeight="1" s="1158">
      <c r="B352" s="2077" t="inlineStr">
        <is>
          <t>UPPER CONN. 3-1/2" TSH BLUE BOX 9.2 PPF SN 28 110 KSI
DESCRIPTION: 5 FEET XOVER
SAP: 130005011444
SUPPLIER: TENARIS
LOWER CONN. 3-1/2" VAM TOP PIN 9.2 PPF SN 28 110 KSI</t>
        </is>
      </c>
      <c r="C352" s="2078" t="n">
        <v>4.99</v>
      </c>
      <c r="D352" s="2079" t="n">
        <v>3.937</v>
      </c>
      <c r="E352" s="2079" t="n">
        <v>2.969</v>
      </c>
      <c r="F352" s="2080" t="inlineStr">
        <is>
          <t>N/A</t>
        </is>
      </c>
      <c r="G352" s="2080" t="inlineStr">
        <is>
          <t>N/A</t>
        </is>
      </c>
      <c r="H352" s="2080" t="inlineStr">
        <is>
          <t>130005011444</t>
        </is>
      </c>
      <c r="I352" s="2080" t="inlineStr">
        <is>
          <t>N/A</t>
        </is>
      </c>
    </row>
    <row r="353" ht="14.25" customHeight="1" s="1158">
      <c r="A353" s="1207" t="inlineStr">
        <is>
          <t>JT.#148</t>
        </is>
      </c>
      <c r="B353" s="1207" t="inlineStr">
        <is>
          <t>3-1/2" TUBING 9.2 LB/FT ALLOY 28 TSH BL</t>
        </is>
      </c>
      <c r="C353" s="1431" t="n">
        <v>31</v>
      </c>
    </row>
    <row r="354" ht="14.25" customHeight="1" s="1158">
      <c r="A354" s="1207" t="inlineStr">
        <is>
          <t>JT.#149</t>
        </is>
      </c>
      <c r="B354" s="1207" t="inlineStr">
        <is>
          <t>3-1/2" TUBING 9.2 LB/FT ALLOY 28 TSH BL</t>
        </is>
      </c>
      <c r="C354" s="1431" t="n">
        <v>31</v>
      </c>
    </row>
    <row r="355" ht="14.25" customHeight="1" s="1158">
      <c r="A355" s="1207" t="inlineStr">
        <is>
          <t>JT.#150</t>
        </is>
      </c>
      <c r="B355" s="1207" t="inlineStr">
        <is>
          <t>3-1/2" TUBING 9.2 LB/FT ALLOY 28 TSH BL</t>
        </is>
      </c>
      <c r="C355" s="1431" t="n">
        <v>31</v>
      </c>
    </row>
    <row r="356" ht="14.25" customHeight="1" s="1158">
      <c r="A356" s="1207" t="inlineStr">
        <is>
          <t>JT.#151</t>
        </is>
      </c>
      <c r="B356" s="1207" t="inlineStr">
        <is>
          <t>3-1/2" TUBING 9.2 LB/FT ALLOY 28 TSH BL</t>
        </is>
      </c>
      <c r="C356" s="1431" t="n">
        <v>31</v>
      </c>
    </row>
    <row r="357" ht="14.25" customHeight="1" s="1158">
      <c r="A357" s="1207" t="inlineStr">
        <is>
          <t>JT.#152</t>
        </is>
      </c>
      <c r="B357" s="1207" t="inlineStr">
        <is>
          <t>3-1/2" TUBING 9.2 LB/FT ALLOY 28 TSH BL</t>
        </is>
      </c>
      <c r="C357" s="1431" t="n">
        <v>31</v>
      </c>
    </row>
    <row r="358" ht="14.25" customHeight="1" s="1158">
      <c r="A358" s="1207" t="inlineStr">
        <is>
          <t>JT.#153</t>
        </is>
      </c>
      <c r="B358" s="1207" t="inlineStr">
        <is>
          <t>3-1/2" TUBING 9.2 LB/FT ALLOY 28 TSH BL</t>
        </is>
      </c>
      <c r="C358" s="1431" t="n">
        <v>31</v>
      </c>
    </row>
    <row r="359" ht="14.25" customHeight="1" s="1158">
      <c r="A359" s="1207" t="inlineStr">
        <is>
          <t>JT.#154</t>
        </is>
      </c>
      <c r="B359" s="1207" t="inlineStr">
        <is>
          <t>3-1/2" TUBING 9.2 LB/FT ALLOY 28 TSH BL</t>
        </is>
      </c>
      <c r="C359" s="1431" t="n">
        <v>31</v>
      </c>
    </row>
    <row r="360" ht="14.25" customHeight="1" s="1158">
      <c r="A360" s="1207" t="inlineStr">
        <is>
          <t>JT.#155</t>
        </is>
      </c>
      <c r="B360" s="1207" t="inlineStr">
        <is>
          <t>3-1/2" TUBING 9.2 LB/FT ALLOY 28 TSH BL</t>
        </is>
      </c>
      <c r="C360" s="1431" t="n">
        <v>31</v>
      </c>
    </row>
    <row r="361" ht="14.25" customHeight="1" s="1158">
      <c r="A361" s="1207" t="inlineStr">
        <is>
          <t>JT.#156</t>
        </is>
      </c>
      <c r="B361" s="1207" t="inlineStr">
        <is>
          <t>3-1/2" TUBING 9.2 LB/FT ALLOY 28 TSH BL</t>
        </is>
      </c>
      <c r="C361" s="1431" t="n">
        <v>31</v>
      </c>
    </row>
    <row r="362" ht="14.25" customHeight="1" s="1158">
      <c r="A362" s="1207" t="inlineStr">
        <is>
          <t>JT.#157</t>
        </is>
      </c>
      <c r="B362" s="1207" t="inlineStr">
        <is>
          <t>3-1/2" TUBING 9.2 LB/FT ALLOY 28 TSH BL</t>
        </is>
      </c>
      <c r="C362" s="1431" t="n">
        <v>31</v>
      </c>
    </row>
    <row r="363" ht="14.25" customHeight="1" s="1158">
      <c r="A363" s="1207" t="inlineStr">
        <is>
          <t>JT.#158</t>
        </is>
      </c>
      <c r="B363" s="1207" t="inlineStr">
        <is>
          <t>3-1/2" TUBING 9.2 LB/FT ALLOY 28 TSH BL</t>
        </is>
      </c>
      <c r="C363" s="1431" t="n">
        <v>31</v>
      </c>
    </row>
    <row r="364" ht="14.25" customHeight="1" s="1158">
      <c r="A364" s="1207" t="inlineStr">
        <is>
          <t>JT.#159</t>
        </is>
      </c>
      <c r="B364" s="1207" t="inlineStr">
        <is>
          <t>3-1/2" TUBING 9.2 LB/FT ALLOY 28 TSH BL</t>
        </is>
      </c>
      <c r="C364" s="1431" t="n">
        <v>31</v>
      </c>
    </row>
    <row r="365" ht="14.25" customHeight="1" s="1158">
      <c r="A365" s="1207" t="inlineStr">
        <is>
          <t>JT.#160</t>
        </is>
      </c>
      <c r="B365" s="1207" t="inlineStr">
        <is>
          <t>3-1/2" TUBING 9.2 LB/FT ALLOY 28 TSH BL</t>
        </is>
      </c>
      <c r="C365" s="1431" t="n">
        <v>31</v>
      </c>
    </row>
    <row r="366" ht="14.25" customHeight="1" s="1158">
      <c r="A366" s="1207" t="inlineStr">
        <is>
          <t>JT.#161</t>
        </is>
      </c>
      <c r="B366" s="1207" t="inlineStr">
        <is>
          <t>3-1/2" TUBING 9.2 LB/FT ALLOY 28 TSH BL</t>
        </is>
      </c>
      <c r="C366" s="1431" t="n">
        <v>31</v>
      </c>
    </row>
    <row r="367" ht="14.25" customHeight="1" s="1158">
      <c r="A367" s="1207" t="inlineStr">
        <is>
          <t>JT.#162</t>
        </is>
      </c>
      <c r="B367" s="1207" t="inlineStr">
        <is>
          <t>3-1/2" TUBING 9.2 LB/FT ALLOY 28 TSH BL</t>
        </is>
      </c>
      <c r="C367" s="1431" t="n">
        <v>31</v>
      </c>
    </row>
    <row r="368" ht="14.25" customHeight="1" s="1158">
      <c r="A368" s="1207" t="inlineStr">
        <is>
          <t>JT.#163</t>
        </is>
      </c>
      <c r="B368" s="1207" t="inlineStr">
        <is>
          <t>3-1/2" TUBING 9.2 LB/FT ALLOY 28 TSH BL</t>
        </is>
      </c>
      <c r="C368" s="1431" t="n">
        <v>31</v>
      </c>
    </row>
    <row r="369" ht="14.25" customHeight="1" s="1158">
      <c r="A369" s="1207" t="inlineStr">
        <is>
          <t>JT.#164</t>
        </is>
      </c>
      <c r="B369" s="1207" t="inlineStr">
        <is>
          <t>3-1/2" TUBING 9.2 LB/FT ALLOY 28 TSH BL</t>
        </is>
      </c>
      <c r="C369" s="1431" t="n">
        <v>31</v>
      </c>
    </row>
    <row r="370" ht="14.25" customHeight="1" s="1158">
      <c r="A370" s="1207" t="inlineStr">
        <is>
          <t>JT.#165</t>
        </is>
      </c>
      <c r="B370" s="1207" t="inlineStr">
        <is>
          <t>3-1/2" TUBING 9.2 LB/FT ALLOY 28 TSH BL</t>
        </is>
      </c>
      <c r="C370" s="1431" t="n">
        <v>31</v>
      </c>
    </row>
    <row r="371" ht="14.25" customHeight="1" s="1158">
      <c r="A371" s="1207" t="inlineStr">
        <is>
          <t>JT.#166</t>
        </is>
      </c>
      <c r="B371" s="1207" t="inlineStr">
        <is>
          <t>3-1/2" TUBING 9.2 LB/FT ALLOY 28 TSH BL</t>
        </is>
      </c>
      <c r="C371" s="1431" t="n">
        <v>31</v>
      </c>
    </row>
    <row r="372" ht="14.25" customHeight="1" s="1158">
      <c r="A372" s="1207" t="inlineStr">
        <is>
          <t>JT.#167</t>
        </is>
      </c>
      <c r="B372" s="1207" t="inlineStr">
        <is>
          <t>3-1/2" TUBING 9.2 LB/FT ALLOY 28 TSH BL</t>
        </is>
      </c>
      <c r="C372" s="1431" t="n">
        <v>31</v>
      </c>
    </row>
    <row r="373" ht="14.25" customHeight="1" s="1158">
      <c r="A373" s="1207" t="inlineStr">
        <is>
          <t>JT.#168</t>
        </is>
      </c>
      <c r="B373" s="1207" t="inlineStr">
        <is>
          <t>3-1/2" TUBING 9.2 LB/FT ALLOY 28 TSH BL</t>
        </is>
      </c>
      <c r="C373" s="1431" t="n">
        <v>31</v>
      </c>
    </row>
    <row r="374" ht="14.25" customHeight="1" s="1158">
      <c r="A374" s="1207" t="inlineStr">
        <is>
          <t>JT.#169</t>
        </is>
      </c>
      <c r="B374" s="1207" t="inlineStr">
        <is>
          <t>3-1/2" TUBING 9.2 LB/FT ALLOY 28 TSH BL</t>
        </is>
      </c>
      <c r="C374" s="1431" t="n">
        <v>31</v>
      </c>
    </row>
    <row r="375" ht="14.25" customHeight="1" s="1158">
      <c r="A375" s="1207" t="inlineStr">
        <is>
          <t>JT.#170</t>
        </is>
      </c>
      <c r="B375" s="1207" t="inlineStr">
        <is>
          <t>3-1/2" TUBING 9.2 LB/FT ALLOY 28 TSH BL</t>
        </is>
      </c>
      <c r="C375" s="1431" t="n">
        <v>31</v>
      </c>
    </row>
    <row r="376" ht="14.25" customHeight="1" s="1158">
      <c r="A376" s="1207" t="inlineStr">
        <is>
          <t>JT.#171</t>
        </is>
      </c>
      <c r="B376" s="1207" t="inlineStr">
        <is>
          <t>3-1/2" TUBING 9.2 LB/FT ALLOY 28 TSH BL</t>
        </is>
      </c>
      <c r="C376" s="1431" t="n">
        <v>31</v>
      </c>
    </row>
    <row r="377" ht="14.25" customHeight="1" s="1158">
      <c r="A377" s="1207" t="inlineStr">
        <is>
          <t>JT.#172</t>
        </is>
      </c>
      <c r="B377" s="1207" t="inlineStr">
        <is>
          <t>3-1/2" TUBING 9.2 LB/FT ALLOY 28 TSH BL</t>
        </is>
      </c>
      <c r="C377" s="1431" t="n">
        <v>31</v>
      </c>
    </row>
    <row r="378" ht="14.25" customHeight="1" s="1158">
      <c r="A378" s="1207" t="inlineStr">
        <is>
          <t>JT.#173</t>
        </is>
      </c>
      <c r="B378" s="1207" t="inlineStr">
        <is>
          <t>3-1/2" TUBING 9.2 LB/FT ALLOY 28 TSH BL</t>
        </is>
      </c>
      <c r="C378" s="1431" t="n">
        <v>31</v>
      </c>
    </row>
    <row r="379" ht="14.25" customHeight="1" s="1158">
      <c r="A379" s="1207" t="inlineStr">
        <is>
          <t>JT.#174</t>
        </is>
      </c>
      <c r="B379" s="1207" t="inlineStr">
        <is>
          <t>3-1/2" TUBING 9.2 LB/FT ALLOY 28 TSH BL</t>
        </is>
      </c>
      <c r="C379" s="1431" t="n">
        <v>31</v>
      </c>
    </row>
    <row r="380" ht="14.25" customHeight="1" s="1158">
      <c r="A380" s="1207" t="inlineStr">
        <is>
          <t>JT.#175</t>
        </is>
      </c>
      <c r="B380" s="1207" t="inlineStr">
        <is>
          <t>3-1/2" TUBING 9.2 LB/FT ALLOY 28 TSH BL</t>
        </is>
      </c>
      <c r="C380" s="1431" t="n">
        <v>31</v>
      </c>
    </row>
    <row r="381" ht="14.25" customHeight="1" s="1158">
      <c r="A381" s="1207" t="inlineStr">
        <is>
          <t>JT.#176</t>
        </is>
      </c>
      <c r="B381" s="1207" t="inlineStr">
        <is>
          <t>3-1/2" TUBING 9.2 LB/FT ALLOY 28 TSH BL</t>
        </is>
      </c>
      <c r="C381" s="1431" t="n">
        <v>31</v>
      </c>
    </row>
    <row r="382" ht="14.25" customHeight="1" s="1158">
      <c r="A382" s="1207" t="inlineStr">
        <is>
          <t>JT.#177</t>
        </is>
      </c>
      <c r="B382" s="1207" t="inlineStr">
        <is>
          <t>3-1/2" TUBING 9.2 LB/FT ALLOY 28 TSH BL</t>
        </is>
      </c>
      <c r="C382" s="1431" t="n">
        <v>31</v>
      </c>
    </row>
    <row r="383" ht="14.25" customHeight="1" s="1158">
      <c r="A383" s="1207" t="inlineStr">
        <is>
          <t>JT.#178</t>
        </is>
      </c>
      <c r="B383" s="1207" t="inlineStr">
        <is>
          <t>3-1/2" TUBING 9.2 LB/FT ALLOY 28 TSH BL</t>
        </is>
      </c>
      <c r="C383" s="1431" t="n">
        <v>31</v>
      </c>
    </row>
    <row r="384" ht="14.25" customHeight="1" s="1158">
      <c r="A384" s="1207" t="inlineStr">
        <is>
          <t>JT.#179</t>
        </is>
      </c>
      <c r="B384" s="1207" t="inlineStr">
        <is>
          <t>3-1/2" TUBING 9.2 LB/FT ALLOY 28 TSH BL</t>
        </is>
      </c>
      <c r="C384" s="1431" t="n">
        <v>31</v>
      </c>
    </row>
    <row r="385" ht="14.25" customHeight="1" s="1158">
      <c r="A385" s="1207" t="inlineStr">
        <is>
          <t>JT.#180</t>
        </is>
      </c>
      <c r="B385" s="1207" t="inlineStr">
        <is>
          <t>3-1/2" TUBING 9.2 LB/FT ALLOY 28 TSH BL</t>
        </is>
      </c>
      <c r="C385" s="1431" t="n">
        <v>31</v>
      </c>
    </row>
    <row r="386" ht="14.25" customHeight="1" s="1158">
      <c r="A386" s="1207" t="inlineStr">
        <is>
          <t>JT.#181</t>
        </is>
      </c>
      <c r="B386" s="1207" t="inlineStr">
        <is>
          <t>3-1/2" TUBING 9.2 LB/FT ALLOY 28 TSH BL</t>
        </is>
      </c>
      <c r="C386" s="1431" t="n">
        <v>31</v>
      </c>
    </row>
    <row r="387" ht="14.25" customHeight="1" s="1158">
      <c r="A387" s="1207" t="inlineStr">
        <is>
          <t>JT.#182</t>
        </is>
      </c>
      <c r="B387" s="1207" t="inlineStr">
        <is>
          <t>3-1/2" TUBING 9.2 LB/FT ALLOY 28 TSH BL</t>
        </is>
      </c>
      <c r="C387" s="1431" t="n">
        <v>31</v>
      </c>
    </row>
    <row r="388" ht="14.25" customHeight="1" s="1158">
      <c r="A388" s="1207" t="inlineStr">
        <is>
          <t>JT.#183</t>
        </is>
      </c>
      <c r="B388" s="1207" t="inlineStr">
        <is>
          <t>3-1/2" TUBING 9.2 LB/FT ALLOY 28 TSH BL</t>
        </is>
      </c>
      <c r="C388" s="1431" t="n">
        <v>31</v>
      </c>
    </row>
    <row r="389" ht="14.25" customHeight="1" s="1158">
      <c r="A389" s="1207" t="inlineStr">
        <is>
          <t>JT.#184</t>
        </is>
      </c>
      <c r="B389" s="1207" t="inlineStr">
        <is>
          <t>3-1/2" TUBING 9.2 LB/FT ALLOY 28 TSH BL</t>
        </is>
      </c>
      <c r="C389" s="1431" t="n">
        <v>31</v>
      </c>
    </row>
    <row r="390" ht="14.25" customHeight="1" s="1158">
      <c r="A390" s="1207" t="inlineStr">
        <is>
          <t>JT.#185</t>
        </is>
      </c>
      <c r="B390" s="1207" t="inlineStr">
        <is>
          <t>3-1/2" TUBING 9.2 LB/FT ALLOY 28 TSH BL</t>
        </is>
      </c>
      <c r="C390" s="1431" t="n">
        <v>31</v>
      </c>
    </row>
    <row r="391" ht="14.25" customHeight="1" s="1158">
      <c r="A391" s="1207" t="inlineStr">
        <is>
          <t>JT.#186</t>
        </is>
      </c>
      <c r="B391" s="1207" t="inlineStr">
        <is>
          <t>3-1/2" TUBING 9.2 LB/FT ALLOY 28 TSH BL</t>
        </is>
      </c>
      <c r="C391" s="1431" t="n">
        <v>31</v>
      </c>
    </row>
    <row r="392" ht="14.25" customHeight="1" s="1158">
      <c r="A392" s="1207" t="inlineStr">
        <is>
          <t>JT.#187</t>
        </is>
      </c>
      <c r="B392" s="1207" t="inlineStr">
        <is>
          <t>3-1/2" TUBING 9.2 LB/FT ALLOY 28 TSH BL</t>
        </is>
      </c>
      <c r="C392" s="1431" t="n">
        <v>31</v>
      </c>
    </row>
    <row r="393" ht="14.25" customHeight="1" s="1158">
      <c r="A393" s="1207" t="inlineStr">
        <is>
          <t>JT.#188</t>
        </is>
      </c>
      <c r="B393" s="1207" t="inlineStr">
        <is>
          <t>3-1/2" TUBING 9.2 LB/FT ALLOY 28 TSH BL</t>
        </is>
      </c>
      <c r="C393" s="1431" t="n">
        <v>31</v>
      </c>
    </row>
    <row r="394" ht="14.25" customHeight="1" s="1158">
      <c r="A394" s="1207" t="inlineStr">
        <is>
          <t>JT.#189</t>
        </is>
      </c>
      <c r="B394" s="1207" t="inlineStr">
        <is>
          <t>3-1/2" TUBING 9.2 LB/FT ALLOY 28 TSH BL</t>
        </is>
      </c>
      <c r="C394" s="1431" t="n">
        <v>31</v>
      </c>
    </row>
    <row r="395" ht="14.25" customHeight="1" s="1158">
      <c r="A395" s="1207" t="inlineStr">
        <is>
          <t>JT.#190</t>
        </is>
      </c>
      <c r="B395" s="1207" t="inlineStr">
        <is>
          <t>3-1/2" TUBING 9.2 LB/FT ALLOY 28 TSH BL</t>
        </is>
      </c>
      <c r="C395" s="1431" t="n">
        <v>31</v>
      </c>
    </row>
    <row r="396" ht="14.25" customHeight="1" s="1158">
      <c r="A396" s="1207" t="inlineStr">
        <is>
          <t>JT.#191</t>
        </is>
      </c>
      <c r="B396" s="1207" t="inlineStr">
        <is>
          <t>3-1/2" TUBING 9.2 LB/FT ALLOY 28 TSH BL</t>
        </is>
      </c>
      <c r="C396" s="1431" t="n">
        <v>31</v>
      </c>
    </row>
    <row r="397" ht="14.25" customHeight="1" s="1158">
      <c r="A397" s="1207" t="inlineStr">
        <is>
          <t>JT.#192</t>
        </is>
      </c>
      <c r="B397" s="1207" t="inlineStr">
        <is>
          <t>3-1/2" TUBING 9.2 LB/FT ALLOY 28 TSH BL</t>
        </is>
      </c>
      <c r="C397" s="1431" t="n">
        <v>31</v>
      </c>
    </row>
    <row r="398" ht="76.09999999999999" customHeight="1" s="1158">
      <c r="A398" s="2081" t="inlineStr">
        <is>
          <t>D1</t>
        </is>
      </c>
      <c r="B398" s="2082" t="inlineStr">
        <is>
          <t>UPPER CONN. 3-1/2" VAM TOP BOX 9.2 PPF SN 28 110 KSI
DESCRIPTION: 5 FEET XOVER
SAP: 130005011340
SUPPLIER: TENARIS
LOWER CONN. 3-1/2" TSH BLUE PIN 9.2 PPF SN 28 110 KSI</t>
        </is>
      </c>
      <c r="C398" s="2083" t="n">
        <v>5.2</v>
      </c>
      <c r="D398" s="2084" t="n">
        <v>3.908</v>
      </c>
      <c r="E398" s="2084" t="n">
        <v>2.959</v>
      </c>
      <c r="F398" s="2085" t="inlineStr">
        <is>
          <t>N/A</t>
        </is>
      </c>
      <c r="G398" s="2085" t="inlineStr">
        <is>
          <t>N/A</t>
        </is>
      </c>
      <c r="H398" s="2085" t="inlineStr">
        <is>
          <t>130005011340</t>
        </is>
      </c>
      <c r="I398" s="2085" t="inlineStr">
        <is>
          <t>N/A</t>
        </is>
      </c>
    </row>
    <row r="399" ht="76.09999999999999" customHeight="1" s="1158">
      <c r="B399" s="2082" t="inlineStr">
        <is>
          <t>UPPER CONN. 3-1/2" SENTINEL PRIME BOX 9.2 PPF TX28-110 KSI
DESCRIPTION: 5 FEET XOVER
SAP: 130013006385
SUPPLIER: TBX
LOWER CONN. 3-1/2" VAM TOP PIN 9.2 PPF TX28-110 KSI</t>
        </is>
      </c>
      <c r="C399" s="2083" t="n">
        <v>4.96</v>
      </c>
      <c r="D399" s="2084" t="n">
        <v>3.929</v>
      </c>
      <c r="E399" s="2084" t="n">
        <v>2.921</v>
      </c>
      <c r="F399" s="2085" t="inlineStr">
        <is>
          <t>N/A</t>
        </is>
      </c>
      <c r="G399" s="2085" t="inlineStr">
        <is>
          <t>N/A</t>
        </is>
      </c>
      <c r="H399" s="2085" t="inlineStr">
        <is>
          <t>130013006385</t>
        </is>
      </c>
      <c r="I399" s="2085" t="inlineStr">
        <is>
          <t>N/A</t>
        </is>
      </c>
    </row>
    <row r="400" ht="135.8" customHeight="1" s="1158">
      <c r="B400" s="208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2083" t="n">
        <v>8.69</v>
      </c>
      <c r="D400" s="2084" t="n">
        <v>5.82</v>
      </c>
      <c r="E400" s="2084" t="n">
        <v>2.9</v>
      </c>
      <c r="F400" s="2085" t="inlineStr">
        <is>
          <t>3205577</t>
        </is>
      </c>
      <c r="G400" s="2085" t="inlineStr">
        <is>
          <t>12636080-03</t>
        </is>
      </c>
      <c r="H400" s="2085" t="inlineStr">
        <is>
          <t>130010036652</t>
        </is>
      </c>
      <c r="I400" s="2085" t="inlineStr">
        <is>
          <t>N/A</t>
        </is>
      </c>
    </row>
    <row r="401" ht="76.09999999999999" customHeight="1" s="1158">
      <c r="B401" s="2082" t="inlineStr">
        <is>
          <t>UPPER CONN. 3-1/2" VAM TOP BOX 9.2 PPF TX28- 110 KSI
DESCRIPTION: 5 FEET XOVER
SAP: 130013006383
SUPPLIER: TBX
LOWER CONN -3-1/2" SENTINEL PRIME PIN 9.2 PPF TX28-110 KSI</t>
        </is>
      </c>
      <c r="C401" s="2083" t="n">
        <v>4.85</v>
      </c>
      <c r="D401" s="2084" t="n">
        <v>3.908</v>
      </c>
      <c r="E401" s="2084" t="n">
        <v>2.959</v>
      </c>
      <c r="F401" s="2085" t="inlineStr">
        <is>
          <t>N/A</t>
        </is>
      </c>
      <c r="G401" s="2085" t="inlineStr">
        <is>
          <t>N/A</t>
        </is>
      </c>
      <c r="H401" s="2085" t="inlineStr">
        <is>
          <t>130013006383</t>
        </is>
      </c>
      <c r="I401" s="2085" t="inlineStr">
        <is>
          <t>N/A</t>
        </is>
      </c>
    </row>
    <row r="402" ht="76.09999999999999" customHeight="1" s="1158">
      <c r="B402" s="2082" t="inlineStr">
        <is>
          <t>UPPER CONN. 3-1/2" TSH BLUE BOX 9.2 PPF SN 28 110 KSI
DESCRIPTION: 10 FEET XOVER
SAP: 130005012487
SUPPLIER: TENARIS
LOWER CONN. 3-1/2" VAM TOP PIN 9.2 PPF SN 28 110 KSI</t>
        </is>
      </c>
      <c r="C402" s="2083" t="n">
        <v>9.949999999999999</v>
      </c>
      <c r="D402" s="2084" t="n">
        <v>3.937</v>
      </c>
      <c r="E402" s="2084" t="n">
        <v>2.969</v>
      </c>
      <c r="F402" s="2085" t="inlineStr">
        <is>
          <t>N/A</t>
        </is>
      </c>
      <c r="G402" s="2085" t="inlineStr">
        <is>
          <t>N/A</t>
        </is>
      </c>
      <c r="H402" s="2085" t="inlineStr">
        <is>
          <t>130005012487</t>
        </is>
      </c>
      <c r="I402" s="2085" t="inlineStr">
        <is>
          <t>N/A</t>
        </is>
      </c>
    </row>
    <row r="403" ht="14.25" customHeight="1" s="1158">
      <c r="A403" s="1207" t="inlineStr">
        <is>
          <t>JT.#193</t>
        </is>
      </c>
      <c r="B403" s="1207" t="inlineStr">
        <is>
          <t>3-1/2" TUBING 9.2 LB/FT ALLOY 28 TSH BL</t>
        </is>
      </c>
      <c r="C403" s="1431" t="n">
        <v>31</v>
      </c>
    </row>
    <row r="404" ht="14.25" customHeight="1" s="1158">
      <c r="A404" s="1207" t="inlineStr">
        <is>
          <t>JT.#194</t>
        </is>
      </c>
      <c r="B404" s="1207" t="inlineStr">
        <is>
          <t>3-1/2" TUBING 9.2 LB/FT ALLOY 28 TSH BL</t>
        </is>
      </c>
      <c r="C404" s="1431" t="n">
        <v>31</v>
      </c>
    </row>
    <row r="405" ht="14.25" customHeight="1" s="1158">
      <c r="A405" s="1207" t="inlineStr">
        <is>
          <t>JT.#195</t>
        </is>
      </c>
      <c r="B405" s="1207" t="inlineStr">
        <is>
          <t>3-1/2" TUBING 9.2 LB/FT ALLOY 28 TSH BL</t>
        </is>
      </c>
      <c r="C405" s="1431" t="n">
        <v>31</v>
      </c>
    </row>
    <row r="406" ht="14.25" customHeight="1" s="1158">
      <c r="A406" s="1207" t="inlineStr">
        <is>
          <t>JT.#196</t>
        </is>
      </c>
      <c r="B406" s="1207" t="inlineStr">
        <is>
          <t>3-1/2" TUBING 9.2 LB/FT ALLOY 28 TSH BL</t>
        </is>
      </c>
      <c r="C406" s="1431" t="n">
        <v>31</v>
      </c>
    </row>
    <row r="407" ht="14.25" customHeight="1" s="1158">
      <c r="A407" s="1207" t="inlineStr">
        <is>
          <t>JT.#197</t>
        </is>
      </c>
      <c r="B407" s="1207" t="inlineStr">
        <is>
          <t>3-1/2" TUBING 9.2 LB/FT ALLOY 28 TSH BL</t>
        </is>
      </c>
      <c r="C407" s="1431" t="n">
        <v>31</v>
      </c>
    </row>
    <row r="408" ht="14.25" customHeight="1" s="1158">
      <c r="A408" s="1207" t="inlineStr">
        <is>
          <t>JT.#198</t>
        </is>
      </c>
      <c r="B408" s="1207" t="inlineStr">
        <is>
          <t>3-1/2" TUBING 9.2 LB/FT ALLOY 28 TSH BL</t>
        </is>
      </c>
      <c r="C408" s="1431" t="n">
        <v>31</v>
      </c>
    </row>
    <row r="409" ht="14.25" customHeight="1" s="1158">
      <c r="A409" s="1207" t="inlineStr">
        <is>
          <t>JT.#199</t>
        </is>
      </c>
      <c r="B409" s="1207" t="inlineStr">
        <is>
          <t>3-1/2" TUBING 9.2 LB/FT ALLOY 28 TSH BL</t>
        </is>
      </c>
      <c r="C409" s="1431" t="n">
        <v>31</v>
      </c>
    </row>
    <row r="410" ht="14.25" customHeight="1" s="1158">
      <c r="A410" s="1207" t="inlineStr">
        <is>
          <t>JT.#200</t>
        </is>
      </c>
      <c r="B410" s="1207" t="inlineStr">
        <is>
          <t>3-1/2" TUBING 9.2 LB/FT ALLOY 28 TSH BL</t>
        </is>
      </c>
      <c r="C410" s="1431" t="n">
        <v>31</v>
      </c>
    </row>
    <row r="411" ht="14.25" customHeight="1" s="1158">
      <c r="A411" s="1207" t="inlineStr">
        <is>
          <t>JT.#201</t>
        </is>
      </c>
      <c r="B411" s="1207" t="inlineStr">
        <is>
          <t>3-1/2" TUBING 9.2 LB/FT ALLOY 28 TSH BL</t>
        </is>
      </c>
      <c r="C411" s="1431" t="n">
        <v>31</v>
      </c>
    </row>
    <row r="412" ht="14.25" customHeight="1" s="1158">
      <c r="A412" s="1207" t="inlineStr">
        <is>
          <t>JT.#202</t>
        </is>
      </c>
      <c r="B412" s="1207" t="inlineStr">
        <is>
          <t>3-1/2" TUBING 9.2 LB/FT ALLOY 28 TSH BL</t>
        </is>
      </c>
      <c r="C412" s="1431" t="n">
        <v>31</v>
      </c>
    </row>
    <row r="413" ht="14.25" customHeight="1" s="1158">
      <c r="A413" s="1207" t="inlineStr">
        <is>
          <t>JT.#203</t>
        </is>
      </c>
      <c r="B413" s="1207" t="inlineStr">
        <is>
          <t>3-1/2" TUBING 9.2 LB/FT ALLOY 28 TSH BL</t>
        </is>
      </c>
      <c r="C413" s="1431" t="n">
        <v>31</v>
      </c>
    </row>
    <row r="414" ht="14.25" customHeight="1" s="1158">
      <c r="A414" s="1207" t="inlineStr">
        <is>
          <t>JT.#204</t>
        </is>
      </c>
      <c r="B414" s="1207" t="inlineStr">
        <is>
          <t>3-1/2" TUBING 9.2 LB/FT ALLOY 28 TSH BL</t>
        </is>
      </c>
      <c r="C414" s="1431" t="n">
        <v>31</v>
      </c>
    </row>
    <row r="415" ht="14.25" customHeight="1" s="1158">
      <c r="A415" s="1207" t="inlineStr">
        <is>
          <t>JT.#205</t>
        </is>
      </c>
      <c r="B415" s="1207" t="inlineStr">
        <is>
          <t>3-1/2" TUBING 9.2 LB/FT ALLOY 28 TSH BL</t>
        </is>
      </c>
      <c r="C415" s="1431" t="n">
        <v>31</v>
      </c>
    </row>
    <row r="416" ht="14.25" customHeight="1" s="1158">
      <c r="A416" s="1207" t="inlineStr">
        <is>
          <t>JT.#206</t>
        </is>
      </c>
      <c r="B416" s="1207" t="inlineStr">
        <is>
          <t>3-1/2" TUBING 9.2 LB/FT ALLOY 28 TSH BL</t>
        </is>
      </c>
      <c r="C416" s="1431" t="n">
        <v>31</v>
      </c>
    </row>
    <row r="417" ht="14.25" customHeight="1" s="1158">
      <c r="A417" s="1207" t="inlineStr">
        <is>
          <t>JT.#207</t>
        </is>
      </c>
      <c r="B417" s="1207" t="inlineStr">
        <is>
          <t>3-1/2" TUBING 9.2 LB/FT ALLOY 28 TSH BL</t>
        </is>
      </c>
      <c r="C417" s="1431" t="n">
        <v>31</v>
      </c>
    </row>
    <row r="418" ht="76.09999999999999" customHeight="1" s="1158">
      <c r="A418" s="2086" t="inlineStr">
        <is>
          <t>D2</t>
        </is>
      </c>
      <c r="B418" s="2087" t="inlineStr">
        <is>
          <t>UPPER CONN. 3-1/2" VAM TOP BOX 9.2 PPF SN 28 110 KSI
DESCRIPTION: 5 FEET XOVER
SAP: 130005011340
SUPPLIER: TENARIS
LOWER CONN. 3-1/2" TSH BLUE PIN 9.2 PPF SN 28 110 KSI</t>
        </is>
      </c>
      <c r="C418" s="2088" t="n">
        <v>5.18</v>
      </c>
      <c r="D418" s="2089" t="n">
        <v>3.908</v>
      </c>
      <c r="E418" s="2089" t="n">
        <v>2.959</v>
      </c>
      <c r="F418" s="2090" t="inlineStr">
        <is>
          <t>N/A</t>
        </is>
      </c>
      <c r="G418" s="2090" t="inlineStr">
        <is>
          <t>N/A</t>
        </is>
      </c>
      <c r="H418" s="2090" t="inlineStr">
        <is>
          <t>130005011340</t>
        </is>
      </c>
      <c r="I418" s="2090" t="inlineStr">
        <is>
          <t>N/A</t>
        </is>
      </c>
    </row>
    <row r="419" ht="76.09999999999999" customHeight="1" s="1158">
      <c r="B419" s="2087" t="inlineStr">
        <is>
          <t>UPPER CONN. 3-1/2" SENTINEL PRIME BOX 9.2 PPF TX28- 110 KSI
DESCRIPTION: 5 FEET XOVER
SAP: 130013006385
SUPPLIER: TBX
LOWER CONN. 3-1/2" VAM TOP PIN 9.2 PPF TX28-110 KSI</t>
        </is>
      </c>
      <c r="C419" s="2088" t="n">
        <v>4.97</v>
      </c>
      <c r="D419" s="2089" t="n">
        <v>3.929</v>
      </c>
      <c r="E419" s="2089" t="n">
        <v>2.921</v>
      </c>
      <c r="F419" s="2090" t="inlineStr">
        <is>
          <t>N/A</t>
        </is>
      </c>
      <c r="G419" s="2090" t="inlineStr">
        <is>
          <t>N/A</t>
        </is>
      </c>
      <c r="H419" s="2090" t="inlineStr">
        <is>
          <t>130013006385</t>
        </is>
      </c>
      <c r="I419" s="2090" t="inlineStr">
        <is>
          <t>N/A</t>
        </is>
      </c>
    </row>
    <row r="420" ht="135.8" customHeight="1" s="1158">
      <c r="B420" s="20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2088" t="n">
        <v>8.69</v>
      </c>
      <c r="D420" s="2089" t="n">
        <v>5.82</v>
      </c>
      <c r="E420" s="2089" t="n">
        <v>2.9</v>
      </c>
      <c r="F420" s="2090" t="inlineStr">
        <is>
          <t>3205577</t>
        </is>
      </c>
      <c r="G420" s="2090" t="inlineStr">
        <is>
          <t>12636080-05</t>
        </is>
      </c>
      <c r="H420" s="2090" t="inlineStr">
        <is>
          <t>130010036652</t>
        </is>
      </c>
      <c r="I420" s="2090" t="inlineStr">
        <is>
          <t>N/A</t>
        </is>
      </c>
    </row>
    <row r="421" ht="76.09999999999999" customHeight="1" s="1158">
      <c r="B421" s="2087" t="inlineStr">
        <is>
          <t>UPPER CONN. 3-1/2" VAM TOP BOX 9.2 PPF TX28- 110 KSI
DESCRIPTION: 5 FEET XOVER
SAP: 130013006383
SUPPLIER: TBX
LOWER CONN -3-1/2" SENTINEL PRIME PIN 9.2 PPF TX28-110 KSI</t>
        </is>
      </c>
      <c r="C421" s="2088" t="n">
        <v>4.8</v>
      </c>
      <c r="D421" s="2089" t="n">
        <v>3.908</v>
      </c>
      <c r="E421" s="2089" t="n">
        <v>2.959</v>
      </c>
      <c r="F421" s="2090" t="inlineStr">
        <is>
          <t>N/A</t>
        </is>
      </c>
      <c r="G421" s="2090" t="inlineStr">
        <is>
          <t>N/A</t>
        </is>
      </c>
      <c r="H421" s="2090" t="inlineStr">
        <is>
          <t>130013006383</t>
        </is>
      </c>
      <c r="I421" s="2090" t="inlineStr">
        <is>
          <t>N/A</t>
        </is>
      </c>
    </row>
    <row r="422" ht="76.09999999999999" customHeight="1" s="1158">
      <c r="B422" s="2087" t="inlineStr">
        <is>
          <t>UPPER CONN. 3-1/2" TSH BLUE BOX 9.2 PPF SN 28 110 KSI
DESCRIPTION: 10 FEET XOVER
SAP: 130005012487
SUPPLIER: TENARIS
LOWER CONN. 3-1/2" VAM TOP PIN 9.2 PPF SN 28 110 KSI</t>
        </is>
      </c>
      <c r="C422" s="2088" t="n">
        <v>9.949999999999999</v>
      </c>
      <c r="D422" s="2089" t="n">
        <v>3.937</v>
      </c>
      <c r="E422" s="2089" t="n">
        <v>2.969</v>
      </c>
      <c r="F422" s="2090" t="inlineStr">
        <is>
          <t>N/A</t>
        </is>
      </c>
      <c r="G422" s="2090" t="inlineStr">
        <is>
          <t>N/A</t>
        </is>
      </c>
      <c r="H422" s="2090" t="inlineStr">
        <is>
          <t>130005012487</t>
        </is>
      </c>
      <c r="I422" s="2090" t="inlineStr">
        <is>
          <t>N/A</t>
        </is>
      </c>
    </row>
    <row r="423" ht="14.25" customHeight="1" s="1158">
      <c r="A423" s="1207" t="inlineStr">
        <is>
          <t>JT.#208</t>
        </is>
      </c>
      <c r="B423" s="1207" t="inlineStr">
        <is>
          <t>3-1/2" TUBING 9.2 LB/FT ALLOY 28 TSH BL</t>
        </is>
      </c>
      <c r="C423" s="1431" t="n">
        <v>31</v>
      </c>
    </row>
    <row r="424" ht="14.25" customHeight="1" s="1158">
      <c r="A424" s="1207" t="inlineStr">
        <is>
          <t>JT.#209</t>
        </is>
      </c>
      <c r="B424" s="1207" t="inlineStr">
        <is>
          <t>3-1/2" TUBING 9.2 LB/FT ALLOY 28 TSH BL</t>
        </is>
      </c>
      <c r="C424" s="1431" t="n">
        <v>31</v>
      </c>
    </row>
    <row r="425" ht="14.25" customHeight="1" s="1158">
      <c r="A425" s="1207" t="inlineStr">
        <is>
          <t>JT.#210</t>
        </is>
      </c>
      <c r="B425" s="1207" t="inlineStr">
        <is>
          <t>3-1/2" TUBING 9.2 LB/FT ALLOY 28 TSH BL</t>
        </is>
      </c>
      <c r="C425" s="1431" t="n">
        <v>31</v>
      </c>
    </row>
    <row r="426" ht="14.25" customHeight="1" s="1158">
      <c r="A426" s="1207" t="inlineStr">
        <is>
          <t>JT.#211</t>
        </is>
      </c>
      <c r="B426" s="1207" t="inlineStr">
        <is>
          <t>3-1/2" TUBING 9.2 LB/FT ALLOY 28 TSH BL</t>
        </is>
      </c>
      <c r="C426" s="1431" t="n">
        <v>31</v>
      </c>
    </row>
    <row r="427" ht="14.25" customHeight="1" s="1158">
      <c r="A427" s="1207" t="inlineStr">
        <is>
          <t>JT.#212</t>
        </is>
      </c>
      <c r="B427" s="1207" t="inlineStr">
        <is>
          <t>3-1/2" TUBING 9.2 LB/FT ALLOY 28 TSH BL</t>
        </is>
      </c>
      <c r="C427" s="1431" t="n">
        <v>31</v>
      </c>
    </row>
    <row r="428" ht="14.25" customHeight="1" s="1158">
      <c r="A428" s="1207" t="inlineStr">
        <is>
          <t>JT.#213</t>
        </is>
      </c>
      <c r="B428" s="1207" t="inlineStr">
        <is>
          <t>3-1/2" TUBING 9.2 LB/FT ALLOY 28 TSH BL</t>
        </is>
      </c>
      <c r="C428" s="1431" t="n">
        <v>31</v>
      </c>
    </row>
    <row r="429" ht="14.25" customHeight="1" s="1158">
      <c r="A429" s="1207" t="inlineStr">
        <is>
          <t>JT.#214</t>
        </is>
      </c>
      <c r="B429" s="1207" t="inlineStr">
        <is>
          <t>3-1/2" TUBING 9.2 LB/FT ALLOY 28 TSH BL</t>
        </is>
      </c>
      <c r="C429" s="1431" t="n">
        <v>31</v>
      </c>
    </row>
    <row r="430" ht="14.25" customHeight="1" s="1158">
      <c r="A430" s="1207" t="inlineStr">
        <is>
          <t>JT.#215</t>
        </is>
      </c>
      <c r="B430" s="1207" t="inlineStr">
        <is>
          <t>3-1/2" TUBING 9.2 LB/FT ALLOY 28 TSH BL</t>
        </is>
      </c>
      <c r="C430" s="1431" t="n">
        <v>31</v>
      </c>
    </row>
    <row r="431" ht="14.25" customHeight="1" s="1158">
      <c r="A431" s="1207" t="inlineStr">
        <is>
          <t>JT.#216</t>
        </is>
      </c>
      <c r="B431" s="1207" t="inlineStr">
        <is>
          <t>3-1/2" TUBING 9.2 LB/FT ALLOY 28 TSH BL</t>
        </is>
      </c>
      <c r="C431" s="1431" t="n">
        <v>31</v>
      </c>
    </row>
    <row r="432" ht="14.25" customHeight="1" s="1158">
      <c r="A432" s="1207" t="inlineStr">
        <is>
          <t>JT.#217</t>
        </is>
      </c>
      <c r="B432" s="1207" t="inlineStr">
        <is>
          <t>3-1/2" TUBING 9.2 LB/FT ALLOY 28 TSH BL</t>
        </is>
      </c>
      <c r="C432" s="1431" t="n">
        <v>31</v>
      </c>
    </row>
    <row r="433" ht="14.25" customHeight="1" s="1158">
      <c r="A433" s="1207" t="inlineStr">
        <is>
          <t>JT.#218</t>
        </is>
      </c>
      <c r="B433" s="1207" t="inlineStr">
        <is>
          <t>3-1/2" TUBING 9.2 LB/FT ALLOY 28 TSH BL</t>
        </is>
      </c>
      <c r="C433" s="1431" t="n">
        <v>31</v>
      </c>
    </row>
    <row r="434" ht="14.25" customHeight="1" s="1158">
      <c r="A434" s="1207" t="inlineStr">
        <is>
          <t>JT.#219</t>
        </is>
      </c>
      <c r="B434" s="1207" t="inlineStr">
        <is>
          <t>3-1/2" TUBING 9.2 LB/FT ALLOY 28 TSH BL</t>
        </is>
      </c>
      <c r="C434" s="1431" t="n">
        <v>31</v>
      </c>
    </row>
    <row r="435" ht="14.25" customHeight="1" s="1158">
      <c r="A435" s="1207" t="inlineStr">
        <is>
          <t>JT.#220</t>
        </is>
      </c>
      <c r="B435" s="1207" t="inlineStr">
        <is>
          <t>3-1/2" TUBING 9.2 LB/FT ALLOY 28 TSH BL</t>
        </is>
      </c>
      <c r="C435" s="1431" t="n">
        <v>31</v>
      </c>
    </row>
    <row r="436" ht="14.25" customHeight="1" s="1158">
      <c r="A436" s="1207" t="inlineStr">
        <is>
          <t>JT.#221</t>
        </is>
      </c>
      <c r="B436" s="1207" t="inlineStr">
        <is>
          <t>3-1/2" TUBING 9.2 LB/FT ALLOY 28 TSH BL</t>
        </is>
      </c>
      <c r="C436" s="1431" t="n">
        <v>31</v>
      </c>
    </row>
    <row r="437" ht="14.25" customHeight="1" s="1158">
      <c r="A437" s="1207" t="inlineStr">
        <is>
          <t>JT.#222</t>
        </is>
      </c>
      <c r="B437" s="1207" t="inlineStr">
        <is>
          <t>3-1/2" TUBING 9.2 LB/FT ALLOY 28 TSH BL</t>
        </is>
      </c>
      <c r="C437" s="1431" t="n">
        <v>31</v>
      </c>
    </row>
    <row r="438" ht="14.25" customHeight="1" s="1158">
      <c r="A438" s="1207" t="inlineStr">
        <is>
          <t>JT.#223</t>
        </is>
      </c>
      <c r="B438" s="1207" t="inlineStr">
        <is>
          <t>3-1/2" TUBING 9.2 LB/FT ALLOY 28 TSH BL</t>
        </is>
      </c>
      <c r="C438" s="1431" t="n">
        <v>31</v>
      </c>
    </row>
    <row r="439" ht="14.25" customHeight="1" s="1158">
      <c r="A439" s="1207" t="inlineStr">
        <is>
          <t>JT.#224</t>
        </is>
      </c>
      <c r="B439" s="1207" t="inlineStr">
        <is>
          <t>3-1/2" TUBING 9.2 LB/FT ALLOY 28 TSH BL</t>
        </is>
      </c>
      <c r="C439" s="1431" t="n">
        <v>31</v>
      </c>
    </row>
    <row r="440" ht="14.25" customHeight="1" s="1158">
      <c r="A440" s="1207" t="inlineStr">
        <is>
          <t>JT.#225</t>
        </is>
      </c>
      <c r="B440" s="1207" t="inlineStr">
        <is>
          <t>3-1/2" TUBING 9.2 LB/FT ALLOY 28 TSH BL</t>
        </is>
      </c>
      <c r="C440" s="1431" t="n">
        <v>31</v>
      </c>
    </row>
    <row r="441" ht="14.25" customHeight="1" s="1158">
      <c r="A441" s="1207" t="inlineStr">
        <is>
          <t>JT.#226</t>
        </is>
      </c>
      <c r="B441" s="1207" t="inlineStr">
        <is>
          <t>3-1/2" TUBING 9.2 LB/FT ALLOY 28 TSH BL</t>
        </is>
      </c>
      <c r="C441" s="1431" t="n">
        <v>31</v>
      </c>
    </row>
    <row r="442" ht="14.25" customHeight="1" s="1158">
      <c r="A442" s="1207" t="inlineStr">
        <is>
          <t>JT.#227</t>
        </is>
      </c>
      <c r="B442" s="1207" t="inlineStr">
        <is>
          <t>3-1/2" TUBING 9.2 LB/FT ALLOY 28 TSH BL</t>
        </is>
      </c>
      <c r="C442" s="1431" t="n">
        <v>31</v>
      </c>
    </row>
    <row r="443" ht="14.25" customHeight="1" s="1158">
      <c r="A443" s="1207" t="inlineStr">
        <is>
          <t>JT.#228</t>
        </is>
      </c>
      <c r="B443" s="1207" t="inlineStr">
        <is>
          <t>3-1/2" TUBING 9.2 LB/FT ALLOY 28 TSH BL</t>
        </is>
      </c>
      <c r="C443" s="1431" t="n">
        <v>31</v>
      </c>
    </row>
    <row r="444" ht="14.25" customHeight="1" s="1158">
      <c r="A444" s="1207" t="inlineStr">
        <is>
          <t>JT.#229</t>
        </is>
      </c>
      <c r="B444" s="1207" t="inlineStr">
        <is>
          <t>3-1/2" TUBING 9.2 LB/FT ALLOY 28 TSH BL</t>
        </is>
      </c>
      <c r="C444" s="1431" t="n">
        <v>31</v>
      </c>
    </row>
    <row r="445" ht="14.25" customHeight="1" s="1158">
      <c r="A445" s="1207" t="inlineStr">
        <is>
          <t>JT.#230</t>
        </is>
      </c>
      <c r="B445" s="1207" t="inlineStr">
        <is>
          <t>3-1/2" TUBING 9.2 LB/FT ALLOY 28 TSH BL</t>
        </is>
      </c>
      <c r="C445" s="1431" t="n">
        <v>31</v>
      </c>
    </row>
    <row r="446" ht="14.25" customHeight="1" s="1158">
      <c r="A446" s="1207" t="inlineStr">
        <is>
          <t>JT.#231</t>
        </is>
      </c>
      <c r="B446" s="1207" t="inlineStr">
        <is>
          <t>3-1/2" TUBING 9.2 LB/FT ALLOY 28 TSH BL</t>
        </is>
      </c>
      <c r="C446" s="1431" t="n">
        <v>31</v>
      </c>
    </row>
    <row r="447" ht="14.25" customHeight="1" s="1158">
      <c r="A447" s="1207" t="inlineStr">
        <is>
          <t>JT.#232</t>
        </is>
      </c>
      <c r="B447" s="1207" t="inlineStr">
        <is>
          <t>3-1/2" TUBING 9.2 LB/FT ALLOY 28 TSH BL</t>
        </is>
      </c>
      <c r="C447" s="1431" t="n">
        <v>31</v>
      </c>
    </row>
    <row r="448" ht="14.25" customHeight="1" s="1158">
      <c r="A448" s="1207" t="inlineStr">
        <is>
          <t>JT.#233</t>
        </is>
      </c>
      <c r="B448" s="1207" t="inlineStr">
        <is>
          <t>3-1/2" TUBING 9.2 LB/FT ALLOY 28 TSH BL</t>
        </is>
      </c>
      <c r="C448" s="1431" t="n">
        <v>31</v>
      </c>
    </row>
    <row r="449" ht="14.25" customHeight="1" s="1158">
      <c r="A449" s="1207" t="inlineStr">
        <is>
          <t>JT.#234</t>
        </is>
      </c>
      <c r="B449" s="1207" t="inlineStr">
        <is>
          <t>3-1/2" TUBING 9.2 LB/FT ALLOY 28 TSH BL</t>
        </is>
      </c>
      <c r="C449" s="1431" t="n">
        <v>31</v>
      </c>
    </row>
    <row r="450" ht="14.25" customHeight="1" s="1158">
      <c r="A450" s="1207" t="inlineStr">
        <is>
          <t>JT.#235</t>
        </is>
      </c>
      <c r="B450" s="1207" t="inlineStr">
        <is>
          <t>3-1/2" TUBING 9.2 LB/FT ALLOY 28 TSH BL</t>
        </is>
      </c>
      <c r="C450" s="1431" t="n">
        <v>31</v>
      </c>
    </row>
    <row r="451" ht="76.09999999999999" customHeight="1" s="1158">
      <c r="A451" s="2091" t="inlineStr">
        <is>
          <t>D3</t>
        </is>
      </c>
      <c r="B451" s="2092" t="inlineStr">
        <is>
          <t>UPPER CONN. 3-1/2" VAM TOP BOX 9.2 PPF SN 28 110 KSI
DESCRIPTION: 5 FEET XOVER
SAP: 130005011340
SUPPLIER: TENARIS
LOWER CONN. 3-1/2" TSH BLUE PIN 9.2 PPF SN 28 110 KSI</t>
        </is>
      </c>
      <c r="C451" s="2093" t="n">
        <v>5.19</v>
      </c>
      <c r="D451" s="2094" t="n">
        <v>3.908</v>
      </c>
      <c r="E451" s="2094" t="n">
        <v>2.959</v>
      </c>
      <c r="F451" s="2095" t="inlineStr">
        <is>
          <t>N/A</t>
        </is>
      </c>
      <c r="G451" s="2095" t="inlineStr">
        <is>
          <t>N/A</t>
        </is>
      </c>
      <c r="H451" s="2095" t="inlineStr">
        <is>
          <t>130005011340</t>
        </is>
      </c>
      <c r="I451" s="2095" t="inlineStr">
        <is>
          <t>N/A</t>
        </is>
      </c>
    </row>
    <row r="452" ht="76.09999999999999" customHeight="1" s="1158">
      <c r="B452" s="2092" t="inlineStr">
        <is>
          <t>UPPER CONN. 3-1/2" SENTINEL PRIME BOX 9.2 PPF TX28-110 KSI
DESCRIPTION: 5 FEET XOVER
SAP: 130013006385
SUPPLIER: TBX
LOWER CONN. 3-1/2" VAM TOP PIN 9.2 PPF TX28-110 KSI</t>
        </is>
      </c>
      <c r="C452" s="2093" t="n">
        <v>4.96</v>
      </c>
      <c r="D452" s="2094" t="n">
        <v>3.929</v>
      </c>
      <c r="E452" s="2094" t="n">
        <v>2.921</v>
      </c>
      <c r="F452" s="2095" t="inlineStr">
        <is>
          <t>N/A</t>
        </is>
      </c>
      <c r="G452" s="2095" t="inlineStr">
        <is>
          <t>N/A</t>
        </is>
      </c>
      <c r="H452" s="2095" t="inlineStr">
        <is>
          <t>130013006385</t>
        </is>
      </c>
      <c r="I452" s="2095" t="inlineStr">
        <is>
          <t>N/A</t>
        </is>
      </c>
    </row>
    <row r="453" ht="135.8" customHeight="1" s="1158">
      <c r="B453" s="209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2093" t="n">
        <v>8.69</v>
      </c>
      <c r="D453" s="2094" t="n">
        <v>5.82</v>
      </c>
      <c r="E453" s="2094" t="n">
        <v>2.9</v>
      </c>
      <c r="F453" s="2095" t="inlineStr">
        <is>
          <t>3205577</t>
        </is>
      </c>
      <c r="G453" s="2095" t="inlineStr">
        <is>
          <t>12600735-08</t>
        </is>
      </c>
      <c r="H453" s="2095" t="inlineStr">
        <is>
          <t>130010036652</t>
        </is>
      </c>
      <c r="I453" s="2095" t="inlineStr">
        <is>
          <t>N/A</t>
        </is>
      </c>
    </row>
    <row r="454" ht="76.09999999999999" customHeight="1" s="1158">
      <c r="B454" s="2092" t="inlineStr">
        <is>
          <t>UPPER CONN. 3-1/2" VAM TOP BOX 9.2 PPF TX28- 110 KSI
DESCRIPTION: 5 FEET XOVER
SAP: 130013006383
SUPPLIER: TBX
LOWER CONN -3-1/2" SENTINEL PRIME PIN 9.2 PPF TX28-110 KSI</t>
        </is>
      </c>
      <c r="C454" s="2093" t="n">
        <v>4.88</v>
      </c>
      <c r="D454" s="2094" t="n">
        <v>3.908</v>
      </c>
      <c r="E454" s="2094" t="n">
        <v>2.959</v>
      </c>
      <c r="F454" s="2095" t="inlineStr">
        <is>
          <t>N/A</t>
        </is>
      </c>
      <c r="G454" s="2095" t="inlineStr">
        <is>
          <t>N/A</t>
        </is>
      </c>
      <c r="H454" s="2095" t="inlineStr">
        <is>
          <t>130013006383</t>
        </is>
      </c>
      <c r="I454" s="2095" t="inlineStr">
        <is>
          <t>N/A</t>
        </is>
      </c>
    </row>
    <row r="455" ht="76.09999999999999" customHeight="1" s="1158">
      <c r="B455" s="2092" t="inlineStr">
        <is>
          <t>UPPER CONN. 3-1/2" TSH BLUE BOX 9.2 PPF SN 28 110 KSI
DESCRIPTION: 10 FEET XOVER
SAP: 130005012487
SUPPLIER: TENARIS
LOWER CONN. 3-1/2" VAM TOP PIN 9.2 PPF SN 28 110 KSI</t>
        </is>
      </c>
      <c r="C455" s="2093" t="n">
        <v>9.93</v>
      </c>
      <c r="D455" s="2094" t="n">
        <v>3.937</v>
      </c>
      <c r="E455" s="2094" t="n">
        <v>2.969</v>
      </c>
      <c r="F455" s="2095" t="inlineStr">
        <is>
          <t>N/A</t>
        </is>
      </c>
      <c r="G455" s="2095" t="inlineStr">
        <is>
          <t>N/A</t>
        </is>
      </c>
      <c r="H455" s="2095" t="inlineStr">
        <is>
          <t>130005012487</t>
        </is>
      </c>
      <c r="I455" s="2095" t="inlineStr">
        <is>
          <t>N/A</t>
        </is>
      </c>
    </row>
    <row r="456" ht="14.25" customHeight="1" s="1158">
      <c r="A456" s="1207" t="inlineStr">
        <is>
          <t>JT.#236</t>
        </is>
      </c>
      <c r="B456" s="1207" t="inlineStr">
        <is>
          <t>3-1/2" TUBING 9.2 LB/FT ALLOY 28 TSH BL</t>
        </is>
      </c>
      <c r="C456" s="1431" t="n">
        <v>31</v>
      </c>
    </row>
    <row r="457" ht="14.25" customHeight="1" s="1158">
      <c r="A457" s="1207" t="inlineStr">
        <is>
          <t>JT.#237</t>
        </is>
      </c>
      <c r="B457" s="1207" t="inlineStr">
        <is>
          <t>3-1/2" TUBING 9.2 LB/FT ALLOY 28 TSH BL</t>
        </is>
      </c>
      <c r="C457" s="1431" t="n">
        <v>31</v>
      </c>
    </row>
    <row r="458" ht="14.25" customHeight="1" s="1158">
      <c r="A458" s="1207" t="inlineStr">
        <is>
          <t>JT.#238</t>
        </is>
      </c>
      <c r="B458" s="1207" t="inlineStr">
        <is>
          <t>3-1/2" TUBING 9.2 LB/FT ALLOY 28 TSH BL</t>
        </is>
      </c>
      <c r="C458" s="1431" t="n">
        <v>31</v>
      </c>
    </row>
    <row r="459" ht="14.25" customHeight="1" s="1158">
      <c r="A459" s="1207" t="inlineStr">
        <is>
          <t>JT.#239</t>
        </is>
      </c>
      <c r="B459" s="1207" t="inlineStr">
        <is>
          <t>3-1/2" TUBING 9.2 LB/FT ALLOY 28 TSH BL</t>
        </is>
      </c>
      <c r="C459" s="1431" t="n">
        <v>31</v>
      </c>
    </row>
    <row r="460" ht="14.25" customHeight="1" s="1158">
      <c r="A460" s="1207" t="inlineStr">
        <is>
          <t>JT.#240</t>
        </is>
      </c>
      <c r="B460" s="1207" t="inlineStr">
        <is>
          <t>3-1/2" TUBING 9.2 LB/FT ALLOY 28 TSH BL</t>
        </is>
      </c>
      <c r="C460" s="1431" t="n">
        <v>31</v>
      </c>
    </row>
    <row r="461" ht="14.25" customHeight="1" s="1158">
      <c r="A461" s="1207" t="inlineStr">
        <is>
          <t>JT.#241</t>
        </is>
      </c>
      <c r="B461" s="1207" t="inlineStr">
        <is>
          <t>3-1/2" TUBING 9.2 LB/FT ALLOY 28 TSH BL</t>
        </is>
      </c>
      <c r="C461" s="1431" t="n">
        <v>31</v>
      </c>
    </row>
    <row r="462" ht="14.25" customHeight="1" s="1158">
      <c r="A462" s="1207" t="inlineStr">
        <is>
          <t>JT.#242</t>
        </is>
      </c>
      <c r="B462" s="1207" t="inlineStr">
        <is>
          <t>3-1/2" TUBING 9.2 LB/FT ALLOY 28 TSH BL</t>
        </is>
      </c>
      <c r="C462" s="1431" t="n">
        <v>31</v>
      </c>
    </row>
    <row r="463" ht="14.25" customHeight="1" s="1158">
      <c r="A463" s="1207" t="inlineStr">
        <is>
          <t>JT.#243</t>
        </is>
      </c>
      <c r="B463" s="1207" t="inlineStr">
        <is>
          <t>3-1/2" TUBING 9.2 LB/FT ALLOY 28 TSH BL</t>
        </is>
      </c>
      <c r="C463" s="1431" t="n">
        <v>31</v>
      </c>
    </row>
    <row r="464" ht="14.25" customHeight="1" s="1158">
      <c r="A464" s="1207" t="inlineStr">
        <is>
          <t>JT.#244</t>
        </is>
      </c>
      <c r="B464" s="1207" t="inlineStr">
        <is>
          <t>3-1/2" TUBING 9.2 LB/FT ALLOY 28 TSH BL</t>
        </is>
      </c>
      <c r="C464" s="1431" t="n">
        <v>31</v>
      </c>
    </row>
    <row r="465" ht="14.25" customHeight="1" s="1158">
      <c r="A465" s="1207" t="inlineStr">
        <is>
          <t>JT.#245</t>
        </is>
      </c>
      <c r="B465" s="1207" t="inlineStr">
        <is>
          <t>3-1/2" TUBING 9.2 LB/FT ALLOY 28 TSH BL</t>
        </is>
      </c>
      <c r="C465" s="1431" t="n">
        <v>31</v>
      </c>
    </row>
    <row r="466" ht="14.25" customHeight="1" s="1158">
      <c r="A466" s="1207" t="inlineStr">
        <is>
          <t>JT.#246</t>
        </is>
      </c>
      <c r="B466" s="1207" t="inlineStr">
        <is>
          <t>3-1/2" TUBING 9.2 LB/FT ALLOY 28 TSH BL</t>
        </is>
      </c>
      <c r="C466" s="1431" t="n">
        <v>31</v>
      </c>
    </row>
    <row r="467" ht="14.25" customHeight="1" s="1158">
      <c r="A467" s="1207" t="inlineStr">
        <is>
          <t>JT.#247</t>
        </is>
      </c>
      <c r="B467" s="1207" t="inlineStr">
        <is>
          <t>3-1/2" TUBING 9.2 LB/FT ALLOY 28 TSH BL</t>
        </is>
      </c>
      <c r="C467" s="1431" t="n">
        <v>31</v>
      </c>
    </row>
    <row r="468" ht="14.25" customHeight="1" s="1158">
      <c r="A468" s="1207" t="inlineStr">
        <is>
          <t>JT.#248</t>
        </is>
      </c>
      <c r="B468" s="1207" t="inlineStr">
        <is>
          <t>3-1/2" TUBING 9.2 LB/FT ALLOY 28 TSH BL</t>
        </is>
      </c>
      <c r="C468" s="1431" t="n">
        <v>31</v>
      </c>
    </row>
    <row r="469" ht="14.25" customHeight="1" s="1158">
      <c r="A469" s="1207" t="inlineStr">
        <is>
          <t>JT.#249</t>
        </is>
      </c>
      <c r="B469" s="1207" t="inlineStr">
        <is>
          <t>3-1/2" TUBING 9.2 LB/FT ALLOY 28 TSH BL</t>
        </is>
      </c>
      <c r="C469" s="1431" t="n">
        <v>31</v>
      </c>
    </row>
    <row r="470" ht="14.25" customHeight="1" s="1158">
      <c r="A470" s="1207" t="inlineStr">
        <is>
          <t>JT.#250</t>
        </is>
      </c>
      <c r="B470" s="1207" t="inlineStr">
        <is>
          <t>3-1/2" TUBING 9.2 LB/FT ALLOY 28 TSH BL</t>
        </is>
      </c>
      <c r="C470" s="1431" t="n">
        <v>31</v>
      </c>
    </row>
    <row r="471" ht="14.25" customHeight="1" s="1158">
      <c r="A471" s="1207" t="inlineStr">
        <is>
          <t>JT.#251</t>
        </is>
      </c>
      <c r="B471" s="1207" t="inlineStr">
        <is>
          <t>3-1/2" TUBING 9.2 LB/FT ALLOY 28 TSH BL</t>
        </is>
      </c>
      <c r="C471" s="1431" t="n">
        <v>31</v>
      </c>
    </row>
    <row r="472" ht="14.25" customHeight="1" s="1158">
      <c r="A472" s="1207" t="inlineStr">
        <is>
          <t>JT.#252</t>
        </is>
      </c>
      <c r="B472" s="1207" t="inlineStr">
        <is>
          <t>3-1/2" TUBING 9.2 LB/FT ALLOY 28 TSH BL</t>
        </is>
      </c>
      <c r="C472" s="1431" t="n">
        <v>31</v>
      </c>
    </row>
    <row r="473" ht="14.25" customHeight="1" s="1158">
      <c r="A473" s="1207" t="inlineStr">
        <is>
          <t>JT.#253</t>
        </is>
      </c>
      <c r="B473" s="1207" t="inlineStr">
        <is>
          <t>3-1/2" TUBING 9.2 LB/FT ALLOY 28 TSH BL</t>
        </is>
      </c>
      <c r="C473" s="1431" t="n">
        <v>31</v>
      </c>
    </row>
    <row r="474" ht="14.25" customHeight="1" s="1158">
      <c r="A474" s="1207" t="inlineStr">
        <is>
          <t>JT.#254</t>
        </is>
      </c>
      <c r="B474" s="1207" t="inlineStr">
        <is>
          <t>3-1/2" TUBING 9.2 LB/FT ALLOY 28 TSH BL</t>
        </is>
      </c>
      <c r="C474" s="1431" t="n">
        <v>31</v>
      </c>
    </row>
    <row r="475" ht="14.25" customHeight="1" s="1158">
      <c r="A475" s="1207" t="inlineStr">
        <is>
          <t>JT.#255</t>
        </is>
      </c>
      <c r="B475" s="1207" t="inlineStr">
        <is>
          <t>3-1/2" TUBING 9.2 LB/FT ALLOY 28 TSH BL</t>
        </is>
      </c>
      <c r="C475" s="1431" t="n">
        <v>31</v>
      </c>
    </row>
    <row r="476" ht="14.25" customHeight="1" s="1158">
      <c r="A476" s="1207" t="inlineStr">
        <is>
          <t>JT.#256</t>
        </is>
      </c>
      <c r="B476" s="1207" t="inlineStr">
        <is>
          <t>3-1/2" TUBING 9.2 LB/FT ALLOY 28 TSH BL</t>
        </is>
      </c>
      <c r="C476" s="1431" t="n">
        <v>31</v>
      </c>
    </row>
    <row r="477" ht="14.25" customHeight="1" s="1158">
      <c r="A477" s="1207" t="inlineStr">
        <is>
          <t>JT.#257</t>
        </is>
      </c>
      <c r="B477" s="1207" t="inlineStr">
        <is>
          <t>3-1/2" TUBING 9.2 LB/FT ALLOY 28 TSH BL</t>
        </is>
      </c>
      <c r="C477" s="1431" t="n">
        <v>31</v>
      </c>
    </row>
    <row r="478" ht="14.25" customHeight="1" s="1158">
      <c r="A478" s="1207" t="inlineStr">
        <is>
          <t>JT.#258</t>
        </is>
      </c>
      <c r="B478" s="1207" t="inlineStr">
        <is>
          <t>3-1/2" TUBING 9.2 LB/FT ALLOY 28 TSH BL</t>
        </is>
      </c>
      <c r="C478" s="1431" t="n">
        <v>31</v>
      </c>
    </row>
    <row r="479" ht="14.25" customHeight="1" s="1158">
      <c r="A479" s="1207" t="inlineStr">
        <is>
          <t>JT.#259</t>
        </is>
      </c>
      <c r="B479" s="1207" t="inlineStr">
        <is>
          <t>3-1/2" TUBING 9.2 LB/FT ALLOY 28 TSH BL</t>
        </is>
      </c>
      <c r="C479" s="1431" t="n">
        <v>31</v>
      </c>
    </row>
    <row r="480" ht="14.25" customHeight="1" s="1158">
      <c r="A480" s="1207" t="inlineStr">
        <is>
          <t>JT.#260</t>
        </is>
      </c>
      <c r="B480" s="1207" t="inlineStr">
        <is>
          <t>3-1/2" TUBING 9.2 LB/FT ALLOY 28 TSH BL</t>
        </is>
      </c>
      <c r="C480" s="1431" t="n">
        <v>31</v>
      </c>
    </row>
    <row r="481" ht="14.25" customHeight="1" s="1158">
      <c r="A481" s="1207" t="inlineStr">
        <is>
          <t>JT.#261</t>
        </is>
      </c>
      <c r="B481" s="1207" t="inlineStr">
        <is>
          <t>3-1/2" TUBING 9.2 LB/FT ALLOY 28 TSH BL</t>
        </is>
      </c>
      <c r="C481" s="1431" t="n">
        <v>31</v>
      </c>
    </row>
    <row r="482" ht="14.25" customHeight="1" s="1158">
      <c r="A482" s="1207" t="inlineStr">
        <is>
          <t>JT.#262</t>
        </is>
      </c>
      <c r="B482" s="1207" t="inlineStr">
        <is>
          <t>3-1/2" TUBING 9.2 LB/FT ALLOY 28 TSH BL</t>
        </is>
      </c>
      <c r="C482" s="1431" t="n">
        <v>31</v>
      </c>
    </row>
    <row r="483" ht="14.25" customHeight="1" s="1158">
      <c r="A483" s="1207" t="inlineStr">
        <is>
          <t>JT.#263</t>
        </is>
      </c>
      <c r="B483" s="1207" t="inlineStr">
        <is>
          <t>3-1/2" TUBING 9.2 LB/FT ALLOY 28 TSH BL</t>
        </is>
      </c>
      <c r="C483" s="1431" t="n">
        <v>31</v>
      </c>
    </row>
    <row r="484" ht="14.25" customHeight="1" s="1158">
      <c r="A484" s="1207" t="inlineStr">
        <is>
          <t>JT.#264</t>
        </is>
      </c>
      <c r="B484" s="1207" t="inlineStr">
        <is>
          <t>3-1/2" TUBING 9.2 LB/FT ALLOY 28 TSH BL</t>
        </is>
      </c>
      <c r="C484" s="1431" t="n">
        <v>31</v>
      </c>
    </row>
    <row r="485" ht="14.25" customHeight="1" s="1158">
      <c r="A485" s="1207" t="inlineStr">
        <is>
          <t>JT.#265</t>
        </is>
      </c>
      <c r="B485" s="1207" t="inlineStr">
        <is>
          <t>3-1/2" TUBING 9.2 LB/FT ALLOY 28 TSH BL</t>
        </is>
      </c>
      <c r="C485" s="1431" t="n">
        <v>31</v>
      </c>
    </row>
    <row r="486" ht="14.25" customHeight="1" s="1158">
      <c r="A486" s="1207" t="inlineStr">
        <is>
          <t>JT.#266</t>
        </is>
      </c>
      <c r="B486" s="1207" t="inlineStr">
        <is>
          <t>3-1/2" TUBING 9.2 LB/FT ALLOY 28 TSH BL</t>
        </is>
      </c>
      <c r="C486" s="1431" t="n">
        <v>31</v>
      </c>
    </row>
    <row r="487" ht="14.25" customHeight="1" s="1158">
      <c r="A487" s="1207" t="inlineStr">
        <is>
          <t>JT.#267</t>
        </is>
      </c>
      <c r="B487" s="1207" t="inlineStr">
        <is>
          <t>3-1/2" TUBING 9.2 LB/FT ALLOY 28 TSH BL</t>
        </is>
      </c>
      <c r="C487" s="1431" t="n">
        <v>31</v>
      </c>
    </row>
    <row r="488" ht="14.25" customHeight="1" s="1158">
      <c r="A488" s="1207" t="inlineStr">
        <is>
          <t>JT.#268</t>
        </is>
      </c>
      <c r="B488" s="1207" t="inlineStr">
        <is>
          <t>3-1/2" TUBING 9.2 LB/FT ALLOY 28 TSH BL</t>
        </is>
      </c>
      <c r="C488" s="1431" t="n">
        <v>31</v>
      </c>
    </row>
    <row r="489" ht="14.25" customHeight="1" s="1158">
      <c r="A489" s="1207" t="inlineStr">
        <is>
          <t>JT.#269</t>
        </is>
      </c>
      <c r="B489" s="1207" t="inlineStr">
        <is>
          <t>3-1/2" TUBING 9.2 LB/FT ALLOY 28 TSH BL</t>
        </is>
      </c>
      <c r="C489" s="1431" t="n">
        <v>31</v>
      </c>
    </row>
    <row r="490" ht="14.25" customHeight="1" s="1158">
      <c r="A490" s="1207" t="inlineStr">
        <is>
          <t>JT.#270</t>
        </is>
      </c>
      <c r="B490" s="1207" t="inlineStr">
        <is>
          <t>3-1/2" TUBING 9.2 LB/FT ALLOY 28 TSH BL</t>
        </is>
      </c>
      <c r="C490" s="1431" t="n">
        <v>31</v>
      </c>
    </row>
    <row r="491" ht="14.25" customHeight="1" s="1158">
      <c r="A491" s="1207" t="inlineStr">
        <is>
          <t>JT.#271</t>
        </is>
      </c>
      <c r="B491" s="1207" t="inlineStr">
        <is>
          <t>3-1/2" TUBING 9.2 LB/FT ALLOY 28 TSH BL</t>
        </is>
      </c>
      <c r="C491" s="1431" t="n">
        <v>31</v>
      </c>
    </row>
    <row r="492" ht="14.25" customHeight="1" s="1158">
      <c r="A492" s="1207" t="inlineStr">
        <is>
          <t>JT.#272</t>
        </is>
      </c>
      <c r="B492" s="1207" t="inlineStr">
        <is>
          <t>3-1/2" TUBING 9.2 LB/FT ALLOY 28 TSH BL</t>
        </is>
      </c>
      <c r="C492" s="1431" t="n">
        <v>31</v>
      </c>
    </row>
    <row r="493" ht="14.25" customHeight="1" s="1158">
      <c r="A493" s="1207" t="inlineStr">
        <is>
          <t>JT.#273</t>
        </is>
      </c>
      <c r="B493" s="1207" t="inlineStr">
        <is>
          <t>3-1/2" TUBING 9.2 LB/FT ALLOY 28 TSH BL</t>
        </is>
      </c>
      <c r="C493" s="1431" t="n">
        <v>31</v>
      </c>
    </row>
    <row r="494" ht="14.25" customHeight="1" s="1158">
      <c r="A494" s="1207" t="inlineStr">
        <is>
          <t>JT.#274</t>
        </is>
      </c>
      <c r="B494" s="1207" t="inlineStr">
        <is>
          <t>3-1/2" TUBING 9.2 LB/FT ALLOY 28 TSH BL</t>
        </is>
      </c>
      <c r="C494" s="1431" t="n">
        <v>31</v>
      </c>
    </row>
    <row r="495" ht="14.25" customHeight="1" s="1158">
      <c r="A495" s="1207" t="inlineStr">
        <is>
          <t>JT.#275</t>
        </is>
      </c>
      <c r="B495" s="1207" t="inlineStr">
        <is>
          <t>3-1/2" TUBING 9.2 LB/FT ALLOY 28 TSH BL</t>
        </is>
      </c>
      <c r="C495" s="1431" t="n">
        <v>31</v>
      </c>
    </row>
    <row r="496" ht="14.25" customHeight="1" s="1158">
      <c r="A496" s="1207" t="inlineStr">
        <is>
          <t>JT.#276</t>
        </is>
      </c>
      <c r="B496" s="1207" t="inlineStr">
        <is>
          <t>3-1/2" TUBING 9.2 LB/FT ALLOY 28 TSH BL</t>
        </is>
      </c>
      <c r="C496" s="1431" t="n">
        <v>31</v>
      </c>
    </row>
    <row r="497" ht="14.25" customHeight="1" s="1158">
      <c r="A497" s="1207" t="inlineStr">
        <is>
          <t>JT.#277</t>
        </is>
      </c>
      <c r="B497" s="1207" t="inlineStr">
        <is>
          <t>3-1/2" TUBING 9.2 LB/FT ALLOY 28 TSH BL</t>
        </is>
      </c>
      <c r="C497" s="1431" t="n">
        <v>31</v>
      </c>
    </row>
    <row r="498" ht="14.25" customHeight="1" s="1158">
      <c r="A498" s="1207" t="inlineStr">
        <is>
          <t>JT.#278</t>
        </is>
      </c>
      <c r="B498" s="1207" t="inlineStr">
        <is>
          <t>3-1/2" TUBING 9.2 LB/FT ALLOY 28 TSH BL</t>
        </is>
      </c>
      <c r="C498" s="1431" t="n">
        <v>31</v>
      </c>
    </row>
    <row r="499" ht="14.25" customHeight="1" s="1158">
      <c r="A499" s="1207" t="inlineStr">
        <is>
          <t>JT.#279</t>
        </is>
      </c>
      <c r="B499" s="1207" t="inlineStr">
        <is>
          <t>3-1/2" TUBING 9.2 LB/FT ALLOY 28 TSH BL</t>
        </is>
      </c>
      <c r="C499" s="1431" t="n">
        <v>31</v>
      </c>
    </row>
    <row r="500" ht="14.25" customHeight="1" s="1158">
      <c r="A500" s="1207" t="inlineStr">
        <is>
          <t>JT.#280</t>
        </is>
      </c>
      <c r="B500" s="1207" t="inlineStr">
        <is>
          <t>3-1/2" TUBING 9.2 LB/FT ALLOY 28 TSH BL</t>
        </is>
      </c>
      <c r="C500" s="1431" t="n">
        <v>31</v>
      </c>
    </row>
    <row r="501" ht="14.25" customHeight="1" s="1158">
      <c r="A501" s="1207" t="inlineStr">
        <is>
          <t>JT.#281</t>
        </is>
      </c>
      <c r="B501" s="1207" t="inlineStr">
        <is>
          <t>3-1/2" TUBING 9.2 LB/FT ALLOY 28 TSH BL</t>
        </is>
      </c>
      <c r="C501" s="1431" t="n">
        <v>31</v>
      </c>
    </row>
    <row r="502" ht="14.25" customHeight="1" s="1158">
      <c r="A502" s="1207" t="inlineStr">
        <is>
          <t>JT.#282</t>
        </is>
      </c>
      <c r="B502" s="1207" t="inlineStr">
        <is>
          <t>3-1/2" TUBING 9.2 LB/FT ALLOY 28 TSH BL</t>
        </is>
      </c>
      <c r="C502" s="1431" t="n">
        <v>31</v>
      </c>
    </row>
    <row r="503" ht="14.25" customHeight="1" s="1158">
      <c r="A503" s="1207" t="inlineStr">
        <is>
          <t>JT.#283</t>
        </is>
      </c>
      <c r="B503" s="1207" t="inlineStr">
        <is>
          <t>3-1/2" TUBING 9.2 LB/FT ALLOY 28 TSH BL</t>
        </is>
      </c>
      <c r="C503" s="1431" t="n">
        <v>31</v>
      </c>
    </row>
    <row r="504" ht="14.25" customHeight="1" s="1158">
      <c r="A504" s="1207" t="inlineStr">
        <is>
          <t>JT.#284</t>
        </is>
      </c>
      <c r="B504" s="1207" t="inlineStr">
        <is>
          <t>3-1/2" TUBING 9.2 LB/FT ALLOY 28 TSH BL</t>
        </is>
      </c>
      <c r="C504" s="1431" t="n">
        <v>31</v>
      </c>
    </row>
    <row r="505" ht="76.09999999999999" customHeight="1" s="1158">
      <c r="A505" s="2096" t="inlineStr">
        <is>
          <t>D4</t>
        </is>
      </c>
      <c r="B505" s="2097" t="inlineStr">
        <is>
          <t>UPPER CONN. 3-1/2" VAM TOP BOX 9.2 PPF SN 28 110 KSI
DESCRIPTION: 5 FEET XOVER
SAP: 130005011340
SUPPLIER: TENARIS
LOWER CONN. 3-1/2" TSH BLUE PIN 9.2 PPF SN 28 110 KSI</t>
        </is>
      </c>
      <c r="C505" s="2098" t="n">
        <v>5.18</v>
      </c>
      <c r="D505" s="2099" t="n">
        <v>3.908</v>
      </c>
      <c r="E505" s="2099" t="n">
        <v>2.959</v>
      </c>
      <c r="F505" s="2100" t="inlineStr">
        <is>
          <t>N/A</t>
        </is>
      </c>
      <c r="G505" s="2100" t="inlineStr">
        <is>
          <t>N/A</t>
        </is>
      </c>
      <c r="H505" s="2100" t="inlineStr">
        <is>
          <t>130005011340</t>
        </is>
      </c>
      <c r="I505" s="2100" t="inlineStr">
        <is>
          <t>N/A</t>
        </is>
      </c>
    </row>
    <row r="506" ht="76.09999999999999" customHeight="1" s="1158">
      <c r="B506" s="2097" t="inlineStr">
        <is>
          <t>UPPER CONN. 3-1/2" SENTINEL PRIME BOX 9.2 PPF TX28-110 KSI
DESCRIPTION: 5 FEET XOVER
SAP: 130013006385
SUPPLIER: TBX
LOWER CONN. 3-1/2" VAM TOP PIN 9.2 PPF TX28-110 KSI</t>
        </is>
      </c>
      <c r="C506" s="2098" t="n">
        <v>4.96</v>
      </c>
      <c r="D506" s="2099" t="n">
        <v>3.929</v>
      </c>
      <c r="E506" s="2099" t="n">
        <v>2.921</v>
      </c>
      <c r="F506" s="2100" t="inlineStr">
        <is>
          <t>N/A</t>
        </is>
      </c>
      <c r="G506" s="2100" t="inlineStr">
        <is>
          <t>N/A</t>
        </is>
      </c>
      <c r="H506" s="2100" t="inlineStr">
        <is>
          <t>130013006385</t>
        </is>
      </c>
      <c r="I506" s="2100" t="inlineStr">
        <is>
          <t>N/A</t>
        </is>
      </c>
    </row>
    <row r="507" ht="135.8" customHeight="1" s="1158">
      <c r="B507" s="2097"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2098" t="n">
        <v>8.69</v>
      </c>
      <c r="D507" s="2099" t="n">
        <v>5.82</v>
      </c>
      <c r="E507" s="2099" t="n">
        <v>2.9</v>
      </c>
      <c r="F507" s="2100" t="inlineStr">
        <is>
          <t>3205577</t>
        </is>
      </c>
      <c r="G507" s="2100" t="inlineStr">
        <is>
          <t>12696654-13</t>
        </is>
      </c>
      <c r="H507" s="2100" t="inlineStr">
        <is>
          <t>130010036652</t>
        </is>
      </c>
      <c r="I507" s="2100" t="inlineStr">
        <is>
          <t>N/A</t>
        </is>
      </c>
    </row>
    <row r="508" ht="76.09999999999999" customHeight="1" s="1158">
      <c r="B508" s="2097" t="inlineStr">
        <is>
          <t>UPPER CONN. 3-1/2" VAM TOP BOX 9.2 PPF TX28- 110 KSI
DESCRIPTION: 10 FEET XOVER
SAP: 1130013006387
SUPPLIER: TBX
LOWER CONN-3-1/2" SENTINELPRIME PIN 9.2 PPF TX28110 KSI</t>
        </is>
      </c>
      <c r="C508" s="2098" t="n">
        <v>9.779999999999999</v>
      </c>
      <c r="D508" s="2099" t="n">
        <v>3.908</v>
      </c>
      <c r="E508" s="2099" t="n">
        <v>2.959</v>
      </c>
      <c r="F508" s="2100" t="inlineStr">
        <is>
          <t>N/A</t>
        </is>
      </c>
      <c r="G508" s="2100" t="inlineStr">
        <is>
          <t>N/A</t>
        </is>
      </c>
      <c r="H508" s="2100" t="inlineStr">
        <is>
          <t>1130013006387</t>
        </is>
      </c>
      <c r="I508" s="2100" t="inlineStr">
        <is>
          <t>N/A</t>
        </is>
      </c>
    </row>
    <row r="509" ht="76.09999999999999" customHeight="1" s="1158">
      <c r="B509" s="2097" t="inlineStr">
        <is>
          <t>UPPER CONN. 3-1/2" TSH BLUE BOX 9.2 PPF SN 28 110 KSI
DESCRIPTION: 5 FEET XOVER
SAP: 130005011340
SUPPLIER: TENARIS
LOWER CONN. 3-1/2" VAM TOP PIN 9.2 PPF SN 28 110 KSI</t>
        </is>
      </c>
      <c r="C509" s="2098" t="n">
        <v>4.96</v>
      </c>
      <c r="D509" s="2099" t="n">
        <v>3.937</v>
      </c>
      <c r="E509" s="2099" t="n">
        <v>2.969</v>
      </c>
      <c r="F509" s="2100" t="inlineStr">
        <is>
          <t>N/A</t>
        </is>
      </c>
      <c r="G509" s="2100" t="inlineStr">
        <is>
          <t>N/A</t>
        </is>
      </c>
      <c r="H509" s="2100" t="inlineStr">
        <is>
          <t>130005011340</t>
        </is>
      </c>
      <c r="I509" s="2100" t="inlineStr">
        <is>
          <t>N/A</t>
        </is>
      </c>
    </row>
    <row r="510" ht="14.25" customHeight="1" s="1158">
      <c r="A510" s="1207" t="inlineStr">
        <is>
          <t>JT.#285</t>
        </is>
      </c>
      <c r="B510" s="1207" t="inlineStr">
        <is>
          <t>3-1/2" TUBING 9.2 LB/FT ALLOY 28 TSH BL</t>
        </is>
      </c>
      <c r="C510" s="1431" t="n">
        <v>31</v>
      </c>
    </row>
    <row r="511" ht="14.25" customHeight="1" s="1158">
      <c r="A511" s="1207" t="inlineStr">
        <is>
          <t>JT.#286</t>
        </is>
      </c>
      <c r="B511" s="1207" t="inlineStr">
        <is>
          <t>3-1/2" TUBING 9.2 LB/FT ALLOY 28 TSH BL</t>
        </is>
      </c>
      <c r="C511" s="1431" t="n">
        <v>31</v>
      </c>
    </row>
    <row r="512" ht="14.25" customHeight="1" s="1158">
      <c r="A512" s="1207" t="inlineStr">
        <is>
          <t>JT.#287</t>
        </is>
      </c>
      <c r="B512" s="1207" t="inlineStr">
        <is>
          <t>3-1/2" TUBING 9.2 LB/FT ALLOY 28 TSH BL</t>
        </is>
      </c>
      <c r="C512" s="1431" t="n">
        <v>31</v>
      </c>
    </row>
    <row r="513" ht="14.25" customHeight="1" s="1158">
      <c r="A513" s="1207" t="inlineStr">
        <is>
          <t>JT.#288</t>
        </is>
      </c>
      <c r="B513" s="1207" t="inlineStr">
        <is>
          <t>3-1/2" TUBING 9.2 LB/FT ALLOY 28 TSH BL</t>
        </is>
      </c>
      <c r="C513" s="1431" t="n">
        <v>31</v>
      </c>
    </row>
    <row r="514" ht="14.25" customHeight="1" s="1158">
      <c r="A514" s="1207" t="inlineStr">
        <is>
          <t>JT.#289</t>
        </is>
      </c>
      <c r="B514" s="1207" t="inlineStr">
        <is>
          <t>3-1/2" TUBING 9.2 LB/FT ALLOY 28 TSH BL</t>
        </is>
      </c>
      <c r="C514" s="1431" t="n">
        <v>31</v>
      </c>
    </row>
    <row r="515" ht="14.25" customHeight="1" s="1158">
      <c r="A515" s="1207" t="inlineStr">
        <is>
          <t>JT.#290</t>
        </is>
      </c>
      <c r="B515" s="1207" t="inlineStr">
        <is>
          <t>3-1/2" TUBING 9.2 LB/FT ALLOY 28 TSH BL</t>
        </is>
      </c>
      <c r="C515" s="1431" t="n">
        <v>31</v>
      </c>
    </row>
    <row r="516" ht="14.25" customHeight="1" s="1158">
      <c r="A516" s="1207" t="inlineStr">
        <is>
          <t>JT.#291</t>
        </is>
      </c>
      <c r="B516" s="1207" t="inlineStr">
        <is>
          <t>3-1/2" TUBING 9.2 LB/FT ALLOY 28 TSH BL</t>
        </is>
      </c>
      <c r="C516" s="1431" t="n">
        <v>31</v>
      </c>
    </row>
    <row r="517" ht="14.25" customHeight="1" s="1158">
      <c r="A517" s="1207" t="inlineStr">
        <is>
          <t>JT.#292</t>
        </is>
      </c>
      <c r="B517" s="1207" t="inlineStr">
        <is>
          <t>3-1/2" TUBING 9.2 LB/FT ALLOY 28 TSH BL</t>
        </is>
      </c>
      <c r="C517" s="1431" t="n">
        <v>31</v>
      </c>
    </row>
    <row r="518" ht="14.25" customHeight="1" s="1158">
      <c r="A518" s="1207" t="inlineStr">
        <is>
          <t>JT.#293</t>
        </is>
      </c>
      <c r="B518" s="1207" t="inlineStr">
        <is>
          <t>3-1/2" TUBING 9.2 LB/FT ALLOY 28 TSH BL</t>
        </is>
      </c>
      <c r="C518" s="1431" t="n">
        <v>31</v>
      </c>
    </row>
    <row r="519" ht="14.25" customHeight="1" s="1158">
      <c r="A519" s="1207" t="inlineStr">
        <is>
          <t>JT.#294</t>
        </is>
      </c>
      <c r="B519" s="1207" t="inlineStr">
        <is>
          <t>3-1/2" TUBING 9.2 LB/FT ALLOY 28 TSH BL</t>
        </is>
      </c>
      <c r="C519" s="1431" t="n">
        <v>31</v>
      </c>
    </row>
    <row r="520" ht="14.25" customHeight="1" s="1158">
      <c r="A520" s="1207" t="inlineStr">
        <is>
          <t>JT.#295</t>
        </is>
      </c>
      <c r="B520" s="1207" t="inlineStr">
        <is>
          <t>3-1/2" TUBING 9.2 LB/FT ALLOY 28 TSH BL</t>
        </is>
      </c>
      <c r="C520" s="1431" t="n">
        <v>31</v>
      </c>
    </row>
    <row r="521" ht="14.25" customHeight="1" s="1158">
      <c r="A521" s="1207" t="inlineStr">
        <is>
          <t>JT.#296</t>
        </is>
      </c>
      <c r="B521" s="1207" t="inlineStr">
        <is>
          <t>3-1/2" TUBING 9.2 LB/FT ALLOY 28 TSH BL</t>
        </is>
      </c>
      <c r="C521" s="1431" t="n">
        <v>31</v>
      </c>
    </row>
    <row r="522" ht="14.25" customHeight="1" s="1158">
      <c r="A522" s="1207" t="inlineStr">
        <is>
          <t>JT.#297</t>
        </is>
      </c>
      <c r="B522" s="1207" t="inlineStr">
        <is>
          <t>3-1/2" TUBING 9.2 LB/FT ALLOY 28 TSH BL</t>
        </is>
      </c>
      <c r="C522" s="1431" t="n">
        <v>31</v>
      </c>
    </row>
    <row r="523" ht="14.25" customHeight="1" s="1158">
      <c r="A523" s="1207" t="inlineStr">
        <is>
          <t>JT.#298</t>
        </is>
      </c>
      <c r="B523" s="1207" t="inlineStr">
        <is>
          <t>3-1/2" TUBING 9.2 LB/FT ALLOY 28 TSH BL</t>
        </is>
      </c>
      <c r="C523" s="1431" t="n">
        <v>31</v>
      </c>
    </row>
    <row r="524" ht="14.25" customHeight="1" s="1158">
      <c r="A524" s="1207" t="inlineStr">
        <is>
          <t>JT.#299</t>
        </is>
      </c>
      <c r="B524" s="1207" t="inlineStr">
        <is>
          <t>3-1/2" TUBING 9.2 LB/FT ALLOY 28 TSH BL</t>
        </is>
      </c>
      <c r="C524" s="1431" t="n">
        <v>31</v>
      </c>
    </row>
    <row r="525" ht="14.25" customHeight="1" s="1158">
      <c r="A525" s="1207" t="inlineStr">
        <is>
          <t>JT.#300</t>
        </is>
      </c>
      <c r="B525" s="1207" t="inlineStr">
        <is>
          <t>3-1/2" TUBING 9.2 LB/FT ALLOY 28 TSH BL</t>
        </is>
      </c>
      <c r="C525" s="1431" t="n">
        <v>31</v>
      </c>
    </row>
    <row r="526" ht="14.25" customHeight="1" s="1158">
      <c r="A526" s="1207" t="inlineStr">
        <is>
          <t>JT.#301</t>
        </is>
      </c>
      <c r="B526" s="1207" t="inlineStr">
        <is>
          <t>3-1/2" TUBING 9.2 LB/FT ALLOY 28 TSH BL</t>
        </is>
      </c>
      <c r="C526" s="1431" t="n">
        <v>31</v>
      </c>
    </row>
    <row r="527" ht="14.25" customHeight="1" s="1158">
      <c r="A527" s="1207" t="inlineStr">
        <is>
          <t>JT.#302</t>
        </is>
      </c>
      <c r="B527" s="1207" t="inlineStr">
        <is>
          <t>3-1/2" TUBING 9.2 LB/FT ALLOY 28 TSH BL</t>
        </is>
      </c>
      <c r="C527" s="1431" t="n">
        <v>31</v>
      </c>
    </row>
    <row r="528" ht="14.25" customHeight="1" s="1158">
      <c r="A528" s="1207" t="inlineStr">
        <is>
          <t>JT.#303</t>
        </is>
      </c>
      <c r="B528" s="1207" t="inlineStr">
        <is>
          <t>3-1/2" TUBING 9.2 LB/FT ALLOY 28 TSH BL</t>
        </is>
      </c>
      <c r="C528" s="1431" t="n">
        <v>31</v>
      </c>
    </row>
    <row r="529" ht="14.25" customHeight="1" s="1158">
      <c r="A529" s="1207" t="inlineStr">
        <is>
          <t>JT.#304</t>
        </is>
      </c>
      <c r="B529" s="1207" t="inlineStr">
        <is>
          <t>3-1/2" TUBING 9.2 LB/FT ALLOY 28 TSH BL</t>
        </is>
      </c>
      <c r="C529" s="1431" t="n">
        <v>31</v>
      </c>
    </row>
    <row r="530" ht="14.25" customHeight="1" s="1158">
      <c r="A530" s="1207" t="inlineStr">
        <is>
          <t>JT.#305</t>
        </is>
      </c>
      <c r="B530" s="1207" t="inlineStr">
        <is>
          <t>3-1/2" TUBING 9.2 LB/FT ALLOY 28 TSH BL</t>
        </is>
      </c>
      <c r="C530" s="1431" t="n">
        <v>31</v>
      </c>
    </row>
    <row r="531" ht="14.25" customHeight="1" s="1158">
      <c r="A531" s="1207" t="inlineStr">
        <is>
          <t>JT.#306</t>
        </is>
      </c>
      <c r="B531" s="1207" t="inlineStr">
        <is>
          <t>3-1/2" TUBING 9.2 LB/FT ALLOY 28 TSH BL</t>
        </is>
      </c>
      <c r="C531" s="1431" t="n">
        <v>31</v>
      </c>
    </row>
    <row r="532" ht="14.25" customHeight="1" s="1158">
      <c r="A532" s="1207" t="inlineStr">
        <is>
          <t>JT.#307</t>
        </is>
      </c>
      <c r="B532" s="1207" t="inlineStr">
        <is>
          <t>3-1/2" TUBING 9.2 LB/FT ALLOY 28 TSH BL</t>
        </is>
      </c>
      <c r="C532" s="1431" t="n">
        <v>31</v>
      </c>
    </row>
    <row r="533" ht="14.25" customHeight="1" s="1158">
      <c r="A533" s="1207" t="inlineStr">
        <is>
          <t>JT.#308</t>
        </is>
      </c>
      <c r="B533" s="1207" t="inlineStr">
        <is>
          <t>3-1/2" TUBING 9.2 LB/FT ALLOY 28 TSH BL</t>
        </is>
      </c>
      <c r="C533" s="1431" t="n">
        <v>31</v>
      </c>
    </row>
    <row r="534" ht="14.25" customHeight="1" s="1158">
      <c r="A534" s="1207" t="inlineStr">
        <is>
          <t>JT.#309</t>
        </is>
      </c>
      <c r="B534" s="1207" t="inlineStr">
        <is>
          <t>3-1/2" TUBING 9.2 LB/FT ALLOY 28 TSH BL</t>
        </is>
      </c>
      <c r="C534" s="1431" t="n">
        <v>31</v>
      </c>
    </row>
    <row r="535" ht="14.25" customHeight="1" s="1158">
      <c r="A535" s="1207" t="inlineStr">
        <is>
          <t>JT.#310</t>
        </is>
      </c>
      <c r="B535" s="1207" t="inlineStr">
        <is>
          <t>3-1/2" TUBING 9.2 LB/FT ALLOY 28 TSH BL</t>
        </is>
      </c>
      <c r="C535" s="1431" t="n">
        <v>31</v>
      </c>
    </row>
    <row r="536" ht="14.25" customHeight="1" s="1158">
      <c r="A536" s="1207" t="inlineStr">
        <is>
          <t>JT.#311</t>
        </is>
      </c>
      <c r="B536" s="1207" t="inlineStr">
        <is>
          <t>3-1/2" TUBING 9.2 LB/FT ALLOY 28 TSH BL</t>
        </is>
      </c>
      <c r="C536" s="1431" t="n">
        <v>31</v>
      </c>
    </row>
    <row r="537" ht="14.25" customHeight="1" s="1158">
      <c r="A537" s="1207" t="inlineStr">
        <is>
          <t>JT.#312</t>
        </is>
      </c>
      <c r="B537" s="1207" t="inlineStr">
        <is>
          <t>3-1/2" TUBING 9.2 LB/FT ALLOY 28 TSH BL</t>
        </is>
      </c>
      <c r="C537" s="1431" t="n">
        <v>31</v>
      </c>
    </row>
    <row r="538" ht="14.25" customHeight="1" s="1158">
      <c r="A538" s="1207" t="inlineStr">
        <is>
          <t>JT.#313</t>
        </is>
      </c>
      <c r="B538" s="1207" t="inlineStr">
        <is>
          <t>3-1/2" TUBING 9.2 LB/FT ALLOY 28 TSH BL</t>
        </is>
      </c>
      <c r="C538" s="1431" t="n">
        <v>31</v>
      </c>
    </row>
    <row r="539" ht="14.25" customHeight="1" s="1158">
      <c r="A539" s="1207" t="inlineStr">
        <is>
          <t>JT.#314</t>
        </is>
      </c>
      <c r="B539" s="1207" t="inlineStr">
        <is>
          <t>3-1/2" TUBING 9.2 LB/FT ALLOY 28 TSH BL</t>
        </is>
      </c>
      <c r="C539" s="1431" t="n">
        <v>31</v>
      </c>
    </row>
    <row r="540" ht="14.25" customHeight="1" s="1158">
      <c r="A540" s="1207" t="inlineStr">
        <is>
          <t>JT.#315</t>
        </is>
      </c>
      <c r="B540" s="1207" t="inlineStr">
        <is>
          <t>3-1/2" TUBING 9.2 LB/FT ALLOY 28 TSH BL</t>
        </is>
      </c>
      <c r="C540" s="1431" t="n">
        <v>31</v>
      </c>
    </row>
    <row r="541" ht="14.25" customHeight="1" s="1158">
      <c r="A541" s="1207" t="inlineStr">
        <is>
          <t>JT.#316</t>
        </is>
      </c>
      <c r="B541" s="1207" t="inlineStr">
        <is>
          <t>3-1/2" TUBING 9.2 LB/FT ALLOY 28 TSH BL</t>
        </is>
      </c>
      <c r="C541" s="1431" t="n">
        <v>31</v>
      </c>
    </row>
    <row r="542" ht="14.25" customHeight="1" s="1158">
      <c r="A542" s="1207" t="inlineStr">
        <is>
          <t>JT.#317</t>
        </is>
      </c>
      <c r="B542" s="1207" t="inlineStr">
        <is>
          <t>3-1/2" TUBING 9.2 LB/FT ALLOY 28 TSH BL</t>
        </is>
      </c>
      <c r="C542" s="1431" t="n">
        <v>31</v>
      </c>
    </row>
    <row r="543" ht="14.25" customHeight="1" s="1158">
      <c r="A543" s="1207" t="inlineStr">
        <is>
          <t>JT.#318</t>
        </is>
      </c>
      <c r="B543" s="1207" t="inlineStr">
        <is>
          <t>3-1/2" TUBING 9.2 LB/FT ALLOY 28 TSH BL</t>
        </is>
      </c>
      <c r="C543" s="1431" t="n">
        <v>31</v>
      </c>
    </row>
    <row r="544" ht="14.25" customHeight="1" s="1158">
      <c r="A544" s="1207" t="inlineStr">
        <is>
          <t>JT.#319</t>
        </is>
      </c>
      <c r="B544" s="1207" t="inlineStr">
        <is>
          <t>3-1/2" TUBING 9.2 LB/FT ALLOY 28 TSH BL</t>
        </is>
      </c>
      <c r="C544" s="1431" t="n">
        <v>31</v>
      </c>
    </row>
    <row r="545" ht="14.25" customHeight="1" s="1158">
      <c r="A545" s="1207" t="inlineStr">
        <is>
          <t>JT.#320</t>
        </is>
      </c>
      <c r="B545" s="1207" t="inlineStr">
        <is>
          <t>3-1/2" TUBING 9.2 LB/FT ALLOY 28 TSH BL</t>
        </is>
      </c>
      <c r="C545" s="1431" t="n">
        <v>31</v>
      </c>
    </row>
    <row r="546" ht="14.25" customHeight="1" s="1158">
      <c r="A546" s="1207" t="inlineStr">
        <is>
          <t>JT.#321</t>
        </is>
      </c>
      <c r="B546" s="1207" t="inlineStr">
        <is>
          <t>3-1/2" TUBING 9.2 LB/FT ALLOY 28 TSH BL</t>
        </is>
      </c>
      <c r="C546" s="1431" t="n">
        <v>31</v>
      </c>
    </row>
    <row r="547" ht="14.25" customHeight="1" s="1158">
      <c r="A547" s="1207" t="inlineStr">
        <is>
          <t>JT.#322</t>
        </is>
      </c>
      <c r="B547" s="1207" t="inlineStr">
        <is>
          <t>3-1/2" TUBING 9.2 LB/FT ALLOY 28 TSH BL</t>
        </is>
      </c>
      <c r="C547" s="1431" t="n">
        <v>31</v>
      </c>
    </row>
    <row r="548" ht="14.25" customHeight="1" s="1158">
      <c r="A548" s="1207" t="inlineStr">
        <is>
          <t>JT.#323</t>
        </is>
      </c>
      <c r="B548" s="1207" t="inlineStr">
        <is>
          <t>3-1/2" TUBING 9.2 LB/FT ALLOY 28 TSH BL</t>
        </is>
      </c>
      <c r="C548" s="1431" t="n">
        <v>31</v>
      </c>
    </row>
    <row r="549" ht="14.25" customHeight="1" s="1158">
      <c r="A549" s="1207" t="inlineStr">
        <is>
          <t>JT.#324</t>
        </is>
      </c>
      <c r="B549" s="1207" t="inlineStr">
        <is>
          <t>3-1/2" TUBING 9.2 LB/FT ALLOY 28 TSH BL</t>
        </is>
      </c>
      <c r="C549" s="1431" t="n">
        <v>31</v>
      </c>
    </row>
    <row r="550" ht="14.25" customHeight="1" s="1158">
      <c r="A550" s="1207" t="inlineStr">
        <is>
          <t>JT.#325</t>
        </is>
      </c>
      <c r="B550" s="1207" t="inlineStr">
        <is>
          <t>3-1/2" TUBING 9.2 LB/FT ALLOY 28 TSH BL</t>
        </is>
      </c>
      <c r="C550" s="1431" t="n">
        <v>31</v>
      </c>
    </row>
    <row r="551" ht="14.25" customHeight="1" s="1158">
      <c r="A551" s="1207" t="inlineStr">
        <is>
          <t>JT.#326</t>
        </is>
      </c>
      <c r="B551" s="1207" t="inlineStr">
        <is>
          <t>3-1/2" TUBING 9.2 LB/FT ALLOY 28 TSH BL</t>
        </is>
      </c>
      <c r="C551" s="1431" t="n">
        <v>31</v>
      </c>
    </row>
    <row r="552" ht="14.25" customHeight="1" s="1158">
      <c r="A552" s="1207" t="inlineStr">
        <is>
          <t>JT.#327</t>
        </is>
      </c>
      <c r="B552" s="1207" t="inlineStr">
        <is>
          <t>3-1/2" TUBING 9.2 LB/FT ALLOY 28 TSH BL</t>
        </is>
      </c>
      <c r="C552" s="1431" t="n">
        <v>31</v>
      </c>
    </row>
    <row r="553" ht="14.25" customHeight="1" s="1158">
      <c r="A553" s="1207" t="inlineStr">
        <is>
          <t>JT.#328</t>
        </is>
      </c>
      <c r="B553" s="1207" t="inlineStr">
        <is>
          <t>3-1/2" TUBING 9.2 LB/FT ALLOY 28 TSH BL</t>
        </is>
      </c>
      <c r="C553" s="1431" t="n">
        <v>31</v>
      </c>
    </row>
    <row r="554" ht="14.25" customHeight="1" s="1158">
      <c r="A554" s="1207" t="inlineStr">
        <is>
          <t>JT.#329</t>
        </is>
      </c>
      <c r="B554" s="1207" t="inlineStr">
        <is>
          <t>3-1/2" TUBING 9.2 LB/FT ALLOY 28 TSH BL</t>
        </is>
      </c>
      <c r="C554" s="1431" t="n">
        <v>31</v>
      </c>
    </row>
    <row r="555" ht="14.25" customHeight="1" s="1158">
      <c r="A555" s="1207" t="inlineStr">
        <is>
          <t>JT.#330</t>
        </is>
      </c>
      <c r="B555" s="1207" t="inlineStr">
        <is>
          <t>3-1/2" TUBING 9.2 LB/FT ALLOY 28 TSH BL</t>
        </is>
      </c>
      <c r="C555" s="1431" t="n">
        <v>31</v>
      </c>
    </row>
    <row r="556" ht="14.25" customHeight="1" s="1158">
      <c r="A556" s="1207" t="inlineStr">
        <is>
          <t>JT.#331</t>
        </is>
      </c>
      <c r="B556" s="1207" t="inlineStr">
        <is>
          <t>3-1/2" TUBING 9.2 LB/FT ALLOY 28 TSH BL</t>
        </is>
      </c>
      <c r="C556" s="1431" t="n">
        <v>31</v>
      </c>
    </row>
    <row r="557" ht="14.25" customHeight="1" s="1158">
      <c r="A557" s="1207" t="inlineStr">
        <is>
          <t>JT.#332</t>
        </is>
      </c>
      <c r="B557" s="1207" t="inlineStr">
        <is>
          <t>3-1/2" TUBING 9.2 LB/FT ALLOY 28 TSH BL</t>
        </is>
      </c>
      <c r="C557" s="1431" t="n">
        <v>31</v>
      </c>
    </row>
    <row r="558" ht="14.25" customHeight="1" s="1158">
      <c r="A558" s="1207" t="inlineStr">
        <is>
          <t>JT.#333</t>
        </is>
      </c>
      <c r="B558" s="1207" t="inlineStr">
        <is>
          <t>3-1/2" TUBING 9.2 LB/FT ALLOY 28 TSH BL</t>
        </is>
      </c>
      <c r="C558" s="1431" t="n">
        <v>31</v>
      </c>
    </row>
    <row r="559" ht="14.25" customHeight="1" s="1158">
      <c r="A559" s="1207" t="inlineStr">
        <is>
          <t>JT.#334</t>
        </is>
      </c>
      <c r="B559" s="1207" t="inlineStr">
        <is>
          <t>3-1/2" TUBING 9.2 LB/FT ALLOY 28 TSH BL</t>
        </is>
      </c>
      <c r="C559" s="1431" t="n">
        <v>31</v>
      </c>
    </row>
    <row r="560" ht="14.25" customHeight="1" s="1158">
      <c r="A560" s="1207" t="inlineStr">
        <is>
          <t>JT.#335</t>
        </is>
      </c>
      <c r="B560" s="1207" t="inlineStr">
        <is>
          <t>3-1/2" TUBING 9.2 LB/FT ALLOY 28 TSH BL</t>
        </is>
      </c>
      <c r="C560" s="1431" t="n">
        <v>31</v>
      </c>
    </row>
    <row r="561" ht="14.25" customHeight="1" s="1158">
      <c r="A561" s="1207" t="inlineStr">
        <is>
          <t>JT.#336</t>
        </is>
      </c>
      <c r="B561" s="1207" t="inlineStr">
        <is>
          <t>3-1/2" TUBING 9.2 LB/FT ALLOY 28 TSH BL</t>
        </is>
      </c>
      <c r="C561" s="1431" t="n">
        <v>31</v>
      </c>
    </row>
    <row r="562" ht="14.25" customHeight="1" s="1158">
      <c r="A562" s="1207" t="inlineStr">
        <is>
          <t>JT.#337</t>
        </is>
      </c>
      <c r="B562" s="1207" t="inlineStr">
        <is>
          <t>3-1/2" TUBING 9.2 LB/FT ALLOY 28 TSH BL</t>
        </is>
      </c>
      <c r="C562" s="1431" t="n">
        <v>31</v>
      </c>
    </row>
    <row r="563" ht="14.25" customHeight="1" s="1158">
      <c r="A563" s="1207" t="inlineStr">
        <is>
          <t>JT.#338</t>
        </is>
      </c>
      <c r="B563" s="1207" t="inlineStr">
        <is>
          <t>3-1/2" TUBING 9.2 LB/FT ALLOY 28 TSH BL</t>
        </is>
      </c>
      <c r="C563" s="1431" t="n">
        <v>31</v>
      </c>
    </row>
    <row r="564" ht="14.25" customHeight="1" s="1158">
      <c r="A564" s="1207" t="inlineStr">
        <is>
          <t>JT.#339</t>
        </is>
      </c>
      <c r="B564" s="1207" t="inlineStr">
        <is>
          <t>3-1/2" TUBING 9.2 LB/FT ALLOY 28 TSH BL</t>
        </is>
      </c>
      <c r="C564" s="1431" t="n">
        <v>31</v>
      </c>
    </row>
    <row r="565" ht="14.25" customHeight="1" s="1158">
      <c r="A565" s="1207" t="inlineStr">
        <is>
          <t>JT.#340</t>
        </is>
      </c>
      <c r="B565" s="1207" t="inlineStr">
        <is>
          <t>3-1/2" TUBING 9.2 LB/FT ALLOY 28 TSH BL</t>
        </is>
      </c>
      <c r="C565" s="1431" t="n">
        <v>31</v>
      </c>
    </row>
    <row r="566" ht="14.25" customHeight="1" s="1158">
      <c r="A566" s="1207" t="inlineStr">
        <is>
          <t>JT.#341</t>
        </is>
      </c>
      <c r="B566" s="1207" t="inlineStr">
        <is>
          <t>3-1/2" TUBING 9.2 LB/FT ALLOY 28 TSH BL</t>
        </is>
      </c>
      <c r="C566" s="1431" t="n">
        <v>31</v>
      </c>
    </row>
    <row r="567" ht="14.25" customHeight="1" s="1158">
      <c r="A567" s="1207" t="inlineStr">
        <is>
          <t>JT.#342</t>
        </is>
      </c>
      <c r="B567" s="1207" t="inlineStr">
        <is>
          <t>3-1/2" TUBING 9.2 LB/FT ALLOY 28 TSH BL</t>
        </is>
      </c>
      <c r="C567" s="1431" t="n">
        <v>31</v>
      </c>
    </row>
    <row r="568" ht="14.25" customHeight="1" s="1158">
      <c r="A568" s="1207" t="inlineStr">
        <is>
          <t>JT.#343</t>
        </is>
      </c>
      <c r="B568" s="1207" t="inlineStr">
        <is>
          <t>3-1/2" TUBING 9.2 LB/FT ALLOY 28 TSH BL</t>
        </is>
      </c>
      <c r="C568" s="1431" t="n">
        <v>31</v>
      </c>
    </row>
    <row r="569" ht="14.25" customHeight="1" s="1158">
      <c r="A569" s="1207" t="inlineStr">
        <is>
          <t>JT.#344</t>
        </is>
      </c>
      <c r="B569" s="1207" t="inlineStr">
        <is>
          <t>3-1/2" TUBING 9.2 LB/FT ALLOY 28 TSH BL</t>
        </is>
      </c>
      <c r="C569" s="1431" t="n">
        <v>31</v>
      </c>
    </row>
    <row r="570" ht="14.25" customHeight="1" s="1158">
      <c r="A570" s="1207" t="inlineStr">
        <is>
          <t>JT.#345</t>
        </is>
      </c>
      <c r="B570" s="1207" t="inlineStr">
        <is>
          <t>3-1/2" TUBING 9.2 LB/FT ALLOY 28 TSH BL</t>
        </is>
      </c>
      <c r="C570" s="1431" t="n">
        <v>31</v>
      </c>
    </row>
    <row r="571" ht="14.25" customHeight="1" s="1158">
      <c r="A571" s="1207" t="inlineStr">
        <is>
          <t>JT.#346</t>
        </is>
      </c>
      <c r="B571" s="1207" t="inlineStr">
        <is>
          <t>3-1/2" TUBING 9.2 LB/FT ALLOY 28 TSH BL</t>
        </is>
      </c>
      <c r="C571" s="1431" t="n">
        <v>31</v>
      </c>
    </row>
    <row r="572" ht="14.25" customHeight="1" s="1158">
      <c r="A572" s="1207" t="inlineStr">
        <is>
          <t>JT.#347</t>
        </is>
      </c>
      <c r="B572" s="1207" t="inlineStr">
        <is>
          <t>3-1/2" TUBING 9.2 LB/FT ALLOY 28 TSH BL</t>
        </is>
      </c>
      <c r="C572" s="1431" t="n">
        <v>31</v>
      </c>
    </row>
    <row r="573" ht="14.25" customHeight="1" s="1158">
      <c r="A573" s="1207" t="inlineStr">
        <is>
          <t>JT.#348</t>
        </is>
      </c>
      <c r="B573" s="1207" t="inlineStr">
        <is>
          <t>3-1/2" TUBING 9.2 LB/FT ALLOY 28 TSH BL</t>
        </is>
      </c>
      <c r="C573" s="1431" t="n">
        <v>31</v>
      </c>
    </row>
    <row r="574" ht="14.25" customHeight="1" s="1158">
      <c r="A574" s="1207" t="inlineStr">
        <is>
          <t>JT.#349</t>
        </is>
      </c>
      <c r="B574" s="1207" t="inlineStr">
        <is>
          <t>3-1/2" TUBING 9.2 LB/FT ALLOY 28 TSH BL</t>
        </is>
      </c>
      <c r="C574" s="1431" t="n">
        <v>31</v>
      </c>
    </row>
    <row r="575" ht="14.25" customHeight="1" s="1158">
      <c r="A575" s="1207" t="inlineStr">
        <is>
          <t>JT.#350</t>
        </is>
      </c>
      <c r="B575" s="1207" t="inlineStr">
        <is>
          <t>3-1/2" TUBING 9.2 LB/FT ALLOY 28 TSH BL</t>
        </is>
      </c>
      <c r="C575" s="1431" t="n">
        <v>31</v>
      </c>
    </row>
    <row r="576" ht="14.25" customHeight="1" s="1158">
      <c r="A576" s="1207" t="inlineStr">
        <is>
          <t>JT.#351</t>
        </is>
      </c>
      <c r="B576" s="1207" t="inlineStr">
        <is>
          <t>3-1/2" TUBING 9.2 LB/FT ALLOY 28 TSH BL</t>
        </is>
      </c>
      <c r="C576" s="1431" t="n">
        <v>31</v>
      </c>
    </row>
    <row r="577" ht="14.25" customHeight="1" s="1158">
      <c r="A577" s="1207" t="inlineStr">
        <is>
          <t>JT.#352</t>
        </is>
      </c>
      <c r="B577" s="1207" t="inlineStr">
        <is>
          <t>3-1/2" TUBING 9.2 LB/FT ALLOY 28 TSH BL</t>
        </is>
      </c>
      <c r="C577" s="1431" t="n">
        <v>31</v>
      </c>
    </row>
    <row r="578" ht="14.25" customHeight="1" s="1158">
      <c r="A578" s="1207" t="inlineStr">
        <is>
          <t>JT.#353</t>
        </is>
      </c>
      <c r="B578" s="1207" t="inlineStr">
        <is>
          <t>3-1/2" TUBING 9.2 LB/FT ALLOY 28 TSH BL</t>
        </is>
      </c>
      <c r="C578" s="1431" t="n">
        <v>31</v>
      </c>
    </row>
    <row r="579" ht="14.25" customHeight="1" s="1158">
      <c r="A579" s="1207" t="inlineStr">
        <is>
          <t>JT.#354</t>
        </is>
      </c>
      <c r="B579" s="1207" t="inlineStr">
        <is>
          <t>3-1/2" TUBING 9.2 LB/FT ALLOY 28 TSH BL</t>
        </is>
      </c>
      <c r="C579" s="1431" t="n">
        <v>31</v>
      </c>
    </row>
    <row r="580" ht="14.25" customHeight="1" s="1158">
      <c r="A580" s="1207" t="inlineStr">
        <is>
          <t>JT.#355</t>
        </is>
      </c>
      <c r="B580" s="1207" t="inlineStr">
        <is>
          <t>3-1/2" TUBING 9.2 LB/FT ALLOY 28 TSH BL</t>
        </is>
      </c>
      <c r="C580" s="1431" t="n">
        <v>31</v>
      </c>
    </row>
    <row r="581" ht="14.25" customHeight="1" s="1158">
      <c r="A581" s="1207" t="inlineStr">
        <is>
          <t>JT.#356</t>
        </is>
      </c>
      <c r="B581" s="1207" t="inlineStr">
        <is>
          <t>3-1/2" TUBING 9.2 LB/FT ALLOY 28 TSH BL</t>
        </is>
      </c>
      <c r="C581" s="1431" t="n">
        <v>31</v>
      </c>
    </row>
    <row r="582" ht="14.25" customHeight="1" s="1158">
      <c r="A582" s="1207" t="inlineStr">
        <is>
          <t>JT.#357</t>
        </is>
      </c>
      <c r="B582" s="1207" t="inlineStr">
        <is>
          <t>3-1/2" TUBING 9.2 LB/FT ALLOY 28 TSH BL</t>
        </is>
      </c>
      <c r="C582" s="1431" t="n">
        <v>31</v>
      </c>
    </row>
    <row r="583" ht="14.25" customHeight="1" s="1158">
      <c r="A583" s="1207" t="inlineStr">
        <is>
          <t>JT.#358</t>
        </is>
      </c>
      <c r="B583" s="1207" t="inlineStr">
        <is>
          <t>3-1/2" TUBING 9.2 LB/FT ALLOY 28 TSH BL</t>
        </is>
      </c>
      <c r="C583" s="1431" t="n">
        <v>31</v>
      </c>
    </row>
    <row r="584" ht="14.25" customHeight="1" s="1158">
      <c r="A584" s="1207" t="inlineStr">
        <is>
          <t>JT.#359</t>
        </is>
      </c>
      <c r="B584" s="1207" t="inlineStr">
        <is>
          <t>3-1/2" TUBING 9.2 LB/FT ALLOY 28 TSH BL</t>
        </is>
      </c>
      <c r="C584" s="1431" t="n">
        <v>31</v>
      </c>
    </row>
    <row r="585" ht="76.09999999999999" customHeight="1" s="1158">
      <c r="A585" s="2101" t="inlineStr">
        <is>
          <t>F</t>
        </is>
      </c>
      <c r="B585" s="2102" t="inlineStr">
        <is>
          <t>UPPER CONN. 3-1/2" VAM TOP BOX 9.2 PPF SN 28 110 KSI
DESCRIPTION: 5 FEET XOVER
SAP: 130005011340
SUPPLIER: TENARIS
UPPER CONN. 3-1/2" TSH BLUE PIN 9.2 PPF SN 28 110 KSI</t>
        </is>
      </c>
      <c r="C585" s="2103" t="n">
        <v>5.02</v>
      </c>
      <c r="D585" s="2104" t="n">
        <v>3.908</v>
      </c>
      <c r="E585" s="2104" t="n">
        <v>2.959</v>
      </c>
      <c r="F585" s="2105" t="inlineStr">
        <is>
          <t>N/A</t>
        </is>
      </c>
      <c r="G585" s="2105" t="inlineStr">
        <is>
          <t>N/A</t>
        </is>
      </c>
      <c r="H585" s="2105" t="inlineStr">
        <is>
          <t>130005011340</t>
        </is>
      </c>
      <c r="I585" s="2105" t="inlineStr">
        <is>
          <t>N/A</t>
        </is>
      </c>
    </row>
    <row r="586" ht="105.95" customHeight="1" s="1158">
      <c r="B586" s="2102" t="inlineStr">
        <is>
          <t>UPPER CONN. 3-1/2" VAM TOP 9.2#PPF INCOLOY 925 BOX
DESCRIPTION: FLOW COUPLING
PN: 2996124
S/N: 130777-04-001
SAP: 130010035671
S UPPLIER: WEATHERFORD
LOWER CONN. 3-1/2" VAM TOP 9.2#PPF</t>
        </is>
      </c>
      <c r="C586" s="2103" t="n">
        <v>5.75</v>
      </c>
      <c r="D586" s="2104" t="n">
        <v>3.937</v>
      </c>
      <c r="E586" s="2104" t="n">
        <v>2.949</v>
      </c>
      <c r="F586" s="2105" t="inlineStr">
        <is>
          <t>2996124</t>
        </is>
      </c>
      <c r="G586" s="2105" t="inlineStr">
        <is>
          <t>130777-04-001</t>
        </is>
      </c>
      <c r="H586" s="2105" t="inlineStr">
        <is>
          <t>130010035671</t>
        </is>
      </c>
      <c r="I586" s="2105" t="inlineStr">
        <is>
          <t>N/A</t>
        </is>
      </c>
    </row>
    <row r="587" ht="150.7" customHeight="1" s="1158">
      <c r="B587" s="2102" t="inlineStr">
        <is>
          <t>UPPER CONN. 3-1/2" VAM TOP 9.2#PPF
INCOLOY 925
BOX
DESCRIPTION: WEATHERFORD ASSY, TRSV,3.5WZPE-10
2.813WOR,2kSD,9.2# VAM TOP, WN302
PN: 2980845
S/N: 12777594-01
SAP: 130010038007
SUPPLIER: WEATHERFORD
LOWER CONN. 3-1/2" VAM TOP 9.2#PPF</t>
        </is>
      </c>
      <c r="C587" s="2103" t="n">
        <v>4.44</v>
      </c>
      <c r="D587" s="2104" t="n">
        <v>5.46</v>
      </c>
      <c r="E587" s="2104" t="n">
        <v>2.813</v>
      </c>
      <c r="F587" s="2105" t="inlineStr">
        <is>
          <t>2980845</t>
        </is>
      </c>
      <c r="G587" s="2105" t="inlineStr">
        <is>
          <t>12777594-01</t>
        </is>
      </c>
      <c r="H587" s="2105" t="inlineStr">
        <is>
          <t>130010038007</t>
        </is>
      </c>
      <c r="I587" s="2105" t="inlineStr">
        <is>
          <t>N/A</t>
        </is>
      </c>
    </row>
    <row r="588" ht="135.8" customHeight="1" s="1158">
      <c r="B588" s="2102" t="inlineStr">
        <is>
          <t>UPPER CONN. 3-1/2" VAM TOP 9.2#PPF
INCOLOY 925
BOX
DESCRIPTION: FLOW COUPLING
P/N: 2996124
S/N: 130777-02-002
SAP: 130010035671
SUPPLIER: WEATHERFORD
LOWER CONN. 3-1/2" VAM TOP 9.2#PPF</t>
        </is>
      </c>
      <c r="C588" s="2103" t="n">
        <v>5.75</v>
      </c>
      <c r="D588" s="2104" t="n">
        <v>3.937</v>
      </c>
      <c r="E588" s="2104" t="n">
        <v>2.949</v>
      </c>
      <c r="F588" s="2105" t="inlineStr">
        <is>
          <t>2996124</t>
        </is>
      </c>
      <c r="G588" s="2105" t="inlineStr">
        <is>
          <t>130777-02-002</t>
        </is>
      </c>
      <c r="H588" s="2105" t="inlineStr">
        <is>
          <t>130010035671</t>
        </is>
      </c>
      <c r="I588" s="2105" t="inlineStr">
        <is>
          <t>N/A</t>
        </is>
      </c>
    </row>
    <row r="589" ht="76.09999999999999" customHeight="1" s="1158">
      <c r="B589" s="2102" t="inlineStr">
        <is>
          <t>UPPER CONN. 3-1/2" TSH BLUE BOX 9.2 PPF SN 28 110 KSI
DESCRIPTION: 10 FEET XOVER
SAP: 130005012487
SUPPLIER: TENARIS
LOWER CONN. 3-1/2" VAM TOP PIN 9.2 PPF SN 28 110 KSI</t>
        </is>
      </c>
      <c r="C589" s="2103" t="n">
        <v>9.93</v>
      </c>
      <c r="D589" s="2104" t="n">
        <v>3.937</v>
      </c>
      <c r="E589" s="2104" t="n">
        <v>2.969</v>
      </c>
      <c r="F589" s="2105" t="inlineStr">
        <is>
          <t>N/A</t>
        </is>
      </c>
      <c r="G589" s="2105" t="inlineStr">
        <is>
          <t>N/A</t>
        </is>
      </c>
      <c r="H589" s="2105" t="inlineStr">
        <is>
          <t>130005012487</t>
        </is>
      </c>
      <c r="I589" s="2105" t="inlineStr">
        <is>
          <t>N/A</t>
        </is>
      </c>
    </row>
    <row r="590" ht="14.25" customHeight="1" s="1158">
      <c r="A590" s="1207" t="inlineStr">
        <is>
          <t>JT.#360</t>
        </is>
      </c>
      <c r="B590" s="1207" t="inlineStr">
        <is>
          <t>3-1/2" TUBING 9.2 LB/FT ALLOY 28 TSH BL</t>
        </is>
      </c>
      <c r="C590" s="1431" t="n">
        <v>31</v>
      </c>
    </row>
    <row r="591" ht="14.25" customHeight="1" s="1158">
      <c r="A591" s="1207" t="inlineStr">
        <is>
          <t>JT.#361</t>
        </is>
      </c>
      <c r="B591" s="1207" t="inlineStr">
        <is>
          <t>3-1/2" TUBING 9.2 LB/FT ALLOY 28 TSH BL</t>
        </is>
      </c>
      <c r="C591" s="1431" t="n">
        <v>31</v>
      </c>
    </row>
    <row r="592" ht="14.25" customHeight="1" s="1158">
      <c r="A592" s="1207" t="inlineStr">
        <is>
          <t>JT.#362</t>
        </is>
      </c>
      <c r="B592" s="1207" t="inlineStr">
        <is>
          <t>3-1/2" TUBING 9.2 LB/FT ALLOY 28 TSH BL</t>
        </is>
      </c>
      <c r="C592" s="1431" t="n">
        <v>31</v>
      </c>
    </row>
    <row r="593" ht="14.25" customHeight="1" s="1158">
      <c r="A593" s="1207" t="inlineStr">
        <is>
          <t>JT.#363</t>
        </is>
      </c>
      <c r="B593" s="1207" t="inlineStr">
        <is>
          <t>3-1/2" TUBING 9.2 LB/FT ALLOY 28 TSH BL</t>
        </is>
      </c>
      <c r="C593" s="1431" t="n">
        <v>31</v>
      </c>
    </row>
    <row r="594" ht="14.25" customHeight="1" s="1158">
      <c r="A594" s="1207" t="inlineStr">
        <is>
          <t>JT.#364</t>
        </is>
      </c>
      <c r="B594" s="1207" t="inlineStr">
        <is>
          <t>3-1/2" TUBING 9.2 LB/FT ALLOY 28 TSH BL</t>
        </is>
      </c>
      <c r="C594" s="1431" t="n">
        <v>31</v>
      </c>
    </row>
    <row r="595" ht="76.09999999999999" customHeight="1" s="1158">
      <c r="A595" s="2106" t="inlineStr">
        <is>
          <t>F - 1</t>
        </is>
      </c>
      <c r="B595" s="2107" t="inlineStr">
        <is>
          <t>UPPER CONN. 3-1/2" TENARIS BLUE 9.2#PPF SN 28 110 KSI
DESCRIPTION: 5 FEET PUP JOINT
SAP: 130005011338
SUPPLIER:TENARIS
LOWER CONN. 3-1/2" TENARIS BLUE 9.2#PPF SN 28 110 KSI</t>
        </is>
      </c>
      <c r="C595" s="2108" t="n">
        <v>5.08</v>
      </c>
      <c r="D595" s="2109" t="n">
        <v>3.937</v>
      </c>
      <c r="E595" s="2109" t="n">
        <v>2.969</v>
      </c>
      <c r="F595" s="2110" t="inlineStr">
        <is>
          <t>N/A</t>
        </is>
      </c>
      <c r="G595" s="2110" t="inlineStr">
        <is>
          <t>N/A</t>
        </is>
      </c>
      <c r="H595" s="2110" t="inlineStr">
        <is>
          <t>130005011338</t>
        </is>
      </c>
      <c r="I595" s="2110" t="inlineStr">
        <is>
          <t>N/A</t>
        </is>
      </c>
    </row>
    <row r="596" ht="76.09999999999999" customHeight="1" s="1158">
      <c r="B596" s="2107" t="inlineStr">
        <is>
          <t>UPPER CONN. 4-1/2" VAM TOP 12.6 #PPF SN 28 120 KSI BOX
DESCRIPTION : X OVER
4 1/2 PIN TOP X 3 1/2 PIN BTM
SAP: 130005012767 SUPPLIER: TENARIS
LOWER CONN. 3-1/2" TENARIS BLUE 9.2#PPF SN 28 120 KSI PIN</t>
        </is>
      </c>
      <c r="C596" s="2108" t="n">
        <v>2.48</v>
      </c>
      <c r="D596" s="2109" t="n">
        <v>4.5</v>
      </c>
      <c r="E596" s="2109" t="n">
        <v>2.969</v>
      </c>
      <c r="F596" s="2110" t="inlineStr">
        <is>
          <t>N/A</t>
        </is>
      </c>
      <c r="G596" s="2110" t="inlineStr">
        <is>
          <t>N/A</t>
        </is>
      </c>
      <c r="H596" s="2110" t="inlineStr">
        <is>
          <t>130005012767</t>
        </is>
      </c>
      <c r="I596" s="2110" t="inlineStr">
        <is>
          <t>N/A</t>
        </is>
      </c>
    </row>
    <row r="597" ht="120.85" customHeight="1" s="1158">
      <c r="B597" s="2107" t="inlineStr">
        <is>
          <t>UPPER CONN. 4-1/2" VAM TOP 12.6 #PPF INC 718 120 KSI BOX
DESCRIPTION: GE TBGHGR; CWCT-ED-CLL; 11 X 4-1/2; 4-1/2 12.6 PPF
VAM TOP BOX BTM; 4-1/2 VAM
P/N: R893330-1ADC11 REV D
S/N - ADWHT80698-05
SAP: 130010044633
SUPPLIER: GE
LOWER CONN. 4-1/2" VAM TOP 12.6 #PPF INC 718 120 KSI BOX</t>
        </is>
      </c>
      <c r="C597" s="2108" t="n">
        <v>1.9</v>
      </c>
      <c r="D597" s="2109" t="n">
        <v>11</v>
      </c>
      <c r="E597" s="2109" t="n">
        <v>3.9</v>
      </c>
      <c r="F597" s="2110" t="inlineStr">
        <is>
          <t>R893330-1ADC11 REV D</t>
        </is>
      </c>
      <c r="G597" s="2110" t="inlineStr">
        <is>
          <t>ADWHT80698-05</t>
        </is>
      </c>
      <c r="H597" s="2110" t="inlineStr">
        <is>
          <t>130010044633</t>
        </is>
      </c>
      <c r="I597" s="2110"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C31" activeCellId="0" sqref="A11:S58"/>
    </sheetView>
  </sheetViews>
  <sheetFormatPr baseColWidth="8" defaultColWidth="8.59765625" defaultRowHeight="14.25" customHeight="0" zeroHeight="0" outlineLevelRow="0"/>
  <cols>
    <col width="20" customWidth="1" style="1207" min="1" max="1"/>
    <col width="55" customWidth="1" style="1207" min="2" max="2"/>
    <col width="15" customWidth="1" style="1207" min="3" max="8"/>
    <col width="18" customWidth="1" style="1207" min="9" max="11"/>
    <col width="14" customWidth="1" style="1207" min="12" max="12"/>
  </cols>
  <sheetData>
    <row r="1" ht="14.25" customHeight="1" s="1158">
      <c r="A1" s="2010" t="inlineStr">
        <is>
          <t>Image Name</t>
        </is>
      </c>
      <c r="B1" s="2010" t="inlineStr">
        <is>
          <t>Description</t>
        </is>
      </c>
      <c r="C1" s="2010" t="inlineStr">
        <is>
          <t>ID</t>
        </is>
      </c>
      <c r="D1" s="1168" t="n"/>
      <c r="E1" s="2010" t="inlineStr">
        <is>
          <t>OD</t>
        </is>
      </c>
      <c r="F1" s="1168" t="n"/>
      <c r="G1" s="2010" t="inlineStr">
        <is>
          <t>Length</t>
        </is>
      </c>
      <c r="H1" s="1168" t="n"/>
      <c r="I1" s="2010" t="inlineStr">
        <is>
          <t>PN</t>
        </is>
      </c>
      <c r="J1" s="2010" t="inlineStr">
        <is>
          <t>SN</t>
        </is>
      </c>
      <c r="K1" s="2010" t="inlineStr">
        <is>
          <t>SAP</t>
        </is>
      </c>
      <c r="L1" s="2010" t="inlineStr">
        <is>
          <t>CAT ID</t>
        </is>
      </c>
    </row>
    <row r="2" ht="91" customHeight="1" s="1158">
      <c r="A2" s="2111" t="inlineStr">
        <is>
          <t>F - 1</t>
        </is>
      </c>
      <c r="B2" s="2112" t="inlineStr">
        <is>
          <t>UPPER CONN. 4-1/2" VAMTOP 12.6# L80
Box
DESCRIPTION: 30' LANDING JOINT
SAP: 130005009160
SUPPLIER:VAM
LOWER CONN. 4-1/2" VAMTOP 12.6# L80 PIN</t>
        </is>
      </c>
      <c r="C2" s="2113" t="n">
        <v>3.913</v>
      </c>
      <c r="D2" s="1171" t="n"/>
      <c r="E2" s="2113" t="n">
        <v>4.937</v>
      </c>
      <c r="F2" s="1171" t="n"/>
      <c r="G2" s="2114" t="n">
        <v>24.82</v>
      </c>
      <c r="H2" s="1171" t="n"/>
      <c r="I2" s="2112" t="inlineStr">
        <is>
          <t>N/A</t>
        </is>
      </c>
      <c r="J2" s="2112" t="inlineStr">
        <is>
          <t>N/A</t>
        </is>
      </c>
      <c r="K2" s="2112" t="inlineStr">
        <is>
          <t>130005009160</t>
        </is>
      </c>
      <c r="L2" s="2112" t="inlineStr">
        <is>
          <t>N/A</t>
        </is>
      </c>
    </row>
    <row r="3" ht="120.85" customHeight="1" s="1158">
      <c r="A3" s="1778" t="n"/>
      <c r="B3" s="2112" t="inlineStr">
        <is>
          <t>UPPER CONN. 4-1/2" VAM TOP 12.6 #PPF INC 718 120 KSI BOX
DESCRIPTION: GE TBGHGR; CWCT-ED-CLL; 11 X 4-1/2; 4-1/2 12.6 PPF
VAM TOP BOX BTM; 4-1/2 VAM
P/N: R893330-1ADC11 REV D
S/N - ADWHT80698-05
SAP: 130010044633
SUPPLIER: GE
LOWER CONN. 4-1/2" VAM TOP 12.6 #PPF INC 718 120 KSI BOX</t>
        </is>
      </c>
      <c r="C3" s="2113" t="n">
        <v>3.9</v>
      </c>
      <c r="D3" s="1171" t="n"/>
      <c r="E3" s="2113" t="n">
        <v>11</v>
      </c>
      <c r="F3" s="1171" t="n"/>
      <c r="G3" s="2114" t="n">
        <v>1.9</v>
      </c>
      <c r="H3" s="1171" t="n"/>
      <c r="I3" s="2112" t="inlineStr">
        <is>
          <t>R893330-1ADC11 REV D</t>
        </is>
      </c>
      <c r="J3" s="2112" t="inlineStr">
        <is>
          <t>ADWHT80698-05</t>
        </is>
      </c>
      <c r="K3" s="2112" t="inlineStr">
        <is>
          <t>130010044633</t>
        </is>
      </c>
      <c r="L3" s="2112" t="inlineStr">
        <is>
          <t>N/A</t>
        </is>
      </c>
    </row>
    <row r="4" ht="16.4" customHeight="1" s="1158">
      <c r="A4" s="1778" t="n"/>
      <c r="B4" s="2112" t="inlineStr">
        <is>
          <t>UPPER CONN. 4-1/2" VAM TOP 12.6 #PPF SN 28 120 KSI BOX
DESCRIPTION : X OVER
4 1/2 PIN TOP X 3 1/2 PIN BTM
SAP: 130005012767 SUPPLIER: TENARIS
LOWER CONN. 3-1/2" TENARIS BLUE 9.2#PPF SN 28 120 KSI PIN</t>
        </is>
      </c>
      <c r="C4" s="2113" t="n">
        <v>2.969</v>
      </c>
      <c r="D4" s="1171" t="n"/>
      <c r="E4" s="2113" t="n">
        <v>4.5</v>
      </c>
      <c r="F4" s="1171" t="n"/>
      <c r="G4" s="2114" t="n">
        <v>2.48</v>
      </c>
      <c r="H4" s="1171" t="n"/>
      <c r="I4" s="2112" t="inlineStr">
        <is>
          <t>N/A</t>
        </is>
      </c>
      <c r="J4" s="2112" t="inlineStr">
        <is>
          <t>N/A</t>
        </is>
      </c>
      <c r="K4" s="2112" t="inlineStr">
        <is>
          <t>130005012767</t>
        </is>
      </c>
      <c r="L4" s="2112" t="inlineStr">
        <is>
          <t>N/A</t>
        </is>
      </c>
    </row>
    <row r="5" ht="76.09999999999999" customHeight="1" s="1158">
      <c r="A5" s="1450" t="n"/>
      <c r="B5" s="2112" t="inlineStr">
        <is>
          <t>UPPER CONN. 3-1/2" TENARIS BLUE 9.2#PPF SN 28 110 KSI
DESCRIPTION: 5 FEET PUP JOINT
SAP: 130005011338
SUPPLIER:TENARIS
LOWER CONN. 3-1/2" TENARIS BLUE 9.2#PPF SN 28 110 KSI</t>
        </is>
      </c>
      <c r="C5" s="2113" t="n">
        <v>2.969</v>
      </c>
      <c r="D5" s="1171" t="n"/>
      <c r="E5" s="2113" t="n">
        <v>3.937</v>
      </c>
      <c r="F5" s="1171" t="n"/>
      <c r="G5" s="2114" t="n">
        <v>4.779</v>
      </c>
      <c r="H5" s="1171" t="n"/>
      <c r="I5" s="2112" t="inlineStr">
        <is>
          <t>N/A</t>
        </is>
      </c>
      <c r="J5" s="2112" t="inlineStr">
        <is>
          <t>N/A</t>
        </is>
      </c>
      <c r="K5" s="2112" t="inlineStr">
        <is>
          <t>130005011338</t>
        </is>
      </c>
      <c r="L5" s="2112" t="inlineStr">
        <is>
          <t>N/A</t>
        </is>
      </c>
    </row>
    <row r="6" ht="14.25" customHeight="1" s="1158">
      <c r="B6" s="2112" t="n"/>
      <c r="C6" s="2113" t="n">
        <v>2.969</v>
      </c>
      <c r="D6" s="1171" t="n"/>
      <c r="E6" s="2113" t="n">
        <v>3.937</v>
      </c>
      <c r="F6" s="1171" t="n"/>
      <c r="G6" s="1383" t="n"/>
      <c r="H6" s="1171" t="n"/>
      <c r="I6" s="2112" t="n"/>
      <c r="J6" s="2112" t="n"/>
      <c r="K6" s="2112" t="n"/>
      <c r="L6" s="2112" t="n"/>
    </row>
    <row r="7" ht="16.4" customHeight="1" s="1158">
      <c r="A7" s="2115" t="inlineStr">
        <is>
          <t>F</t>
        </is>
      </c>
      <c r="B7" s="2112" t="inlineStr">
        <is>
          <t>UPPER CONN. 3-1/2" TSH BLUE BOX 9.2 PPF SN 28 110 KSI
DESCRIPTION: 10 FEET XOVER
SAP: 130005012487
SUPPLIER: TENARIS
LOWER CONN. 3-1/2" VAM TOP PIN 9.2 PPF SN 28 110 KSI</t>
        </is>
      </c>
      <c r="C7" s="2113" t="n">
        <v>2.969</v>
      </c>
      <c r="D7" s="1171" t="n"/>
      <c r="E7" s="2113" t="n">
        <v>3.937</v>
      </c>
      <c r="F7" s="1171" t="n"/>
      <c r="G7" s="2116" t="n">
        <v>9.93</v>
      </c>
      <c r="H7" s="1171" t="n"/>
      <c r="I7" s="2112" t="inlineStr">
        <is>
          <t>N/A</t>
        </is>
      </c>
      <c r="J7" s="2112" t="inlineStr">
        <is>
          <t>N/A</t>
        </is>
      </c>
      <c r="K7" s="2112" t="inlineStr">
        <is>
          <t>130005012487</t>
        </is>
      </c>
      <c r="L7" s="2112" t="inlineStr">
        <is>
          <t>N/A</t>
        </is>
      </c>
    </row>
    <row r="8" ht="16.4" customHeight="1" s="1158">
      <c r="A8" s="1778" t="n"/>
      <c r="B8" s="2112" t="inlineStr">
        <is>
          <t>UPPER CONN. 3-1/2" VAM TOP 9.2#PPF
INCOLOY 925
BOX
DESCRIPTION: FLOW COUPLING
P/N: 2996124
S/N: 130777-02-002
SAP: 130010035671
SUPPLIER: WEATHERFORD
LOWER CONN. 3-1/2" VAM TOP 9.2#PPF</t>
        </is>
      </c>
      <c r="C8" s="2113" t="n">
        <v>2.949</v>
      </c>
      <c r="D8" s="1171" t="n"/>
      <c r="E8" s="2113" t="n">
        <v>3.937</v>
      </c>
      <c r="F8" s="1171" t="n"/>
      <c r="G8" s="2116" t="n">
        <v>5.75</v>
      </c>
      <c r="H8" s="1171" t="n"/>
      <c r="I8" s="2112" t="inlineStr">
        <is>
          <t>2996124</t>
        </is>
      </c>
      <c r="J8" s="2112" t="inlineStr">
        <is>
          <t>130777-02-002</t>
        </is>
      </c>
      <c r="K8" s="2112" t="inlineStr">
        <is>
          <t>130010035671</t>
        </is>
      </c>
      <c r="L8" s="2112" t="inlineStr">
        <is>
          <t>N/A</t>
        </is>
      </c>
    </row>
    <row r="9" ht="16.4" customHeight="1" s="1158">
      <c r="A9" s="1778" t="n"/>
      <c r="B9" s="2112" t="inlineStr">
        <is>
          <t>UPPER CONN. 3-1/2" VAM TOP 9.2#PPF
INCOLOY 925
BOX
DESCRIPTION: WEATHERFORD ASSY, TRSV,3.5WZPE-10
2.813WOR,2kSD,9.2# VAM TOP, WN302
PN: 2980845
S/N: 12777594-01
SAP: 130010038007
SUPPLIER: WEATHERFORD
LOWER CONN. 3-1/2" VAM TOP 9.2#PPF</t>
        </is>
      </c>
      <c r="C9" s="2113" t="n">
        <v>2.813</v>
      </c>
      <c r="D9" s="1171" t="n"/>
      <c r="E9" s="2113" t="n">
        <v>5.46</v>
      </c>
      <c r="F9" s="1171" t="n"/>
      <c r="G9" s="2116" t="n">
        <v>4.44</v>
      </c>
      <c r="H9" s="1171" t="n"/>
      <c r="I9" s="2112" t="inlineStr">
        <is>
          <t>2980845</t>
        </is>
      </c>
      <c r="J9" s="2112" t="inlineStr">
        <is>
          <t>12777594-01</t>
        </is>
      </c>
      <c r="K9" s="2112" t="inlineStr">
        <is>
          <t>130010038007</t>
        </is>
      </c>
      <c r="L9" s="2112" t="inlineStr">
        <is>
          <t>N/A</t>
        </is>
      </c>
    </row>
    <row r="10" ht="105.95" customHeight="1" s="1158">
      <c r="A10" s="1778" t="n"/>
      <c r="B10" s="2112" t="inlineStr">
        <is>
          <t>UPPER CONN. 3-1/2" VAM TOP 9.2#PPF INCOLOY 925 BOX
DESCRIPTION: FLOW COUPLING
PN: 2996124
S/N: 130777-04-001
SAP: 130010035671
S UPPLIER: WEATHERFORD
LOWER CONN. 3-1/2" VAM TOP 9.2#PPF</t>
        </is>
      </c>
      <c r="C10" s="2113" t="n">
        <v>2.949</v>
      </c>
      <c r="D10" s="1171" t="n"/>
      <c r="E10" s="2113" t="n">
        <v>3.937</v>
      </c>
      <c r="F10" s="1171" t="n"/>
      <c r="G10" s="2116" t="n">
        <v>5.75</v>
      </c>
      <c r="H10" s="1171" t="n"/>
      <c r="I10" s="2112" t="inlineStr">
        <is>
          <t>2996124</t>
        </is>
      </c>
      <c r="J10" s="2112" t="inlineStr">
        <is>
          <t>130777-04-001</t>
        </is>
      </c>
      <c r="K10" s="2112" t="inlineStr">
        <is>
          <t>130010035671</t>
        </is>
      </c>
      <c r="L10" s="2112" t="inlineStr">
        <is>
          <t>N/A</t>
        </is>
      </c>
    </row>
    <row r="11" ht="76.09999999999999" customHeight="1" s="1158">
      <c r="A11" s="1450" t="n"/>
      <c r="B11" s="2112" t="inlineStr">
        <is>
          <t>UPPER CONN. 3-1/2" VAM TOP BOX 9.2 PPF SN 28 110 KSI
DESCRIPTION: 5 FEET XOVER
SAP: 130005011340
SUPPLIER: TENARIS
UPPER CONN. 3-1/2" TSH BLUE PIN 9.2 PPF SN 28 110 KSI</t>
        </is>
      </c>
      <c r="C11" s="2113" t="n">
        <v>2.959</v>
      </c>
      <c r="D11" s="1171" t="n"/>
      <c r="E11" s="2113" t="n">
        <v>3.908</v>
      </c>
      <c r="F11" s="1171" t="n"/>
      <c r="G11" s="2116" t="n">
        <v>4.719</v>
      </c>
      <c r="H11" s="1171" t="n"/>
      <c r="I11" s="2112" t="inlineStr">
        <is>
          <t>N/A</t>
        </is>
      </c>
      <c r="J11" s="2112" t="inlineStr">
        <is>
          <t>N/A</t>
        </is>
      </c>
      <c r="K11" s="2112" t="inlineStr">
        <is>
          <t>130005011340</t>
        </is>
      </c>
      <c r="L11" s="2112" t="inlineStr">
        <is>
          <t>N/A</t>
        </is>
      </c>
    </row>
    <row r="12" ht="14.25" customHeight="1" s="1158">
      <c r="B12" s="2112" t="n"/>
      <c r="C12" s="2113" t="n">
        <v>2.959</v>
      </c>
      <c r="D12" s="1171" t="n"/>
      <c r="E12" s="2113" t="n">
        <v>3.908</v>
      </c>
      <c r="F12" s="1171" t="n"/>
      <c r="G12" s="1383" t="n"/>
      <c r="H12" s="1171" t="n"/>
      <c r="I12" s="2112" t="n"/>
      <c r="J12" s="2112" t="n"/>
      <c r="K12" s="2112" t="n"/>
      <c r="L12" s="2112" t="n"/>
    </row>
    <row r="13" ht="16.4" customHeight="1" s="1158">
      <c r="A13" s="2117" t="inlineStr">
        <is>
          <t>D4</t>
        </is>
      </c>
      <c r="B13" s="2112" t="inlineStr">
        <is>
          <t>UPPER CONN. 3-1/2" TSH BLUE BOX 9.2 PPF SN 28 110 KSI
DESCRIPTION: 5 FEET XOVER
SAP: 130005011340
SUPPLIER: TENARIS
LOWER CONN. 3-1/2" VAM TOP PIN 9.2 PPF SN 28 110 KSI</t>
        </is>
      </c>
      <c r="C13" s="2113" t="n">
        <v>2.969</v>
      </c>
      <c r="D13" s="1171" t="n"/>
      <c r="E13" s="2113" t="n">
        <v>3.937</v>
      </c>
      <c r="F13" s="1171" t="n"/>
      <c r="G13" s="2118" t="n">
        <v>4.96</v>
      </c>
      <c r="H13" s="1171" t="n"/>
      <c r="I13" s="2112" t="inlineStr">
        <is>
          <t>N/A</t>
        </is>
      </c>
      <c r="J13" s="2112" t="inlineStr">
        <is>
          <t>N/A</t>
        </is>
      </c>
      <c r="K13" s="2112" t="inlineStr">
        <is>
          <t>130005011340</t>
        </is>
      </c>
      <c r="L13" s="2112" t="inlineStr">
        <is>
          <t>N/A</t>
        </is>
      </c>
    </row>
    <row r="14" ht="76.09999999999999" customHeight="1" s="1158">
      <c r="A14" s="1778" t="n"/>
      <c r="B14" s="2112" t="inlineStr">
        <is>
          <t>UPPER CONN. 3-1/2" VAM TOP BOX 9.2 PPF TX28- 110 KSI
DESCRIPTION: 10 FEET XOVER
SAP: 1130013006387
SUPPLIER: TBX
LOWER CONN-3-1/2" SENTINELPRIME PIN 9.2 PPF TX28110 KSI</t>
        </is>
      </c>
      <c r="C14" s="2113" t="n">
        <v>2.959</v>
      </c>
      <c r="D14" s="1171" t="n"/>
      <c r="E14" s="2113" t="n">
        <v>3.908</v>
      </c>
      <c r="F14" s="1171" t="n"/>
      <c r="G14" s="2118" t="n">
        <v>9.779999999999999</v>
      </c>
      <c r="H14" s="1171" t="n"/>
      <c r="I14" s="2112" t="inlineStr">
        <is>
          <t>N/A</t>
        </is>
      </c>
      <c r="J14" s="2112" t="inlineStr">
        <is>
          <t>N/A</t>
        </is>
      </c>
      <c r="K14" s="2112" t="inlineStr">
        <is>
          <t>1130013006387</t>
        </is>
      </c>
      <c r="L14" s="2112" t="inlineStr">
        <is>
          <t>N/A</t>
        </is>
      </c>
    </row>
    <row r="15" ht="135.8" customHeight="1" s="1158">
      <c r="A15" s="1778" t="n"/>
      <c r="B15" s="2112"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2113" t="n">
        <v>2.9</v>
      </c>
      <c r="D15" s="1171" t="n"/>
      <c r="E15" s="2113" t="n">
        <v>5.82</v>
      </c>
      <c r="F15" s="1171" t="n"/>
      <c r="G15" s="2118" t="n">
        <v>8.69</v>
      </c>
      <c r="H15" s="1171" t="n"/>
      <c r="I15" s="2112" t="inlineStr">
        <is>
          <t>3205577</t>
        </is>
      </c>
      <c r="J15" s="2112" t="inlineStr">
        <is>
          <t>12696654-13</t>
        </is>
      </c>
      <c r="K15" s="2112" t="inlineStr">
        <is>
          <t>130010036652</t>
        </is>
      </c>
      <c r="L15" s="2112" t="inlineStr">
        <is>
          <t>N/A</t>
        </is>
      </c>
    </row>
    <row r="16" ht="16.4" customHeight="1" s="1158">
      <c r="A16" s="1778" t="n"/>
      <c r="B16" s="2112" t="inlineStr">
        <is>
          <t>UPPER CONN. 3-1/2" SENTINEL PRIME BOX 9.2 PPF TX28-110 KSI
DESCRIPTION: 5 FEET XOVER
SAP: 130013006385
SUPPLIER: TBX
LOWER CONN. 3-1/2" VAM TOP PIN 9.2 PPF TX28-110 KSI</t>
        </is>
      </c>
      <c r="C16" s="2113" t="n">
        <v>2.921</v>
      </c>
      <c r="D16" s="1171" t="n"/>
      <c r="E16" s="2113" t="n">
        <v>3.929</v>
      </c>
      <c r="F16" s="1171" t="n"/>
      <c r="G16" s="2118" t="n">
        <v>4.96</v>
      </c>
      <c r="H16" s="1171" t="n"/>
      <c r="I16" s="2112" t="inlineStr">
        <is>
          <t>N/A</t>
        </is>
      </c>
      <c r="J16" s="2112" t="inlineStr">
        <is>
          <t>N/A</t>
        </is>
      </c>
      <c r="K16" s="2112" t="inlineStr">
        <is>
          <t>130013006385</t>
        </is>
      </c>
      <c r="L16" s="2112" t="inlineStr">
        <is>
          <t>N/A</t>
        </is>
      </c>
    </row>
    <row r="17" ht="16.4" customHeight="1" s="1158">
      <c r="A17" s="1450" t="n"/>
      <c r="B17" s="2112" t="inlineStr">
        <is>
          <t>UPPER CONN. 3-1/2" VAM TOP BOX 9.2 PPF SN 28 110 KSI
DESCRIPTION: 5 FEET XOVER
SAP: 130005011340
SUPPLIER: TENARIS
LOWER CONN. 3-1/2" TSH BLUE PIN 9.2 PPF SN 28 110 KSI</t>
        </is>
      </c>
      <c r="C17" s="2113" t="n">
        <v>2.959</v>
      </c>
      <c r="D17" s="1171" t="n"/>
      <c r="E17" s="2113" t="n">
        <v>3.908</v>
      </c>
      <c r="F17" s="1171" t="n"/>
      <c r="G17" s="2118" t="n">
        <v>4.879</v>
      </c>
      <c r="H17" s="1171" t="n"/>
      <c r="I17" s="2112" t="inlineStr">
        <is>
          <t>N/A</t>
        </is>
      </c>
      <c r="J17" s="2112" t="inlineStr">
        <is>
          <t>N/A</t>
        </is>
      </c>
      <c r="K17" s="2112" t="inlineStr">
        <is>
          <t>130005011340</t>
        </is>
      </c>
      <c r="L17" s="2112" t="inlineStr">
        <is>
          <t>N/A</t>
        </is>
      </c>
    </row>
    <row r="18" ht="14.25" customHeight="1" s="1158">
      <c r="B18" s="2112" t="n"/>
      <c r="C18" s="2113" t="n">
        <v>2.959</v>
      </c>
      <c r="D18" s="1171" t="n"/>
      <c r="E18" s="2113" t="n">
        <v>3.908</v>
      </c>
      <c r="F18" s="1171" t="n"/>
      <c r="G18" s="1383" t="n"/>
      <c r="H18" s="1171" t="n"/>
      <c r="I18" s="2112" t="n"/>
      <c r="J18" s="2112" t="n"/>
      <c r="K18" s="2112" t="n"/>
      <c r="L18" s="2112" t="n"/>
    </row>
    <row r="19" ht="16.4" customHeight="1" s="1158">
      <c r="A19" s="2119" t="inlineStr">
        <is>
          <t>D3</t>
        </is>
      </c>
      <c r="B19" s="2112" t="inlineStr">
        <is>
          <t>UPPER CONN. 3-1/2" TSH BLUE BOX 9.2 PPF SN 28 110 KSI
DESCRIPTION: 10 FEET XOVER
SAP: 130005012487
SUPPLIER: TENARIS
LOWER CONN. 3-1/2" VAM TOP PIN 9.2 PPF SN 28 110 KSI</t>
        </is>
      </c>
      <c r="C19" s="2113" t="n">
        <v>2.969</v>
      </c>
      <c r="D19" s="1171" t="n"/>
      <c r="E19" s="2113" t="n">
        <v>3.937</v>
      </c>
      <c r="F19" s="1171" t="n"/>
      <c r="G19" s="2120" t="n">
        <v>9.93</v>
      </c>
      <c r="H19" s="1171" t="n"/>
      <c r="I19" s="2112" t="inlineStr">
        <is>
          <t>N/A</t>
        </is>
      </c>
      <c r="J19" s="2112" t="inlineStr">
        <is>
          <t>N/A</t>
        </is>
      </c>
      <c r="K19" s="2112" t="inlineStr">
        <is>
          <t>130005012487</t>
        </is>
      </c>
      <c r="L19" s="2112" t="inlineStr">
        <is>
          <t>N/A</t>
        </is>
      </c>
    </row>
    <row r="20" ht="76.09999999999999" customHeight="1" s="1158">
      <c r="A20" s="1778" t="n"/>
      <c r="B20" s="2112" t="inlineStr">
        <is>
          <t>UPPER CONN. 3-1/2" VAM TOP BOX 9.2 PPF TX28- 110 KSI
DESCRIPTION: 5 FEET XOVER
SAP: 130013006383
SUPPLIER: TBX
LOWER CONN -3-1/2" SENTINEL PRIME PIN 9.2 PPF TX28-110 KSI</t>
        </is>
      </c>
      <c r="C20" s="2113" t="n">
        <v>2.959</v>
      </c>
      <c r="D20" s="1171" t="n"/>
      <c r="E20" s="2113" t="n">
        <v>3.908</v>
      </c>
      <c r="F20" s="1171" t="n"/>
      <c r="G20" s="2120" t="n">
        <v>4.88</v>
      </c>
      <c r="H20" s="1171" t="n"/>
      <c r="I20" s="2112" t="inlineStr">
        <is>
          <t>N/A</t>
        </is>
      </c>
      <c r="J20" s="2112" t="inlineStr">
        <is>
          <t>N/A</t>
        </is>
      </c>
      <c r="K20" s="2112" t="inlineStr">
        <is>
          <t>130013006383</t>
        </is>
      </c>
      <c r="L20" s="2112" t="inlineStr">
        <is>
          <t>N/A</t>
        </is>
      </c>
    </row>
    <row r="21" ht="16.4" customHeight="1" s="1158">
      <c r="A21" s="1778" t="n"/>
      <c r="B21" s="21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2113" t="n">
        <v>2.9</v>
      </c>
      <c r="D21" s="1171" t="n"/>
      <c r="E21" s="2113" t="n">
        <v>5.82</v>
      </c>
      <c r="F21" s="1171" t="n"/>
      <c r="G21" s="2120" t="n">
        <v>8.69</v>
      </c>
      <c r="H21" s="1171" t="n"/>
      <c r="I21" s="2112" t="inlineStr">
        <is>
          <t>3205577</t>
        </is>
      </c>
      <c r="J21" s="2112" t="inlineStr">
        <is>
          <t>12600735-08</t>
        </is>
      </c>
      <c r="K21" s="2112" t="inlineStr">
        <is>
          <t>130010036652</t>
        </is>
      </c>
      <c r="L21" s="2112" t="inlineStr">
        <is>
          <t>N/A</t>
        </is>
      </c>
    </row>
    <row r="22" ht="76.09999999999999" customHeight="1" s="1158">
      <c r="A22" s="1778" t="n"/>
      <c r="B22" s="2112" t="inlineStr">
        <is>
          <t>UPPER CONN. 3-1/2" SENTINEL PRIME BOX 9.2 PPF TX28-110 KSI
DESCRIPTION: 5 FEET XOVER
SAP: 130013006385
SUPPLIER: TBX
LOWER CONN. 3-1/2" VAM TOP PIN 9.2 PPF TX28-110 KSI</t>
        </is>
      </c>
      <c r="C22" s="2113" t="n">
        <v>2.921</v>
      </c>
      <c r="D22" s="1171" t="n"/>
      <c r="E22" s="2113" t="n">
        <v>3.929</v>
      </c>
      <c r="F22" s="1171" t="n"/>
      <c r="G22" s="2120" t="n">
        <v>4.96</v>
      </c>
      <c r="H22" s="1171" t="n"/>
      <c r="I22" s="2112" t="inlineStr">
        <is>
          <t>N/A</t>
        </is>
      </c>
      <c r="J22" s="2112" t="inlineStr">
        <is>
          <t>N/A</t>
        </is>
      </c>
      <c r="K22" s="2112" t="inlineStr">
        <is>
          <t>130013006385</t>
        </is>
      </c>
      <c r="L22" s="2112" t="inlineStr">
        <is>
          <t>N/A</t>
        </is>
      </c>
    </row>
    <row r="23" ht="76.09999999999999" customHeight="1" s="1158">
      <c r="A23" s="1450" t="n"/>
      <c r="B23" s="2112" t="inlineStr">
        <is>
          <t>UPPER CONN. 3-1/2" VAM TOP BOX 9.2 PPF SN 28 110 KSI
DESCRIPTION: 5 FEET XOVER
SAP: 130005011340
SUPPLIER: TENARIS
LOWER CONN. 3-1/2" TSH BLUE PIN 9.2 PPF SN 28 110 KSI</t>
        </is>
      </c>
      <c r="C23" s="2113" t="n">
        <v>2.959</v>
      </c>
      <c r="D23" s="1171" t="n"/>
      <c r="E23" s="2113" t="n">
        <v>3.908</v>
      </c>
      <c r="F23" s="1171" t="n"/>
      <c r="G23" s="2120" t="n">
        <v>4.889</v>
      </c>
      <c r="H23" s="1171" t="n"/>
      <c r="I23" s="2112" t="inlineStr">
        <is>
          <t>N/A</t>
        </is>
      </c>
      <c r="J23" s="2112" t="inlineStr">
        <is>
          <t>N/A</t>
        </is>
      </c>
      <c r="K23" s="2112" t="inlineStr">
        <is>
          <t>130005011340</t>
        </is>
      </c>
      <c r="L23" s="2112" t="inlineStr">
        <is>
          <t>N/A</t>
        </is>
      </c>
    </row>
    <row r="24" ht="14.25" customHeight="1" s="1158">
      <c r="B24" s="2112" t="n"/>
      <c r="C24" s="2113" t="n">
        <v>2.959</v>
      </c>
      <c r="D24" s="1171" t="n"/>
      <c r="E24" s="2113" t="n">
        <v>3.908</v>
      </c>
      <c r="F24" s="1171" t="n"/>
      <c r="G24" s="1383" t="n"/>
      <c r="H24" s="1171" t="n"/>
      <c r="I24" s="2112" t="n"/>
      <c r="J24" s="2112" t="n"/>
      <c r="K24" s="2112" t="n"/>
      <c r="L24" s="2112" t="n"/>
    </row>
    <row r="25" ht="16.4" customHeight="1" s="1158">
      <c r="A25" s="2121" t="inlineStr">
        <is>
          <t>D2</t>
        </is>
      </c>
      <c r="B25" s="2112" t="inlineStr">
        <is>
          <t>UPPER CONN. 3-1/2" TSH BLUE BOX 9.2 PPF SN 28 110 KSI
DESCRIPTION: 10 FEET XOVER
SAP: 130005012487
SUPPLIER: TENARIS
LOWER CONN. 3-1/2" VAM TOP PIN 9.2 PPF SN 28 110 KSI</t>
        </is>
      </c>
      <c r="C25" s="2113" t="n">
        <v>2.969</v>
      </c>
      <c r="D25" s="1171" t="n"/>
      <c r="E25" s="2113" t="n">
        <v>3.937</v>
      </c>
      <c r="F25" s="1171" t="n"/>
      <c r="G25" s="2122" t="n">
        <v>9.949999999999999</v>
      </c>
      <c r="H25" s="1171" t="n"/>
      <c r="I25" s="2112" t="inlineStr">
        <is>
          <t>N/A</t>
        </is>
      </c>
      <c r="J25" s="2112" t="inlineStr">
        <is>
          <t>N/A</t>
        </is>
      </c>
      <c r="K25" s="2112" t="inlineStr">
        <is>
          <t>130005012487</t>
        </is>
      </c>
      <c r="L25" s="2112" t="inlineStr">
        <is>
          <t>N/A</t>
        </is>
      </c>
    </row>
    <row r="26" ht="76.09999999999999" customHeight="1" s="1158">
      <c r="A26" s="1778" t="n"/>
      <c r="B26" s="2112" t="inlineStr">
        <is>
          <t>UPPER CONN. 3-1/2" VAM TOP BOX 9.2 PPF TX28- 110 KSI
DESCRIPTION: 5 FEET XOVER
SAP: 130013006383
SUPPLIER: TBX
LOWER CONN -3-1/2" SENTINEL PRIME PIN 9.2 PPF TX28-110 KSI</t>
        </is>
      </c>
      <c r="C26" s="2113" t="n">
        <v>2.959</v>
      </c>
      <c r="D26" s="1171" t="n"/>
      <c r="E26" s="2113" t="n">
        <v>3.908</v>
      </c>
      <c r="F26" s="1171" t="n"/>
      <c r="G26" s="2122" t="n">
        <v>4.8</v>
      </c>
      <c r="H26" s="1171" t="n"/>
      <c r="I26" s="2112" t="inlineStr">
        <is>
          <t>N/A</t>
        </is>
      </c>
      <c r="J26" s="2112" t="inlineStr">
        <is>
          <t>N/A</t>
        </is>
      </c>
      <c r="K26" s="2112" t="inlineStr">
        <is>
          <t>130013006383</t>
        </is>
      </c>
      <c r="L26" s="2112" t="inlineStr">
        <is>
          <t>N/A</t>
        </is>
      </c>
    </row>
    <row r="27" ht="135.8" customHeight="1" s="1158">
      <c r="A27" s="1778" t="n"/>
      <c r="B27" s="211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2113" t="n">
        <v>2.9</v>
      </c>
      <c r="D27" s="1171" t="n"/>
      <c r="E27" s="2113" t="n">
        <v>5.82</v>
      </c>
      <c r="F27" s="1171" t="n"/>
      <c r="G27" s="2122" t="n">
        <v>8.69</v>
      </c>
      <c r="H27" s="1171" t="n"/>
      <c r="I27" s="2112" t="inlineStr">
        <is>
          <t>3205577</t>
        </is>
      </c>
      <c r="J27" s="2112" t="inlineStr">
        <is>
          <t>12636080-05</t>
        </is>
      </c>
      <c r="K27" s="2112" t="inlineStr">
        <is>
          <t>130010036652</t>
        </is>
      </c>
      <c r="L27" s="2112" t="inlineStr">
        <is>
          <t>N/A</t>
        </is>
      </c>
    </row>
    <row r="28" ht="16.4" customHeight="1" s="1158">
      <c r="A28" s="1778" t="n"/>
      <c r="B28" s="2112" t="inlineStr">
        <is>
          <t>UPPER CONN. 3-1/2" SENTINEL PRIME BOX 9.2 PPF TX28- 110 KSI
DESCRIPTION: 5 FEET XOVER
SAP: 130013006385
SUPPLIER: TBX
LOWER CONN. 3-1/2" VAM TOP PIN 9.2 PPF TX28-110 KSI</t>
        </is>
      </c>
      <c r="C28" s="2113" t="n">
        <v>2.921</v>
      </c>
      <c r="D28" s="1171" t="n"/>
      <c r="E28" s="2113" t="n">
        <v>3.929</v>
      </c>
      <c r="F28" s="1171" t="n"/>
      <c r="G28" s="2122" t="n">
        <v>4.97</v>
      </c>
      <c r="H28" s="1171" t="n"/>
      <c r="I28" s="2112" t="inlineStr">
        <is>
          <t>N/A</t>
        </is>
      </c>
      <c r="J28" s="2112" t="inlineStr">
        <is>
          <t>N/A</t>
        </is>
      </c>
      <c r="K28" s="2112" t="inlineStr">
        <is>
          <t>130013006385</t>
        </is>
      </c>
      <c r="L28" s="2112" t="inlineStr">
        <is>
          <t>N/A</t>
        </is>
      </c>
    </row>
    <row r="29" ht="76.09999999999999" customHeight="1" s="1158">
      <c r="A29" s="1450" t="n"/>
      <c r="B29" s="2112" t="inlineStr">
        <is>
          <t>UPPER CONN. 3-1/2" VAM TOP BOX 9.2 PPF SN 28 110 KSI
DESCRIPTION: 5 FEET XOVER
SAP: 130005011340
SUPPLIER: TENARIS
LOWER CONN. 3-1/2" TSH BLUE PIN 9.2 PPF SN 28 110 KSI</t>
        </is>
      </c>
      <c r="C29" s="2113" t="n">
        <v>2.959</v>
      </c>
      <c r="D29" s="1171" t="n"/>
      <c r="E29" s="2113" t="n">
        <v>3.908</v>
      </c>
      <c r="F29" s="1171" t="n"/>
      <c r="G29" s="2122" t="n">
        <v>4.879</v>
      </c>
      <c r="H29" s="1171" t="n"/>
      <c r="I29" s="2112" t="inlineStr">
        <is>
          <t>N/A</t>
        </is>
      </c>
      <c r="J29" s="2112" t="inlineStr">
        <is>
          <t>N/A</t>
        </is>
      </c>
      <c r="K29" s="2112" t="inlineStr">
        <is>
          <t>130005011340</t>
        </is>
      </c>
      <c r="L29" s="2112" t="inlineStr">
        <is>
          <t>N/A</t>
        </is>
      </c>
    </row>
    <row r="30" ht="14.25" customHeight="1" s="1158">
      <c r="B30" s="2112" t="n"/>
      <c r="C30" s="2113" t="n">
        <v>2.959</v>
      </c>
      <c r="D30" s="1171" t="n"/>
      <c r="E30" s="2113" t="n">
        <v>3.908</v>
      </c>
      <c r="F30" s="1171" t="n"/>
      <c r="G30" s="1383" t="n"/>
      <c r="H30" s="1171" t="n"/>
      <c r="I30" s="2112" t="n"/>
      <c r="J30" s="2112" t="n"/>
      <c r="K30" s="2112" t="n"/>
      <c r="L30" s="2112" t="n"/>
    </row>
    <row r="31" ht="76.09999999999999" customHeight="1" s="1158">
      <c r="A31" s="2123" t="inlineStr">
        <is>
          <t>D1</t>
        </is>
      </c>
      <c r="B31" s="2112" t="inlineStr">
        <is>
          <t>UPPER CONN. 3-1/2" TSH BLUE BOX 9.2 PPF SN 28 110 KSI
DESCRIPTION: 10 FEET XOVER
SAP: 130005012487
SUPPLIER: TENARIS
LOWER CONN. 3-1/2" VAM TOP PIN 9.2 PPF SN 28 110 KSI</t>
        </is>
      </c>
      <c r="C31" s="2113" t="n">
        <v>2.969</v>
      </c>
      <c r="D31" s="1171" t="n"/>
      <c r="E31" s="2113" t="n">
        <v>3.937</v>
      </c>
      <c r="F31" s="1171" t="n"/>
      <c r="G31" s="2124" t="n">
        <v>9.949999999999999</v>
      </c>
      <c r="H31" s="1171" t="n"/>
      <c r="I31" s="2112" t="inlineStr">
        <is>
          <t>N/A</t>
        </is>
      </c>
      <c r="J31" s="2112" t="inlineStr">
        <is>
          <t>N/A</t>
        </is>
      </c>
      <c r="K31" s="2112" t="inlineStr">
        <is>
          <t>130005012487</t>
        </is>
      </c>
      <c r="L31" s="2112" t="inlineStr">
        <is>
          <t>N/A</t>
        </is>
      </c>
    </row>
    <row r="32" ht="76.09999999999999" customHeight="1" s="1158">
      <c r="A32" s="1778" t="n"/>
      <c r="B32" s="2112" t="inlineStr">
        <is>
          <t>UPPER CONN. 3-1/2" VAM TOP BOX 9.2 PPF TX28- 110 KSI
DESCRIPTION: 5 FEET XOVER
SAP: 130013006383
SUPPLIER: TBX
LOWER CONN -3-1/2" SENTINEL PRIME PIN 9.2 PPF TX28-110 KSI</t>
        </is>
      </c>
      <c r="C32" s="2113" t="n">
        <v>2.959</v>
      </c>
      <c r="D32" s="1171" t="n"/>
      <c r="E32" s="2113" t="n">
        <v>3.908</v>
      </c>
      <c r="F32" s="1171" t="n"/>
      <c r="G32" s="2124" t="n">
        <v>4.85</v>
      </c>
      <c r="H32" s="1171" t="n"/>
      <c r="I32" s="2112" t="inlineStr">
        <is>
          <t>N/A</t>
        </is>
      </c>
      <c r="J32" s="2112" t="inlineStr">
        <is>
          <t>N/A</t>
        </is>
      </c>
      <c r="K32" s="2112" t="inlineStr">
        <is>
          <t>130013006383</t>
        </is>
      </c>
      <c r="L32" s="2112" t="inlineStr">
        <is>
          <t>N/A</t>
        </is>
      </c>
    </row>
    <row r="33" ht="135.8" customHeight="1" s="1158">
      <c r="A33" s="1778" t="n"/>
      <c r="B33" s="211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2113" t="n">
        <v>2.9</v>
      </c>
      <c r="D33" s="1171" t="n"/>
      <c r="E33" s="2113" t="n">
        <v>5.82</v>
      </c>
      <c r="F33" s="1171" t="n"/>
      <c r="G33" s="2124" t="n">
        <v>8.69</v>
      </c>
      <c r="H33" s="1171" t="n"/>
      <c r="I33" s="2112" t="inlineStr">
        <is>
          <t>3205577</t>
        </is>
      </c>
      <c r="J33" s="2112" t="inlineStr">
        <is>
          <t>12636080-03</t>
        </is>
      </c>
      <c r="K33" s="2112" t="inlineStr">
        <is>
          <t>130010036652</t>
        </is>
      </c>
      <c r="L33" s="2112" t="inlineStr">
        <is>
          <t>N/A</t>
        </is>
      </c>
    </row>
    <row r="34" ht="76.09999999999999" customHeight="1" s="1158">
      <c r="A34" s="1778" t="n"/>
      <c r="B34" s="2112" t="inlineStr">
        <is>
          <t>UPPER CONN. 3-1/2" SENTINEL PRIME BOX 9.2 PPF TX28-110 KSI
DESCRIPTION: 5 FEET XOVER
SAP: 130013006385
SUPPLIER: TBX
LOWER CONN. 3-1/2" VAM TOP PIN 9.2 PPF TX28-110 KSI</t>
        </is>
      </c>
      <c r="C34" s="2113" t="n">
        <v>2.921</v>
      </c>
      <c r="D34" s="1171" t="n"/>
      <c r="E34" s="2113" t="n">
        <v>3.929</v>
      </c>
      <c r="F34" s="1171" t="n"/>
      <c r="G34" s="2124" t="n">
        <v>4.96</v>
      </c>
      <c r="H34" s="1171" t="n"/>
      <c r="I34" s="2112" t="inlineStr">
        <is>
          <t>N/A</t>
        </is>
      </c>
      <c r="J34" s="2112" t="inlineStr">
        <is>
          <t>N/A</t>
        </is>
      </c>
      <c r="K34" s="2112" t="inlineStr">
        <is>
          <t>130013006385</t>
        </is>
      </c>
      <c r="L34" s="2112" t="inlineStr">
        <is>
          <t>N/A</t>
        </is>
      </c>
    </row>
    <row r="35" ht="76.09999999999999" customHeight="1" s="1158">
      <c r="A35" s="1450" t="n"/>
      <c r="B35" s="2112" t="inlineStr">
        <is>
          <t>UPPER CONN. 3-1/2" VAM TOP BOX 9.2 PPF SN 28 110 KSI
DESCRIPTION: 5 FEET XOVER
SAP: 130005011340
SUPPLIER: TENARIS
LOWER CONN. 3-1/2" TSH BLUE PIN 9.2 PPF SN 28 110 KSI</t>
        </is>
      </c>
      <c r="C35" s="2113" t="n">
        <v>2.959</v>
      </c>
      <c r="D35" s="1171" t="n"/>
      <c r="E35" s="2113" t="n">
        <v>3.908</v>
      </c>
      <c r="F35" s="1171" t="n"/>
      <c r="G35" s="2124" t="n">
        <v>4.899</v>
      </c>
      <c r="H35" s="1171" t="n"/>
      <c r="I35" s="2112" t="inlineStr">
        <is>
          <t>N/A</t>
        </is>
      </c>
      <c r="J35" s="2112" t="inlineStr">
        <is>
          <t>N/A</t>
        </is>
      </c>
      <c r="K35" s="2112" t="inlineStr">
        <is>
          <t>130005011340</t>
        </is>
      </c>
      <c r="L35" s="2112" t="inlineStr">
        <is>
          <t>N/A</t>
        </is>
      </c>
    </row>
    <row r="36" ht="14.25" customHeight="1" s="1158">
      <c r="B36" s="2112" t="n"/>
      <c r="C36" s="2113" t="n">
        <v>2.959</v>
      </c>
      <c r="D36" s="1171" t="n"/>
      <c r="E36" s="2113" t="n">
        <v>3.908</v>
      </c>
      <c r="F36" s="1171" t="n"/>
      <c r="G36" s="1383" t="n"/>
      <c r="H36" s="1171" t="n"/>
      <c r="I36" s="2112" t="n"/>
      <c r="J36" s="2112" t="n"/>
      <c r="K36" s="2112" t="n"/>
      <c r="L36" s="2112" t="n"/>
    </row>
    <row r="37" ht="76.09999999999999" customHeight="1" s="1158">
      <c r="A37" s="2125" t="inlineStr">
        <is>
          <t>C</t>
        </is>
      </c>
      <c r="B37" s="2112" t="inlineStr">
        <is>
          <t>UPPER CONN. 3-1/2" TSH BLUE BOX 9.2 PPF SN 28 110 KSI
DESCRIPTION: 5 FEET XOVER
SAP: 130005011444
SUPPLIER: TENARIS
LOWER CONN. 3-1/2" VAM TOP PIN 9.2 PPF SN 28 110 KSI</t>
        </is>
      </c>
      <c r="C37" s="2113" t="n">
        <v>2.969</v>
      </c>
      <c r="D37" s="1171" t="n"/>
      <c r="E37" s="2113" t="n">
        <v>3.937</v>
      </c>
      <c r="F37" s="1171" t="n"/>
      <c r="G37" s="2126" t="n">
        <v>4.99</v>
      </c>
      <c r="H37" s="1171" t="n"/>
      <c r="I37" s="2112" t="inlineStr">
        <is>
          <t>N/A</t>
        </is>
      </c>
      <c r="J37" s="2112" t="inlineStr">
        <is>
          <t>N/A</t>
        </is>
      </c>
      <c r="K37" s="2112" t="inlineStr">
        <is>
          <t>130005011444</t>
        </is>
      </c>
      <c r="L37" s="2112" t="inlineStr">
        <is>
          <t>N/A</t>
        </is>
      </c>
    </row>
    <row r="38" ht="150.7" customHeight="1" s="1158">
      <c r="A38" s="1778" t="n"/>
      <c r="B38" s="211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2113" t="n">
        <v>2.919</v>
      </c>
      <c r="D38" s="1171" t="n"/>
      <c r="E38" s="2113" t="n">
        <v>5.91</v>
      </c>
      <c r="F38" s="1171" t="n"/>
      <c r="G38" s="2126" t="n">
        <v>9.710000000000001</v>
      </c>
      <c r="H38" s="1171" t="n"/>
      <c r="I38" s="2112" t="inlineStr">
        <is>
          <t>2960170</t>
        </is>
      </c>
      <c r="J38" s="2112" t="inlineStr">
        <is>
          <t>12857761-01</t>
        </is>
      </c>
      <c r="K38" s="2112" t="inlineStr">
        <is>
          <t>130010037571</t>
        </is>
      </c>
      <c r="L38" s="2112" t="inlineStr">
        <is>
          <t>N/A</t>
        </is>
      </c>
    </row>
    <row r="39" ht="76.09999999999999" customHeight="1" s="1158">
      <c r="A39" s="1778" t="n"/>
      <c r="B39" s="2112" t="inlineStr">
        <is>
          <t>UPPER CONN. 3-1/2" VAM TOP 9.2#PPF SM2535 BOX
DESCRIPTION: 10 FEET PUP JOINT
SAP: 130013000213
SUPPLIER: VAM
LOWER CONN. 3-1/2" VAM TOP 9.2#PPF SM2535 PIN</t>
        </is>
      </c>
      <c r="C39" s="2113" t="n">
        <v>2.959</v>
      </c>
      <c r="D39" s="1171" t="n"/>
      <c r="E39" s="2113" t="n">
        <v>3.908</v>
      </c>
      <c r="F39" s="1171" t="n"/>
      <c r="G39" s="2126" t="n">
        <v>9.92</v>
      </c>
      <c r="H39" s="1171" t="n"/>
      <c r="I39" s="2112" t="inlineStr">
        <is>
          <t>N/A</t>
        </is>
      </c>
      <c r="J39" s="2112" t="inlineStr">
        <is>
          <t>N/A</t>
        </is>
      </c>
      <c r="K39" s="2112" t="inlineStr">
        <is>
          <t>130013000213</t>
        </is>
      </c>
      <c r="L39" s="2112" t="inlineStr">
        <is>
          <t>N/A</t>
        </is>
      </c>
    </row>
    <row r="40" ht="76.09999999999999" customHeight="1" s="1158">
      <c r="A40" s="1778" t="n"/>
      <c r="B40" s="2112" t="inlineStr">
        <is>
          <t>UPPER CONN. 3-1/2" VAM TOP 9.2#PPF SM 2535 BOX
DESCRIPTION: 5 FEET PUP JOINT
SAP: 130005002758
SUPPLIER: VAM
LOWER CONN. 3-1/2" VAM TOP 9.2#PPF SM 2535 PIN</t>
        </is>
      </c>
      <c r="C40" s="2113" t="n">
        <v>2.959</v>
      </c>
      <c r="D40" s="1171" t="n"/>
      <c r="E40" s="2113" t="n">
        <v>3.908</v>
      </c>
      <c r="F40" s="1171" t="n"/>
      <c r="G40" s="2126" t="n">
        <v>4.92</v>
      </c>
      <c r="H40" s="1171" t="n"/>
      <c r="I40" s="2112" t="inlineStr">
        <is>
          <t>N/A</t>
        </is>
      </c>
      <c r="J40" s="2112" t="inlineStr">
        <is>
          <t>N/A</t>
        </is>
      </c>
      <c r="K40" s="2112" t="inlineStr">
        <is>
          <t>130005002758</t>
        </is>
      </c>
      <c r="L40" s="2112" t="inlineStr">
        <is>
          <t>N/A</t>
        </is>
      </c>
    </row>
    <row r="41" ht="105.95" customHeight="1" s="1158">
      <c r="A41" s="1778" t="n"/>
      <c r="B41" s="2112" t="inlineStr">
        <is>
          <t>UPPER CONN. 3-1/2" VAM TOP 9.2#PPF INC 925 KSI BOX
DESCRIPTION: 2.750 WXN Nipple
PN: 2963809
S/N :12527047-08
SAP: 130010036868
SUPPLIER: WEATHERFORD
LOWER CONN.3-1/2" VAM TOP 9.2#PPF INC 925KSI PIN</t>
        </is>
      </c>
      <c r="C41" s="2113" t="n">
        <v>2.637</v>
      </c>
      <c r="D41" s="1171" t="n"/>
      <c r="E41" s="2113" t="n">
        <v>3.885</v>
      </c>
      <c r="F41" s="1171" t="n"/>
      <c r="G41" s="2126" t="n">
        <v>1.15</v>
      </c>
      <c r="H41" s="1171" t="n"/>
      <c r="I41" s="2112" t="inlineStr">
        <is>
          <t>2963809</t>
        </is>
      </c>
      <c r="J41" s="2112" t="inlineStr">
        <is>
          <t>12527047-08</t>
        </is>
      </c>
      <c r="K41" s="2112" t="inlineStr">
        <is>
          <t>130010036868</t>
        </is>
      </c>
      <c r="L41" s="2112" t="inlineStr">
        <is>
          <t>N/A</t>
        </is>
      </c>
    </row>
    <row r="42" ht="76.09999999999999" customHeight="1" s="1158">
      <c r="A42" s="1450" t="n"/>
      <c r="B42" s="2112" t="inlineStr">
        <is>
          <t>UPPER CONN. 3-1/2" VAM TOP BOX 9.2 PPF SN 28 110 KSI
DESCRIPTION: 5 FEET XOVER
SAP: 130005011340
SUPPLIER: TENARIS
LOWER CONN. 3-1/2" TSH BLUE PIN 9.2 PPF SN 28 110 KSI</t>
        </is>
      </c>
      <c r="C42" s="2113" t="n">
        <v>2.959</v>
      </c>
      <c r="D42" s="1171" t="n"/>
      <c r="E42" s="2113" t="n">
        <v>3.908</v>
      </c>
      <c r="F42" s="1171" t="n"/>
      <c r="G42" s="2126" t="n">
        <v>4.859</v>
      </c>
      <c r="H42" s="1171" t="n"/>
      <c r="I42" s="2112" t="inlineStr">
        <is>
          <t>N/A</t>
        </is>
      </c>
      <c r="J42" s="2112" t="inlineStr">
        <is>
          <t>N/A</t>
        </is>
      </c>
      <c r="K42" s="2112" t="inlineStr">
        <is>
          <t>130005011340</t>
        </is>
      </c>
      <c r="L42" s="2112" t="inlineStr">
        <is>
          <t>N/A</t>
        </is>
      </c>
    </row>
    <row r="43" ht="14.25" customHeight="1" s="1158">
      <c r="B43" s="2112" t="n"/>
      <c r="C43" s="2113" t="n">
        <v>2.959</v>
      </c>
      <c r="D43" s="1171" t="n"/>
      <c r="E43" s="2113" t="n">
        <v>3.908</v>
      </c>
      <c r="F43" s="1171" t="n"/>
      <c r="G43" s="1383" t="n"/>
      <c r="H43" s="1171" t="n"/>
      <c r="I43" s="2112" t="n"/>
      <c r="J43" s="2112" t="n"/>
      <c r="K43" s="2112" t="n"/>
      <c r="L43" s="2112" t="n"/>
    </row>
    <row r="44" ht="76.09999999999999" customHeight="1" s="1158">
      <c r="A44" s="2127" t="inlineStr">
        <is>
          <t>B</t>
        </is>
      </c>
      <c r="B44" s="2112" t="inlineStr">
        <is>
          <t>UPPER CONN. 3-1/2" TSH BLUE BOX 9.2 PPF SN 28 110 KSI
DESCRIPTION: 10 FEET XOVER
SAP: 130005011444
SUPPLIER: TENARIS
LOWER CONN. 3-1/2" VAM TOP PIN 9.2 PPF SN 28 110 KSI</t>
        </is>
      </c>
      <c r="C44" s="2113" t="n">
        <v>2.969</v>
      </c>
      <c r="D44" s="1171" t="n"/>
      <c r="E44" s="2113" t="n">
        <v>3.937</v>
      </c>
      <c r="F44" s="1171" t="n"/>
      <c r="G44" s="2128" t="n">
        <v>9.83</v>
      </c>
      <c r="H44" s="1171" t="n"/>
      <c r="I44" s="2112" t="inlineStr">
        <is>
          <t>N/A</t>
        </is>
      </c>
      <c r="J44" s="2112" t="inlineStr">
        <is>
          <t>N/A</t>
        </is>
      </c>
      <c r="K44" s="2112" t="inlineStr">
        <is>
          <t>130005011444</t>
        </is>
      </c>
      <c r="L44" s="2112" t="inlineStr">
        <is>
          <t>N/A</t>
        </is>
      </c>
    </row>
    <row r="45" ht="16.4" customHeight="1" s="1158">
      <c r="A45" s="1778" t="n"/>
      <c r="B45" s="2112" t="inlineStr">
        <is>
          <t>UPPER CONN. 3-1/2" VAM TOP BOX 9.2 PPF TX28- 110 KSI
DESCRIPTION: 5 FEET XOVER
SAP: 130013006383
SUPPLIER: TBX
LOWER CONN -3-1/2" SENTINEL PRIME PIN 9.2 PPF TX28-110 KSI</t>
        </is>
      </c>
      <c r="C45" s="2113" t="n">
        <v>2.959</v>
      </c>
      <c r="D45" s="1171" t="n"/>
      <c r="E45" s="2113" t="n">
        <v>3.908</v>
      </c>
      <c r="F45" s="1171" t="n"/>
      <c r="G45" s="2128" t="n">
        <v>4.8</v>
      </c>
      <c r="H45" s="1171" t="n"/>
      <c r="I45" s="2112" t="inlineStr">
        <is>
          <t>N/A</t>
        </is>
      </c>
      <c r="J45" s="2112" t="inlineStr">
        <is>
          <t>N/A</t>
        </is>
      </c>
      <c r="K45" s="2112" t="inlineStr">
        <is>
          <t>130013006383</t>
        </is>
      </c>
      <c r="L45" s="2112" t="inlineStr">
        <is>
          <t>N/A</t>
        </is>
      </c>
    </row>
    <row r="46" ht="16.4" customHeight="1" s="1158">
      <c r="A46" s="1778" t="n"/>
      <c r="B46" s="2112" t="inlineStr">
        <is>
          <t>UPPER CONN. 3-1/2" SENTINEL PRIME 9.2#PPF INC 925 BOX
DESCRIPTION: NINE ENERGY MULTICYCLE BARRIER DEVICE
7 CYCLES REMAINING
P/N: 3207251
S/N: 100 086 877
SAP: 130010036003 SUPPLIER: NINE ENERGY
LOWER CONN- 3 1/2 9.2 SENTINEL PRIME 9.2 PPF INC 925 PIN</t>
        </is>
      </c>
      <c r="C46" s="2113" t="n">
        <v>2.91</v>
      </c>
      <c r="D46" s="1171" t="n"/>
      <c r="E46" s="2113" t="n">
        <v>4.8</v>
      </c>
      <c r="F46" s="1171" t="n"/>
      <c r="G46" s="2128" t="n">
        <v>5.22</v>
      </c>
      <c r="H46" s="1171" t="n"/>
      <c r="I46" s="2112" t="inlineStr">
        <is>
          <t>3207251</t>
        </is>
      </c>
      <c r="J46" s="2112" t="inlineStr">
        <is>
          <t>100 086 877</t>
        </is>
      </c>
      <c r="K46" s="2112" t="inlineStr">
        <is>
          <t>130010036003</t>
        </is>
      </c>
      <c r="L46" s="2112" t="inlineStr">
        <is>
          <t>N/A</t>
        </is>
      </c>
    </row>
    <row r="47" ht="76.09999999999999" customHeight="1" s="1158">
      <c r="A47" s="1778" t="n"/>
      <c r="B47" s="2112" t="inlineStr">
        <is>
          <t>UPPER CONN. 3-1/2" SENTINEL PRIME BOX 9.2 PPF TX28-110 KSI
DESCRIPTION: 5 FEET XOVER
SAP: 130013006385
SUPPLIER: TBX
LOWER CONN. 3-1/2" VAM TOP PIN 9.2 PPF TX28- 110 KSI</t>
        </is>
      </c>
      <c r="C47" s="2113" t="n">
        <v>2.921</v>
      </c>
      <c r="D47" s="1171" t="n"/>
      <c r="E47" s="2113" t="n">
        <v>3.929</v>
      </c>
      <c r="F47" s="1171" t="n"/>
      <c r="G47" s="2128" t="n">
        <v>4.91</v>
      </c>
      <c r="H47" s="1171" t="n"/>
      <c r="I47" s="2112" t="inlineStr">
        <is>
          <t>N/A</t>
        </is>
      </c>
      <c r="J47" s="2112" t="inlineStr">
        <is>
          <t>N/A</t>
        </is>
      </c>
      <c r="K47" s="2112" t="inlineStr">
        <is>
          <t>130013006385</t>
        </is>
      </c>
      <c r="L47" s="2112" t="inlineStr">
        <is>
          <t>N/A</t>
        </is>
      </c>
    </row>
    <row r="48" ht="76.09999999999999" customHeight="1" s="1158">
      <c r="A48" s="1450" t="n"/>
      <c r="B48" s="2112" t="inlineStr">
        <is>
          <t>UPPER CONN. 3-1/2" VAM TOP BOX 9.2 PPF SN 28 110 KSI
DESCRIPTION: 5 FEET XOVER
SAP: 130005011340
SUPPLIER: TENARIS
LOWER CONN. 3-1/2" TSH BLUE PIN 9.2 PPF SN 28 110 KSI</t>
        </is>
      </c>
      <c r="C48" s="2113" t="n">
        <v>2.959</v>
      </c>
      <c r="D48" s="1171" t="n"/>
      <c r="E48" s="2113" t="n">
        <v>3.908</v>
      </c>
      <c r="F48" s="1171" t="n"/>
      <c r="G48" s="2128" t="n">
        <v>4.879</v>
      </c>
      <c r="H48" s="1171" t="n"/>
      <c r="I48" s="2112" t="inlineStr">
        <is>
          <t>N/A</t>
        </is>
      </c>
      <c r="J48" s="2112" t="inlineStr">
        <is>
          <t>N/A</t>
        </is>
      </c>
      <c r="K48" s="2112" t="inlineStr">
        <is>
          <t>130005011340</t>
        </is>
      </c>
      <c r="L48" s="2112" t="inlineStr">
        <is>
          <t>N/A</t>
        </is>
      </c>
    </row>
    <row r="49" ht="14.25" customHeight="1" s="1158">
      <c r="B49" s="2112" t="n"/>
      <c r="C49" s="2113" t="n">
        <v>2.959</v>
      </c>
      <c r="D49" s="1171" t="n"/>
      <c r="E49" s="2113" t="n">
        <v>3.908</v>
      </c>
      <c r="F49" s="1171" t="n"/>
      <c r="G49" s="1383" t="n"/>
      <c r="H49" s="1171" t="n"/>
      <c r="I49" s="2112" t="n"/>
      <c r="J49" s="2112" t="n"/>
      <c r="K49" s="2112" t="n"/>
      <c r="L49" s="2112" t="n"/>
    </row>
    <row r="50" ht="76.09999999999999" customHeight="1" s="1158">
      <c r="A50" s="2129" t="inlineStr">
        <is>
          <t>SP-01</t>
        </is>
      </c>
      <c r="B50" s="2112" t="inlineStr">
        <is>
          <t>UPPER CONN . 3-1/2" TSH BLUE BOX 9.2 PPF SN 28 110 KSI
DESCRIPTION: 3 FEET XOVER
SAP: 130005011337
SUPPLIER: TENARIS
LOWER CONN. 3-1/2" VAM TOP PIN 9.2 PPF SN 28 110 KSI</t>
        </is>
      </c>
      <c r="C50" s="2113" t="n">
        <v>2.969</v>
      </c>
      <c r="D50" s="1171" t="n"/>
      <c r="E50" s="2113" t="n">
        <v>3.937</v>
      </c>
      <c r="F50" s="1171" t="n"/>
      <c r="G50" s="2130" t="n">
        <v>2.78</v>
      </c>
      <c r="H50" s="1171" t="n"/>
      <c r="I50" s="2112" t="inlineStr">
        <is>
          <t>N/A</t>
        </is>
      </c>
      <c r="J50" s="2112" t="inlineStr">
        <is>
          <t>N/A</t>
        </is>
      </c>
      <c r="K50" s="2112" t="inlineStr">
        <is>
          <t>130005011337</t>
        </is>
      </c>
      <c r="L50" s="2112" t="inlineStr">
        <is>
          <t>N/A</t>
        </is>
      </c>
    </row>
    <row r="51" ht="135.8" customHeight="1" s="1158">
      <c r="A51" s="1778" t="n"/>
      <c r="B51" s="2112" t="inlineStr">
        <is>
          <t>UPPER CONN.
3-1/2 9.2 PPF, 110KSI VAM TOP BOX
DESCRIPTION:
PCKR, SWEL,6,3-1/2,A925, OIL
P/N: 2991712
S/N: RDT-UAE-1003629
SAP: 130010039426
SUPPLIER: WFD-REACTIVE
LOWER CONN.</t>
        </is>
      </c>
      <c r="C51" s="2113" t="n">
        <v>2.953</v>
      </c>
      <c r="D51" s="1171" t="n"/>
      <c r="E51" s="2113" t="n">
        <v>5.7</v>
      </c>
      <c r="F51" s="1171" t="n"/>
      <c r="G51" s="2130" t="n">
        <v>30.88</v>
      </c>
      <c r="H51" s="1171" t="n"/>
      <c r="I51" s="2112" t="inlineStr">
        <is>
          <t>2991712</t>
        </is>
      </c>
      <c r="J51" s="2112" t="inlineStr">
        <is>
          <t>RDT-UAE-1003629</t>
        </is>
      </c>
      <c r="K51" s="2112" t="inlineStr">
        <is>
          <t>130010039426</t>
        </is>
      </c>
      <c r="L51" s="2112" t="inlineStr">
        <is>
          <t>N/A</t>
        </is>
      </c>
    </row>
    <row r="52" ht="76.09999999999999" customHeight="1" s="1158">
      <c r="A52" s="1450" t="n"/>
      <c r="B52" s="2112" t="inlineStr">
        <is>
          <t>UPPER CONN. 3-1/2" VAM TOP BOX 9.2 PPF SN 28 110 KSI
DESCRIPTION: 5 FEET XOVER
SAP: 130005011340
SUPPLIER: TENARIS
UPPER CONN. 3-1/2" TSH BLUE PIN 9.2 PPF SN 28 110 KSI</t>
        </is>
      </c>
      <c r="C52" s="2113" t="n">
        <v>2.959</v>
      </c>
      <c r="D52" s="1171" t="n"/>
      <c r="E52" s="2113" t="n">
        <v>3.908</v>
      </c>
      <c r="F52" s="1171" t="n"/>
      <c r="G52" s="2130" t="n">
        <v>4.879</v>
      </c>
      <c r="H52" s="1171" t="n"/>
      <c r="I52" s="2112" t="inlineStr">
        <is>
          <t>N/A</t>
        </is>
      </c>
      <c r="J52" s="2112" t="inlineStr">
        <is>
          <t>N/A</t>
        </is>
      </c>
      <c r="K52" s="2112" t="inlineStr">
        <is>
          <t>130005011340</t>
        </is>
      </c>
      <c r="L52" s="2112" t="inlineStr">
        <is>
          <t>N/A</t>
        </is>
      </c>
    </row>
    <row r="53" ht="14.25" customHeight="1" s="1158">
      <c r="B53" s="2112" t="n"/>
      <c r="C53" s="2113" t="n">
        <v>2.959</v>
      </c>
      <c r="D53" s="1171" t="n"/>
      <c r="E53" s="2113" t="n">
        <v>3.908</v>
      </c>
      <c r="F53" s="1171" t="n"/>
      <c r="G53" s="1383" t="n"/>
      <c r="H53" s="1171" t="n"/>
      <c r="I53" s="2112" t="n"/>
      <c r="J53" s="2112" t="n"/>
      <c r="K53" s="2112" t="n"/>
      <c r="L53" s="2112" t="n"/>
    </row>
    <row r="54" ht="76.09999999999999" customHeight="1" s="1158">
      <c r="A54" s="2131" t="inlineStr">
        <is>
          <t>A</t>
        </is>
      </c>
      <c r="B54" s="2112" t="inlineStr">
        <is>
          <t>UPPER CONN. 3-1/2" TSH BLUE BOX 9.2 PPF SN 28 110 KSI
DESCRIPTION: 5 FEET XOVER
SAP: 130005011340
SUPPLIER: TENARIS
LOWER CONN. 3-1/2" VAM TOP PIN 9.2 PPF SN 28 110 KSI</t>
        </is>
      </c>
      <c r="C54" s="2113" t="n">
        <v>2.969</v>
      </c>
      <c r="D54" s="1171" t="n"/>
      <c r="E54" s="2113" t="n">
        <v>3.937</v>
      </c>
      <c r="F54" s="1171" t="n"/>
      <c r="G54" s="2132" t="n">
        <v>4.96</v>
      </c>
      <c r="H54" s="1171" t="n"/>
      <c r="I54" s="2112" t="inlineStr">
        <is>
          <t>N/A</t>
        </is>
      </c>
      <c r="J54" s="2112" t="inlineStr">
        <is>
          <t>N/A</t>
        </is>
      </c>
      <c r="K54" s="2112" t="inlineStr">
        <is>
          <t>130005011340</t>
        </is>
      </c>
      <c r="L54" s="2112" t="inlineStr">
        <is>
          <t>N/A</t>
        </is>
      </c>
    </row>
    <row r="55" ht="91" customHeight="1" s="1158">
      <c r="A55" s="1450" t="n"/>
      <c r="B55" s="2112" t="inlineStr">
        <is>
          <t>UPPER CONN. 3-1/2" VAM TOP 9.2#PPF BOX VM 28 110 KSI
DESCRIPTION: WIRELINE ENTRY GUIDE
SN: 16339547-10-008
PN 2996481
SAP: 130010036277
SUPPLIER: WEATHERFORD</t>
        </is>
      </c>
      <c r="C55" s="2113" t="n">
        <v>2.949</v>
      </c>
      <c r="D55" s="1171" t="n"/>
      <c r="E55" s="2113" t="n">
        <v>3.937</v>
      </c>
      <c r="F55" s="1171" t="n"/>
      <c r="G55" s="2132" t="n">
        <v>0.299</v>
      </c>
      <c r="H55" s="1171" t="n"/>
      <c r="I55" s="2112" t="inlineStr">
        <is>
          <t>2996481</t>
        </is>
      </c>
      <c r="J55" s="2112" t="inlineStr">
        <is>
          <t>16339547-10-008</t>
        </is>
      </c>
      <c r="K55" s="2112" t="inlineStr">
        <is>
          <t>130010036277</t>
        </is>
      </c>
      <c r="L55" s="2112" t="inlineStr">
        <is>
          <t>N/A</t>
        </is>
      </c>
    </row>
    <row r="56" ht="14.25" customHeight="1" s="1158">
      <c r="B56" s="2112" t="n"/>
      <c r="C56" s="2113" t="n">
        <v>2.949</v>
      </c>
      <c r="D56" s="1171" t="n"/>
      <c r="E56" s="2113" t="n">
        <v>3.937</v>
      </c>
      <c r="F56" s="1171" t="n"/>
      <c r="G56" s="1383" t="n"/>
      <c r="H56" s="1171" t="n"/>
      <c r="I56" s="2112" t="n"/>
      <c r="J56" s="2112" t="n"/>
      <c r="K56" s="2112" t="n"/>
      <c r="L56" s="2112"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4.xml><?xml version="1.0" encoding="utf-8"?>
<worksheet xmlns="http://schemas.openxmlformats.org/spreadsheetml/2006/main">
  <sheetPr filterMode="0">
    <outlinePr summaryBelow="1" summaryRight="1"/>
    <pageSetUpPr fitToPage="0"/>
  </sheetPr>
  <dimension ref="A1:C494"/>
  <sheetViews>
    <sheetView showFormulas="0" showGridLines="0" showRowColHeaders="1" showZeros="1" rightToLeft="0" tabSelected="0" showOutlineSymbols="1" defaultGridColor="1" view="pageBreakPreview" topLeftCell="A1" colorId="64" zoomScale="100" zoomScaleNormal="110" zoomScalePageLayoutView="100" workbookViewId="0">
      <selection pane="topLeft" activeCell="I16" activeCellId="0" sqref="A11:S58"/>
    </sheetView>
  </sheetViews>
  <sheetFormatPr baseColWidth="8" defaultColWidth="8.59765625" defaultRowHeight="14.25" customHeight="0" zeroHeight="0" outlineLevelRow="0"/>
  <cols>
    <col width="16" customWidth="1" style="1207" min="1" max="1"/>
    <col width="15.89" customWidth="1" style="2133" min="2" max="2"/>
    <col width="15.78" customWidth="1" style="2134" min="3" max="3"/>
  </cols>
  <sheetData>
    <row r="1" ht="14.25" customHeight="1" s="1158">
      <c r="A1" s="2135" t="n"/>
      <c r="B1" s="2136" t="inlineStr">
        <is>
          <t>WELL</t>
        </is>
      </c>
      <c r="C1" s="2136">
        <f>'MS2'!I9</f>
        <v/>
      </c>
    </row>
    <row r="2" ht="29.25" customHeight="1" s="1158">
      <c r="A2" s="2135" t="n"/>
      <c r="B2" s="2137" t="inlineStr">
        <is>
          <t>3 1/2" CASING TALLY CRROM PIPE (END TO END)</t>
        </is>
      </c>
      <c r="C2" s="1168" t="n"/>
    </row>
    <row r="3" ht="28.5" customHeight="1" s="1158">
      <c r="A3" s="2135" t="inlineStr">
        <is>
          <t>Joint No.</t>
        </is>
      </c>
      <c r="B3" s="2138" t="inlineStr">
        <is>
          <t>Length W/thread[ft] end to end</t>
        </is>
      </c>
      <c r="C3" s="2139" t="inlineStr">
        <is>
          <t>Length [ft]</t>
        </is>
      </c>
    </row>
    <row r="4" ht="23.25" customHeight="1" s="1158">
      <c r="A4" s="2135" t="n"/>
      <c r="B4" s="1450" t="n"/>
      <c r="C4" s="2139" t="inlineStr">
        <is>
          <t>WO/Thread</t>
        </is>
      </c>
    </row>
    <row r="5" ht="30.55" customHeight="1" s="1158">
      <c r="A5" s="2140" t="inlineStr">
        <is>
          <t>JT. # 1</t>
        </is>
      </c>
      <c r="B5" s="2141" t="n">
        <v>30.81</v>
      </c>
      <c r="C5" s="2142">
        <f>B5-0.301</f>
        <v/>
      </c>
    </row>
    <row r="6" ht="30.55" customHeight="1" s="1158">
      <c r="A6" s="2140" t="inlineStr">
        <is>
          <t>JT. # 2</t>
        </is>
      </c>
      <c r="B6" s="2141" t="n">
        <v>30.66</v>
      </c>
      <c r="C6" s="2142">
        <f>B6-0.301</f>
        <v/>
      </c>
    </row>
    <row r="7" ht="30.55" customHeight="1" s="1158">
      <c r="A7" s="2140" t="inlineStr">
        <is>
          <t>JT. # 3</t>
        </is>
      </c>
      <c r="B7" s="2141" t="n">
        <v>30.46</v>
      </c>
      <c r="C7" s="2142">
        <f>B7-0.301</f>
        <v/>
      </c>
    </row>
    <row r="8" ht="30.55" customHeight="1" s="1158">
      <c r="A8" s="2140" t="inlineStr">
        <is>
          <t>JT. # 4</t>
        </is>
      </c>
      <c r="B8" s="2141" t="n">
        <v>31.47</v>
      </c>
      <c r="C8" s="2142">
        <f>B8-0.301</f>
        <v/>
      </c>
    </row>
    <row r="9" ht="30.55" customHeight="1" s="1158">
      <c r="A9" s="2140" t="inlineStr">
        <is>
          <t>JT. # 5</t>
        </is>
      </c>
      <c r="B9" s="2141" t="n">
        <v>31.58</v>
      </c>
      <c r="C9" s="2142">
        <f>B9-0.301</f>
        <v/>
      </c>
    </row>
    <row r="10" ht="30.55" customHeight="1" s="1158">
      <c r="A10" s="2140" t="inlineStr">
        <is>
          <t>JT. # 6</t>
        </is>
      </c>
      <c r="B10" s="2141" t="n">
        <v>31.67</v>
      </c>
      <c r="C10" s="2142">
        <f>B10-0.301</f>
        <v/>
      </c>
    </row>
    <row r="11" ht="30.55" customHeight="1" s="1158">
      <c r="A11" s="2140" t="inlineStr">
        <is>
          <t>JT. # 7</t>
        </is>
      </c>
      <c r="B11" s="2141" t="n">
        <v>31.13</v>
      </c>
      <c r="C11" s="2142">
        <f>B11-0.301</f>
        <v/>
      </c>
    </row>
    <row r="12" ht="30.55" customHeight="1" s="1158">
      <c r="A12" s="2140" t="inlineStr">
        <is>
          <t>JT. # 8</t>
        </is>
      </c>
      <c r="B12" s="2141" t="n">
        <v>30.94</v>
      </c>
      <c r="C12" s="2142">
        <f>B12-0.301</f>
        <v/>
      </c>
    </row>
    <row r="13" ht="30.55" customHeight="1" s="1158">
      <c r="A13" s="2140" t="inlineStr">
        <is>
          <t>JT. # 9</t>
        </is>
      </c>
      <c r="B13" s="2141" t="n">
        <v>31.14</v>
      </c>
      <c r="C13" s="2142">
        <f>B13-0.301</f>
        <v/>
      </c>
    </row>
    <row r="14" ht="30.55" customHeight="1" s="1158">
      <c r="A14" s="2140" t="inlineStr">
        <is>
          <t>JT. # 10</t>
        </is>
      </c>
      <c r="B14" s="2141" t="n">
        <v>31.32</v>
      </c>
      <c r="C14" s="2142">
        <f>B14-0.301</f>
        <v/>
      </c>
    </row>
    <row r="15" ht="30.55" customHeight="1" s="1158">
      <c r="A15" s="2140" t="inlineStr">
        <is>
          <t>JT. # 11</t>
        </is>
      </c>
      <c r="B15" s="2141" t="n">
        <v>31.42</v>
      </c>
      <c r="C15" s="2142">
        <f>B15-0.301</f>
        <v/>
      </c>
    </row>
    <row r="16" ht="30.55" customHeight="1" s="1158">
      <c r="A16" s="2140" t="inlineStr">
        <is>
          <t>JT. # 12</t>
        </is>
      </c>
      <c r="B16" s="2141" t="n">
        <v>30.88</v>
      </c>
      <c r="C16" s="2142">
        <f>B16-0.301</f>
        <v/>
      </c>
    </row>
    <row r="17" ht="30.55" customHeight="1" s="1158">
      <c r="A17" s="2140" t="inlineStr">
        <is>
          <t>JT. # 13</t>
        </is>
      </c>
      <c r="B17" s="2141" t="n">
        <v>31.94</v>
      </c>
      <c r="C17" s="2142">
        <f>B17-0.301</f>
        <v/>
      </c>
    </row>
    <row r="18" ht="30.55" customHeight="1" s="1158">
      <c r="A18" s="2140" t="inlineStr">
        <is>
          <t>JT. # 14</t>
        </is>
      </c>
      <c r="B18" s="2141" t="n">
        <v>31.01</v>
      </c>
      <c r="C18" s="2142">
        <f>B18-0.301</f>
        <v/>
      </c>
    </row>
    <row r="19" ht="30.55" customHeight="1" s="1158">
      <c r="A19" s="2140" t="inlineStr">
        <is>
          <t>JT. # 15</t>
        </is>
      </c>
      <c r="B19" s="2141" t="n">
        <v>31.68</v>
      </c>
      <c r="C19" s="2142">
        <f>B19-0.301</f>
        <v/>
      </c>
    </row>
    <row r="20" ht="30.55" customHeight="1" s="1158">
      <c r="A20" s="2140" t="inlineStr">
        <is>
          <t>JT. # 16</t>
        </is>
      </c>
      <c r="B20" s="2141" t="n">
        <v>31.07</v>
      </c>
      <c r="C20" s="2142">
        <f>B20-0.301</f>
        <v/>
      </c>
    </row>
    <row r="21" ht="30.55" customHeight="1" s="1158">
      <c r="A21" s="2140" t="inlineStr">
        <is>
          <t>JT. # 17</t>
        </is>
      </c>
      <c r="B21" s="2141" t="n">
        <v>31.52</v>
      </c>
      <c r="C21" s="2142">
        <f>B21-0.301</f>
        <v/>
      </c>
    </row>
    <row r="22" ht="30.55" customHeight="1" s="1158">
      <c r="A22" s="2140" t="inlineStr">
        <is>
          <t>JT. # 18</t>
        </is>
      </c>
      <c r="B22" s="2141" t="n">
        <v>31.12</v>
      </c>
      <c r="C22" s="2142">
        <f>B22-0.301</f>
        <v/>
      </c>
    </row>
    <row r="23" ht="30.55" customHeight="1" s="1158">
      <c r="A23" s="2140" t="inlineStr">
        <is>
          <t>JT. # 19</t>
        </is>
      </c>
      <c r="B23" s="2141" t="n">
        <v>30.85</v>
      </c>
      <c r="C23" s="2142">
        <f>B23-0.301</f>
        <v/>
      </c>
    </row>
    <row r="24" ht="30.55" customHeight="1" s="1158">
      <c r="A24" s="2140" t="inlineStr">
        <is>
          <t>JT. # 20</t>
        </is>
      </c>
      <c r="B24" s="2141" t="n">
        <v>30.99</v>
      </c>
      <c r="C24" s="2142">
        <f>B24-0.301</f>
        <v/>
      </c>
    </row>
    <row r="25" ht="30.55" customHeight="1" s="1158">
      <c r="A25" s="2140" t="inlineStr">
        <is>
          <t>JT. # 21</t>
        </is>
      </c>
      <c r="B25" s="2141" t="n">
        <v>31.93</v>
      </c>
      <c r="C25" s="2142">
        <f>B25-0.301</f>
        <v/>
      </c>
    </row>
    <row r="26" ht="30.55" customHeight="1" s="1158">
      <c r="A26" s="2140" t="inlineStr">
        <is>
          <t>JT. # 22</t>
        </is>
      </c>
      <c r="B26" s="2141" t="n">
        <v>30.92</v>
      </c>
      <c r="C26" s="2142">
        <f>B26-0.301</f>
        <v/>
      </c>
    </row>
    <row r="27" ht="30.55" customHeight="1" s="1158">
      <c r="A27" s="2140" t="inlineStr">
        <is>
          <t>JT. # 23</t>
        </is>
      </c>
      <c r="B27" s="2141" t="n">
        <v>31.21</v>
      </c>
      <c r="C27" s="2142">
        <f>B27-0.301</f>
        <v/>
      </c>
    </row>
    <row r="28" ht="30.55" customHeight="1" s="1158">
      <c r="A28" s="2140" t="inlineStr">
        <is>
          <t>JT. # 24</t>
        </is>
      </c>
      <c r="B28" s="2141" t="n">
        <v>31.93</v>
      </c>
      <c r="C28" s="2142">
        <f>B28-0.301</f>
        <v/>
      </c>
    </row>
    <row r="29" ht="30.55" customHeight="1" s="1158">
      <c r="A29" s="2140" t="inlineStr">
        <is>
          <t>JT. # 25</t>
        </is>
      </c>
      <c r="B29" s="2141" t="n">
        <v>31.57</v>
      </c>
      <c r="C29" s="2142">
        <f>B29-0.301</f>
        <v/>
      </c>
    </row>
    <row r="30" ht="30.55" customHeight="1" s="1158">
      <c r="A30" s="2140" t="inlineStr">
        <is>
          <t>JT. # 26</t>
        </is>
      </c>
      <c r="B30" s="2141" t="n">
        <v>31.11</v>
      </c>
      <c r="C30" s="2142">
        <f>B30-0.301</f>
        <v/>
      </c>
    </row>
    <row r="31" ht="30.55" customHeight="1" s="1158">
      <c r="A31" s="2140" t="inlineStr">
        <is>
          <t>JT. # 27</t>
        </is>
      </c>
      <c r="B31" s="2141" t="n">
        <v>30.21</v>
      </c>
      <c r="C31" s="2142">
        <f>B31-0.301</f>
        <v/>
      </c>
    </row>
    <row r="32" ht="30.55" customFormat="1" customHeight="1" s="2143">
      <c r="A32" s="2140" t="inlineStr">
        <is>
          <t>JT. # 28</t>
        </is>
      </c>
      <c r="B32" s="2141" t="n">
        <v>31.94</v>
      </c>
      <c r="C32" s="2142">
        <f>B32-0.301</f>
        <v/>
      </c>
    </row>
    <row r="33" ht="30.55" customFormat="1" customHeight="1" s="2143">
      <c r="A33" s="2140" t="inlineStr">
        <is>
          <t>JT. # 29</t>
        </is>
      </c>
      <c r="B33" s="2141" t="n">
        <v>30.8</v>
      </c>
      <c r="C33" s="2142">
        <f>B33-0.301</f>
        <v/>
      </c>
    </row>
    <row r="34" ht="30.55" customFormat="1" customHeight="1" s="2143">
      <c r="A34" s="2140" t="inlineStr">
        <is>
          <t>JT. # 30</t>
        </is>
      </c>
      <c r="B34" s="2141" t="n">
        <v>31.21</v>
      </c>
      <c r="C34" s="2142">
        <f>B34-0.301</f>
        <v/>
      </c>
    </row>
    <row r="35" ht="30.55" customFormat="1" customHeight="1" s="2143">
      <c r="A35" s="2140" t="inlineStr">
        <is>
          <t>JT. # 31</t>
        </is>
      </c>
      <c r="B35" s="2141" t="n">
        <v>31.55</v>
      </c>
      <c r="C35" s="2142">
        <f>B35-0.301</f>
        <v/>
      </c>
    </row>
    <row r="36" ht="30.55" customHeight="1" s="1158">
      <c r="A36" s="2140" t="inlineStr">
        <is>
          <t>JT. # 32</t>
        </is>
      </c>
      <c r="B36" s="2141" t="n">
        <v>30.01</v>
      </c>
      <c r="C36" s="2142">
        <f>B36-0.301</f>
        <v/>
      </c>
    </row>
    <row r="37" ht="30.55" customHeight="1" s="1158">
      <c r="A37" s="2140" t="inlineStr">
        <is>
          <t>JT. # 33</t>
        </is>
      </c>
      <c r="B37" s="2141" t="n">
        <v>31.58</v>
      </c>
      <c r="C37" s="2142">
        <f>B37-0.301</f>
        <v/>
      </c>
    </row>
    <row r="38" ht="30.55" customHeight="1" s="1158">
      <c r="A38" s="2140" t="inlineStr">
        <is>
          <t>JT. # 34</t>
        </is>
      </c>
      <c r="B38" s="2141" t="n">
        <v>31.01</v>
      </c>
      <c r="C38" s="2142">
        <f>B38-0.301</f>
        <v/>
      </c>
    </row>
    <row r="39" ht="30.55" customHeight="1" s="1158">
      <c r="A39" s="2140" t="inlineStr">
        <is>
          <t>JT. # 35</t>
        </is>
      </c>
      <c r="B39" s="2141" t="n">
        <v>31.05</v>
      </c>
      <c r="C39" s="2142">
        <f>B39-0.301</f>
        <v/>
      </c>
    </row>
    <row r="40" ht="30.55" customHeight="1" s="1158">
      <c r="A40" s="2140" t="inlineStr">
        <is>
          <t>JT. # 36</t>
        </is>
      </c>
      <c r="B40" s="2141" t="n">
        <v>31.94</v>
      </c>
      <c r="C40" s="2142">
        <f>B40-0.301</f>
        <v/>
      </c>
    </row>
    <row r="41" ht="30.55" customHeight="1" s="1158">
      <c r="A41" s="2140" t="inlineStr">
        <is>
          <t>JT. # 37</t>
        </is>
      </c>
      <c r="B41" s="2141" t="n">
        <v>31.55</v>
      </c>
      <c r="C41" s="2142">
        <f>B41-0.301</f>
        <v/>
      </c>
    </row>
    <row r="42" ht="30.55" customHeight="1" s="1158">
      <c r="A42" s="2140" t="inlineStr">
        <is>
          <t>JT. # 38</t>
        </is>
      </c>
      <c r="B42" s="2141" t="n">
        <v>31.49</v>
      </c>
      <c r="C42" s="2142">
        <f>B42-0.301</f>
        <v/>
      </c>
    </row>
    <row r="43" ht="30.55" customHeight="1" s="1158">
      <c r="A43" s="2140" t="inlineStr">
        <is>
          <t>JT. # 39</t>
        </is>
      </c>
      <c r="B43" s="2141" t="n">
        <v>30.46</v>
      </c>
      <c r="C43" s="2142">
        <f>B43-0.301</f>
        <v/>
      </c>
    </row>
    <row r="44" ht="30.55" customHeight="1" s="1158">
      <c r="A44" s="2140" t="inlineStr">
        <is>
          <t>JT. # 40</t>
        </is>
      </c>
      <c r="B44" s="2141" t="n">
        <v>31.08</v>
      </c>
      <c r="C44" s="2142">
        <f>B44-0.301</f>
        <v/>
      </c>
    </row>
    <row r="45" ht="30.55" customHeight="1" s="1158">
      <c r="A45" s="2140" t="inlineStr">
        <is>
          <t>JT. # 41</t>
        </is>
      </c>
      <c r="B45" s="2141" t="n">
        <v>31.06</v>
      </c>
      <c r="C45" s="2142">
        <f>B45-0.301</f>
        <v/>
      </c>
    </row>
    <row r="46" ht="30.55" customHeight="1" s="1158">
      <c r="A46" s="2140" t="inlineStr">
        <is>
          <t>JT. # 42</t>
        </is>
      </c>
      <c r="B46" s="2141" t="n">
        <v>31.77</v>
      </c>
      <c r="C46" s="2142">
        <f>B46-0.301</f>
        <v/>
      </c>
    </row>
    <row r="47" ht="30.55" customHeight="1" s="1158">
      <c r="A47" s="2140" t="inlineStr">
        <is>
          <t>JT. # 43</t>
        </is>
      </c>
      <c r="B47" s="2141" t="n">
        <v>31.76</v>
      </c>
      <c r="C47" s="2142">
        <f>B47-0.301</f>
        <v/>
      </c>
    </row>
    <row r="48" ht="30.55" customHeight="1" s="1158">
      <c r="A48" s="2140" t="inlineStr">
        <is>
          <t>JT. # 44</t>
        </is>
      </c>
      <c r="B48" s="2141" t="n">
        <v>31.52</v>
      </c>
      <c r="C48" s="2142">
        <f>B48-0.301</f>
        <v/>
      </c>
    </row>
    <row r="49" ht="30.55" customHeight="1" s="1158">
      <c r="A49" s="2140" t="inlineStr">
        <is>
          <t>JT. # 45</t>
        </is>
      </c>
      <c r="B49" s="2141" t="n">
        <v>29.74</v>
      </c>
      <c r="C49" s="2142">
        <f>B49-0.301</f>
        <v/>
      </c>
    </row>
    <row r="50" ht="30.55" customHeight="1" s="1158">
      <c r="A50" s="2140" t="inlineStr">
        <is>
          <t>JT. # 46</t>
        </is>
      </c>
      <c r="B50" s="2141" t="n">
        <v>31.92</v>
      </c>
      <c r="C50" s="2142">
        <f>B50-0.301</f>
        <v/>
      </c>
    </row>
    <row r="51" ht="30.55" customHeight="1" s="1158">
      <c r="A51" s="2140" t="inlineStr">
        <is>
          <t>JT. # 47</t>
        </is>
      </c>
      <c r="B51" s="2141" t="n">
        <v>31.54</v>
      </c>
      <c r="C51" s="2142">
        <f>B51-0.301</f>
        <v/>
      </c>
    </row>
    <row r="52" ht="30.55" customHeight="1" s="1158">
      <c r="A52" s="2140" t="inlineStr">
        <is>
          <t>JT. # 48</t>
        </is>
      </c>
      <c r="B52" s="2141" t="n">
        <v>31.32</v>
      </c>
      <c r="C52" s="2142">
        <f>B52-0.301</f>
        <v/>
      </c>
    </row>
    <row r="53" ht="30.55" customHeight="1" s="1158">
      <c r="A53" s="2140" t="inlineStr">
        <is>
          <t>JT. # 49</t>
        </is>
      </c>
      <c r="B53" s="2141" t="n">
        <v>31.71</v>
      </c>
      <c r="C53" s="2142">
        <f>B53-0.301</f>
        <v/>
      </c>
    </row>
    <row r="54" ht="30.55" customHeight="1" s="1158">
      <c r="A54" s="2140" t="inlineStr">
        <is>
          <t>JT. # 50</t>
        </is>
      </c>
      <c r="B54" s="2141" t="n">
        <v>31.31</v>
      </c>
      <c r="C54" s="2142">
        <f>B54-0.301</f>
        <v/>
      </c>
    </row>
    <row r="55" ht="30.55" customHeight="1" s="1158">
      <c r="A55" s="2140" t="inlineStr">
        <is>
          <t>JT. # 51</t>
        </is>
      </c>
      <c r="B55" s="2141" t="n">
        <v>31.31</v>
      </c>
      <c r="C55" s="2142">
        <f>B55-0.301</f>
        <v/>
      </c>
    </row>
    <row r="56" ht="30.55" customHeight="1" s="1158">
      <c r="A56" s="2140" t="inlineStr">
        <is>
          <t>JT. # 52</t>
        </is>
      </c>
      <c r="B56" s="2141" t="n">
        <v>31.01</v>
      </c>
      <c r="C56" s="2142">
        <f>B56-0.301</f>
        <v/>
      </c>
    </row>
    <row r="57" ht="30.55" customHeight="1" s="1158">
      <c r="A57" s="2140" t="inlineStr">
        <is>
          <t>JT. # 53</t>
        </is>
      </c>
      <c r="B57" s="2141" t="n">
        <v>29.75</v>
      </c>
      <c r="C57" s="2142">
        <f>B57-0.301</f>
        <v/>
      </c>
    </row>
    <row r="58" ht="30.55" customHeight="1" s="1158">
      <c r="A58" s="2140" t="inlineStr">
        <is>
          <t>JT. # 54</t>
        </is>
      </c>
      <c r="B58" s="2141" t="n">
        <v>31.56</v>
      </c>
      <c r="C58" s="2142">
        <f>B58-0.301</f>
        <v/>
      </c>
    </row>
    <row r="59" ht="30.55" customHeight="1" s="1158">
      <c r="A59" s="2140" t="inlineStr">
        <is>
          <t>JT. # 55</t>
        </is>
      </c>
      <c r="B59" s="2141" t="n">
        <v>31.83</v>
      </c>
      <c r="C59" s="2142">
        <f>B59-0.301</f>
        <v/>
      </c>
    </row>
    <row r="60" ht="30.55" customHeight="1" s="1158">
      <c r="A60" s="2140" t="inlineStr">
        <is>
          <t>JT. # 56</t>
        </is>
      </c>
      <c r="B60" s="2141" t="n">
        <v>31.65</v>
      </c>
      <c r="C60" s="2142">
        <f>B60-0.301</f>
        <v/>
      </c>
    </row>
    <row r="61" ht="30.55" customHeight="1" s="1158">
      <c r="A61" s="2140" t="inlineStr">
        <is>
          <t>JT. # 57</t>
        </is>
      </c>
      <c r="B61" s="2141" t="n">
        <v>31.55</v>
      </c>
      <c r="C61" s="2142">
        <f>B61-0.301</f>
        <v/>
      </c>
    </row>
    <row r="62" ht="30.55" customHeight="1" s="1158">
      <c r="A62" s="2140" t="inlineStr">
        <is>
          <t>JT. # 58</t>
        </is>
      </c>
      <c r="B62" s="2141" t="n">
        <v>30.73</v>
      </c>
      <c r="C62" s="2142">
        <f>B62-0.301</f>
        <v/>
      </c>
    </row>
    <row r="63" ht="30.55" customHeight="1" s="1158">
      <c r="A63" s="2140" t="inlineStr">
        <is>
          <t>JT. # 59</t>
        </is>
      </c>
      <c r="B63" s="2141" t="n">
        <v>31.48</v>
      </c>
      <c r="C63" s="2142">
        <f>B63-0.301</f>
        <v/>
      </c>
    </row>
    <row r="64" ht="30.55" customHeight="1" s="1158">
      <c r="A64" s="2140" t="inlineStr">
        <is>
          <t>JT. # 60</t>
        </is>
      </c>
      <c r="B64" s="2141" t="n">
        <v>31.95</v>
      </c>
      <c r="C64" s="2142">
        <f>B64-0.301</f>
        <v/>
      </c>
    </row>
    <row r="65" ht="30.55" customHeight="1" s="1158">
      <c r="A65" s="2140" t="inlineStr">
        <is>
          <t>JT. # 61</t>
        </is>
      </c>
      <c r="B65" s="2141" t="n">
        <v>30.24</v>
      </c>
      <c r="C65" s="2142">
        <f>B65-0.301</f>
        <v/>
      </c>
    </row>
    <row r="66" ht="30.55" customHeight="1" s="1158">
      <c r="A66" s="2140" t="inlineStr">
        <is>
          <t>JT. # 62</t>
        </is>
      </c>
      <c r="B66" s="2141" t="n">
        <v>31.22</v>
      </c>
      <c r="C66" s="2142">
        <f>B66-0.301</f>
        <v/>
      </c>
    </row>
    <row r="67" ht="30.55" customHeight="1" s="1158">
      <c r="A67" s="2140" t="inlineStr">
        <is>
          <t>JT. # 63</t>
        </is>
      </c>
      <c r="B67" s="2141" t="n">
        <v>31.11</v>
      </c>
      <c r="C67" s="2142">
        <f>B67-0.301</f>
        <v/>
      </c>
    </row>
    <row r="68" ht="30.55" customHeight="1" s="1158">
      <c r="A68" s="2140" t="inlineStr">
        <is>
          <t>JT. # 64</t>
        </is>
      </c>
      <c r="B68" s="2141" t="n">
        <v>30.92</v>
      </c>
      <c r="C68" s="2142">
        <f>B68-0.301</f>
        <v/>
      </c>
    </row>
    <row r="69" ht="30.55" customHeight="1" s="1158">
      <c r="A69" s="2140" t="inlineStr">
        <is>
          <t>JT. # 65</t>
        </is>
      </c>
      <c r="B69" s="2141" t="n">
        <v>31.56</v>
      </c>
      <c r="C69" s="2142">
        <f>B69-0.301</f>
        <v/>
      </c>
    </row>
    <row r="70" ht="30.55" customHeight="1" s="1158">
      <c r="A70" s="2140" t="inlineStr">
        <is>
          <t>JT. # 66</t>
        </is>
      </c>
      <c r="B70" s="2141" t="n">
        <v>31.43</v>
      </c>
      <c r="C70" s="2142">
        <f>B70-0.301</f>
        <v/>
      </c>
    </row>
    <row r="71" ht="30.55" customHeight="1" s="1158">
      <c r="A71" s="2140" t="inlineStr">
        <is>
          <t>JT. # 67</t>
        </is>
      </c>
      <c r="B71" s="2141" t="n">
        <v>30.15</v>
      </c>
      <c r="C71" s="2142">
        <f>B71-0.301</f>
        <v/>
      </c>
    </row>
    <row r="72" ht="30.55" customHeight="1" s="1158">
      <c r="A72" s="2140" t="inlineStr">
        <is>
          <t>JT. # 68</t>
        </is>
      </c>
      <c r="B72" s="2141" t="n">
        <v>31.64</v>
      </c>
      <c r="C72" s="2142">
        <f>B72-0.301</f>
        <v/>
      </c>
    </row>
    <row r="73" ht="30.55" customHeight="1" s="1158">
      <c r="A73" s="2140" t="inlineStr">
        <is>
          <t>JT. # 69</t>
        </is>
      </c>
      <c r="B73" s="2141" t="n">
        <v>30.43</v>
      </c>
      <c r="C73" s="2142">
        <f>B73-0.301</f>
        <v/>
      </c>
    </row>
    <row r="74" ht="30.55" customHeight="1" s="1158">
      <c r="A74" s="2140" t="inlineStr">
        <is>
          <t>JT. # 70</t>
        </is>
      </c>
      <c r="B74" s="2141" t="n">
        <v>30.42</v>
      </c>
      <c r="C74" s="2142">
        <f>B74-0.301</f>
        <v/>
      </c>
    </row>
    <row r="75" ht="30.55" customHeight="1" s="1158">
      <c r="A75" s="2140" t="inlineStr">
        <is>
          <t>JT. # 71</t>
        </is>
      </c>
      <c r="B75" s="2141" t="n">
        <v>31.89</v>
      </c>
      <c r="C75" s="2142">
        <f>B75-0.301</f>
        <v/>
      </c>
    </row>
    <row r="76" ht="30.55" customHeight="1" s="1158">
      <c r="A76" s="2140" t="inlineStr">
        <is>
          <t>JT. # 72</t>
        </is>
      </c>
      <c r="B76" s="2141" t="n">
        <v>31.56</v>
      </c>
      <c r="C76" s="2142">
        <f>B76-0.301</f>
        <v/>
      </c>
    </row>
    <row r="77" ht="30.55" customHeight="1" s="1158">
      <c r="A77" s="2140" t="inlineStr">
        <is>
          <t>JT. # 73</t>
        </is>
      </c>
      <c r="B77" s="2141" t="n">
        <v>31.67</v>
      </c>
      <c r="C77" s="2142">
        <f>B77-0.301</f>
        <v/>
      </c>
    </row>
    <row r="78" ht="30.55" customHeight="1" s="1158">
      <c r="A78" s="2140" t="inlineStr">
        <is>
          <t>JT. # 74</t>
        </is>
      </c>
      <c r="B78" s="2141" t="n">
        <v>31.62</v>
      </c>
      <c r="C78" s="2142">
        <f>B78-0.301</f>
        <v/>
      </c>
    </row>
    <row r="79" ht="30.55" customHeight="1" s="1158">
      <c r="A79" s="2140" t="inlineStr">
        <is>
          <t>JT. # 75</t>
        </is>
      </c>
      <c r="B79" s="2141" t="n">
        <v>31.39</v>
      </c>
      <c r="C79" s="2142">
        <f>B79-0.301</f>
        <v/>
      </c>
    </row>
    <row r="80" ht="30.55" customHeight="1" s="1158">
      <c r="A80" s="2140" t="inlineStr">
        <is>
          <t>JT. # 76</t>
        </is>
      </c>
      <c r="B80" s="2141" t="n">
        <v>31.7</v>
      </c>
      <c r="C80" s="2142">
        <f>B80-0.301</f>
        <v/>
      </c>
    </row>
    <row r="81" ht="30.55" customHeight="1" s="1158">
      <c r="A81" s="2140" t="inlineStr">
        <is>
          <t>JT. # 77</t>
        </is>
      </c>
      <c r="B81" s="2141" t="n">
        <v>31.64</v>
      </c>
      <c r="C81" s="2142">
        <f>B81-0.301</f>
        <v/>
      </c>
    </row>
    <row r="82" ht="30.55" customHeight="1" s="1158">
      <c r="A82" s="2140" t="inlineStr">
        <is>
          <t>JT. # 78</t>
        </is>
      </c>
      <c r="B82" s="2141" t="n">
        <v>31.14</v>
      </c>
      <c r="C82" s="2142">
        <f>B82-0.301</f>
        <v/>
      </c>
    </row>
    <row r="83" ht="30.55" customHeight="1" s="1158">
      <c r="A83" s="2140" t="inlineStr">
        <is>
          <t>JT. # 79</t>
        </is>
      </c>
      <c r="B83" s="2141" t="n">
        <v>31.35</v>
      </c>
      <c r="C83" s="2142">
        <f>B83-0.301</f>
        <v/>
      </c>
    </row>
    <row r="84" ht="30.55" customHeight="1" s="1158">
      <c r="A84" s="2140" t="inlineStr">
        <is>
          <t>JT. # 80</t>
        </is>
      </c>
      <c r="B84" s="2141" t="n">
        <v>31.26</v>
      </c>
      <c r="C84" s="2142">
        <f>B84-0.301</f>
        <v/>
      </c>
    </row>
    <row r="85" ht="30.55" customHeight="1" s="1158">
      <c r="A85" s="2140" t="inlineStr">
        <is>
          <t>JT. # 81</t>
        </is>
      </c>
      <c r="B85" s="2141" t="n">
        <v>30.43</v>
      </c>
      <c r="C85" s="2142">
        <f>B85-0.301</f>
        <v/>
      </c>
    </row>
    <row r="86" ht="30.55" customHeight="1" s="1158">
      <c r="A86" s="2140" t="inlineStr">
        <is>
          <t>JT. # 82</t>
        </is>
      </c>
      <c r="B86" s="2141" t="n">
        <v>31.37</v>
      </c>
      <c r="C86" s="2142">
        <f>B86-0.301</f>
        <v/>
      </c>
    </row>
    <row r="87" ht="30.55" customHeight="1" s="1158">
      <c r="A87" s="2140" t="inlineStr">
        <is>
          <t>JT. # 83</t>
        </is>
      </c>
      <c r="B87" s="2141" t="n">
        <v>31.57</v>
      </c>
      <c r="C87" s="2142">
        <f>B87-0.301</f>
        <v/>
      </c>
    </row>
    <row r="88" ht="30.55" customHeight="1" s="1158">
      <c r="A88" s="2140" t="inlineStr">
        <is>
          <t>JT. # 84</t>
        </is>
      </c>
      <c r="B88" s="2141" t="n">
        <v>31.33</v>
      </c>
      <c r="C88" s="2142">
        <f>B88-0.301</f>
        <v/>
      </c>
    </row>
    <row r="89" ht="30.55" customHeight="1" s="1158">
      <c r="A89" s="2140" t="inlineStr">
        <is>
          <t>JT. # 85</t>
        </is>
      </c>
      <c r="B89" s="2141" t="n">
        <v>31.26</v>
      </c>
      <c r="C89" s="2142">
        <f>B89-0.301</f>
        <v/>
      </c>
    </row>
    <row r="90" ht="30.55" customHeight="1" s="1158">
      <c r="A90" s="2140" t="inlineStr">
        <is>
          <t>JT. # 86</t>
        </is>
      </c>
      <c r="B90" s="2141" t="n">
        <v>31.86</v>
      </c>
      <c r="C90" s="2142">
        <f>B90-0.301</f>
        <v/>
      </c>
    </row>
    <row r="91" ht="30.55" customHeight="1" s="1158">
      <c r="A91" s="2140" t="inlineStr">
        <is>
          <t>JT. # 87</t>
        </is>
      </c>
      <c r="B91" s="2141" t="n">
        <v>31.67</v>
      </c>
      <c r="C91" s="2142">
        <f>B91-0.301</f>
        <v/>
      </c>
    </row>
    <row r="92" ht="30.55" customHeight="1" s="1158">
      <c r="A92" s="2140" t="inlineStr">
        <is>
          <t>JT. # 88</t>
        </is>
      </c>
      <c r="B92" s="2141" t="n">
        <v>31.43</v>
      </c>
      <c r="C92" s="2142">
        <f>B92-0.301</f>
        <v/>
      </c>
    </row>
    <row r="93" ht="30.55" customHeight="1" s="1158">
      <c r="A93" s="2140" t="inlineStr">
        <is>
          <t>JT. # 89</t>
        </is>
      </c>
      <c r="B93" s="2141" t="n">
        <v>31.77</v>
      </c>
      <c r="C93" s="2142">
        <f>B93-0.301</f>
        <v/>
      </c>
    </row>
    <row r="94" ht="30.55" customHeight="1" s="1158">
      <c r="A94" s="2140" t="inlineStr">
        <is>
          <t>JT. # 90</t>
        </is>
      </c>
      <c r="B94" s="2141" t="n">
        <v>31.84</v>
      </c>
      <c r="C94" s="2142">
        <f>B94-0.301</f>
        <v/>
      </c>
    </row>
    <row r="95" ht="30.55" customHeight="1" s="1158">
      <c r="A95" s="2140" t="inlineStr">
        <is>
          <t>JT. # 91</t>
        </is>
      </c>
      <c r="B95" s="2141" t="n">
        <v>31.28</v>
      </c>
      <c r="C95" s="2142">
        <f>B95-0.301</f>
        <v/>
      </c>
    </row>
    <row r="96" ht="30.55" customHeight="1" s="1158">
      <c r="A96" s="2140" t="inlineStr">
        <is>
          <t>JT. # 92</t>
        </is>
      </c>
      <c r="B96" s="2141" t="n">
        <v>31.96</v>
      </c>
      <c r="C96" s="2142">
        <f>B96-0.301</f>
        <v/>
      </c>
    </row>
    <row r="97" ht="30.55" customHeight="1" s="1158">
      <c r="A97" s="2140" t="inlineStr">
        <is>
          <t>JT. # 93</t>
        </is>
      </c>
      <c r="B97" s="2141" t="n">
        <v>31.95</v>
      </c>
      <c r="C97" s="2142">
        <f>B97-0.301</f>
        <v/>
      </c>
    </row>
    <row r="98" ht="30.55" customHeight="1" s="1158">
      <c r="A98" s="2140" t="inlineStr">
        <is>
          <t>JT. # 94</t>
        </is>
      </c>
      <c r="B98" s="2141" t="n">
        <v>31.16</v>
      </c>
      <c r="C98" s="2142">
        <f>B98-0.301</f>
        <v/>
      </c>
    </row>
    <row r="99" ht="30.55" customHeight="1" s="1158">
      <c r="A99" s="2140" t="inlineStr">
        <is>
          <t>JT. # 95</t>
        </is>
      </c>
      <c r="B99" s="2141" t="n">
        <v>31.13</v>
      </c>
      <c r="C99" s="2142">
        <f>B99-0.301</f>
        <v/>
      </c>
    </row>
    <row r="100" ht="30.55" customHeight="1" s="1158">
      <c r="A100" s="2140" t="inlineStr">
        <is>
          <t>JT. # 96</t>
        </is>
      </c>
      <c r="B100" s="2141" t="n">
        <v>31.26</v>
      </c>
      <c r="C100" s="2142">
        <f>B100-0.301</f>
        <v/>
      </c>
    </row>
    <row r="101" ht="30.55" customHeight="1" s="1158">
      <c r="A101" s="2140" t="inlineStr">
        <is>
          <t>JT. # 97</t>
        </is>
      </c>
      <c r="B101" s="2141" t="n">
        <v>31.99</v>
      </c>
      <c r="C101" s="2142">
        <f>B101-0.301</f>
        <v/>
      </c>
    </row>
    <row r="102" ht="30.55" customHeight="1" s="1158">
      <c r="A102" s="2140" t="inlineStr">
        <is>
          <t>JT. # 98</t>
        </is>
      </c>
      <c r="B102" s="2141" t="n">
        <v>31.25</v>
      </c>
      <c r="C102" s="2142">
        <f>B102-0.301</f>
        <v/>
      </c>
    </row>
    <row r="103" ht="30.55" customHeight="1" s="1158">
      <c r="A103" s="2140" t="inlineStr">
        <is>
          <t>JT. # 99</t>
        </is>
      </c>
      <c r="B103" s="2141" t="n">
        <v>31.95</v>
      </c>
      <c r="C103" s="2142">
        <f>B103-0.301</f>
        <v/>
      </c>
    </row>
    <row r="104" ht="30.55" customHeight="1" s="1158">
      <c r="A104" s="2140" t="inlineStr">
        <is>
          <t>JT. # 100</t>
        </is>
      </c>
      <c r="B104" s="2141" t="n">
        <v>31.67</v>
      </c>
      <c r="C104" s="2142">
        <f>B104-0.301</f>
        <v/>
      </c>
    </row>
    <row r="105" ht="30.55" customHeight="1" s="1158">
      <c r="A105" s="2140" t="inlineStr">
        <is>
          <t>JT. # 101</t>
        </is>
      </c>
      <c r="B105" s="2144" t="n">
        <v>31.73</v>
      </c>
      <c r="C105" s="2142">
        <f>B105-0.301</f>
        <v/>
      </c>
    </row>
    <row r="106" ht="30.55" customHeight="1" s="1158">
      <c r="A106" s="2140" t="inlineStr">
        <is>
          <t>JT. # 102</t>
        </is>
      </c>
      <c r="B106" s="2145" t="n">
        <v>29.8</v>
      </c>
      <c r="C106" s="2142">
        <f>B106-0.301</f>
        <v/>
      </c>
    </row>
    <row r="107" ht="30.55" customHeight="1" s="1158">
      <c r="A107" s="2140" t="inlineStr">
        <is>
          <t>JT. # 103</t>
        </is>
      </c>
      <c r="B107" s="2145" t="n">
        <v>31.42</v>
      </c>
      <c r="C107" s="2142">
        <f>B107-0.301</f>
        <v/>
      </c>
    </row>
    <row r="108" ht="30.55" customHeight="1" s="1158">
      <c r="A108" s="2140" t="inlineStr">
        <is>
          <t>JT. # 104</t>
        </is>
      </c>
      <c r="B108" s="2145" t="n">
        <v>30.33</v>
      </c>
      <c r="C108" s="2142">
        <f>B108-0.301</f>
        <v/>
      </c>
    </row>
    <row r="109" ht="30.55" customHeight="1" s="1158">
      <c r="A109" s="2140" t="inlineStr">
        <is>
          <t>JT. # 105</t>
        </is>
      </c>
      <c r="B109" s="2145" t="n">
        <v>31.35</v>
      </c>
      <c r="C109" s="2142">
        <f>B109-0.301</f>
        <v/>
      </c>
    </row>
    <row r="110" ht="30.55" customHeight="1" s="1158">
      <c r="A110" s="2140" t="inlineStr">
        <is>
          <t>JT. # 106</t>
        </is>
      </c>
      <c r="B110" s="2145" t="n">
        <v>31.49</v>
      </c>
      <c r="C110" s="2142">
        <f>B110-0.301</f>
        <v/>
      </c>
    </row>
    <row r="111" ht="30.55" customHeight="1" s="1158">
      <c r="A111" s="2140" t="inlineStr">
        <is>
          <t>JT. # 107</t>
        </is>
      </c>
      <c r="B111" s="2145" t="n">
        <v>31.69</v>
      </c>
      <c r="C111" s="2142">
        <f>B111-0.301</f>
        <v/>
      </c>
    </row>
    <row r="112" ht="30.55" customHeight="1" s="1158">
      <c r="A112" s="2140" t="inlineStr">
        <is>
          <t>JT. # 108</t>
        </is>
      </c>
      <c r="B112" s="2145" t="n">
        <v>30.69</v>
      </c>
      <c r="C112" s="2142">
        <f>B112-0.301</f>
        <v/>
      </c>
    </row>
    <row r="113" ht="30.55" customHeight="1" s="1158">
      <c r="A113" s="2140" t="inlineStr">
        <is>
          <t>JT. # 109</t>
        </is>
      </c>
      <c r="B113" s="2146" t="n">
        <v>31.96</v>
      </c>
      <c r="C113" s="2142">
        <f>B113-0.301</f>
        <v/>
      </c>
    </row>
    <row r="114" ht="30.55" customHeight="1" s="1158">
      <c r="A114" s="2140" t="inlineStr">
        <is>
          <t>JT. # 110</t>
        </is>
      </c>
      <c r="B114" s="2146" t="n">
        <v>31.15</v>
      </c>
      <c r="C114" s="2142">
        <f>B114-0.301</f>
        <v/>
      </c>
    </row>
    <row r="115" ht="30.55" customHeight="1" s="1158">
      <c r="A115" s="2140" t="inlineStr">
        <is>
          <t>JT. # 111</t>
        </is>
      </c>
      <c r="B115" s="2145" t="n">
        <v>31.35</v>
      </c>
      <c r="C115" s="2142">
        <f>B115-0.301</f>
        <v/>
      </c>
    </row>
    <row r="116" ht="30.55" customHeight="1" s="1158">
      <c r="A116" s="2140" t="inlineStr">
        <is>
          <t>JT. # 112</t>
        </is>
      </c>
      <c r="B116" s="2146" t="n">
        <v>31.94</v>
      </c>
      <c r="C116" s="2142">
        <f>B116-0.301</f>
        <v/>
      </c>
    </row>
    <row r="117" ht="30.55" customHeight="1" s="1158">
      <c r="A117" s="2140" t="inlineStr">
        <is>
          <t>JT. # 113</t>
        </is>
      </c>
      <c r="B117" s="2145" t="n">
        <v>31.85</v>
      </c>
      <c r="C117" s="2142">
        <f>B117-0.301</f>
        <v/>
      </c>
    </row>
    <row r="118" ht="30.55" customHeight="1" s="1158">
      <c r="A118" s="2140" t="inlineStr">
        <is>
          <t>JT. # 114</t>
        </is>
      </c>
      <c r="B118" s="2145" t="n">
        <v>31.95</v>
      </c>
      <c r="C118" s="2142">
        <f>B118-0.301</f>
        <v/>
      </c>
    </row>
    <row r="119" ht="30.55" customHeight="1" s="1158">
      <c r="A119" s="2140" t="inlineStr">
        <is>
          <t>JT. # 115</t>
        </is>
      </c>
      <c r="B119" s="2145" t="n">
        <v>31.83</v>
      </c>
      <c r="C119" s="2142">
        <f>B119-0.301</f>
        <v/>
      </c>
    </row>
    <row r="120" ht="30.55" customHeight="1" s="1158">
      <c r="A120" s="2140" t="inlineStr">
        <is>
          <t>JT. # 116</t>
        </is>
      </c>
      <c r="B120" s="2145" t="n">
        <v>31.96</v>
      </c>
      <c r="C120" s="2142">
        <f>B120-0.301</f>
        <v/>
      </c>
    </row>
    <row r="121" ht="30.55" customHeight="1" s="1158">
      <c r="A121" s="2140" t="inlineStr">
        <is>
          <t>JT. # 117</t>
        </is>
      </c>
      <c r="B121" s="2145" t="n">
        <v>30.22</v>
      </c>
      <c r="C121" s="2142">
        <f>B121-0.301</f>
        <v/>
      </c>
    </row>
    <row r="122" ht="30.55" customHeight="1" s="1158">
      <c r="A122" s="2140" t="inlineStr">
        <is>
          <t>JT. # 118</t>
        </is>
      </c>
      <c r="B122" s="2145" t="n">
        <v>31.17</v>
      </c>
      <c r="C122" s="2142">
        <f>B122-0.301</f>
        <v/>
      </c>
    </row>
    <row r="123" ht="30.55" customHeight="1" s="1158">
      <c r="A123" s="2140" t="inlineStr">
        <is>
          <t>JT. # 119</t>
        </is>
      </c>
      <c r="B123" s="2145" t="n">
        <v>31.86</v>
      </c>
      <c r="C123" s="2142">
        <f>B123-0.301</f>
        <v/>
      </c>
    </row>
    <row r="124" ht="30.55" customHeight="1" s="1158">
      <c r="A124" s="2140" t="inlineStr">
        <is>
          <t>JT. # 120</t>
        </is>
      </c>
      <c r="B124" s="2145" t="n">
        <v>31.07</v>
      </c>
      <c r="C124" s="2142">
        <f>B124-0.301</f>
        <v/>
      </c>
    </row>
    <row r="125" ht="30.55" customHeight="1" s="1158">
      <c r="A125" s="2140" t="inlineStr">
        <is>
          <t>JT. # 121</t>
        </is>
      </c>
      <c r="B125" s="2145" t="n">
        <v>31.95</v>
      </c>
      <c r="C125" s="2142">
        <f>B125-0.301</f>
        <v/>
      </c>
    </row>
    <row r="126" ht="30.55" customHeight="1" s="1158">
      <c r="A126" s="2140" t="inlineStr">
        <is>
          <t>JT. # 122</t>
        </is>
      </c>
      <c r="B126" s="2145" t="n">
        <v>30.94</v>
      </c>
      <c r="C126" s="2142">
        <f>B126-0.301</f>
        <v/>
      </c>
    </row>
    <row r="127" ht="30.55" customHeight="1" s="1158">
      <c r="A127" s="2140" t="inlineStr">
        <is>
          <t>JT. # 123</t>
        </is>
      </c>
      <c r="B127" s="2145" t="n">
        <v>30.84</v>
      </c>
      <c r="C127" s="2142">
        <f>B127-0.301</f>
        <v/>
      </c>
    </row>
    <row r="128" ht="30.55" customHeight="1" s="1158">
      <c r="A128" s="2140" t="inlineStr">
        <is>
          <t>JT. # 124</t>
        </is>
      </c>
      <c r="B128" s="2145" t="n">
        <v>30.92</v>
      </c>
      <c r="C128" s="2142">
        <f>B128-0.301</f>
        <v/>
      </c>
    </row>
    <row r="129" ht="30.55" customHeight="1" s="1158">
      <c r="A129" s="2140" t="inlineStr">
        <is>
          <t>JT. # 125</t>
        </is>
      </c>
      <c r="B129" s="2145" t="n">
        <v>30.94</v>
      </c>
      <c r="C129" s="2142">
        <f>B129-0.301</f>
        <v/>
      </c>
    </row>
    <row r="130" ht="30.55" customHeight="1" s="1158">
      <c r="A130" s="2140" t="inlineStr">
        <is>
          <t>JT. # 126</t>
        </is>
      </c>
      <c r="B130" s="2145" t="n">
        <v>31.61</v>
      </c>
      <c r="C130" s="2142">
        <f>B130-0.301</f>
        <v/>
      </c>
    </row>
    <row r="131" ht="30.55" customHeight="1" s="1158">
      <c r="A131" s="2140" t="inlineStr">
        <is>
          <t>JT. # 127</t>
        </is>
      </c>
      <c r="B131" s="2145" t="n">
        <v>29.57</v>
      </c>
      <c r="C131" s="2142">
        <f>B131-0.301</f>
        <v/>
      </c>
    </row>
    <row r="132" ht="30.55" customHeight="1" s="1158">
      <c r="A132" s="2140" t="inlineStr">
        <is>
          <t>JT. # 128</t>
        </is>
      </c>
      <c r="B132" s="2145" t="n">
        <v>30.65</v>
      </c>
      <c r="C132" s="2142">
        <f>B132-0.301</f>
        <v/>
      </c>
    </row>
    <row r="133" ht="30.55" customHeight="1" s="1158">
      <c r="A133" s="2140" t="inlineStr">
        <is>
          <t>JT. # 129</t>
        </is>
      </c>
      <c r="B133" s="2145" t="n">
        <v>31.65</v>
      </c>
      <c r="C133" s="2142">
        <f>B133-0.301</f>
        <v/>
      </c>
    </row>
    <row r="134" ht="30.55" customHeight="1" s="1158">
      <c r="A134" s="2140" t="inlineStr">
        <is>
          <t>JT. # 130</t>
        </is>
      </c>
      <c r="B134" s="2145" t="n">
        <v>31.17</v>
      </c>
      <c r="C134" s="2142">
        <f>B134-0.301</f>
        <v/>
      </c>
    </row>
    <row r="135" ht="30.55" customHeight="1" s="1158">
      <c r="A135" s="2140" t="inlineStr">
        <is>
          <t>JT. # 131</t>
        </is>
      </c>
      <c r="B135" s="2145" t="n">
        <v>30.58</v>
      </c>
      <c r="C135" s="2142">
        <f>B135-0.301</f>
        <v/>
      </c>
    </row>
    <row r="136" ht="30.55" customHeight="1" s="1158">
      <c r="A136" s="2140" t="inlineStr">
        <is>
          <t>JT. # 132</t>
        </is>
      </c>
      <c r="B136" s="2145" t="n">
        <v>31.95</v>
      </c>
      <c r="C136" s="2142">
        <f>B136-0.301</f>
        <v/>
      </c>
    </row>
    <row r="137" ht="30.55" customHeight="1" s="1158">
      <c r="A137" s="2140" t="inlineStr">
        <is>
          <t>JT. # 133</t>
        </is>
      </c>
      <c r="B137" s="2145" t="n">
        <v>31.92</v>
      </c>
      <c r="C137" s="2142">
        <f>B137-0.301</f>
        <v/>
      </c>
    </row>
    <row r="138" ht="30.55" customHeight="1" s="1158">
      <c r="A138" s="2140" t="inlineStr">
        <is>
          <t>JT. # 134</t>
        </is>
      </c>
      <c r="B138" s="2145" t="n">
        <v>31.63</v>
      </c>
      <c r="C138" s="2142">
        <f>B138-0.301</f>
        <v/>
      </c>
    </row>
    <row r="139" ht="30.55" customHeight="1" s="1158">
      <c r="A139" s="2140" t="inlineStr">
        <is>
          <t>JT. # 135</t>
        </is>
      </c>
      <c r="B139" s="2145" t="n">
        <v>30.78</v>
      </c>
      <c r="C139" s="2142">
        <f>B139-0.301</f>
        <v/>
      </c>
    </row>
    <row r="140" ht="30.55" customHeight="1" s="1158">
      <c r="A140" s="2140" t="inlineStr">
        <is>
          <t>JT. # 136</t>
        </is>
      </c>
      <c r="B140" s="2145" t="n">
        <v>30.35</v>
      </c>
      <c r="C140" s="2142">
        <f>B140-0.301</f>
        <v/>
      </c>
    </row>
    <row r="141" ht="30.55" customHeight="1" s="1158">
      <c r="A141" s="2140" t="inlineStr">
        <is>
          <t>JT. # 137</t>
        </is>
      </c>
      <c r="B141" s="2145" t="n">
        <v>30.72</v>
      </c>
      <c r="C141" s="2142">
        <f>B141-0.301</f>
        <v/>
      </c>
    </row>
    <row r="142" ht="30.55" customHeight="1" s="1158">
      <c r="A142" s="2140" t="inlineStr">
        <is>
          <t>JT. # 138</t>
        </is>
      </c>
      <c r="B142" s="2145" t="n">
        <v>31.63</v>
      </c>
      <c r="C142" s="2142">
        <f>B142-0.301</f>
        <v/>
      </c>
    </row>
    <row r="143" ht="30.55" customHeight="1" s="1158">
      <c r="A143" s="2140" t="inlineStr">
        <is>
          <t>JT. # 139</t>
        </is>
      </c>
      <c r="B143" s="2145" t="n">
        <v>30.58</v>
      </c>
      <c r="C143" s="2142">
        <f>B143-0.301</f>
        <v/>
      </c>
    </row>
    <row r="144" ht="30.55" customHeight="1" s="1158">
      <c r="A144" s="2140" t="inlineStr">
        <is>
          <t>JT. # 140</t>
        </is>
      </c>
      <c r="B144" s="2145" t="n">
        <v>30.37</v>
      </c>
      <c r="C144" s="2142">
        <f>B144-0.301</f>
        <v/>
      </c>
    </row>
    <row r="145" ht="30.55" customHeight="1" s="1158">
      <c r="A145" s="2140" t="inlineStr">
        <is>
          <t>JT. # 141</t>
        </is>
      </c>
      <c r="B145" s="2145" t="n">
        <v>31.93</v>
      </c>
      <c r="C145" s="2142">
        <f>B145-0.301</f>
        <v/>
      </c>
    </row>
    <row r="146" ht="30.55" customHeight="1" s="1158">
      <c r="A146" s="2140" t="inlineStr">
        <is>
          <t>JT. # 142</t>
        </is>
      </c>
      <c r="B146" s="2145" t="n">
        <v>31.93</v>
      </c>
      <c r="C146" s="2142">
        <f>B146-0.301</f>
        <v/>
      </c>
    </row>
    <row r="147" ht="30.55" customHeight="1" s="1158">
      <c r="A147" s="2140" t="inlineStr">
        <is>
          <t>JT. # 143</t>
        </is>
      </c>
      <c r="B147" s="2145" t="n">
        <v>29.92</v>
      </c>
      <c r="C147" s="2142">
        <f>B147-0.301</f>
        <v/>
      </c>
    </row>
    <row r="148" ht="30.55" customHeight="1" s="1158">
      <c r="A148" s="2140" t="inlineStr">
        <is>
          <t>JT. # 144</t>
        </is>
      </c>
      <c r="B148" s="2145" t="n">
        <v>30.34</v>
      </c>
      <c r="C148" s="2142">
        <f>B148-0.301</f>
        <v/>
      </c>
    </row>
    <row r="149" ht="30.55" customHeight="1" s="1158">
      <c r="A149" s="2140" t="inlineStr">
        <is>
          <t>JT. # 145</t>
        </is>
      </c>
      <c r="B149" s="2145" t="n">
        <v>30.67</v>
      </c>
      <c r="C149" s="2142">
        <f>B149-0.301</f>
        <v/>
      </c>
    </row>
    <row r="150" ht="30.55" customHeight="1" s="1158">
      <c r="A150" s="2140" t="inlineStr">
        <is>
          <t>JT. # 146</t>
        </is>
      </c>
      <c r="B150" s="2145" t="n">
        <v>30.49</v>
      </c>
      <c r="C150" s="2142">
        <f>B150-0.301</f>
        <v/>
      </c>
    </row>
    <row r="151" ht="30.55" customHeight="1" s="1158">
      <c r="A151" s="2140" t="inlineStr">
        <is>
          <t>JT. # 147</t>
        </is>
      </c>
      <c r="B151" s="2145" t="n">
        <v>29.67</v>
      </c>
      <c r="C151" s="2142">
        <f>B151-0.301</f>
        <v/>
      </c>
    </row>
    <row r="152" ht="30.55" customHeight="1" s="1158">
      <c r="A152" s="2140" t="inlineStr">
        <is>
          <t>JT. # 148</t>
        </is>
      </c>
      <c r="B152" s="2145" t="n">
        <v>29.43</v>
      </c>
      <c r="C152" s="2142">
        <f>B152-0.301</f>
        <v/>
      </c>
    </row>
    <row r="153" ht="30.55" customHeight="1" s="1158">
      <c r="A153" s="2140" t="inlineStr">
        <is>
          <t>JT. # 149</t>
        </is>
      </c>
      <c r="B153" s="2145" t="n">
        <v>29.53</v>
      </c>
      <c r="C153" s="2142">
        <f>B153-0.301</f>
        <v/>
      </c>
    </row>
    <row r="154" ht="30.55" customHeight="1" s="1158">
      <c r="A154" s="2140" t="inlineStr">
        <is>
          <t>JT. # 150</t>
        </is>
      </c>
      <c r="B154" s="2145" t="n">
        <v>29.31</v>
      </c>
      <c r="C154" s="2142">
        <f>B154-0.301</f>
        <v/>
      </c>
    </row>
    <row r="155" ht="30.55" customHeight="1" s="1158">
      <c r="A155" s="2140" t="inlineStr">
        <is>
          <t>JT. # 151</t>
        </is>
      </c>
      <c r="B155" s="2147" t="n">
        <v>31.4</v>
      </c>
      <c r="C155" s="2142">
        <f>B155-0.301</f>
        <v/>
      </c>
    </row>
    <row r="156" ht="30.55" customHeight="1" s="1158">
      <c r="A156" s="2140" t="inlineStr">
        <is>
          <t>JT. # 152</t>
        </is>
      </c>
      <c r="B156" s="2145" t="n">
        <v>31.42</v>
      </c>
      <c r="C156" s="2142">
        <f>B156-0.301</f>
        <v/>
      </c>
    </row>
    <row r="157" ht="30.55" customHeight="1" s="1158">
      <c r="A157" s="2140" t="inlineStr">
        <is>
          <t>JT. # 153</t>
        </is>
      </c>
      <c r="B157" s="2145" t="n">
        <v>30.45</v>
      </c>
      <c r="C157" s="2142">
        <f>B157-0.301</f>
        <v/>
      </c>
    </row>
    <row r="158" ht="30.55" customHeight="1" s="1158">
      <c r="A158" s="2140" t="inlineStr">
        <is>
          <t>JT. # 154</t>
        </is>
      </c>
      <c r="B158" s="2145" t="n">
        <v>30.36</v>
      </c>
      <c r="C158" s="2142">
        <f>B158-0.301</f>
        <v/>
      </c>
    </row>
    <row r="159" ht="30.55" customHeight="1" s="1158">
      <c r="A159" s="2140" t="inlineStr">
        <is>
          <t>JT. # 155</t>
        </is>
      </c>
      <c r="B159" s="2145" t="n">
        <v>30.92</v>
      </c>
      <c r="C159" s="2142">
        <f>B159-0.301</f>
        <v/>
      </c>
    </row>
    <row r="160" ht="30.55" customHeight="1" s="1158">
      <c r="A160" s="2140" t="inlineStr">
        <is>
          <t>JT. # 156</t>
        </is>
      </c>
      <c r="B160" s="2145" t="n">
        <v>31.4</v>
      </c>
      <c r="C160" s="2142">
        <f>B160-0.301</f>
        <v/>
      </c>
    </row>
    <row r="161" ht="30.55" customHeight="1" s="1158">
      <c r="A161" s="2140" t="inlineStr">
        <is>
          <t>JT. # 157</t>
        </is>
      </c>
      <c r="B161" s="2145" t="n">
        <v>29.34</v>
      </c>
      <c r="C161" s="2142">
        <f>B161-0.301</f>
        <v/>
      </c>
    </row>
    <row r="162" ht="30.55" customHeight="1" s="1158">
      <c r="A162" s="2140" t="inlineStr">
        <is>
          <t>JT. # 158</t>
        </is>
      </c>
      <c r="B162" s="2145" t="n">
        <v>30.74</v>
      </c>
      <c r="C162" s="2142">
        <f>B162-0.301</f>
        <v/>
      </c>
    </row>
    <row r="163" ht="30.55" customHeight="1" s="1158">
      <c r="A163" s="2140" t="inlineStr">
        <is>
          <t>JT. # 159</t>
        </is>
      </c>
      <c r="B163" s="2145" t="n">
        <v>31.61</v>
      </c>
      <c r="C163" s="2142">
        <f>B163-0.301</f>
        <v/>
      </c>
    </row>
    <row r="164" ht="30.55" customHeight="1" s="1158">
      <c r="A164" s="2140" t="inlineStr">
        <is>
          <t>JT. # 160</t>
        </is>
      </c>
      <c r="B164" s="2145" t="n">
        <v>30.9</v>
      </c>
      <c r="C164" s="2142">
        <f>B164-0.301</f>
        <v/>
      </c>
    </row>
    <row r="165" ht="30.55" customHeight="1" s="1158">
      <c r="A165" s="2140" t="inlineStr">
        <is>
          <t>JT. # 161</t>
        </is>
      </c>
      <c r="B165" s="2145" t="n">
        <v>30.79</v>
      </c>
      <c r="C165" s="2142">
        <f>B165-0.301</f>
        <v/>
      </c>
    </row>
    <row r="166" ht="30.55" customHeight="1" s="1158">
      <c r="A166" s="2140" t="inlineStr">
        <is>
          <t>JT. # 162</t>
        </is>
      </c>
      <c r="B166" s="2145" t="n">
        <v>31.45</v>
      </c>
      <c r="C166" s="2142">
        <f>B166-0.301</f>
        <v/>
      </c>
    </row>
    <row r="167" ht="30.55" customHeight="1" s="1158">
      <c r="A167" s="2140" t="inlineStr">
        <is>
          <t>JT. # 163</t>
        </is>
      </c>
      <c r="B167" s="2145" t="n">
        <v>29.28</v>
      </c>
      <c r="C167" s="2142">
        <f>B167-0.301</f>
        <v/>
      </c>
    </row>
    <row r="168" ht="30.55" customHeight="1" s="1158">
      <c r="A168" s="2140" t="inlineStr">
        <is>
          <t>JT. # 164</t>
        </is>
      </c>
      <c r="B168" s="2145" t="n">
        <v>29.64</v>
      </c>
      <c r="C168" s="2142">
        <f>B168-0.301</f>
        <v/>
      </c>
    </row>
    <row r="169" ht="30.55" customHeight="1" s="1158">
      <c r="A169" s="2140" t="inlineStr">
        <is>
          <t>JT. # 165</t>
        </is>
      </c>
      <c r="B169" s="2145" t="n">
        <v>30.33</v>
      </c>
      <c r="C169" s="2142">
        <f>B169-0.301</f>
        <v/>
      </c>
    </row>
    <row r="170" ht="30.55" customHeight="1" s="1158">
      <c r="A170" s="2140" t="inlineStr">
        <is>
          <t>JT. # 166</t>
        </is>
      </c>
      <c r="B170" s="2145" t="n">
        <v>30.43</v>
      </c>
      <c r="C170" s="2142">
        <f>B170-0.301</f>
        <v/>
      </c>
    </row>
    <row r="171" ht="30.55" customHeight="1" s="1158">
      <c r="A171" s="2140" t="inlineStr">
        <is>
          <t>JT. # 167</t>
        </is>
      </c>
      <c r="B171" s="2145" t="n">
        <v>30.51</v>
      </c>
      <c r="C171" s="2142">
        <f>B171-0.301</f>
        <v/>
      </c>
    </row>
    <row r="172" ht="30.55" customHeight="1" s="1158">
      <c r="A172" s="2140" t="inlineStr">
        <is>
          <t>JT. # 168</t>
        </is>
      </c>
      <c r="B172" s="2145" t="n">
        <v>31.43</v>
      </c>
      <c r="C172" s="2142">
        <f>B172-0.301</f>
        <v/>
      </c>
    </row>
    <row r="173" ht="30.55" customHeight="1" s="1158">
      <c r="A173" s="2140" t="inlineStr">
        <is>
          <t>JT. # 169</t>
        </is>
      </c>
      <c r="B173" s="2145" t="n">
        <v>31.27</v>
      </c>
      <c r="C173" s="2142">
        <f>B173-0.301</f>
        <v/>
      </c>
    </row>
    <row r="174" ht="30.55" customHeight="1" s="1158">
      <c r="A174" s="2140" t="inlineStr">
        <is>
          <t>JT. # 170</t>
        </is>
      </c>
      <c r="B174" s="2145" t="n">
        <v>30.66</v>
      </c>
      <c r="C174" s="2142">
        <f>B174-0.301</f>
        <v/>
      </c>
    </row>
    <row r="175" ht="30.55" customHeight="1" s="1158">
      <c r="A175" s="2140" t="inlineStr">
        <is>
          <t>JT. # 171</t>
        </is>
      </c>
      <c r="B175" s="2145" t="n">
        <v>31.82</v>
      </c>
      <c r="C175" s="2142">
        <f>B175-0.301</f>
        <v/>
      </c>
    </row>
    <row r="176" ht="30.55" customHeight="1" s="1158">
      <c r="A176" s="2140" t="inlineStr">
        <is>
          <t>JT. # 172</t>
        </is>
      </c>
      <c r="B176" s="2145" t="n">
        <v>31.62</v>
      </c>
      <c r="C176" s="2142">
        <f>B176-0.301</f>
        <v/>
      </c>
    </row>
    <row r="177" ht="30.55" customHeight="1" s="1158">
      <c r="A177" s="2140" t="inlineStr">
        <is>
          <t>JT. # 173</t>
        </is>
      </c>
      <c r="B177" s="2145" t="n">
        <v>31.85</v>
      </c>
      <c r="C177" s="2142">
        <f>B177-0.301</f>
        <v/>
      </c>
    </row>
    <row r="178" ht="30.55" customHeight="1" s="1158">
      <c r="A178" s="2140" t="inlineStr">
        <is>
          <t>JT. # 174</t>
        </is>
      </c>
      <c r="B178" s="2145" t="n">
        <v>31.37</v>
      </c>
      <c r="C178" s="2142">
        <f>B178-0.301</f>
        <v/>
      </c>
    </row>
    <row r="179" ht="30.55" customHeight="1" s="1158">
      <c r="A179" s="2140" t="inlineStr">
        <is>
          <t>JT. # 175</t>
        </is>
      </c>
      <c r="B179" s="2145" t="n">
        <v>31.64</v>
      </c>
      <c r="C179" s="2142">
        <f>B179-0.301</f>
        <v/>
      </c>
    </row>
    <row r="180" ht="30.55" customHeight="1" s="1158">
      <c r="A180" s="2140" t="inlineStr">
        <is>
          <t>JT. # 176</t>
        </is>
      </c>
      <c r="B180" s="2145" t="n">
        <v>31.58</v>
      </c>
      <c r="C180" s="2142">
        <f>B180-0.301</f>
        <v/>
      </c>
    </row>
    <row r="181" ht="30.55" customHeight="1" s="1158">
      <c r="A181" s="2140" t="inlineStr">
        <is>
          <t>JT. # 177</t>
        </is>
      </c>
      <c r="B181" s="2145" t="n">
        <v>30.88</v>
      </c>
      <c r="C181" s="2142">
        <f>B181-0.301</f>
        <v/>
      </c>
    </row>
    <row r="182" ht="30.55" customHeight="1" s="1158">
      <c r="A182" s="2140" t="inlineStr">
        <is>
          <t>JT. # 178</t>
        </is>
      </c>
      <c r="B182" s="2145" t="n">
        <v>31.38</v>
      </c>
      <c r="C182" s="2142">
        <f>B182-0.301</f>
        <v/>
      </c>
    </row>
    <row r="183" ht="30.55" customHeight="1" s="1158">
      <c r="A183" s="2140" t="inlineStr">
        <is>
          <t>JT. # 179</t>
        </is>
      </c>
      <c r="B183" s="2145" t="n">
        <v>30.99</v>
      </c>
      <c r="C183" s="2142">
        <f>B183-0.301</f>
        <v/>
      </c>
    </row>
    <row r="184" ht="30.55" customHeight="1" s="1158">
      <c r="A184" s="2140" t="inlineStr">
        <is>
          <t>JT. # 180</t>
        </is>
      </c>
      <c r="B184" s="2145" t="n">
        <v>31.27</v>
      </c>
      <c r="C184" s="2142">
        <f>B184-0.301</f>
        <v/>
      </c>
    </row>
    <row r="185" ht="30.55" customHeight="1" s="1158">
      <c r="A185" s="2140" t="inlineStr">
        <is>
          <t>JT. # 181</t>
        </is>
      </c>
      <c r="B185" s="2145" t="n">
        <v>30.35</v>
      </c>
      <c r="C185" s="2142">
        <f>B185-0.301</f>
        <v/>
      </c>
    </row>
    <row r="186" ht="30.55" customHeight="1" s="1158">
      <c r="A186" s="2140" t="inlineStr">
        <is>
          <t>JT. # 182</t>
        </is>
      </c>
      <c r="B186" s="2145" t="n">
        <v>30.18</v>
      </c>
      <c r="C186" s="2142">
        <f>B186-0.301</f>
        <v/>
      </c>
    </row>
    <row r="187" ht="30.55" customHeight="1" s="1158">
      <c r="A187" s="2140" t="inlineStr">
        <is>
          <t>JT. # 183</t>
        </is>
      </c>
      <c r="B187" s="2145" t="n">
        <v>31.4</v>
      </c>
      <c r="C187" s="2142">
        <f>B187-0.301</f>
        <v/>
      </c>
    </row>
    <row r="188" ht="30.55" customHeight="1" s="1158">
      <c r="A188" s="2140" t="inlineStr">
        <is>
          <t>JT. # 184</t>
        </is>
      </c>
      <c r="B188" s="2145" t="n">
        <v>31.87</v>
      </c>
      <c r="C188" s="2142">
        <f>B188-0.301</f>
        <v/>
      </c>
    </row>
    <row r="189" ht="30.55" customHeight="1" s="1158">
      <c r="A189" s="2140" t="inlineStr">
        <is>
          <t>JT. # 185</t>
        </is>
      </c>
      <c r="B189" s="2145" t="n">
        <v>31.75</v>
      </c>
      <c r="C189" s="2142">
        <f>B189-0.301</f>
        <v/>
      </c>
    </row>
    <row r="190" ht="30.55" customHeight="1" s="1158">
      <c r="A190" s="2140" t="inlineStr">
        <is>
          <t>JT. # 186</t>
        </is>
      </c>
      <c r="B190" s="2145" t="n">
        <v>31.42</v>
      </c>
      <c r="C190" s="2142">
        <f>B190-0.301</f>
        <v/>
      </c>
    </row>
    <row r="191" ht="30.55" customHeight="1" s="1158">
      <c r="A191" s="2140" t="inlineStr">
        <is>
          <t>JT. # 187</t>
        </is>
      </c>
      <c r="B191" s="2145" t="n">
        <v>31.67</v>
      </c>
      <c r="C191" s="2142">
        <f>B191-0.301</f>
        <v/>
      </c>
    </row>
    <row r="192" ht="30.55" customHeight="1" s="1158">
      <c r="A192" s="2140" t="inlineStr">
        <is>
          <t>JT. # 188</t>
        </is>
      </c>
      <c r="B192" s="2145" t="n">
        <v>31.65</v>
      </c>
      <c r="C192" s="2142">
        <f>B192-0.301</f>
        <v/>
      </c>
    </row>
    <row r="193" ht="30.55" customHeight="1" s="1158">
      <c r="A193" s="2140" t="inlineStr">
        <is>
          <t>JT. # 189</t>
        </is>
      </c>
      <c r="B193" s="2145" t="n">
        <v>31.36</v>
      </c>
      <c r="C193" s="2142">
        <f>B193-0.301</f>
        <v/>
      </c>
    </row>
    <row r="194" ht="30.55" customHeight="1" s="1158">
      <c r="A194" s="2140" t="inlineStr">
        <is>
          <t>JT. # 190</t>
        </is>
      </c>
      <c r="B194" s="2145" t="n">
        <v>31.84</v>
      </c>
      <c r="C194" s="2142">
        <f>B194-0.301</f>
        <v/>
      </c>
    </row>
    <row r="195" ht="30.55" customHeight="1" s="1158">
      <c r="A195" s="2140" t="inlineStr">
        <is>
          <t>JT. # 191</t>
        </is>
      </c>
      <c r="B195" s="2145" t="n">
        <v>31.36</v>
      </c>
      <c r="C195" s="2142">
        <f>B195-0.301</f>
        <v/>
      </c>
    </row>
    <row r="196" ht="30.55" customHeight="1" s="1158">
      <c r="A196" s="2140" t="inlineStr">
        <is>
          <t>JT. # 192</t>
        </is>
      </c>
      <c r="B196" s="2145" t="n">
        <v>31.6</v>
      </c>
      <c r="C196" s="2142">
        <f>B196-0.301</f>
        <v/>
      </c>
    </row>
    <row r="197" ht="30.55" customHeight="1" s="1158">
      <c r="A197" s="2140" t="inlineStr">
        <is>
          <t>JT. # 193</t>
        </is>
      </c>
      <c r="B197" s="2145" t="n">
        <v>31.56</v>
      </c>
      <c r="C197" s="2142">
        <f>B197-0.301</f>
        <v/>
      </c>
    </row>
    <row r="198" ht="30.55" customHeight="1" s="1158">
      <c r="A198" s="2140" t="inlineStr">
        <is>
          <t>JT. # 194</t>
        </is>
      </c>
      <c r="B198" s="2145" t="n">
        <v>31.51</v>
      </c>
      <c r="C198" s="2142">
        <f>B198-0.301</f>
        <v/>
      </c>
    </row>
    <row r="199" ht="30.55" customHeight="1" s="1158">
      <c r="A199" s="2140" t="inlineStr">
        <is>
          <t>JT. # 195</t>
        </is>
      </c>
      <c r="B199" s="2145" t="n">
        <v>31.43</v>
      </c>
      <c r="C199" s="2142">
        <f>B199-0.301</f>
        <v/>
      </c>
    </row>
    <row r="200" ht="30.55" customHeight="1" s="1158">
      <c r="A200" s="2140" t="inlineStr">
        <is>
          <t>JT. # 196</t>
        </is>
      </c>
      <c r="B200" s="2145" t="n">
        <v>31.64</v>
      </c>
      <c r="C200" s="2142">
        <f>B200-0.301</f>
        <v/>
      </c>
    </row>
    <row r="201" ht="30.55" customHeight="1" s="1158">
      <c r="A201" s="2140" t="inlineStr">
        <is>
          <t>JT. # 197</t>
        </is>
      </c>
      <c r="B201" s="2145" t="n">
        <v>31.8</v>
      </c>
      <c r="C201" s="2142">
        <f>B201-0.301</f>
        <v/>
      </c>
    </row>
    <row r="202" ht="30.55" customHeight="1" s="1158">
      <c r="A202" s="2140" t="inlineStr">
        <is>
          <t>JT. # 198</t>
        </is>
      </c>
      <c r="B202" s="2145" t="n">
        <v>31.94</v>
      </c>
      <c r="C202" s="2142">
        <f>B202-0.301</f>
        <v/>
      </c>
    </row>
    <row r="203" ht="30.55" customHeight="1" s="1158">
      <c r="A203" s="2140" t="inlineStr">
        <is>
          <t>JT. # 199</t>
        </is>
      </c>
      <c r="B203" s="2145" t="n">
        <v>30.81</v>
      </c>
      <c r="C203" s="2142">
        <f>B203-0.301</f>
        <v/>
      </c>
    </row>
    <row r="204" ht="30.55" customHeight="1" s="1158">
      <c r="A204" s="2140" t="inlineStr">
        <is>
          <t>JT. # 200</t>
        </is>
      </c>
      <c r="B204" s="2145" t="n">
        <v>31.27</v>
      </c>
      <c r="C204" s="2142">
        <f>B204-0.301</f>
        <v/>
      </c>
    </row>
    <row r="205" ht="30.55" customHeight="1" s="1158">
      <c r="A205" s="2140" t="inlineStr">
        <is>
          <t>JT. # 201</t>
        </is>
      </c>
      <c r="B205" s="2148" t="n">
        <v>31.01</v>
      </c>
      <c r="C205" s="2142">
        <f>B205-0.301</f>
        <v/>
      </c>
    </row>
    <row r="206" ht="30.55" customHeight="1" s="1158">
      <c r="A206" s="2140" t="inlineStr">
        <is>
          <t>JT. # 202</t>
        </is>
      </c>
      <c r="B206" s="2148" t="n">
        <v>31.38</v>
      </c>
      <c r="C206" s="2142">
        <f>B206-0.301</f>
        <v/>
      </c>
    </row>
    <row r="207" ht="30.55" customHeight="1" s="1158">
      <c r="A207" s="2140" t="inlineStr">
        <is>
          <t>JT. # 203</t>
        </is>
      </c>
      <c r="B207" s="2148" t="n">
        <v>31.9</v>
      </c>
      <c r="C207" s="2142">
        <f>B207-0.301</f>
        <v/>
      </c>
    </row>
    <row r="208" ht="30.55" customHeight="1" s="1158">
      <c r="A208" s="2140" t="inlineStr">
        <is>
          <t>JT. # 204</t>
        </is>
      </c>
      <c r="B208" s="2148" t="n">
        <v>31.58</v>
      </c>
      <c r="C208" s="2142">
        <f>B208-0.301</f>
        <v/>
      </c>
    </row>
    <row r="209" ht="30.55" customHeight="1" s="1158">
      <c r="A209" s="2140" t="inlineStr">
        <is>
          <t>JT. # 205</t>
        </is>
      </c>
      <c r="B209" s="2148" t="n">
        <v>31.21</v>
      </c>
      <c r="C209" s="2142">
        <f>B209-0.301</f>
        <v/>
      </c>
    </row>
    <row r="210" ht="30.55" customHeight="1" s="1158">
      <c r="A210" s="2140" t="inlineStr">
        <is>
          <t>JT. # 206</t>
        </is>
      </c>
      <c r="B210" s="2148" t="n">
        <v>31.15</v>
      </c>
      <c r="C210" s="2142">
        <f>B210-0.301</f>
        <v/>
      </c>
    </row>
    <row r="211" ht="30.55" customHeight="1" s="1158">
      <c r="A211" s="2140" t="inlineStr">
        <is>
          <t>JT. # 207</t>
        </is>
      </c>
      <c r="B211" s="2148" t="n">
        <v>31.62</v>
      </c>
      <c r="C211" s="2142">
        <f>B211-0.301</f>
        <v/>
      </c>
    </row>
    <row r="212" ht="30.55" customHeight="1" s="1158">
      <c r="A212" s="2140" t="inlineStr">
        <is>
          <t>JT. # 208</t>
        </is>
      </c>
      <c r="B212" s="2145" t="n">
        <v>31.53</v>
      </c>
      <c r="C212" s="2142">
        <f>B212-0.301</f>
        <v/>
      </c>
    </row>
    <row r="213" ht="30.55" customHeight="1" s="1158">
      <c r="A213" s="2140" t="inlineStr">
        <is>
          <t>JT. # 209</t>
        </is>
      </c>
      <c r="B213" s="2145" t="n">
        <v>31.67</v>
      </c>
      <c r="C213" s="2142">
        <f>B213-0.301</f>
        <v/>
      </c>
    </row>
    <row r="214" ht="30.55" customHeight="1" s="1158">
      <c r="A214" s="2140" t="inlineStr">
        <is>
          <t>JT. # 210</t>
        </is>
      </c>
      <c r="B214" s="2145" t="n">
        <v>31.78</v>
      </c>
      <c r="C214" s="2142">
        <f>B214-0.301</f>
        <v/>
      </c>
    </row>
    <row r="215" ht="30.55" customHeight="1" s="1158">
      <c r="A215" s="2140" t="inlineStr">
        <is>
          <t>JT. # 211</t>
        </is>
      </c>
      <c r="B215" s="2145" t="n">
        <v>31.95</v>
      </c>
      <c r="C215" s="2142">
        <f>B215-0.301</f>
        <v/>
      </c>
    </row>
    <row r="216" ht="30.55" customHeight="1" s="1158">
      <c r="A216" s="2140" t="inlineStr">
        <is>
          <t>JT. # 212</t>
        </is>
      </c>
      <c r="B216" s="2145" t="n">
        <v>31.4</v>
      </c>
      <c r="C216" s="2142">
        <f>B216-0.301</f>
        <v/>
      </c>
    </row>
    <row r="217" ht="30.55" customHeight="1" s="1158">
      <c r="A217" s="2140" t="inlineStr">
        <is>
          <t>JT. # 213</t>
        </is>
      </c>
      <c r="B217" s="2145" t="n">
        <v>31.43</v>
      </c>
      <c r="C217" s="2142">
        <f>B217-0.301</f>
        <v/>
      </c>
    </row>
    <row r="218" ht="30.55" customHeight="1" s="1158">
      <c r="A218" s="2140" t="inlineStr">
        <is>
          <t>JT. # 214</t>
        </is>
      </c>
      <c r="B218" s="2145" t="n">
        <v>31.4</v>
      </c>
      <c r="C218" s="2142">
        <f>B218-0.301</f>
        <v/>
      </c>
    </row>
    <row r="219" ht="30.55" customHeight="1" s="1158">
      <c r="A219" s="2140" t="inlineStr">
        <is>
          <t>JT. # 215</t>
        </is>
      </c>
      <c r="B219" s="2145" t="n">
        <v>31.07</v>
      </c>
      <c r="C219" s="2142">
        <f>B219-0.301</f>
        <v/>
      </c>
    </row>
    <row r="220" ht="30.55" customHeight="1" s="1158">
      <c r="A220" s="2140" t="inlineStr">
        <is>
          <t>JT. # 216</t>
        </is>
      </c>
      <c r="B220" s="2145" t="n">
        <v>31.41</v>
      </c>
      <c r="C220" s="2142">
        <f>B220-0.301</f>
        <v/>
      </c>
    </row>
    <row r="221" ht="30.55" customHeight="1" s="1158">
      <c r="A221" s="2140" t="inlineStr">
        <is>
          <t>JT. # 217</t>
        </is>
      </c>
      <c r="B221" s="2145" t="n">
        <v>31.17</v>
      </c>
      <c r="C221" s="2142">
        <f>B221-0.301</f>
        <v/>
      </c>
    </row>
    <row r="222" ht="30.55" customHeight="1" s="1158">
      <c r="A222" s="2140" t="inlineStr">
        <is>
          <t>JT. # 218</t>
        </is>
      </c>
      <c r="B222" s="2145" t="n">
        <v>31.33</v>
      </c>
      <c r="C222" s="2142">
        <f>B222-0.301</f>
        <v/>
      </c>
    </row>
    <row r="223" ht="30.55" customHeight="1" s="1158">
      <c r="A223" s="2140" t="inlineStr">
        <is>
          <t>JT. # 219</t>
        </is>
      </c>
      <c r="B223" s="2145" t="n">
        <v>31.94</v>
      </c>
      <c r="C223" s="2142">
        <f>B223-0.301</f>
        <v/>
      </c>
    </row>
    <row r="224" ht="30.55" customHeight="1" s="1158">
      <c r="A224" s="2140" t="inlineStr">
        <is>
          <t>JT. # 220</t>
        </is>
      </c>
      <c r="B224" s="2145" t="n">
        <v>31.95</v>
      </c>
      <c r="C224" s="2142">
        <f>B224-0.301</f>
        <v/>
      </c>
    </row>
    <row r="225" ht="30.55" customHeight="1" s="1158">
      <c r="A225" s="2140" t="inlineStr">
        <is>
          <t>JT. # 221</t>
        </is>
      </c>
      <c r="B225" s="2145" t="n">
        <v>31.41</v>
      </c>
      <c r="C225" s="2142">
        <f>B225-0.301</f>
        <v/>
      </c>
    </row>
    <row r="226" ht="30.55" customHeight="1" s="1158">
      <c r="A226" s="2140" t="inlineStr">
        <is>
          <t>JT. # 222</t>
        </is>
      </c>
      <c r="B226" s="2145" t="n">
        <v>31.5</v>
      </c>
      <c r="C226" s="2142">
        <f>B226-0.301</f>
        <v/>
      </c>
    </row>
    <row r="227" ht="30.55" customHeight="1" s="1158">
      <c r="A227" s="2140" t="inlineStr">
        <is>
          <t>JT. # 223</t>
        </is>
      </c>
      <c r="B227" s="2145" t="n">
        <v>31.38</v>
      </c>
      <c r="C227" s="2142">
        <f>B227-0.301</f>
        <v/>
      </c>
    </row>
    <row r="228" ht="30.55" customHeight="1" s="1158">
      <c r="A228" s="2140" t="inlineStr">
        <is>
          <t>JT. # 224</t>
        </is>
      </c>
      <c r="B228" s="2145" t="n">
        <v>29.46</v>
      </c>
      <c r="C228" s="2142">
        <f>B228-0.301</f>
        <v/>
      </c>
    </row>
    <row r="229" ht="30.55" customHeight="1" s="1158">
      <c r="A229" s="2140" t="inlineStr">
        <is>
          <t>JT. # 225</t>
        </is>
      </c>
      <c r="B229" s="2145" t="n">
        <v>31.17</v>
      </c>
      <c r="C229" s="2142">
        <f>B229-0.301</f>
        <v/>
      </c>
    </row>
    <row r="230" ht="30.55" customHeight="1" s="1158">
      <c r="A230" s="2140" t="inlineStr">
        <is>
          <t>JT. # 226</t>
        </is>
      </c>
      <c r="B230" s="2145" t="n">
        <v>30.52</v>
      </c>
      <c r="C230" s="2142">
        <f>B230-0.301</f>
        <v/>
      </c>
    </row>
    <row r="231" ht="30.55" customHeight="1" s="1158">
      <c r="A231" s="2140" t="inlineStr">
        <is>
          <t>JT. # 227</t>
        </is>
      </c>
      <c r="B231" s="2145" t="n">
        <v>31.6</v>
      </c>
      <c r="C231" s="2142">
        <f>B231-0.301</f>
        <v/>
      </c>
    </row>
    <row r="232" ht="30.55" customHeight="1" s="1158">
      <c r="A232" s="2140" t="inlineStr">
        <is>
          <t>JT. # 228</t>
        </is>
      </c>
      <c r="B232" s="2145" t="n">
        <v>31.21</v>
      </c>
      <c r="C232" s="2142">
        <f>B232-0.301</f>
        <v/>
      </c>
    </row>
    <row r="233" ht="30.55" customHeight="1" s="1158">
      <c r="A233" s="2140" t="inlineStr">
        <is>
          <t>JT. # 229</t>
        </is>
      </c>
      <c r="B233" s="2145" t="n">
        <v>31.96</v>
      </c>
      <c r="C233" s="2142">
        <f>B233-0.301</f>
        <v/>
      </c>
    </row>
    <row r="234" ht="30.55" customHeight="1" s="1158">
      <c r="A234" s="2140" t="inlineStr">
        <is>
          <t>JT. # 230</t>
        </is>
      </c>
      <c r="B234" s="2145" t="n">
        <v>31.92</v>
      </c>
      <c r="C234" s="2142">
        <f>B234-0.301</f>
        <v/>
      </c>
    </row>
    <row r="235" ht="30.55" customHeight="1" s="1158">
      <c r="A235" s="2140" t="inlineStr">
        <is>
          <t>JT. # 231</t>
        </is>
      </c>
      <c r="B235" s="2145" t="n">
        <v>31.63</v>
      </c>
      <c r="C235" s="2142">
        <f>B235-0.301</f>
        <v/>
      </c>
    </row>
    <row r="236" ht="30.55" customHeight="1" s="1158">
      <c r="A236" s="2140" t="inlineStr">
        <is>
          <t>JT. # 232</t>
        </is>
      </c>
      <c r="B236" s="2145" t="n">
        <v>31.68</v>
      </c>
      <c r="C236" s="2142">
        <f>B236-0.301</f>
        <v/>
      </c>
    </row>
    <row r="237" ht="30.55" customHeight="1" s="1158">
      <c r="A237" s="2140" t="inlineStr">
        <is>
          <t>JT. # 233</t>
        </is>
      </c>
      <c r="B237" s="2145" t="n">
        <v>29.37</v>
      </c>
      <c r="C237" s="2142">
        <f>B237-0.301</f>
        <v/>
      </c>
    </row>
    <row r="238" ht="30.55" customHeight="1" s="1158">
      <c r="A238" s="2140" t="inlineStr">
        <is>
          <t>JT. # 234</t>
        </is>
      </c>
      <c r="B238" s="2145" t="n">
        <v>29.38</v>
      </c>
      <c r="C238" s="2142">
        <f>B238-0.301</f>
        <v/>
      </c>
    </row>
    <row r="239" ht="30.55" customHeight="1" s="1158">
      <c r="A239" s="2140" t="inlineStr">
        <is>
          <t>JT. # 235</t>
        </is>
      </c>
      <c r="B239" s="2145" t="n">
        <v>30.92</v>
      </c>
      <c r="C239" s="2142">
        <f>B239-0.301</f>
        <v/>
      </c>
    </row>
    <row r="240" ht="30.55" customHeight="1" s="1158">
      <c r="A240" s="2140" t="inlineStr">
        <is>
          <t>JT. # 236</t>
        </is>
      </c>
      <c r="B240" s="2145" t="n">
        <v>31.49</v>
      </c>
      <c r="C240" s="2142">
        <f>B240-0.301</f>
        <v/>
      </c>
    </row>
    <row r="241" ht="30.55" customHeight="1" s="1158">
      <c r="A241" s="2140" t="inlineStr">
        <is>
          <t>JT. # 237</t>
        </is>
      </c>
      <c r="B241" s="2145" t="n">
        <v>30.57</v>
      </c>
      <c r="C241" s="2142">
        <f>B241-0.301</f>
        <v/>
      </c>
    </row>
    <row r="242" ht="30.55" customHeight="1" s="1158">
      <c r="A242" s="2140" t="inlineStr">
        <is>
          <t>JT. # 238</t>
        </is>
      </c>
      <c r="B242" s="2145" t="n">
        <v>31.61</v>
      </c>
      <c r="C242" s="2142">
        <f>B242-0.301</f>
        <v/>
      </c>
    </row>
    <row r="243" ht="30.55" customHeight="1" s="1158">
      <c r="A243" s="2140" t="inlineStr">
        <is>
          <t>JT. # 239</t>
        </is>
      </c>
      <c r="B243" s="2145" t="n">
        <v>31.22</v>
      </c>
      <c r="C243" s="2142">
        <f>B243-0.301</f>
        <v/>
      </c>
    </row>
    <row r="244" ht="30.55" customHeight="1" s="1158">
      <c r="A244" s="2140" t="inlineStr">
        <is>
          <t>JT. # 240</t>
        </is>
      </c>
      <c r="B244" s="2145" t="n">
        <v>31.32</v>
      </c>
      <c r="C244" s="2142">
        <f>B244-0.301</f>
        <v/>
      </c>
    </row>
    <row r="245" ht="30.55" customHeight="1" s="1158">
      <c r="A245" s="2140" t="inlineStr">
        <is>
          <t>JT. # 241</t>
        </is>
      </c>
      <c r="B245" s="2145" t="n">
        <v>31.31</v>
      </c>
      <c r="C245" s="2142">
        <f>B245-0.301</f>
        <v/>
      </c>
    </row>
    <row r="246" ht="30.55" customHeight="1" s="1158">
      <c r="A246" s="2140" t="inlineStr">
        <is>
          <t>JT. # 242</t>
        </is>
      </c>
      <c r="B246" s="2145" t="n">
        <v>31.06</v>
      </c>
      <c r="C246" s="2142">
        <f>B246-0.301</f>
        <v/>
      </c>
    </row>
    <row r="247" ht="30.55" customHeight="1" s="1158">
      <c r="A247" s="2140" t="inlineStr">
        <is>
          <t>JT. # 243</t>
        </is>
      </c>
      <c r="B247" s="2145" t="n">
        <v>31.23</v>
      </c>
      <c r="C247" s="2142">
        <f>B247-0.301</f>
        <v/>
      </c>
    </row>
    <row r="248" ht="30.55" customHeight="1" s="1158">
      <c r="A248" s="2140" t="inlineStr">
        <is>
          <t>JT. # 244</t>
        </is>
      </c>
      <c r="B248" s="2145" t="n">
        <v>31.2</v>
      </c>
      <c r="C248" s="2142">
        <f>B248-0.301</f>
        <v/>
      </c>
    </row>
    <row r="249" ht="30.55" customHeight="1" s="1158">
      <c r="A249" s="2140" t="inlineStr">
        <is>
          <t>JT. # 245</t>
        </is>
      </c>
      <c r="B249" s="2145" t="n">
        <v>31.22</v>
      </c>
      <c r="C249" s="2142">
        <f>B249-0.301</f>
        <v/>
      </c>
    </row>
    <row r="250" ht="30.55" customHeight="1" s="1158">
      <c r="A250" s="2140" t="inlineStr">
        <is>
          <t>JT. # 246</t>
        </is>
      </c>
      <c r="B250" s="2145" t="n">
        <v>31.18</v>
      </c>
      <c r="C250" s="2142">
        <f>B250-0.301</f>
        <v/>
      </c>
    </row>
    <row r="251" ht="30.55" customHeight="1" s="1158">
      <c r="A251" s="2140" t="inlineStr">
        <is>
          <t>JT. # 247</t>
        </is>
      </c>
      <c r="B251" s="2145" t="n">
        <v>29.18</v>
      </c>
      <c r="C251" s="2142">
        <f>B251-0.301</f>
        <v/>
      </c>
    </row>
    <row r="252" ht="30.55" customHeight="1" s="1158">
      <c r="A252" s="2140" t="inlineStr">
        <is>
          <t>JT. # 248</t>
        </is>
      </c>
      <c r="B252" s="2145" t="n">
        <v>31.46</v>
      </c>
      <c r="C252" s="2142">
        <f>B252-0.301</f>
        <v/>
      </c>
    </row>
    <row r="253" ht="30.55" customHeight="1" s="1158">
      <c r="A253" s="2140" t="inlineStr">
        <is>
          <t>JT. # 249</t>
        </is>
      </c>
      <c r="B253" s="2145" t="n">
        <v>31.45</v>
      </c>
      <c r="C253" s="2142">
        <f>B253-0.301</f>
        <v/>
      </c>
    </row>
    <row r="254" ht="30.55" customHeight="1" s="1158">
      <c r="A254" s="2140" t="inlineStr">
        <is>
          <t>JT. # 250</t>
        </is>
      </c>
      <c r="B254" s="2145" t="n">
        <v>31.21</v>
      </c>
      <c r="C254" s="2142">
        <f>B254-0.301</f>
        <v/>
      </c>
    </row>
    <row r="255" ht="30.55" customHeight="1" s="1158">
      <c r="A255" s="2140" t="inlineStr">
        <is>
          <t>JT. # 251</t>
        </is>
      </c>
      <c r="B255" s="2147" t="n">
        <v>31.46</v>
      </c>
      <c r="C255" s="2142">
        <f>B255-0.301</f>
        <v/>
      </c>
    </row>
    <row r="256" ht="30.55" customHeight="1" s="1158">
      <c r="A256" s="2140" t="inlineStr">
        <is>
          <t>JT. # 252</t>
        </is>
      </c>
      <c r="B256" s="2145" t="n">
        <v>31.26</v>
      </c>
      <c r="C256" s="2142">
        <f>B256-0.301</f>
        <v/>
      </c>
    </row>
    <row r="257" ht="30.55" customHeight="1" s="1158">
      <c r="A257" s="2140" t="inlineStr">
        <is>
          <t>JT. # 253</t>
        </is>
      </c>
      <c r="B257" s="2145" t="n">
        <v>31.22</v>
      </c>
      <c r="C257" s="2142">
        <f>B257-0.301</f>
        <v/>
      </c>
    </row>
    <row r="258" ht="30.55" customHeight="1" s="1158">
      <c r="A258" s="2140" t="inlineStr">
        <is>
          <t>JT. # 254</t>
        </is>
      </c>
      <c r="B258" s="2145" t="n">
        <v>31.13</v>
      </c>
      <c r="C258" s="2142">
        <f>B258-0.301</f>
        <v/>
      </c>
    </row>
    <row r="259" ht="30.55" customHeight="1" s="1158">
      <c r="A259" s="2140" t="inlineStr">
        <is>
          <t>JT. # 255</t>
        </is>
      </c>
      <c r="B259" s="2145" t="n">
        <v>30.97</v>
      </c>
      <c r="C259" s="2142">
        <f>B259-0.301</f>
        <v/>
      </c>
    </row>
    <row r="260" ht="30.55" customHeight="1" s="1158">
      <c r="A260" s="2140" t="inlineStr">
        <is>
          <t>JT. # 256</t>
        </is>
      </c>
      <c r="B260" s="2145" t="n">
        <v>31.13</v>
      </c>
      <c r="C260" s="2142">
        <f>B260-0.301</f>
        <v/>
      </c>
    </row>
    <row r="261" ht="30.55" customHeight="1" s="1158">
      <c r="A261" s="2140" t="inlineStr">
        <is>
          <t>JT. # 257</t>
        </is>
      </c>
      <c r="B261" s="2145" t="n">
        <v>31.37</v>
      </c>
      <c r="C261" s="2142">
        <f>B261-0.301</f>
        <v/>
      </c>
    </row>
    <row r="262" ht="30.55" customHeight="1" s="1158">
      <c r="A262" s="2140" t="inlineStr">
        <is>
          <t>JT. # 258</t>
        </is>
      </c>
      <c r="B262" s="2145" t="n">
        <v>31.4</v>
      </c>
      <c r="C262" s="2142">
        <f>B262-0.301</f>
        <v/>
      </c>
    </row>
    <row r="263" ht="30.55" customHeight="1" s="1158">
      <c r="A263" s="2140" t="inlineStr">
        <is>
          <t>JT. # 259</t>
        </is>
      </c>
      <c r="B263" s="2145" t="n">
        <v>31.36</v>
      </c>
      <c r="C263" s="2142">
        <f>B263-0.301</f>
        <v/>
      </c>
    </row>
    <row r="264" ht="30.55" customHeight="1" s="1158">
      <c r="A264" s="2140" t="inlineStr">
        <is>
          <t>JT. # 260</t>
        </is>
      </c>
      <c r="B264" s="2145" t="n">
        <v>31.3</v>
      </c>
      <c r="C264" s="2142">
        <f>B264-0.301</f>
        <v/>
      </c>
    </row>
    <row r="265" ht="30.55" customHeight="1" s="1158">
      <c r="A265" s="2140" t="inlineStr">
        <is>
          <t>JT. # 261</t>
        </is>
      </c>
      <c r="B265" s="2145" t="n">
        <v>31.35</v>
      </c>
      <c r="C265" s="2142">
        <f>B265-0.301</f>
        <v/>
      </c>
    </row>
    <row r="266" ht="30.55" customHeight="1" s="1158">
      <c r="A266" s="2140" t="inlineStr">
        <is>
          <t>JT. # 262</t>
        </is>
      </c>
      <c r="B266" s="2145" t="n">
        <v>30.62</v>
      </c>
      <c r="C266" s="2142">
        <f>B266-0.301</f>
        <v/>
      </c>
    </row>
    <row r="267" ht="30.55" customHeight="1" s="1158">
      <c r="A267" s="2140" t="inlineStr">
        <is>
          <t>JT. # 263</t>
        </is>
      </c>
      <c r="B267" s="2145" t="n">
        <v>30.52</v>
      </c>
      <c r="C267" s="2142">
        <f>B267-0.301</f>
        <v/>
      </c>
    </row>
    <row r="268" ht="30.55" customHeight="1" s="1158">
      <c r="A268" s="2140" t="inlineStr">
        <is>
          <t>JT. # 264</t>
        </is>
      </c>
      <c r="B268" s="2145" t="n">
        <v>29.9</v>
      </c>
      <c r="C268" s="2142">
        <f>B268-0.301</f>
        <v/>
      </c>
    </row>
    <row r="269" ht="30.55" customHeight="1" s="1158">
      <c r="A269" s="2140" t="inlineStr">
        <is>
          <t>JT. # 265</t>
        </is>
      </c>
      <c r="B269" s="2145" t="n">
        <v>31.15</v>
      </c>
      <c r="C269" s="2142">
        <f>B269-0.301</f>
        <v/>
      </c>
    </row>
    <row r="270" ht="30.55" customHeight="1" s="1158">
      <c r="A270" s="2140" t="inlineStr">
        <is>
          <t>JT. # 266</t>
        </is>
      </c>
      <c r="B270" s="2145" t="n">
        <v>31.27</v>
      </c>
      <c r="C270" s="2142">
        <f>B270-0.301</f>
        <v/>
      </c>
    </row>
    <row r="271" ht="30.55" customHeight="1" s="1158">
      <c r="A271" s="2140" t="inlineStr">
        <is>
          <t>JT. # 267</t>
        </is>
      </c>
      <c r="B271" s="2145" t="n">
        <v>31.45</v>
      </c>
      <c r="C271" s="2142">
        <f>B271-0.301</f>
        <v/>
      </c>
    </row>
    <row r="272" ht="30.55" customHeight="1" s="1158">
      <c r="A272" s="2140" t="inlineStr">
        <is>
          <t>JT. # 268</t>
        </is>
      </c>
      <c r="B272" s="2145" t="n">
        <v>31.34</v>
      </c>
      <c r="C272" s="2142">
        <f>B272-0.301</f>
        <v/>
      </c>
    </row>
    <row r="273" ht="30.55" customHeight="1" s="1158">
      <c r="A273" s="2140" t="inlineStr">
        <is>
          <t>JT. # 269</t>
        </is>
      </c>
      <c r="B273" s="2145" t="n">
        <v>31.33</v>
      </c>
      <c r="C273" s="2142">
        <f>B273-0.301</f>
        <v/>
      </c>
    </row>
    <row r="274" ht="30.55" customHeight="1" s="1158">
      <c r="A274" s="2140" t="inlineStr">
        <is>
          <t>JT. # 270</t>
        </is>
      </c>
      <c r="B274" s="2145" t="n">
        <v>31.44</v>
      </c>
      <c r="C274" s="2142">
        <f>B274-0.301</f>
        <v/>
      </c>
    </row>
    <row r="275" ht="30.55" customHeight="1" s="1158">
      <c r="A275" s="2140" t="inlineStr">
        <is>
          <t>JT. # 271</t>
        </is>
      </c>
      <c r="B275" s="2145" t="n">
        <v>30.34</v>
      </c>
      <c r="C275" s="2142">
        <f>B275-0.301</f>
        <v/>
      </c>
    </row>
    <row r="276" ht="30.55" customHeight="1" s="1158">
      <c r="A276" s="2140" t="inlineStr">
        <is>
          <t>JT. # 272</t>
        </is>
      </c>
      <c r="B276" s="2145" t="n">
        <v>30.77</v>
      </c>
      <c r="C276" s="2142">
        <f>B276-0.301</f>
        <v/>
      </c>
    </row>
    <row r="277" ht="30.55" customHeight="1" s="1158">
      <c r="A277" s="2140" t="inlineStr">
        <is>
          <t>JT. # 273</t>
        </is>
      </c>
      <c r="B277" s="2145" t="n">
        <v>31.02</v>
      </c>
      <c r="C277" s="2142">
        <f>B277-0.301</f>
        <v/>
      </c>
    </row>
    <row r="278" ht="30.55" customHeight="1" s="1158">
      <c r="A278" s="2140" t="inlineStr">
        <is>
          <t>JT. # 274</t>
        </is>
      </c>
      <c r="B278" s="2145" t="n">
        <v>30.44</v>
      </c>
      <c r="C278" s="2142">
        <f>B278-0.301</f>
        <v/>
      </c>
    </row>
    <row r="279" ht="30.55" customHeight="1" s="1158">
      <c r="A279" s="2140" t="inlineStr">
        <is>
          <t>JT. # 275</t>
        </is>
      </c>
      <c r="B279" s="2145" t="n">
        <v>31.5</v>
      </c>
      <c r="C279" s="2142">
        <f>B279-0.301</f>
        <v/>
      </c>
    </row>
    <row r="280" ht="30.55" customHeight="1" s="1158">
      <c r="A280" s="2140" t="inlineStr">
        <is>
          <t>JT. # 276</t>
        </is>
      </c>
      <c r="B280" s="2145" t="n">
        <v>31.25</v>
      </c>
      <c r="C280" s="2142">
        <f>B280-0.301</f>
        <v/>
      </c>
    </row>
    <row r="281" ht="30.55" customHeight="1" s="1158">
      <c r="A281" s="2140" t="inlineStr">
        <is>
          <t>JT. # 277</t>
        </is>
      </c>
      <c r="B281" s="2145" t="n">
        <v>31.71</v>
      </c>
      <c r="C281" s="2142">
        <f>B281-0.301</f>
        <v/>
      </c>
    </row>
    <row r="282" ht="30.55" customHeight="1" s="1158">
      <c r="A282" s="2140" t="inlineStr">
        <is>
          <t>JT. # 278</t>
        </is>
      </c>
      <c r="B282" s="2145" t="n">
        <v>31.59</v>
      </c>
      <c r="C282" s="2142">
        <f>B282-0.301</f>
        <v/>
      </c>
    </row>
    <row r="283" ht="30.55" customHeight="1" s="1158">
      <c r="A283" s="2140" t="inlineStr">
        <is>
          <t>JT. # 279</t>
        </is>
      </c>
      <c r="B283" s="2145" t="n">
        <v>31.25</v>
      </c>
      <c r="C283" s="2142">
        <f>B283-0.301</f>
        <v/>
      </c>
    </row>
    <row r="284" ht="30.55" customHeight="1" s="1158">
      <c r="A284" s="2140" t="inlineStr">
        <is>
          <t>JT. # 280</t>
        </is>
      </c>
      <c r="B284" s="2145" t="n">
        <v>30.7</v>
      </c>
      <c r="C284" s="2142">
        <f>B284-0.301</f>
        <v/>
      </c>
    </row>
    <row r="285" ht="30.55" customHeight="1" s="1158">
      <c r="A285" s="2140" t="inlineStr">
        <is>
          <t>JT. # 281</t>
        </is>
      </c>
      <c r="B285" s="2145" t="n">
        <v>31.16</v>
      </c>
      <c r="C285" s="2142">
        <f>B285-0.301</f>
        <v/>
      </c>
    </row>
    <row r="286" ht="30.55" customHeight="1" s="1158">
      <c r="A286" s="2140" t="inlineStr">
        <is>
          <t>JT. # 282</t>
        </is>
      </c>
      <c r="B286" s="2145" t="n">
        <v>30.96</v>
      </c>
      <c r="C286" s="2142">
        <f>B286-0.301</f>
        <v/>
      </c>
    </row>
    <row r="287" ht="30.55" customHeight="1" s="1158">
      <c r="A287" s="2140" t="inlineStr">
        <is>
          <t>JT. # 283</t>
        </is>
      </c>
      <c r="B287" s="2145" t="n">
        <v>30.26</v>
      </c>
      <c r="C287" s="2142">
        <f>B287-0.301</f>
        <v/>
      </c>
    </row>
    <row r="288" ht="30.55" customHeight="1" s="1158">
      <c r="A288" s="2140" t="inlineStr">
        <is>
          <t>JT. # 284</t>
        </is>
      </c>
      <c r="B288" s="2145" t="n">
        <v>30.76</v>
      </c>
      <c r="C288" s="2142">
        <f>B288-0.301</f>
        <v/>
      </c>
    </row>
    <row r="289" ht="30.55" customHeight="1" s="1158">
      <c r="A289" s="2140" t="inlineStr">
        <is>
          <t>JT. # 285</t>
        </is>
      </c>
      <c r="B289" s="2145" t="n">
        <v>31.02</v>
      </c>
      <c r="C289" s="2142">
        <f>B289-0.301</f>
        <v/>
      </c>
    </row>
    <row r="290" ht="30.55" customHeight="1" s="1158">
      <c r="A290" s="2140" t="inlineStr">
        <is>
          <t>JT. # 286</t>
        </is>
      </c>
      <c r="B290" s="2145" t="n">
        <v>31.73</v>
      </c>
      <c r="C290" s="2142">
        <f>B290-0.301</f>
        <v/>
      </c>
    </row>
    <row r="291" ht="30.55" customHeight="1" s="1158">
      <c r="A291" s="2140" t="inlineStr">
        <is>
          <t>JT. # 287</t>
        </is>
      </c>
      <c r="B291" s="2145" t="n">
        <v>31.39</v>
      </c>
      <c r="C291" s="2142">
        <f>B291-0.301</f>
        <v/>
      </c>
    </row>
    <row r="292" ht="30.55" customHeight="1" s="1158">
      <c r="A292" s="2140" t="inlineStr">
        <is>
          <t>JT. # 288</t>
        </is>
      </c>
      <c r="B292" s="2145" t="n">
        <v>31.45</v>
      </c>
      <c r="C292" s="2142">
        <f>B292-0.301</f>
        <v/>
      </c>
    </row>
    <row r="293" ht="30.55" customHeight="1" s="1158">
      <c r="A293" s="2140" t="inlineStr">
        <is>
          <t>JT. # 289</t>
        </is>
      </c>
      <c r="B293" s="2145" t="n">
        <v>31.6</v>
      </c>
      <c r="C293" s="2142">
        <f>B293-0.301</f>
        <v/>
      </c>
    </row>
    <row r="294" ht="30.55" customHeight="1" s="1158">
      <c r="A294" s="2140" t="inlineStr">
        <is>
          <t>JT. # 290</t>
        </is>
      </c>
      <c r="B294" s="2145" t="n">
        <v>30.49</v>
      </c>
      <c r="C294" s="2142">
        <f>B294-0.301</f>
        <v/>
      </c>
    </row>
    <row r="295" ht="30.55" customHeight="1" s="1158">
      <c r="A295" s="2140" t="inlineStr">
        <is>
          <t>JT. # 291</t>
        </is>
      </c>
      <c r="B295" s="2145" t="n">
        <v>31.71</v>
      </c>
      <c r="C295" s="2142">
        <f>B295-0.301</f>
        <v/>
      </c>
    </row>
    <row r="296" ht="30.55" customHeight="1" s="1158">
      <c r="A296" s="2140" t="inlineStr">
        <is>
          <t>JT. # 292</t>
        </is>
      </c>
      <c r="B296" s="2145" t="n">
        <v>31.38</v>
      </c>
      <c r="C296" s="2142">
        <f>B296-0.301</f>
        <v/>
      </c>
    </row>
    <row r="297" ht="30.55" customHeight="1" s="1158">
      <c r="A297" s="2140" t="inlineStr">
        <is>
          <t>JT. # 293</t>
        </is>
      </c>
      <c r="B297" s="2145" t="n">
        <v>31.01</v>
      </c>
      <c r="C297" s="2142">
        <f>B297-0.301</f>
        <v/>
      </c>
    </row>
    <row r="298" ht="30.55" customHeight="1" s="1158">
      <c r="A298" s="2140" t="inlineStr">
        <is>
          <t>JT. # 294</t>
        </is>
      </c>
      <c r="B298" s="2145" t="n">
        <v>30.49</v>
      </c>
      <c r="C298" s="2142">
        <f>B298-0.301</f>
        <v/>
      </c>
    </row>
    <row r="299" ht="30.55" customHeight="1" s="1158">
      <c r="A299" s="2140" t="inlineStr">
        <is>
          <t>JT. # 295</t>
        </is>
      </c>
      <c r="B299" s="2145" t="n">
        <v>30.38</v>
      </c>
      <c r="C299" s="2142">
        <f>B299-0.301</f>
        <v/>
      </c>
    </row>
    <row r="300" ht="30.55" customHeight="1" s="1158">
      <c r="A300" s="2140" t="inlineStr">
        <is>
          <t>JT. # 296</t>
        </is>
      </c>
      <c r="B300" s="2145" t="n">
        <v>31.19</v>
      </c>
      <c r="C300" s="2142">
        <f>B300-0.301</f>
        <v/>
      </c>
    </row>
    <row r="301" ht="30.55" customHeight="1" s="1158">
      <c r="A301" s="2140" t="inlineStr">
        <is>
          <t>JT. # 297</t>
        </is>
      </c>
      <c r="B301" s="2145" t="n">
        <v>31.71</v>
      </c>
      <c r="C301" s="2142">
        <f>B301-0.301</f>
        <v/>
      </c>
    </row>
    <row r="302" ht="30.55" customHeight="1" s="1158">
      <c r="A302" s="2140" t="inlineStr">
        <is>
          <t>JT. # 298</t>
        </is>
      </c>
      <c r="B302" s="2149" t="n">
        <v>31.82</v>
      </c>
      <c r="C302" s="2142">
        <f>B302-0.301</f>
        <v/>
      </c>
    </row>
    <row r="303" ht="30.55" customHeight="1" s="1158">
      <c r="A303" s="2140" t="inlineStr">
        <is>
          <t>JT. # 299</t>
        </is>
      </c>
      <c r="B303" s="2149" t="n">
        <v>31.09</v>
      </c>
      <c r="C303" s="2142">
        <f>B303-0.301</f>
        <v/>
      </c>
    </row>
    <row r="304" ht="30.55" customHeight="1" s="1158">
      <c r="A304" s="2140" t="inlineStr">
        <is>
          <t>JT. # 300</t>
        </is>
      </c>
      <c r="B304" s="2145" t="n">
        <v>31.52</v>
      </c>
      <c r="C304" s="2142">
        <f>B304-0.301</f>
        <v/>
      </c>
    </row>
    <row r="305" ht="30.55" customFormat="1" customHeight="1" s="2133">
      <c r="A305" s="2140" t="inlineStr">
        <is>
          <t>JT. # 301</t>
        </is>
      </c>
      <c r="B305" s="2148" t="n">
        <v>30.65</v>
      </c>
      <c r="C305" s="2142">
        <f>B305-0.301</f>
        <v/>
      </c>
    </row>
    <row r="306" ht="30.55" customFormat="1" customHeight="1" s="2133">
      <c r="A306" s="2140" t="inlineStr">
        <is>
          <t>JT. # 302</t>
        </is>
      </c>
      <c r="B306" s="2148" t="n">
        <v>30.8</v>
      </c>
      <c r="C306" s="2142">
        <f>B306-0.301</f>
        <v/>
      </c>
    </row>
    <row r="307" ht="30.55" customFormat="1" customHeight="1" s="2133">
      <c r="A307" s="2140" t="inlineStr">
        <is>
          <t>JT. # 303</t>
        </is>
      </c>
      <c r="B307" s="2148" t="n">
        <v>31.22</v>
      </c>
      <c r="C307" s="2142">
        <f>B307-0.301</f>
        <v/>
      </c>
    </row>
    <row r="308" ht="30.55" customFormat="1" customHeight="1" s="2133">
      <c r="A308" s="2140" t="inlineStr">
        <is>
          <t>JT. # 304</t>
        </is>
      </c>
      <c r="B308" s="2148" t="n">
        <v>30.99</v>
      </c>
      <c r="C308" s="2142">
        <f>B308-0.301</f>
        <v/>
      </c>
    </row>
    <row r="309" ht="30.55" customFormat="1" customHeight="1" s="2133">
      <c r="A309" s="2140" t="inlineStr">
        <is>
          <t>JT. # 305</t>
        </is>
      </c>
      <c r="B309" s="2148" t="n">
        <v>31.7</v>
      </c>
      <c r="C309" s="2142">
        <f>B309-0.301</f>
        <v/>
      </c>
    </row>
    <row r="310" ht="30.55" customFormat="1" customHeight="1" s="2133">
      <c r="A310" s="2140" t="inlineStr">
        <is>
          <t>JT. # 306</t>
        </is>
      </c>
      <c r="B310" s="2148" t="n">
        <v>31.65</v>
      </c>
      <c r="C310" s="2142">
        <f>B310-0.301</f>
        <v/>
      </c>
    </row>
    <row r="311" ht="30.55" customFormat="1" customHeight="1" s="2133">
      <c r="A311" s="2140" t="inlineStr">
        <is>
          <t>JT. # 307</t>
        </is>
      </c>
      <c r="B311" s="2148" t="n">
        <v>31.28</v>
      </c>
      <c r="C311" s="2142">
        <f>B311-0.301</f>
        <v/>
      </c>
    </row>
    <row r="312" ht="30.55" customFormat="1" customHeight="1" s="2133">
      <c r="A312" s="2140" t="inlineStr">
        <is>
          <t>JT. # 308</t>
        </is>
      </c>
      <c r="B312" s="2145" t="n">
        <v>31.42</v>
      </c>
      <c r="C312" s="2142">
        <f>B312-0.301</f>
        <v/>
      </c>
    </row>
    <row r="313" ht="30.55" customFormat="1" customHeight="1" s="2133">
      <c r="A313" s="2140" t="inlineStr">
        <is>
          <t>JT. # 309</t>
        </is>
      </c>
      <c r="B313" s="2145" t="n">
        <v>31.26</v>
      </c>
      <c r="C313" s="2142">
        <f>B313-0.301</f>
        <v/>
      </c>
    </row>
    <row r="314" ht="30.55" customFormat="1" customHeight="1" s="2133">
      <c r="A314" s="2140" t="inlineStr">
        <is>
          <t>JT. # 310</t>
        </is>
      </c>
      <c r="B314" s="2145" t="n">
        <v>31.24</v>
      </c>
      <c r="C314" s="2142">
        <f>B314-0.301</f>
        <v/>
      </c>
    </row>
    <row r="315" ht="30.55" customFormat="1" customHeight="1" s="2133">
      <c r="A315" s="2140" t="inlineStr">
        <is>
          <t>JT. # 311</t>
        </is>
      </c>
      <c r="B315" s="2145" t="n">
        <v>31.35</v>
      </c>
      <c r="C315" s="2142">
        <f>B315-0.301</f>
        <v/>
      </c>
    </row>
    <row r="316" ht="30.55" customFormat="1" customHeight="1" s="2133">
      <c r="A316" s="2140" t="inlineStr">
        <is>
          <t>JT. # 312</t>
        </is>
      </c>
      <c r="B316" s="2145" t="n">
        <v>31.18</v>
      </c>
      <c r="C316" s="2142">
        <f>B316-0.301</f>
        <v/>
      </c>
    </row>
    <row r="317" ht="30.55" customFormat="1" customHeight="1" s="2133">
      <c r="A317" s="2140" t="inlineStr">
        <is>
          <t>JT. # 313</t>
        </is>
      </c>
      <c r="B317" s="2145" t="n">
        <v>31.09</v>
      </c>
      <c r="C317" s="2142">
        <f>B317-0.301</f>
        <v/>
      </c>
    </row>
    <row r="318" ht="30.55" customFormat="1" customHeight="1" s="2133">
      <c r="A318" s="2140" t="inlineStr">
        <is>
          <t>JT. # 314</t>
        </is>
      </c>
      <c r="B318" s="2145" t="n">
        <v>31.59</v>
      </c>
      <c r="C318" s="2142">
        <f>B318-0.301</f>
        <v/>
      </c>
    </row>
    <row r="319" ht="30.55" customFormat="1" customHeight="1" s="2133">
      <c r="A319" s="2140" t="inlineStr">
        <is>
          <t>JT. # 315</t>
        </is>
      </c>
      <c r="B319" s="2145" t="n">
        <v>30.93</v>
      </c>
      <c r="C319" s="2142">
        <f>B319-0.301</f>
        <v/>
      </c>
    </row>
    <row r="320" ht="30.55" customFormat="1" customHeight="1" s="2133">
      <c r="A320" s="2140" t="inlineStr">
        <is>
          <t>JT. # 316</t>
        </is>
      </c>
      <c r="B320" s="2145" t="n">
        <v>31.73</v>
      </c>
      <c r="C320" s="2142">
        <f>B320-0.301</f>
        <v/>
      </c>
    </row>
    <row r="321" ht="30.55" customFormat="1" customHeight="1" s="2133">
      <c r="A321" s="2140" t="inlineStr">
        <is>
          <t>JT. # 317</t>
        </is>
      </c>
      <c r="B321" s="2145" t="n">
        <v>31.53</v>
      </c>
      <c r="C321" s="2142">
        <f>B321-0.301</f>
        <v/>
      </c>
    </row>
    <row r="322" ht="30.55" customFormat="1" customHeight="1" s="2133">
      <c r="A322" s="2140" t="inlineStr">
        <is>
          <t>JT. # 318</t>
        </is>
      </c>
      <c r="B322" s="2145" t="n">
        <v>30.94</v>
      </c>
      <c r="C322" s="2142">
        <f>B322-0.301</f>
        <v/>
      </c>
    </row>
    <row r="323" ht="30.55" customFormat="1" customHeight="1" s="2133">
      <c r="A323" s="2140" t="inlineStr">
        <is>
          <t>JT. # 319</t>
        </is>
      </c>
      <c r="B323" s="2145" t="n">
        <v>31.2</v>
      </c>
      <c r="C323" s="2142">
        <f>B323-0.301</f>
        <v/>
      </c>
    </row>
    <row r="324" ht="30.55" customFormat="1" customHeight="1" s="2133">
      <c r="A324" s="2140" t="inlineStr">
        <is>
          <t>JT. # 320</t>
        </is>
      </c>
      <c r="B324" s="2145" t="n">
        <v>31.2</v>
      </c>
      <c r="C324" s="2142">
        <f>B324-0.301</f>
        <v/>
      </c>
    </row>
    <row r="325" ht="30.55" customFormat="1" customHeight="1" s="2133">
      <c r="A325" s="2140" t="inlineStr">
        <is>
          <t>JT. # 321</t>
        </is>
      </c>
      <c r="B325" s="2145" t="n">
        <v>32</v>
      </c>
      <c r="C325" s="2142">
        <f>B325-0.301</f>
        <v/>
      </c>
    </row>
    <row r="326" ht="30.55" customFormat="1" customHeight="1" s="2133">
      <c r="A326" s="2140" t="inlineStr">
        <is>
          <t>JT. # 322</t>
        </is>
      </c>
      <c r="B326" s="2145" t="n">
        <v>31.53</v>
      </c>
      <c r="C326" s="2142">
        <f>B326-0.301</f>
        <v/>
      </c>
    </row>
    <row r="327" ht="30.55" customFormat="1" customHeight="1" s="2133">
      <c r="A327" s="2140" t="inlineStr">
        <is>
          <t>JT. # 323</t>
        </is>
      </c>
      <c r="B327" s="2145" t="n">
        <v>31.28</v>
      </c>
      <c r="C327" s="2142">
        <f>B327-0.301</f>
        <v/>
      </c>
    </row>
    <row r="328" ht="30.55" customFormat="1" customHeight="1" s="2133">
      <c r="A328" s="2140" t="inlineStr">
        <is>
          <t>JT. # 324</t>
        </is>
      </c>
      <c r="B328" s="2145" t="n">
        <v>30.98</v>
      </c>
      <c r="C328" s="2142">
        <f>B328-0.301</f>
        <v/>
      </c>
    </row>
    <row r="329" ht="30.55" customFormat="1" customHeight="1" s="2133">
      <c r="A329" s="2140" t="inlineStr">
        <is>
          <t>JT. # 325</t>
        </is>
      </c>
      <c r="B329" s="2145" t="n">
        <v>31.41</v>
      </c>
      <c r="C329" s="2142">
        <f>B329-0.301</f>
        <v/>
      </c>
    </row>
    <row r="330" ht="30.55" customFormat="1" customHeight="1" s="2133">
      <c r="A330" s="2140" t="inlineStr">
        <is>
          <t>JT. # 326</t>
        </is>
      </c>
      <c r="B330" s="2145" t="n">
        <v>31.36</v>
      </c>
      <c r="C330" s="2142">
        <f>B330-0.301</f>
        <v/>
      </c>
    </row>
    <row r="331" ht="30.55" customFormat="1" customHeight="1" s="2133">
      <c r="A331" s="2140" t="inlineStr">
        <is>
          <t>JT. # 327</t>
        </is>
      </c>
      <c r="B331" s="2145" t="n">
        <v>31.53</v>
      </c>
      <c r="C331" s="2142">
        <f>B331-0.301</f>
        <v/>
      </c>
    </row>
    <row r="332" ht="30.55" customFormat="1" customHeight="1" s="2133">
      <c r="A332" s="2140" t="inlineStr">
        <is>
          <t>JT. # 328</t>
        </is>
      </c>
      <c r="B332" s="2145" t="n">
        <v>30.9</v>
      </c>
      <c r="C332" s="2142">
        <f>B332-0.301</f>
        <v/>
      </c>
    </row>
    <row r="333" ht="30.55" customFormat="1" customHeight="1" s="2133">
      <c r="A333" s="2140" t="inlineStr">
        <is>
          <t>JT. # 329</t>
        </is>
      </c>
      <c r="B333" s="2145" t="n">
        <v>31.41</v>
      </c>
      <c r="C333" s="2142">
        <f>B333-0.301</f>
        <v/>
      </c>
    </row>
    <row r="334" ht="30.55" customFormat="1" customHeight="1" s="2133">
      <c r="A334" s="2140" t="inlineStr">
        <is>
          <t>JT. # 330</t>
        </is>
      </c>
      <c r="B334" s="2145" t="n">
        <v>31.26</v>
      </c>
      <c r="C334" s="2142">
        <f>B334-0.301</f>
        <v/>
      </c>
    </row>
    <row r="335" ht="30.55" customFormat="1" customHeight="1" s="2133">
      <c r="A335" s="2140" t="inlineStr">
        <is>
          <t>JT. # 331</t>
        </is>
      </c>
      <c r="B335" s="2145" t="n">
        <v>29.85</v>
      </c>
      <c r="C335" s="2142">
        <f>B335-0.301</f>
        <v/>
      </c>
    </row>
    <row r="336" ht="30.55" customFormat="1" customHeight="1" s="2133">
      <c r="A336" s="2140" t="inlineStr">
        <is>
          <t>JT. # 332</t>
        </is>
      </c>
      <c r="B336" s="2145" t="n">
        <v>29.35</v>
      </c>
      <c r="C336" s="2142">
        <f>B336-0.301</f>
        <v/>
      </c>
    </row>
    <row r="337" ht="30.55" customFormat="1" customHeight="1" s="2133">
      <c r="A337" s="2140" t="inlineStr">
        <is>
          <t>JT. # 333</t>
        </is>
      </c>
      <c r="B337" s="2145" t="n">
        <v>30.96</v>
      </c>
      <c r="C337" s="2142">
        <f>B337-0.301</f>
        <v/>
      </c>
    </row>
    <row r="338" ht="30.55" customFormat="1" customHeight="1" s="2133">
      <c r="A338" s="2140" t="inlineStr">
        <is>
          <t>JT. # 334</t>
        </is>
      </c>
      <c r="B338" s="2145" t="n">
        <v>31.63</v>
      </c>
      <c r="C338" s="2142">
        <f>B338-0.301</f>
        <v/>
      </c>
    </row>
    <row r="339" ht="30.55" customFormat="1" customHeight="1" s="2133">
      <c r="A339" s="2140" t="inlineStr">
        <is>
          <t>JT. # 335</t>
        </is>
      </c>
      <c r="B339" s="2145" t="n">
        <v>30.63</v>
      </c>
      <c r="C339" s="2142">
        <f>B339-0.301</f>
        <v/>
      </c>
    </row>
    <row r="340" ht="30.55" customFormat="1" customHeight="1" s="2133">
      <c r="A340" s="2140" t="inlineStr">
        <is>
          <t>JT. # 336</t>
        </is>
      </c>
      <c r="B340" s="2145" t="n">
        <v>30.8</v>
      </c>
      <c r="C340" s="2142">
        <f>B340-0.301</f>
        <v/>
      </c>
    </row>
    <row r="341" ht="30.55" customFormat="1" customHeight="1" s="2133">
      <c r="A341" s="2140" t="inlineStr">
        <is>
          <t>JT. # 337</t>
        </is>
      </c>
      <c r="B341" s="2145" t="n">
        <v>31.05</v>
      </c>
      <c r="C341" s="2142">
        <f>B341-0.301</f>
        <v/>
      </c>
    </row>
    <row r="342" ht="30.55" customFormat="1" customHeight="1" s="2133">
      <c r="A342" s="2140" t="inlineStr">
        <is>
          <t>JT. # 338</t>
        </is>
      </c>
      <c r="B342" s="2145" t="n">
        <v>31.94</v>
      </c>
      <c r="C342" s="2142">
        <f>B342-0.301</f>
        <v/>
      </c>
    </row>
    <row r="343" ht="30.55" customFormat="1" customHeight="1" s="2133">
      <c r="A343" s="2140" t="inlineStr">
        <is>
          <t>JT. # 339</t>
        </is>
      </c>
      <c r="B343" s="2145" t="n">
        <v>30.05</v>
      </c>
      <c r="C343" s="2142">
        <f>B343-0.301</f>
        <v/>
      </c>
    </row>
    <row r="344" ht="30.55" customFormat="1" customHeight="1" s="2133">
      <c r="A344" s="2140" t="inlineStr">
        <is>
          <t>JT. # 340</t>
        </is>
      </c>
      <c r="B344" s="2145" t="n">
        <v>31.2</v>
      </c>
      <c r="C344" s="2142">
        <f>B344-0.301</f>
        <v/>
      </c>
    </row>
    <row r="345" ht="30.55" customFormat="1" customHeight="1" s="2133">
      <c r="A345" s="2140" t="inlineStr">
        <is>
          <t>JT. # 341</t>
        </is>
      </c>
      <c r="B345" s="2145" t="n">
        <v>30.85</v>
      </c>
      <c r="C345" s="2142">
        <f>B345-0.301</f>
        <v/>
      </c>
    </row>
    <row r="346" ht="30.55" customFormat="1" customHeight="1" s="2133">
      <c r="A346" s="2140" t="inlineStr">
        <is>
          <t>JT. # 342</t>
        </is>
      </c>
      <c r="B346" s="2145" t="n">
        <v>29.76</v>
      </c>
      <c r="C346" s="2142">
        <f>B346-0.301</f>
        <v/>
      </c>
    </row>
    <row r="347" ht="30.55" customFormat="1" customHeight="1" s="2133">
      <c r="A347" s="2140" t="inlineStr">
        <is>
          <t>JT. # 343</t>
        </is>
      </c>
      <c r="B347" s="2145" t="n">
        <v>30.35</v>
      </c>
      <c r="C347" s="2142">
        <f>B347-0.301</f>
        <v/>
      </c>
    </row>
    <row r="348" ht="30.55" customFormat="1" customHeight="1" s="2133">
      <c r="A348" s="2140" t="inlineStr">
        <is>
          <t>JT. # 344</t>
        </is>
      </c>
      <c r="B348" s="2145" t="n">
        <v>32</v>
      </c>
      <c r="C348" s="2142">
        <f>B348-0.301</f>
        <v/>
      </c>
    </row>
    <row r="349" ht="30.55" customFormat="1" customHeight="1" s="2133">
      <c r="A349" s="2140" t="inlineStr">
        <is>
          <t>JT. # 345</t>
        </is>
      </c>
      <c r="B349" s="2145" t="n">
        <v>30.43</v>
      </c>
      <c r="C349" s="2142">
        <f>B349-0.301</f>
        <v/>
      </c>
    </row>
    <row r="350" ht="30.55" customFormat="1" customHeight="1" s="2133">
      <c r="A350" s="2140" t="inlineStr">
        <is>
          <t>JT. # 346</t>
        </is>
      </c>
      <c r="B350" s="2145" t="n">
        <v>30.75</v>
      </c>
      <c r="C350" s="2142">
        <f>B350-0.301</f>
        <v/>
      </c>
    </row>
    <row r="351" ht="30.55" customFormat="1" customHeight="1" s="2133">
      <c r="A351" s="2140" t="inlineStr">
        <is>
          <t>JT. # 347</t>
        </is>
      </c>
      <c r="B351" s="2145" t="n">
        <v>30.5</v>
      </c>
      <c r="C351" s="2142">
        <f>B351-0.301</f>
        <v/>
      </c>
    </row>
    <row r="352" ht="30.55" customFormat="1" customHeight="1" s="2133">
      <c r="A352" s="2140" t="inlineStr">
        <is>
          <t>JT. # 348</t>
        </is>
      </c>
      <c r="B352" s="2145" t="n">
        <v>31.27</v>
      </c>
      <c r="C352" s="2142">
        <f>B352-0.301</f>
        <v/>
      </c>
    </row>
    <row r="353" ht="30.55" customFormat="1" customHeight="1" s="2133">
      <c r="A353" s="2140" t="inlineStr">
        <is>
          <t>JT. # 349</t>
        </is>
      </c>
      <c r="B353" s="2145" t="n">
        <v>30.48</v>
      </c>
      <c r="C353" s="2142">
        <f>B353-0.301</f>
        <v/>
      </c>
    </row>
    <row r="354" ht="30.55" customFormat="1" customHeight="1" s="2133">
      <c r="A354" s="2140" t="inlineStr">
        <is>
          <t>JT. # 350</t>
        </is>
      </c>
      <c r="B354" s="2145" t="n">
        <v>31.07</v>
      </c>
      <c r="C354" s="2142">
        <f>B354-0.301</f>
        <v/>
      </c>
    </row>
    <row r="355" ht="30.55" customFormat="1" customHeight="1" s="2133">
      <c r="A355" s="2140" t="inlineStr">
        <is>
          <t>JT. # 351</t>
        </is>
      </c>
      <c r="B355" s="2145" t="n">
        <v>31.27</v>
      </c>
      <c r="C355" s="2142">
        <f>B355-0.301</f>
        <v/>
      </c>
    </row>
    <row r="356" ht="30.55" customFormat="1" customHeight="1" s="2133">
      <c r="A356" s="2140" t="inlineStr">
        <is>
          <t>JT. # 352</t>
        </is>
      </c>
      <c r="B356" s="2145" t="n">
        <v>30.95</v>
      </c>
      <c r="C356" s="2142">
        <f>B356-0.301</f>
        <v/>
      </c>
    </row>
    <row r="357" ht="30.55" customFormat="1" customHeight="1" s="2133">
      <c r="A357" s="2140" t="inlineStr">
        <is>
          <t>JT. # 353</t>
        </is>
      </c>
      <c r="B357" s="2145" t="n">
        <v>31.91</v>
      </c>
      <c r="C357" s="2142">
        <f>B357-0.301</f>
        <v/>
      </c>
    </row>
    <row r="358" ht="30.55" customFormat="1" customHeight="1" s="2133">
      <c r="A358" s="2140" t="inlineStr">
        <is>
          <t>JT. # 354</t>
        </is>
      </c>
      <c r="B358" s="2145" t="n">
        <v>31.95</v>
      </c>
      <c r="C358" s="2142">
        <f>B358-0.301</f>
        <v/>
      </c>
    </row>
    <row r="359" ht="30.55" customFormat="1" customHeight="1" s="2133">
      <c r="A359" s="2140" t="inlineStr">
        <is>
          <t>JT. # 355</t>
        </is>
      </c>
      <c r="B359" s="2145" t="n">
        <v>31.81</v>
      </c>
      <c r="C359" s="2142">
        <f>B359-0.301</f>
        <v/>
      </c>
    </row>
    <row r="360" ht="30.55" customFormat="1" customHeight="1" s="2133">
      <c r="A360" s="2140" t="inlineStr">
        <is>
          <t>JT. # 356</t>
        </is>
      </c>
      <c r="B360" s="2145" t="n">
        <v>30</v>
      </c>
      <c r="C360" s="2142">
        <f>B360-0.301</f>
        <v/>
      </c>
    </row>
    <row r="361" ht="30.55" customFormat="1" customHeight="1" s="2133">
      <c r="A361" s="2140" t="inlineStr">
        <is>
          <t>JT. # 357</t>
        </is>
      </c>
      <c r="B361" s="2145" t="n">
        <v>31.4</v>
      </c>
      <c r="C361" s="2142">
        <f>B361-0.301</f>
        <v/>
      </c>
    </row>
    <row r="362" ht="30.55" customFormat="1" customHeight="1" s="2133">
      <c r="A362" s="2140" t="inlineStr">
        <is>
          <t>JT. # 358</t>
        </is>
      </c>
      <c r="B362" s="2145" t="n">
        <v>31</v>
      </c>
      <c r="C362" s="2142">
        <f>B362-0.301</f>
        <v/>
      </c>
    </row>
    <row r="363" ht="30.55" customFormat="1" customHeight="1" s="2133">
      <c r="A363" s="2140" t="inlineStr">
        <is>
          <t>JT. # 359</t>
        </is>
      </c>
      <c r="B363" s="2145" t="n">
        <v>31.38</v>
      </c>
      <c r="C363" s="2142">
        <f>B363-0.301</f>
        <v/>
      </c>
    </row>
    <row r="364" ht="30.55" customFormat="1" customHeight="1" s="2133">
      <c r="A364" s="2140" t="inlineStr">
        <is>
          <t>JT. # 360</t>
        </is>
      </c>
      <c r="B364" s="2145" t="n">
        <v>31.45</v>
      </c>
      <c r="C364" s="2142">
        <f>B364-0.301</f>
        <v/>
      </c>
    </row>
    <row r="365" ht="30.55" customFormat="1" customHeight="1" s="2133">
      <c r="A365" s="2140" t="inlineStr">
        <is>
          <t>JT. # 361</t>
        </is>
      </c>
      <c r="B365" s="2145" t="n">
        <v>31.95</v>
      </c>
      <c r="C365" s="2142">
        <f>B365-0.301</f>
        <v/>
      </c>
    </row>
    <row r="366" ht="30.55" customFormat="1" customHeight="1" s="2133">
      <c r="A366" s="2140" t="inlineStr">
        <is>
          <t>JT. # 362</t>
        </is>
      </c>
      <c r="B366" s="2145" t="n">
        <v>31.15</v>
      </c>
      <c r="C366" s="2142">
        <f>B366-0.301</f>
        <v/>
      </c>
    </row>
    <row r="367" ht="30.55" customFormat="1" customHeight="1" s="2133">
      <c r="A367" s="2140" t="inlineStr">
        <is>
          <t>JT. # 363</t>
        </is>
      </c>
      <c r="B367" s="2145" t="n">
        <v>30.42</v>
      </c>
      <c r="C367" s="2142">
        <f>B367-0.301</f>
        <v/>
      </c>
    </row>
    <row r="368" ht="30.55" customFormat="1" customHeight="1" s="2133">
      <c r="A368" s="2140" t="inlineStr">
        <is>
          <t>JT. # 364</t>
        </is>
      </c>
      <c r="B368" s="2145" t="n">
        <v>30.23</v>
      </c>
      <c r="C368" s="2142">
        <f>B368-0.301</f>
        <v/>
      </c>
    </row>
    <row r="369" ht="30.55" customFormat="1" customHeight="1" s="2133">
      <c r="A369" s="2140" t="inlineStr">
        <is>
          <t>JT. # 365</t>
        </is>
      </c>
      <c r="B369" s="2145" t="n">
        <v>31.93</v>
      </c>
      <c r="C369" s="2142">
        <f>B369-0.301</f>
        <v/>
      </c>
    </row>
    <row r="370" ht="30.55" customFormat="1" customHeight="1" s="2133">
      <c r="A370" s="2140" t="inlineStr">
        <is>
          <t>JT. # 366</t>
        </is>
      </c>
      <c r="B370" s="2145" t="n">
        <v>31.32</v>
      </c>
      <c r="C370" s="2142">
        <f>B370-0.301</f>
        <v/>
      </c>
    </row>
    <row r="371" ht="30.55" customFormat="1" customHeight="1" s="2133">
      <c r="A371" s="2140" t="inlineStr">
        <is>
          <t>JT. # 367</t>
        </is>
      </c>
      <c r="B371" s="2145" t="n">
        <v>29.68</v>
      </c>
      <c r="C371" s="2142">
        <f>B371-0.301</f>
        <v/>
      </c>
    </row>
    <row r="372" ht="30.55" customFormat="1" customHeight="1" s="2133">
      <c r="A372" s="2140" t="inlineStr">
        <is>
          <t>JT. # 368</t>
        </is>
      </c>
      <c r="B372" s="2145" t="n">
        <v>31.31</v>
      </c>
      <c r="C372" s="2142">
        <f>B372-0.301</f>
        <v/>
      </c>
    </row>
    <row r="373" ht="30.55" customFormat="1" customHeight="1" s="2133">
      <c r="A373" s="2140" t="inlineStr">
        <is>
          <t>JT. # 369</t>
        </is>
      </c>
      <c r="B373" s="2145" t="n">
        <v>31.94</v>
      </c>
      <c r="C373" s="2142">
        <f>B373-0.301</f>
        <v/>
      </c>
    </row>
    <row r="374" ht="30.55" customFormat="1" customHeight="1" s="2133">
      <c r="A374" s="2140" t="inlineStr">
        <is>
          <t>JT. # 370</t>
        </is>
      </c>
      <c r="B374" s="2145" t="n">
        <v>31.36</v>
      </c>
      <c r="C374" s="2142">
        <f>B374-0.301</f>
        <v/>
      </c>
    </row>
    <row r="375" ht="30.55" customFormat="1" customHeight="1" s="2133">
      <c r="A375" s="2140" t="inlineStr">
        <is>
          <t>JT. # 371</t>
        </is>
      </c>
      <c r="B375" s="2145" t="n">
        <v>31.65</v>
      </c>
      <c r="C375" s="2142">
        <f>B375-0.301</f>
        <v/>
      </c>
    </row>
    <row r="376" ht="30.55" customFormat="1" customHeight="1" s="2133">
      <c r="A376" s="2140" t="inlineStr">
        <is>
          <t>JT. # 372</t>
        </is>
      </c>
      <c r="B376" s="2145" t="n">
        <v>31.48</v>
      </c>
      <c r="C376" s="2142">
        <f>B376-0.301</f>
        <v/>
      </c>
    </row>
    <row r="377" ht="30.55" customFormat="1" customHeight="1" s="2133">
      <c r="A377" s="2140" t="inlineStr">
        <is>
          <t>JT. # 373</t>
        </is>
      </c>
      <c r="B377" s="2145" t="n">
        <v>30.54</v>
      </c>
      <c r="C377" s="2142">
        <f>B377-0.301</f>
        <v/>
      </c>
    </row>
    <row r="378" ht="30.55" customFormat="1" customHeight="1" s="2133">
      <c r="A378" s="2140" t="inlineStr">
        <is>
          <t>JT. # 374</t>
        </is>
      </c>
      <c r="B378" s="2145" t="n">
        <v>31.06</v>
      </c>
      <c r="C378" s="2142">
        <f>B378-0.301</f>
        <v/>
      </c>
    </row>
    <row r="379" ht="30.55" customFormat="1" customHeight="1" s="2133">
      <c r="A379" s="2140" t="inlineStr">
        <is>
          <t>JT. # 375</t>
        </is>
      </c>
      <c r="B379" s="2145" t="n">
        <v>31.28</v>
      </c>
      <c r="C379" s="2142">
        <f>B379-0.301</f>
        <v/>
      </c>
    </row>
    <row r="380" ht="30.55" customFormat="1" customHeight="1" s="2133">
      <c r="A380" s="2140" t="inlineStr">
        <is>
          <t>JT. # 376</t>
        </is>
      </c>
      <c r="B380" s="2145" t="n">
        <v>31.93</v>
      </c>
      <c r="C380" s="2142">
        <f>B380-0.301</f>
        <v/>
      </c>
    </row>
    <row r="381" ht="30.55" customFormat="1" customHeight="1" s="2133">
      <c r="A381" s="2140" t="inlineStr">
        <is>
          <t>JT. # 377</t>
        </is>
      </c>
      <c r="B381" s="2145" t="n">
        <v>30</v>
      </c>
      <c r="C381" s="2142">
        <f>B381-0.301</f>
        <v/>
      </c>
    </row>
    <row r="382" ht="30.55" customFormat="1" customHeight="1" s="2133">
      <c r="A382" s="2140" t="inlineStr">
        <is>
          <t>JT. # 378</t>
        </is>
      </c>
      <c r="B382" s="2145" t="n">
        <v>30.71</v>
      </c>
      <c r="C382" s="2142">
        <f>B382-0.301</f>
        <v/>
      </c>
    </row>
    <row r="383" ht="30.55" customFormat="1" customHeight="1" s="2133">
      <c r="A383" s="2140" t="inlineStr">
        <is>
          <t>JT. # 379</t>
        </is>
      </c>
      <c r="B383" s="2145" t="n">
        <v>30.78</v>
      </c>
      <c r="C383" s="2142">
        <f>B383-0.301</f>
        <v/>
      </c>
    </row>
    <row r="384" ht="30.55" customFormat="1" customHeight="1" s="2133">
      <c r="A384" s="2140" t="inlineStr">
        <is>
          <t>JT. # 380</t>
        </is>
      </c>
      <c r="B384" s="2145" t="n">
        <v>30.8</v>
      </c>
      <c r="C384" s="2142">
        <f>B384-0.301</f>
        <v/>
      </c>
    </row>
    <row r="385" ht="25.5" customFormat="1" customHeight="1" s="2133">
      <c r="A385" s="2150" t="n"/>
      <c r="B385" s="2151" t="n"/>
      <c r="C385" s="2152" t="n"/>
    </row>
    <row r="386" ht="25.5" customFormat="1" customHeight="1" s="2133">
      <c r="A386" s="2150" t="n"/>
      <c r="B386" s="2151" t="n"/>
      <c r="C386" s="2152" t="n"/>
    </row>
    <row r="387" ht="25.5" customFormat="1" customHeight="1" s="2133">
      <c r="A387" s="2150" t="n"/>
      <c r="B387" s="2151" t="n"/>
      <c r="C387" s="2152" t="n"/>
    </row>
    <row r="388" ht="25.5" customFormat="1" customHeight="1" s="2133">
      <c r="A388" s="2150" t="n"/>
      <c r="B388" s="2151" t="n"/>
      <c r="C388" s="2152" t="n"/>
    </row>
    <row r="389" ht="25.5" customFormat="1" customHeight="1" s="2133">
      <c r="A389" s="2150" t="n"/>
      <c r="B389" s="2151" t="n"/>
      <c r="C389" s="2152" t="n"/>
    </row>
    <row r="390" ht="25.5" customFormat="1" customHeight="1" s="2133">
      <c r="A390" s="2150" t="n"/>
      <c r="B390" s="2151" t="n"/>
      <c r="C390" s="2152" t="n"/>
    </row>
    <row r="391" ht="25.5" customFormat="1" customHeight="1" s="2133">
      <c r="A391" s="2150" t="n"/>
      <c r="B391" s="2151" t="n"/>
      <c r="C391" s="2152" t="n"/>
    </row>
    <row r="392" ht="25.5" customFormat="1" customHeight="1" s="2133">
      <c r="A392" s="2150" t="n"/>
      <c r="B392" s="2151" t="n"/>
      <c r="C392" s="2152" t="n"/>
    </row>
    <row r="393" ht="25.5" customFormat="1" customHeight="1" s="2133">
      <c r="A393" s="2150" t="n"/>
      <c r="B393" s="2151" t="n"/>
      <c r="C393" s="2152" t="n"/>
    </row>
    <row r="394" ht="25.5" customFormat="1" customHeight="1" s="2133">
      <c r="A394" s="2150" t="n"/>
      <c r="B394" s="2151" t="n"/>
      <c r="C394" s="2152" t="n"/>
    </row>
    <row r="395" ht="25.5" customFormat="1" customHeight="1" s="2133">
      <c r="A395" s="2150" t="n"/>
      <c r="B395" s="2151" t="n"/>
      <c r="C395" s="2152" t="n"/>
    </row>
    <row r="396" ht="25.5" customFormat="1" customHeight="1" s="2133">
      <c r="A396" s="2150" t="n"/>
      <c r="B396" s="2151" t="n"/>
      <c r="C396" s="2152" t="n"/>
    </row>
    <row r="397" ht="25.5" customFormat="1" customHeight="1" s="2133">
      <c r="A397" s="2150" t="n"/>
      <c r="B397" s="2151" t="n"/>
      <c r="C397" s="2152" t="n"/>
    </row>
    <row r="398" ht="25.5" customFormat="1" customHeight="1" s="2133">
      <c r="A398" s="2150" t="n"/>
      <c r="B398" s="2151" t="n"/>
      <c r="C398" s="2152" t="n"/>
    </row>
    <row r="399" ht="25.5" customFormat="1" customHeight="1" s="2133">
      <c r="A399" s="2150" t="n"/>
      <c r="B399" s="2151" t="n"/>
      <c r="C399" s="2152" t="n"/>
    </row>
    <row r="400" ht="25.5" customFormat="1" customHeight="1" s="2133">
      <c r="A400" s="2150" t="n"/>
      <c r="B400" s="2151" t="n"/>
      <c r="C400" s="2152" t="n"/>
    </row>
    <row r="401" ht="25.5" customFormat="1" customHeight="1" s="2133">
      <c r="A401" s="2150" t="n"/>
      <c r="B401" s="2151" t="n"/>
      <c r="C401" s="2152" t="n"/>
    </row>
    <row r="402" ht="25.5" customFormat="1" customHeight="1" s="2133">
      <c r="A402" s="2150" t="n"/>
      <c r="B402" s="2151" t="n"/>
      <c r="C402" s="2152" t="n"/>
    </row>
    <row r="403" ht="25.5" customFormat="1" customHeight="1" s="2133">
      <c r="A403" s="2150" t="n"/>
      <c r="B403" s="2151" t="n"/>
      <c r="C403" s="2152" t="n"/>
    </row>
    <row r="404" ht="25.5" customFormat="1" customHeight="1" s="2133">
      <c r="A404" s="2150" t="n"/>
      <c r="B404" s="2151" t="n"/>
      <c r="C404" s="2152" t="n"/>
    </row>
    <row r="405" ht="25.5" customFormat="1" customHeight="1" s="2133">
      <c r="A405" s="2150" t="n"/>
      <c r="B405" s="2151" t="n"/>
      <c r="C405" s="2152" t="n"/>
    </row>
    <row r="406" ht="25.5" customFormat="1" customHeight="1" s="2133">
      <c r="A406" s="2150" t="n"/>
      <c r="B406" s="2151" t="n"/>
      <c r="C406" s="2152" t="n"/>
    </row>
    <row r="407" ht="25.5" customFormat="1" customHeight="1" s="2133">
      <c r="A407" s="2150" t="n"/>
      <c r="B407" s="2151" t="n"/>
      <c r="C407" s="2152" t="n"/>
    </row>
    <row r="408" ht="25.5" customFormat="1" customHeight="1" s="2133">
      <c r="A408" s="2150" t="n"/>
      <c r="B408" s="2151" t="n"/>
      <c r="C408" s="2152" t="n"/>
    </row>
    <row r="409" ht="25.5" customFormat="1" customHeight="1" s="2133">
      <c r="A409" s="2150" t="n"/>
      <c r="B409" s="2151" t="n"/>
      <c r="C409" s="2152" t="n"/>
    </row>
    <row r="410" ht="25.5" customFormat="1" customHeight="1" s="2133">
      <c r="A410" s="2150" t="n"/>
      <c r="B410" s="2151" t="n"/>
      <c r="C410" s="2152" t="n"/>
    </row>
    <row r="411" ht="25.5" customFormat="1" customHeight="1" s="2133">
      <c r="A411" s="2150" t="n"/>
      <c r="B411" s="2151" t="n"/>
      <c r="C411" s="2152" t="n"/>
    </row>
    <row r="412" ht="25.5" customFormat="1" customHeight="1" s="2133">
      <c r="A412" s="2150" t="n"/>
      <c r="B412" s="2151" t="n"/>
      <c r="C412" s="2152" t="n"/>
    </row>
    <row r="413" ht="25.5" customFormat="1" customHeight="1" s="2133">
      <c r="A413" s="2150" t="n"/>
      <c r="B413" s="2151" t="n"/>
      <c r="C413" s="2152" t="n"/>
    </row>
    <row r="414" ht="25.5" customFormat="1" customHeight="1" s="2133">
      <c r="A414" s="2150" t="n"/>
      <c r="B414" s="2151" t="n"/>
      <c r="C414" s="2152" t="n"/>
    </row>
    <row r="415" ht="25.5" customFormat="1" customHeight="1" s="2133">
      <c r="A415" s="2150" t="n"/>
      <c r="B415" s="2151" t="n"/>
      <c r="C415" s="2152" t="n"/>
    </row>
    <row r="416" ht="25.5" customFormat="1" customHeight="1" s="2133">
      <c r="A416" s="2150" t="n"/>
      <c r="B416" s="2151" t="n"/>
      <c r="C416" s="2152" t="n"/>
    </row>
    <row r="417" ht="25.5" customFormat="1" customHeight="1" s="2133">
      <c r="A417" s="2150" t="n"/>
      <c r="B417" s="2151" t="n"/>
      <c r="C417" s="2152" t="n"/>
    </row>
    <row r="418" ht="25.5" customFormat="1" customHeight="1" s="2133">
      <c r="A418" s="2150" t="n"/>
      <c r="B418" s="2151" t="n"/>
      <c r="C418" s="2152" t="n"/>
    </row>
    <row r="419" ht="25.5" customFormat="1" customHeight="1" s="2133">
      <c r="A419" s="2150" t="n"/>
      <c r="B419" s="2151" t="n"/>
      <c r="C419" s="2152" t="n"/>
    </row>
    <row r="420" ht="25.5" customFormat="1" customHeight="1" s="2133">
      <c r="A420" s="2150" t="n"/>
      <c r="B420" s="2151" t="n"/>
      <c r="C420" s="2152" t="n"/>
    </row>
    <row r="421" ht="25.5" customFormat="1" customHeight="1" s="2133">
      <c r="A421" s="2150" t="n"/>
      <c r="B421" s="2151" t="n"/>
      <c r="C421" s="2152" t="n"/>
    </row>
    <row r="422" ht="25.5" customFormat="1" customHeight="1" s="2133">
      <c r="A422" s="2150" t="n"/>
      <c r="B422" s="2151" t="n"/>
      <c r="C422" s="2152" t="n"/>
    </row>
    <row r="423" ht="25.5" customFormat="1" customHeight="1" s="2133">
      <c r="A423" s="2150" t="n"/>
      <c r="B423" s="2151" t="n"/>
      <c r="C423" s="2152" t="n"/>
    </row>
    <row r="424" ht="25.5" customFormat="1" customHeight="1" s="2133">
      <c r="A424" s="2150" t="n"/>
      <c r="B424" s="2151" t="n"/>
      <c r="C424" s="2152" t="n"/>
    </row>
    <row r="425" ht="25.5" customFormat="1" customHeight="1" s="2133">
      <c r="A425" s="2150" t="n"/>
      <c r="B425" s="2151" t="n"/>
      <c r="C425" s="2152" t="n"/>
    </row>
    <row r="426" ht="25.5" customFormat="1" customHeight="1" s="2133">
      <c r="A426" s="2150" t="n"/>
      <c r="B426" s="2151" t="n"/>
      <c r="C426" s="2152" t="n"/>
    </row>
    <row r="427" ht="25.5" customFormat="1" customHeight="1" s="2133">
      <c r="A427" s="2150" t="n"/>
      <c r="B427" s="2151" t="n"/>
      <c r="C427" s="2152" t="n"/>
    </row>
    <row r="428" ht="25.5" customFormat="1" customHeight="1" s="2133">
      <c r="A428" s="2150" t="n"/>
      <c r="B428" s="2151" t="n"/>
      <c r="C428" s="2152" t="n"/>
    </row>
    <row r="429" ht="25.5" customFormat="1" customHeight="1" s="2133">
      <c r="A429" s="2150" t="n"/>
      <c r="B429" s="2151" t="n"/>
      <c r="C429" s="2152" t="n"/>
    </row>
    <row r="430" ht="25.5" customFormat="1" customHeight="1" s="2133">
      <c r="A430" s="2150" t="n"/>
      <c r="B430" s="2151" t="n"/>
      <c r="C430" s="2152" t="n"/>
    </row>
    <row r="431" ht="25.5" customFormat="1" customHeight="1" s="2133">
      <c r="A431" s="2150" t="n"/>
      <c r="B431" s="2151" t="n"/>
      <c r="C431" s="2152" t="n"/>
    </row>
    <row r="432" ht="25.5" customFormat="1" customHeight="1" s="2133">
      <c r="A432" s="2150" t="n"/>
      <c r="B432" s="2151" t="n"/>
      <c r="C432" s="2152" t="n"/>
    </row>
    <row r="433" ht="25.5" customFormat="1" customHeight="1" s="2133">
      <c r="A433" s="2150" t="n"/>
      <c r="B433" s="2151" t="n"/>
      <c r="C433" s="2152" t="n"/>
    </row>
    <row r="434" ht="25.5" customFormat="1" customHeight="1" s="2133">
      <c r="A434" s="2150" t="n"/>
      <c r="B434" s="2151" t="n"/>
      <c r="C434" s="2152" t="n"/>
    </row>
    <row r="435" ht="25.5" customFormat="1" customHeight="1" s="2133">
      <c r="A435" s="2150" t="n"/>
      <c r="B435" s="2151" t="n"/>
      <c r="C435" s="2152" t="n"/>
    </row>
    <row r="436" ht="25.5" customFormat="1" customHeight="1" s="2133">
      <c r="A436" s="2150" t="n"/>
      <c r="B436" s="2151" t="n"/>
      <c r="C436" s="2152" t="n"/>
    </row>
    <row r="437" ht="25.5" customFormat="1" customHeight="1" s="2133">
      <c r="A437" s="2150" t="n"/>
      <c r="B437" s="2151" t="n"/>
      <c r="C437" s="2152" t="n"/>
    </row>
    <row r="438" ht="25.5" customFormat="1" customHeight="1" s="2133">
      <c r="A438" s="2150" t="n"/>
      <c r="B438" s="2151" t="n"/>
      <c r="C438" s="2152" t="n"/>
    </row>
    <row r="439" ht="25.5" customFormat="1" customHeight="1" s="2133">
      <c r="A439" s="2150" t="n"/>
      <c r="B439" s="2151" t="n"/>
      <c r="C439" s="2152" t="n"/>
    </row>
    <row r="440" ht="25.5" customFormat="1" customHeight="1" s="2133">
      <c r="A440" s="2150" t="n"/>
      <c r="B440" s="2151" t="n"/>
      <c r="C440" s="2152" t="n"/>
    </row>
    <row r="441" ht="25.5" customFormat="1" customHeight="1" s="2133">
      <c r="A441" s="2150" t="n"/>
      <c r="B441" s="2151" t="n"/>
      <c r="C441" s="2152" t="n"/>
    </row>
    <row r="442" ht="25.5" customFormat="1" customHeight="1" s="2133">
      <c r="A442" s="2150" t="n"/>
      <c r="B442" s="2151" t="n"/>
      <c r="C442" s="2152" t="n"/>
    </row>
    <row r="443" ht="25.5" customFormat="1" customHeight="1" s="2133">
      <c r="A443" s="2150" t="n"/>
      <c r="B443" s="2151" t="n"/>
      <c r="C443" s="2152" t="n"/>
    </row>
    <row r="444" ht="25.5" customFormat="1" customHeight="1" s="2133">
      <c r="A444" s="2150" t="n"/>
      <c r="B444" s="2151" t="n"/>
      <c r="C444" s="2152" t="n"/>
    </row>
    <row r="445" ht="25.5" customFormat="1" customHeight="1" s="2133">
      <c r="A445" s="2150" t="n"/>
      <c r="B445" s="2151" t="n"/>
      <c r="C445" s="2152" t="n"/>
    </row>
    <row r="446" ht="25.5" customFormat="1" customHeight="1" s="2133">
      <c r="A446" s="2150" t="n"/>
      <c r="B446" s="2151" t="n"/>
      <c r="C446" s="2152" t="n"/>
    </row>
    <row r="447" ht="25.5" customFormat="1" customHeight="1" s="2133">
      <c r="A447" s="2150" t="n"/>
      <c r="B447" s="2151" t="n"/>
      <c r="C447" s="2152" t="n"/>
    </row>
    <row r="448" ht="25.5" customFormat="1" customHeight="1" s="2133">
      <c r="A448" s="2150" t="n"/>
      <c r="B448" s="2151" t="n"/>
      <c r="C448" s="2152" t="n"/>
    </row>
    <row r="449" ht="25.5" customFormat="1" customHeight="1" s="2133">
      <c r="A449" s="2150" t="n"/>
      <c r="B449" s="2151" t="n"/>
      <c r="C449" s="2152" t="n"/>
    </row>
    <row r="450" ht="25.5" customFormat="1" customHeight="1" s="2133">
      <c r="A450" s="2150" t="n"/>
      <c r="B450" s="2151" t="n"/>
      <c r="C450" s="2152" t="n"/>
    </row>
    <row r="451" ht="25.5" customFormat="1" customHeight="1" s="2133">
      <c r="A451" s="2150" t="n"/>
      <c r="B451" s="2151" t="n"/>
      <c r="C451" s="2152" t="n"/>
    </row>
    <row r="452" ht="25.5" customFormat="1" customHeight="1" s="2133">
      <c r="A452" s="2150" t="n"/>
      <c r="B452" s="2151" t="n"/>
      <c r="C452" s="2152" t="n"/>
    </row>
    <row r="453" ht="25.5" customFormat="1" customHeight="1" s="2133">
      <c r="A453" s="2150" t="n"/>
      <c r="B453" s="2151" t="n"/>
      <c r="C453" s="2152" t="n"/>
    </row>
    <row r="454" ht="25.5" customFormat="1" customHeight="1" s="2133">
      <c r="A454" s="2150" t="n"/>
      <c r="B454" s="2151" t="n"/>
      <c r="C454" s="2152" t="n"/>
    </row>
    <row r="455" ht="25.5" customFormat="1" customHeight="1" s="2133">
      <c r="A455" s="2150" t="n"/>
      <c r="B455" s="2151" t="n"/>
      <c r="C455" s="2152" t="n"/>
    </row>
    <row r="456" ht="25.5" customFormat="1" customHeight="1" s="2133">
      <c r="A456" s="2150" t="n"/>
      <c r="B456" s="2151" t="n"/>
      <c r="C456" s="2152" t="n"/>
    </row>
    <row r="457" ht="25.5" customFormat="1" customHeight="1" s="2133">
      <c r="A457" s="2150" t="n"/>
      <c r="B457" s="2151" t="n"/>
      <c r="C457" s="2152" t="n"/>
    </row>
    <row r="458" ht="25.5" customFormat="1" customHeight="1" s="2133">
      <c r="A458" s="2150" t="n"/>
      <c r="B458" s="2151" t="n"/>
      <c r="C458" s="2152" t="n"/>
    </row>
    <row r="459" ht="25.5" customFormat="1" customHeight="1" s="2133">
      <c r="A459" s="2150" t="n"/>
      <c r="B459" s="2151" t="n"/>
      <c r="C459" s="2152" t="n"/>
    </row>
    <row r="460" ht="25.5" customFormat="1" customHeight="1" s="2133">
      <c r="A460" s="2150" t="n"/>
      <c r="B460" s="2151" t="n"/>
      <c r="C460" s="2152" t="n"/>
    </row>
    <row r="461" ht="25.5" customFormat="1" customHeight="1" s="2133">
      <c r="A461" s="2150" t="n"/>
      <c r="B461" s="2151" t="n"/>
      <c r="C461" s="2152" t="n"/>
    </row>
    <row r="462" ht="25.5" customFormat="1" customHeight="1" s="2133">
      <c r="A462" s="2150" t="n"/>
      <c r="B462" s="2151" t="n"/>
      <c r="C462" s="2152" t="n"/>
    </row>
    <row r="463" ht="25.5" customFormat="1" customHeight="1" s="2133">
      <c r="A463" s="2150" t="n"/>
      <c r="B463" s="2151" t="n"/>
      <c r="C463" s="2152" t="n"/>
    </row>
    <row r="464" ht="25.5" customFormat="1" customHeight="1" s="2133">
      <c r="A464" s="2150" t="n"/>
      <c r="B464" s="2151" t="n"/>
      <c r="C464" s="2152" t="n"/>
    </row>
    <row r="465" ht="25.5" customFormat="1" customHeight="1" s="2133">
      <c r="A465" s="2150" t="n"/>
      <c r="B465" s="2151" t="n"/>
      <c r="C465" s="2152" t="n"/>
    </row>
    <row r="466" ht="25.5" customFormat="1" customHeight="1" s="2133">
      <c r="A466" s="2150" t="n"/>
      <c r="B466" s="2151" t="n"/>
      <c r="C466" s="2152" t="n"/>
    </row>
    <row r="467" ht="25.5" customFormat="1" customHeight="1" s="2133">
      <c r="A467" s="2150" t="n"/>
      <c r="B467" s="2151" t="n"/>
      <c r="C467" s="2152" t="n"/>
    </row>
    <row r="468" ht="25.5" customFormat="1" customHeight="1" s="2133">
      <c r="A468" s="2150" t="n"/>
      <c r="B468" s="2151" t="n"/>
      <c r="C468" s="2152" t="n"/>
    </row>
    <row r="469" ht="25.5" customFormat="1" customHeight="1" s="2133">
      <c r="A469" s="2150" t="n"/>
      <c r="B469" s="2151" t="n"/>
      <c r="C469" s="2152" t="n"/>
    </row>
    <row r="470" ht="25.5" customFormat="1" customHeight="1" s="2133">
      <c r="A470" s="2150" t="n"/>
      <c r="B470" s="2151" t="n"/>
      <c r="C470" s="2152" t="n"/>
    </row>
    <row r="471" ht="25.5" customFormat="1" customHeight="1" s="2133">
      <c r="A471" s="2150" t="n"/>
      <c r="B471" s="2151" t="n"/>
      <c r="C471" s="2152" t="n"/>
    </row>
    <row r="472" ht="25.5" customFormat="1" customHeight="1" s="2133">
      <c r="A472" s="2150" t="n"/>
      <c r="B472" s="2151" t="n"/>
      <c r="C472" s="2152" t="n"/>
    </row>
    <row r="473" ht="25.5" customFormat="1" customHeight="1" s="2133">
      <c r="A473" s="2150" t="n"/>
      <c r="B473" s="2151" t="n"/>
      <c r="C473" s="2152" t="n"/>
    </row>
    <row r="474" ht="25.5" customFormat="1" customHeight="1" s="2133">
      <c r="A474" s="2150" t="n"/>
      <c r="B474" s="2151" t="n"/>
      <c r="C474" s="2152" t="n"/>
    </row>
    <row r="475" ht="25.5" customFormat="1" customHeight="1" s="2133">
      <c r="A475" s="2150" t="n"/>
      <c r="B475" s="2151" t="n"/>
      <c r="C475" s="2152" t="n"/>
    </row>
    <row r="476" ht="25.5" customFormat="1" customHeight="1" s="2133">
      <c r="A476" s="2150" t="n"/>
      <c r="B476" s="2151" t="n"/>
      <c r="C476" s="2152" t="n"/>
    </row>
    <row r="477" ht="25.5" customFormat="1" customHeight="1" s="2133">
      <c r="A477" s="2150" t="n"/>
      <c r="B477" s="2151" t="n"/>
      <c r="C477" s="2152" t="n"/>
    </row>
    <row r="478" ht="25.5" customFormat="1" customHeight="1" s="2133">
      <c r="A478" s="2150" t="n"/>
      <c r="B478" s="2151" t="n"/>
      <c r="C478" s="2152" t="n"/>
    </row>
    <row r="479" ht="25.5" customFormat="1" customHeight="1" s="2133">
      <c r="A479" s="2150" t="n"/>
      <c r="B479" s="2151" t="n"/>
      <c r="C479" s="2152" t="n"/>
    </row>
    <row r="480" ht="25.5" customFormat="1" customHeight="1" s="2133">
      <c r="A480" s="2150" t="n"/>
      <c r="B480" s="2151" t="n"/>
      <c r="C480" s="2152" t="n"/>
    </row>
    <row r="481" ht="25.5" customFormat="1" customHeight="1" s="2133">
      <c r="A481" s="2150" t="n"/>
      <c r="B481" s="2151" t="n"/>
      <c r="C481" s="2152" t="n"/>
    </row>
    <row r="482" ht="25.5" customFormat="1" customHeight="1" s="2133">
      <c r="A482" s="2150" t="n"/>
      <c r="B482" s="2151" t="n"/>
      <c r="C482" s="2152" t="n"/>
    </row>
    <row r="483" ht="25.5" customFormat="1" customHeight="1" s="2133">
      <c r="A483" s="2150" t="n"/>
      <c r="B483" s="2151" t="n"/>
      <c r="C483" s="2152" t="n"/>
    </row>
    <row r="484" ht="25.5" customFormat="1" customHeight="1" s="2133">
      <c r="A484" s="2150" t="n"/>
      <c r="B484" s="2151" t="n"/>
      <c r="C484" s="2152" t="n"/>
    </row>
    <row r="485" ht="25.5" customFormat="1" customHeight="1" s="2133">
      <c r="A485" s="2150" t="n"/>
      <c r="B485" s="2151" t="n"/>
      <c r="C485" s="2152" t="n"/>
    </row>
    <row r="486" ht="25.5" customHeight="1" s="1158">
      <c r="A486" s="2150" t="n"/>
      <c r="B486" s="2151" t="n"/>
      <c r="C486" s="2152" t="n"/>
    </row>
    <row r="487" ht="25.5" customHeight="1" s="1158">
      <c r="A487" s="2150" t="n"/>
      <c r="B487" s="2151" t="n"/>
      <c r="C487" s="2152" t="n"/>
    </row>
    <row r="488" ht="25.5" customHeight="1" s="1158">
      <c r="A488" s="2150" t="n"/>
      <c r="B488" s="2151" t="n"/>
      <c r="C488" s="2152" t="n"/>
    </row>
    <row r="489" ht="25.5" customHeight="1" s="1158">
      <c r="A489" s="2150" t="n"/>
      <c r="B489" s="2151" t="n"/>
      <c r="C489" s="2152" t="n"/>
    </row>
    <row r="490" ht="25.5" customHeight="1" s="1158">
      <c r="A490" s="2150" t="n"/>
      <c r="B490" s="2151" t="n"/>
      <c r="C490" s="2152" t="n"/>
    </row>
    <row r="491" ht="25.5" customHeight="1" s="1158">
      <c r="A491" s="2150" t="n"/>
      <c r="B491" s="2151" t="n"/>
      <c r="C491" s="2152" t="n"/>
    </row>
    <row r="492" ht="25.5" customHeight="1" s="1158">
      <c r="A492" s="2150" t="n"/>
      <c r="B492" s="2151" t="n"/>
      <c r="C492" s="2152" t="n"/>
    </row>
    <row r="493" ht="25.5" customHeight="1" s="1158">
      <c r="A493" s="2150" t="n"/>
      <c r="B493" s="2151" t="n"/>
      <c r="C493" s="2152" t="n"/>
    </row>
    <row r="494" ht="25.5" customHeight="1" s="1158">
      <c r="A494" s="2150" t="n"/>
      <c r="B494" s="2151" t="n"/>
      <c r="C494" s="2152" t="n"/>
    </row>
  </sheetData>
  <mergeCells count="2">
    <mergeCell ref="B2:C2"/>
    <mergeCell ref="B3:B4"/>
  </mergeCells>
  <printOptions horizontalCentered="0" verticalCentered="0" headings="0" gridLines="0" gridLinesSet="1"/>
  <pageMargins left="0.511805555555556" right="0.511805555555556" top="0.511805555555556" bottom="0.511805555555556" header="0.511805555555556" footer="0.511811023622047"/>
  <pageSetup orientation="portrait" paperSize="9" scale="88" fitToHeight="1" fitToWidth="1" pageOrder="downThenOver" blackAndWhite="0" draft="0" horizontalDpi="300" verticalDpi="300" copies="1"/>
  <headerFooter differentOddEven="0" differentFirst="0">
    <oddHeader>&amp;L&amp;"arial,Regular"&amp;1 &amp;K737373ADNOC Classification: Internal#&amp;R&amp;P</oddHeader>
    <oddFooter/>
    <evenHeader/>
    <evenFooter/>
    <firstHeader/>
    <firstFooter/>
  </headerFooter>
  <rowBreaks count="4" manualBreakCount="4">
    <brk id="53" min="0" max="16383" man="1"/>
    <brk id="108" min="0" max="16383" man="1"/>
    <brk id="163" min="0" max="16383" man="1"/>
    <brk id="185" min="0" max="16383" man="1"/>
  </rowBreaks>
</worksheet>
</file>

<file path=xl/worksheets/sheet15.xml><?xml version="1.0" encoding="utf-8"?>
<worksheet xmlns="http://schemas.openxmlformats.org/spreadsheetml/2006/main">
  <sheetPr filterMode="0">
    <outlinePr summaryBelow="1" summaryRight="1"/>
    <pageSetUpPr fitToPage="0"/>
  </sheetPr>
  <dimension ref="A1:AA33"/>
  <sheetViews>
    <sheetView showFormulas="0" showGridLines="1" showRowColHeaders="1" showZeros="1" rightToLeft="0" tabSelected="0" showOutlineSymbols="1" defaultGridColor="1" view="pageBreakPreview" topLeftCell="A19" colorId="64" zoomScale="100" zoomScaleNormal="100" zoomScalePageLayoutView="100" workbookViewId="0">
      <selection pane="topLeft" activeCell="I18" activeCellId="0" sqref="A11:S58"/>
    </sheetView>
  </sheetViews>
  <sheetFormatPr baseColWidth="8" defaultColWidth="8.59765625" defaultRowHeight="14.25" customHeight="0" zeroHeight="0" outlineLevelRow="0"/>
  <cols>
    <col width="14.89" customWidth="1" style="1207" min="1" max="1"/>
    <col width="7.33" customWidth="1" style="1207" min="2" max="2"/>
    <col width="7" customWidth="1" style="1207" min="3" max="4"/>
    <col width="14" customWidth="1" style="1207" min="5" max="5"/>
    <col width="11.78" customWidth="1" style="1207" min="11" max="18"/>
  </cols>
  <sheetData>
    <row r="1" ht="20.25" customHeight="1" s="1158">
      <c r="A1" s="2153" t="inlineStr">
        <is>
          <t xml:space="preserve">Description </t>
        </is>
      </c>
      <c r="B1" s="2154" t="inlineStr">
        <is>
          <t>Program</t>
        </is>
      </c>
      <c r="C1" s="2155" t="inlineStr">
        <is>
          <t xml:space="preserve">Acutal </t>
        </is>
      </c>
      <c r="D1" s="2155" t="inlineStr">
        <is>
          <t>Diff</t>
        </is>
      </c>
      <c r="E1" s="2155" t="n"/>
      <c r="F1" s="2155" t="n"/>
      <c r="G1" s="2156" t="n"/>
      <c r="K1" s="2157" t="inlineStr">
        <is>
          <t>ITEM</t>
        </is>
      </c>
      <c r="L1" s="2158" t="inlineStr">
        <is>
          <t>Unique ASSY No</t>
        </is>
      </c>
      <c r="M1" s="2159" t="inlineStr">
        <is>
          <t>DESCRIPTION</t>
        </is>
      </c>
      <c r="N1" s="2158" t="inlineStr">
        <is>
          <t>SERIAL NUMBERS</t>
        </is>
      </c>
      <c r="O1" s="2158" t="inlineStr">
        <is>
          <t>PART NUMBERS/ MM</t>
        </is>
      </c>
      <c r="P1" s="2158" t="inlineStr">
        <is>
          <t xml:space="preserve">G/L Valve part number </t>
        </is>
      </c>
      <c r="Q1" s="2160" t="inlineStr">
        <is>
          <t>QTY</t>
        </is>
      </c>
      <c r="R1" s="2161" t="inlineStr">
        <is>
          <t xml:space="preserve">SUPPLIER </t>
        </is>
      </c>
    </row>
    <row r="2" ht="21.75" customHeight="1" s="1158">
      <c r="A2" s="2162" t="inlineStr">
        <is>
          <t>WLEG</t>
        </is>
      </c>
      <c r="B2" s="2163" t="n"/>
      <c r="C2" s="2163" t="n"/>
      <c r="D2" s="2163" t="n"/>
      <c r="E2" s="2164" t="n"/>
      <c r="F2" s="2165" t="n"/>
      <c r="G2" s="2166" t="n"/>
      <c r="K2" s="2167" t="n"/>
      <c r="L2" s="1778" t="n"/>
      <c r="M2" s="1442" t="n"/>
      <c r="N2" s="1778" t="n"/>
      <c r="O2" s="1778" t="n"/>
      <c r="P2" s="1778" t="n"/>
      <c r="Q2" s="1778" t="n"/>
      <c r="R2" s="1272" t="n"/>
    </row>
    <row r="3" ht="21.75" customHeight="1" s="1158">
      <c r="A3" s="2168" t="inlineStr">
        <is>
          <t xml:space="preserve">Packer </t>
        </is>
      </c>
      <c r="B3" s="2165" t="n"/>
      <c r="C3" s="2165" t="n"/>
      <c r="D3" s="2165" t="n"/>
      <c r="E3" s="2169" t="n"/>
      <c r="F3" s="2170" t="n"/>
      <c r="G3" s="2166" t="n"/>
      <c r="K3" s="2112" t="n"/>
      <c r="L3" s="2112" t="n"/>
      <c r="M3" s="2112" t="n"/>
      <c r="N3" s="2112" t="n"/>
      <c r="O3" s="2112" t="n"/>
      <c r="P3" s="2112" t="n"/>
      <c r="Q3" s="2112" t="n"/>
      <c r="R3" s="2112" t="n"/>
    </row>
    <row r="4" ht="21.75" customHeight="1" s="1158">
      <c r="A4" s="1450" t="n"/>
      <c r="B4" s="1450" t="n"/>
      <c r="C4" s="1450" t="n"/>
      <c r="D4" s="1450" t="n"/>
      <c r="E4" s="2170" t="n"/>
      <c r="F4" s="2170" t="n"/>
      <c r="G4" s="2166" t="n"/>
      <c r="K4" s="2171" t="n"/>
      <c r="L4" s="2172" t="n"/>
      <c r="M4" s="2173" t="n"/>
      <c r="N4" s="2174" t="n"/>
      <c r="O4" s="2174" t="n"/>
      <c r="P4" s="2174" t="n"/>
      <c r="Q4" s="2172" t="n"/>
      <c r="R4" s="2174" t="n"/>
    </row>
    <row r="5" ht="21.75" customHeight="1" s="1158">
      <c r="A5" s="2162" t="inlineStr">
        <is>
          <t>GLM 2</t>
        </is>
      </c>
      <c r="B5" s="2163" t="n"/>
      <c r="C5" s="2163" t="n"/>
      <c r="D5" s="2163" t="n"/>
      <c r="E5" s="2175" t="n"/>
      <c r="F5" s="2165" t="n"/>
      <c r="G5" s="2166" t="n"/>
      <c r="K5" s="2171" t="n"/>
      <c r="L5" s="2172" t="n"/>
      <c r="M5" s="2173" t="n"/>
      <c r="N5" s="2172" t="n"/>
      <c r="O5" s="2174" t="n"/>
      <c r="P5" s="2174" t="n"/>
      <c r="Q5" s="2172" t="n"/>
      <c r="R5" s="2174" t="n"/>
    </row>
    <row r="6" ht="21.75" customHeight="1" s="1158">
      <c r="A6" s="2162" t="inlineStr">
        <is>
          <t>GLM3</t>
        </is>
      </c>
      <c r="B6" s="2163" t="n"/>
      <c r="C6" s="2163" t="n"/>
      <c r="D6" s="2163" t="n"/>
      <c r="E6" s="2176" t="n"/>
      <c r="F6" s="2177" t="n"/>
      <c r="G6" s="2166" t="n"/>
      <c r="K6" s="2171" t="n"/>
      <c r="L6" s="2172" t="n"/>
      <c r="M6" s="2173" t="n"/>
      <c r="N6" s="2172" t="n"/>
      <c r="O6" s="2174" t="n"/>
      <c r="P6" s="2172" t="n"/>
      <c r="Q6" s="2172" t="n"/>
      <c r="R6" s="2174" t="n"/>
      <c r="T6" s="2178" t="n"/>
      <c r="U6" s="2179" t="n"/>
      <c r="V6" s="2179" t="n"/>
      <c r="W6" s="2179" t="n"/>
      <c r="X6" s="2180" t="n"/>
      <c r="Y6" s="2180" t="n"/>
      <c r="Z6" s="2180" t="n"/>
      <c r="AA6" s="2180" t="n"/>
    </row>
    <row r="7" ht="21.75" customHeight="1" s="1158">
      <c r="A7" s="2162" t="inlineStr">
        <is>
          <t xml:space="preserve">GLM4 </t>
        </is>
      </c>
      <c r="B7" s="2163" t="n"/>
      <c r="C7" s="2163" t="n"/>
      <c r="D7" s="2163" t="n"/>
      <c r="E7" s="2181" t="n"/>
      <c r="F7" s="2177" t="n"/>
      <c r="G7" s="2166" t="n"/>
      <c r="K7" s="2171" t="n"/>
      <c r="L7" s="2172" t="n"/>
      <c r="M7" s="2173" t="n"/>
      <c r="N7" s="2172" t="n"/>
      <c r="O7" s="2174" t="n"/>
      <c r="P7" s="2172" t="n"/>
      <c r="Q7" s="2172" t="n"/>
      <c r="R7" s="2174" t="n"/>
    </row>
    <row r="8" ht="21.75" customHeight="1" s="1158">
      <c r="A8" s="2162" t="inlineStr">
        <is>
          <t>GLM 5</t>
        </is>
      </c>
      <c r="B8" s="2163" t="n"/>
      <c r="C8" s="2163" t="n"/>
      <c r="D8" s="2163" t="n"/>
      <c r="E8" s="2175" t="n"/>
      <c r="F8" s="2165" t="n"/>
      <c r="G8" s="2166" t="n"/>
      <c r="K8" s="2171" t="n"/>
      <c r="L8" s="2172" t="n"/>
      <c r="M8" s="2173" t="n"/>
      <c r="N8" s="2172" t="n"/>
      <c r="O8" s="2174" t="n"/>
      <c r="P8" s="2172" t="n"/>
      <c r="Q8" s="2172" t="n"/>
      <c r="R8" s="2174" t="n"/>
    </row>
    <row r="9" ht="21.75" customHeight="1" s="1158">
      <c r="A9" s="2162" t="inlineStr">
        <is>
          <t>TRSV</t>
        </is>
      </c>
      <c r="B9" s="2163" t="n"/>
      <c r="C9" s="2163" t="n"/>
      <c r="D9" s="2163" t="n"/>
      <c r="E9" s="2164" t="n"/>
      <c r="F9" s="2165" t="n"/>
      <c r="G9" s="2166" t="n"/>
      <c r="K9" s="2171" t="n"/>
      <c r="L9" s="2172" t="n"/>
      <c r="M9" s="2173" t="n"/>
      <c r="N9" s="2172" t="n"/>
      <c r="O9" s="2174" t="n"/>
      <c r="P9" s="2172" t="n"/>
      <c r="Q9" s="2172" t="n"/>
      <c r="R9" s="2174" t="n"/>
    </row>
    <row r="10" ht="21.75" customHeight="1" s="1158">
      <c r="A10" s="2162" t="inlineStr">
        <is>
          <t>END OF TALLY</t>
        </is>
      </c>
      <c r="B10" s="2163" t="n"/>
      <c r="C10" s="2163" t="n"/>
      <c r="D10" s="2163" t="n"/>
      <c r="E10" s="2176" t="n"/>
      <c r="F10" s="2177" t="n"/>
      <c r="G10" s="2166" t="n"/>
      <c r="K10" s="2171" t="n"/>
      <c r="L10" s="2172" t="n"/>
      <c r="M10" s="2173" t="n"/>
      <c r="N10" s="2172" t="n"/>
      <c r="O10" s="2174" t="n"/>
      <c r="P10" s="2172" t="n"/>
      <c r="Q10" s="2172" t="n"/>
      <c r="R10" s="2174" t="n"/>
    </row>
    <row r="11" ht="15" customHeight="1" s="1158">
      <c r="K11" s="2171" t="n"/>
      <c r="L11" s="2172" t="n"/>
      <c r="M11" s="2173" t="n"/>
      <c r="N11" s="2172" t="n"/>
      <c r="O11" s="2174" t="n"/>
      <c r="P11" s="2172" t="n"/>
      <c r="Q11" s="2172" t="n"/>
      <c r="R11" s="2174" t="n"/>
    </row>
    <row r="12" ht="15" customHeight="1" s="1158">
      <c r="K12" s="2171" t="n"/>
      <c r="L12" s="2172" t="n"/>
      <c r="M12" s="2173" t="n"/>
      <c r="N12" s="2172" t="n"/>
      <c r="O12" s="2174" t="n"/>
      <c r="P12" s="2172" t="n"/>
      <c r="Q12" s="2172" t="n"/>
      <c r="R12" s="2174" t="n"/>
    </row>
    <row r="13" ht="15" customHeight="1" s="1158">
      <c r="K13" s="2171" t="n"/>
      <c r="L13" s="2172" t="n"/>
      <c r="M13" s="2173" t="n"/>
      <c r="N13" s="2172" t="n"/>
      <c r="O13" s="2172" t="n"/>
      <c r="P13" s="2172" t="n"/>
      <c r="Q13" s="2172" t="n"/>
      <c r="R13" s="2174" t="n"/>
    </row>
    <row r="14" ht="15" customHeight="1" s="1158">
      <c r="K14" s="2171" t="n"/>
      <c r="L14" s="2172" t="n"/>
      <c r="M14" s="2173" t="n"/>
      <c r="N14" s="2172" t="n"/>
      <c r="O14" s="2172" t="n"/>
      <c r="P14" s="2172" t="n"/>
      <c r="Q14" s="2172" t="n"/>
      <c r="R14" s="2174" t="n"/>
    </row>
    <row r="15" ht="15" customHeight="1" s="1158">
      <c r="K15" s="2171" t="n"/>
      <c r="L15" s="2172" t="n"/>
      <c r="M15" s="2173" t="n"/>
      <c r="N15" s="2172" t="n"/>
      <c r="O15" s="2172" t="n"/>
      <c r="P15" s="2172" t="n"/>
      <c r="Q15" s="2172" t="n"/>
      <c r="R15" s="2174" t="n"/>
    </row>
    <row r="16" ht="15" customHeight="1" s="1158">
      <c r="K16" s="2171" t="n"/>
      <c r="L16" s="2172" t="n"/>
      <c r="M16" s="2173" t="n"/>
      <c r="N16" s="2172" t="n"/>
      <c r="O16" s="2172" t="n"/>
      <c r="P16" s="2172" t="n"/>
      <c r="Q16" s="2172" t="n"/>
      <c r="R16" s="2174" t="n"/>
    </row>
    <row r="17" ht="15" customHeight="1" s="1158">
      <c r="K17" s="2171" t="n"/>
      <c r="L17" s="2172" t="n"/>
      <c r="M17" s="2173" t="n"/>
      <c r="N17" s="2172" t="n"/>
      <c r="O17" s="2172" t="n"/>
      <c r="P17" s="2172" t="n"/>
      <c r="Q17" s="2172" t="n"/>
      <c r="R17" s="2174" t="n"/>
    </row>
    <row r="18" ht="15" customHeight="1" s="1158">
      <c r="K18" s="2171" t="n"/>
      <c r="L18" s="2172" t="n"/>
      <c r="M18" s="2173" t="n"/>
      <c r="N18" s="2172" t="n"/>
      <c r="O18" s="2172" t="n"/>
      <c r="P18" s="2172" t="n"/>
      <c r="Q18" s="2172" t="n"/>
      <c r="R18" s="2174" t="n"/>
    </row>
    <row r="19" ht="15" customHeight="1" s="1158">
      <c r="K19" s="2171" t="n"/>
      <c r="L19" s="2172" t="n"/>
      <c r="M19" s="2173" t="n"/>
      <c r="N19" s="2172" t="n"/>
      <c r="O19" s="2172" t="n"/>
      <c r="P19" s="2172" t="n"/>
      <c r="Q19" s="2172" t="n"/>
      <c r="R19" s="2174" t="n"/>
    </row>
    <row r="20" ht="15" customHeight="1" s="1158">
      <c r="K20" s="2171" t="n"/>
      <c r="L20" s="2172" t="n"/>
      <c r="M20" s="2173" t="n"/>
      <c r="N20" s="2172" t="n"/>
      <c r="O20" s="2172" t="n"/>
      <c r="P20" s="2172" t="n"/>
      <c r="Q20" s="2172" t="n"/>
      <c r="R20" s="2174" t="n"/>
    </row>
    <row r="21" ht="15" customHeight="1" s="1158">
      <c r="K21" s="2171" t="n"/>
      <c r="L21" s="2172" t="n"/>
      <c r="M21" s="2173" t="n"/>
      <c r="N21" s="2172" t="n"/>
      <c r="O21" s="2172" t="n"/>
      <c r="P21" s="2172" t="n"/>
      <c r="Q21" s="2172" t="n"/>
      <c r="R21" s="2174" t="n"/>
    </row>
    <row r="22" ht="15" customHeight="1" s="1158">
      <c r="K22" s="2171" t="n"/>
      <c r="L22" s="2172" t="n"/>
      <c r="M22" s="2173" t="n"/>
      <c r="N22" s="2172" t="n"/>
      <c r="O22" s="2172" t="n"/>
      <c r="P22" s="2172" t="n"/>
      <c r="Q22" s="2172" t="n"/>
      <c r="R22" s="2174" t="n"/>
    </row>
    <row r="23" ht="15" customHeight="1" s="1158">
      <c r="K23" s="2171" t="n"/>
      <c r="L23" s="2172" t="n"/>
      <c r="M23" s="2173" t="n"/>
      <c r="N23" s="2172" t="n"/>
      <c r="O23" s="2172" t="n"/>
      <c r="P23" s="2172" t="n"/>
      <c r="Q23" s="2172" t="n"/>
      <c r="R23" s="2174" t="n"/>
    </row>
    <row r="24" ht="15" customHeight="1" s="1158">
      <c r="K24" s="2171" t="n"/>
      <c r="L24" s="2172" t="n"/>
      <c r="M24" s="2173" t="n"/>
      <c r="N24" s="2172" t="n"/>
      <c r="O24" s="2172" t="n"/>
      <c r="P24" s="2172" t="n"/>
      <c r="Q24" s="2172" t="n"/>
      <c r="R24" s="2174" t="n"/>
    </row>
    <row r="25" ht="15" customHeight="1" s="1158">
      <c r="K25" s="2171" t="n"/>
      <c r="L25" s="2172" t="n"/>
      <c r="M25" s="2173" t="n"/>
      <c r="N25" s="2172" t="n"/>
      <c r="O25" s="2172" t="n"/>
      <c r="P25" s="2172" t="n"/>
      <c r="Q25" s="2172" t="n"/>
      <c r="R25" s="2174" t="n"/>
    </row>
    <row r="26" ht="15" customHeight="1" s="1158">
      <c r="K26" s="2171" t="n"/>
      <c r="L26" s="2172" t="n"/>
      <c r="M26" s="2173" t="n"/>
      <c r="N26" s="2172" t="n"/>
      <c r="O26" s="2172" t="n"/>
      <c r="P26" s="2172" t="n"/>
      <c r="Q26" s="2172" t="n"/>
      <c r="R26" s="2174" t="n"/>
    </row>
    <row r="27" ht="15" customHeight="1" s="1158">
      <c r="K27" s="2171" t="n"/>
      <c r="L27" s="2172" t="n"/>
      <c r="M27" s="2173" t="n"/>
      <c r="N27" s="2172" t="n"/>
      <c r="O27" s="2172" t="n"/>
      <c r="P27" s="2172" t="n"/>
      <c r="Q27" s="2172" t="n"/>
      <c r="R27" s="2174" t="n"/>
    </row>
    <row r="28" ht="15" customHeight="1" s="1158">
      <c r="K28" s="2171" t="n"/>
      <c r="L28" s="2172" t="n"/>
      <c r="M28" s="2173" t="n"/>
      <c r="N28" s="2172" t="n"/>
      <c r="O28" s="2172" t="n"/>
      <c r="P28" s="2172" t="n"/>
      <c r="Q28" s="2172" t="n"/>
      <c r="R28" s="2174" t="n"/>
    </row>
    <row r="29" ht="15" customHeight="1" s="1158">
      <c r="K29" s="2171" t="n"/>
      <c r="L29" s="2172" t="n"/>
      <c r="M29" s="2173" t="n"/>
      <c r="N29" s="2172" t="n"/>
      <c r="O29" s="2172" t="n"/>
      <c r="P29" s="2172" t="n"/>
      <c r="Q29" s="2172" t="n"/>
      <c r="R29" s="2174" t="n"/>
    </row>
    <row r="30" ht="15" customHeight="1" s="1158">
      <c r="K30" s="2171" t="n"/>
      <c r="L30" s="2172" t="n"/>
      <c r="M30" s="2173" t="n"/>
      <c r="N30" s="2172" t="n"/>
      <c r="O30" s="2172" t="n"/>
      <c r="P30" s="2172" t="n"/>
      <c r="Q30" s="2172" t="n"/>
      <c r="R30" s="2174" t="n"/>
    </row>
    <row r="31" ht="15" customHeight="1" s="1158">
      <c r="K31" s="2171" t="n"/>
      <c r="L31" s="2172" t="n"/>
      <c r="M31" s="2173" t="n"/>
      <c r="N31" s="2172" t="n"/>
      <c r="O31" s="2172" t="n"/>
      <c r="P31" s="2172" t="n"/>
      <c r="Q31" s="2172" t="n"/>
      <c r="R31" s="2174" t="n"/>
    </row>
    <row r="32" ht="15" customHeight="1" s="1158">
      <c r="K32" s="2171" t="n"/>
      <c r="L32" s="2172" t="n"/>
      <c r="M32" s="2173" t="n"/>
      <c r="N32" s="2172" t="n"/>
      <c r="O32" s="2172" t="n"/>
      <c r="P32" s="2172" t="n"/>
      <c r="Q32" s="2172" t="n"/>
      <c r="R32" s="2174" t="n"/>
    </row>
    <row r="33" ht="15" customHeight="1" s="1158">
      <c r="K33" s="2171" t="n"/>
      <c r="L33" s="2182" t="n"/>
      <c r="M33" s="2183" t="n"/>
      <c r="N33" s="2172" t="n"/>
      <c r="O33" s="2172" t="n"/>
      <c r="P33" s="2172" t="n"/>
      <c r="Q33" s="2172" t="n"/>
      <c r="R33" s="2172" t="n"/>
    </row>
  </sheetData>
  <mergeCells count="12">
    <mergeCell ref="C3:C4"/>
    <mergeCell ref="B3:B4"/>
    <mergeCell ref="A3:A4"/>
    <mergeCell ref="N1:N2"/>
    <mergeCell ref="Q1:Q2"/>
    <mergeCell ref="L1:L2"/>
    <mergeCell ref="D3:D4"/>
    <mergeCell ref="K1:K2"/>
    <mergeCell ref="M1:M2"/>
    <mergeCell ref="P1:P2"/>
    <mergeCell ref="O1:O2"/>
    <mergeCell ref="R1:R2"/>
  </mergeCells>
  <dataValidations count="1">
    <dataValidation sqref="R4:R33" showDropDown="0" showInputMessage="1" showErrorMessage="1" allowBlank="1" type="list" errorStyle="stop" operator="between">
      <formula1>Threads</formula1>
      <formula2>0</formula2>
    </dataValidation>
  </dataValidation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C00000"/>
    <outlinePr summaryBelow="1" summaryRight="1"/>
    <pageSetUpPr fitToPage="1"/>
  </sheetPr>
  <dimension ref="A1:AZ109"/>
  <sheetViews>
    <sheetView showFormulas="0" showGridLines="0" showRowColHeaders="1" showZeros="1" rightToLeft="0" tabSelected="0" showOutlineSymbols="1" defaultGridColor="1" view="pageBreakPreview" topLeftCell="D1" colorId="64" zoomScale="85" zoomScaleNormal="85" zoomScalePageLayoutView="85" workbookViewId="0">
      <selection pane="topLeft" activeCell="W2" activeCellId="1" sqref="A11:S58 W2"/>
    </sheetView>
  </sheetViews>
  <sheetFormatPr baseColWidth="8" defaultColWidth="9.11328125" defaultRowHeight="13.5" customHeight="0" zeroHeight="0" outlineLevelRow="0"/>
  <cols>
    <col hidden="1" outlineLevel="1" width="6.67" customWidth="1" style="2184" min="1" max="1"/>
    <col hidden="1" outlineLevel="1" width="16.11" customWidth="1" style="2184" min="2" max="2"/>
    <col hidden="1" outlineLevel="1" width="3.55" customWidth="1" style="2184" min="3" max="3"/>
    <col width="0.67" customWidth="1" style="2184" min="4" max="4"/>
    <col width="6.67" customWidth="1" style="2184" min="5" max="5"/>
    <col width="0.33" customWidth="1" style="2184" min="6" max="6"/>
    <col width="1.56" customWidth="1" style="2184" min="7" max="7"/>
    <col width="0.33" customWidth="1" style="2184" min="8" max="8"/>
    <col width="1.56" customWidth="1" style="2184" min="9" max="9"/>
    <col width="0.45" customWidth="1" style="2184" min="10" max="10"/>
    <col width="1.66" customWidth="1" style="2184" min="11" max="11"/>
    <col width="1.33" customWidth="1" style="2184" min="12" max="12"/>
    <col width="0.33" customWidth="1" style="2184" min="13" max="13"/>
    <col width="1.56" customWidth="1" style="2184" min="14" max="14"/>
    <col width="0.33" customWidth="1" style="2184" min="15" max="15"/>
    <col width="1.56" customWidth="1" style="2184" min="16" max="16"/>
    <col width="0.33" customWidth="1" style="2184" min="17" max="17"/>
    <col width="6.34" customWidth="1" style="2184" min="18" max="18"/>
    <col width="7.45" customWidth="1" style="2184" min="19" max="19"/>
    <col width="7.33" customWidth="1" style="2184" min="20" max="20"/>
    <col width="6.67" customWidth="1" style="2184" min="21" max="21"/>
    <col width="8.67" customWidth="1" style="2184" min="22" max="22"/>
    <col width="11.33" customWidth="1" style="2184" min="23" max="23"/>
    <col width="8.33" customWidth="1" style="2184" min="24" max="25"/>
    <col width="6.89" customWidth="1" style="2184" min="26" max="37"/>
    <col width="7.78" customWidth="1" style="2184" min="38" max="38"/>
    <col width="5.33" customWidth="1" style="2184" min="39" max="40"/>
    <col width="11" customWidth="1" style="2184" min="41" max="41"/>
    <col width="8.67" customWidth="1" style="2184" min="42" max="42"/>
    <col width="5.33" customWidth="1" style="2184" min="43" max="43"/>
    <col width="0.67" customWidth="1" style="2184" min="44" max="44"/>
    <col width="65.78" customWidth="1" style="2184" min="45" max="45"/>
    <col width="9.109999999999999" customWidth="1" style="2184" min="46" max="16384"/>
  </cols>
  <sheetData>
    <row r="1" ht="5.25" customHeight="1" s="1158">
      <c r="G1" s="2185" t="n"/>
      <c r="H1" s="2185" t="n"/>
      <c r="I1" s="2185" t="n"/>
      <c r="J1" s="2185" t="n"/>
      <c r="K1" s="2185" t="n"/>
      <c r="L1" s="2185" t="n"/>
      <c r="M1" s="2185" t="n"/>
      <c r="N1" s="2185" t="n"/>
      <c r="O1" s="2185" t="n"/>
      <c r="P1" s="2185" t="n"/>
      <c r="Q1" s="2185" t="n"/>
    </row>
    <row r="2" ht="15" customHeight="1" s="1158">
      <c r="A2" s="2186" t="inlineStr">
        <is>
          <t>DHWS_BB1436_OP30728CBB30v1</t>
        </is>
      </c>
      <c r="E2" s="2187" t="n"/>
      <c r="F2" s="1333" t="n"/>
      <c r="G2" s="1333" t="n"/>
      <c r="H2" s="1333" t="n"/>
      <c r="I2" s="1333" t="n"/>
      <c r="J2" s="1333" t="n"/>
      <c r="K2" s="1333" t="n"/>
      <c r="L2" s="1333" t="n"/>
      <c r="M2" s="1333" t="n"/>
      <c r="N2" s="1333" t="n"/>
      <c r="O2" s="1333" t="n"/>
      <c r="P2" s="1333" t="n"/>
      <c r="Q2" s="2188" t="n"/>
      <c r="R2" s="2189" t="inlineStr">
        <is>
          <t>DOWNHOLE WELL STATUS</t>
        </is>
      </c>
      <c r="S2" s="1333" t="n"/>
      <c r="T2" s="1333" t="n"/>
      <c r="U2" s="1333" t="n"/>
      <c r="V2" s="2188" t="n"/>
      <c r="W2" s="2190" t="inlineStr">
        <is>
          <t xml:space="preserve">3-1/2" Single Oil Producer, Alloy-28 Tubing, 3-1/2" TRSV, Permanent Conventional Packer, W/ Gas Lift, W/ Actuated Wellhead, Y-Shape
 </t>
        </is>
      </c>
      <c r="X2" s="1333" t="n"/>
      <c r="Y2" s="1333" t="n"/>
      <c r="Z2" s="1333" t="n"/>
      <c r="AA2" s="1333" t="n"/>
      <c r="AB2" s="1333" t="n"/>
      <c r="AC2" s="1333" t="n"/>
      <c r="AD2" s="1333" t="n"/>
      <c r="AE2" s="1333" t="n"/>
      <c r="AF2" s="2188" t="n"/>
      <c r="AG2" s="2191" t="inlineStr">
        <is>
          <t>RIG  :</t>
        </is>
      </c>
      <c r="AH2" s="1333" t="n"/>
      <c r="AI2" s="2192" t="inlineStr">
        <is>
          <t>AD-89</t>
        </is>
      </c>
      <c r="AJ2" s="1333" t="n"/>
      <c r="AK2" s="1333" t="n"/>
      <c r="AL2" s="1333" t="n"/>
      <c r="AM2" s="2193" t="n"/>
      <c r="AN2" s="2194" t="inlineStr">
        <is>
          <t>BB-1436</t>
        </is>
      </c>
      <c r="AO2" s="1333" t="n"/>
      <c r="AP2" s="1333" t="n"/>
      <c r="AQ2" s="1337" t="n"/>
    </row>
    <row r="3" ht="15" customHeight="1" s="1158">
      <c r="A3" s="2186" t="inlineStr">
        <is>
          <t>COMP_BB1436_OP30728CBB30v1</t>
        </is>
      </c>
      <c r="E3" s="1386" t="n"/>
      <c r="Q3" s="2195" t="n"/>
      <c r="R3" s="2196" t="n"/>
      <c r="S3" s="2197" t="n"/>
      <c r="T3" s="2197" t="n"/>
      <c r="U3" s="2197" t="n"/>
      <c r="V3" s="2198" t="n"/>
      <c r="W3" s="2196" t="n"/>
      <c r="X3" s="2197" t="n"/>
      <c r="Y3" s="2197" t="n"/>
      <c r="Z3" s="2197" t="n"/>
      <c r="AA3" s="2197" t="n"/>
      <c r="AB3" s="2197" t="n"/>
      <c r="AC3" s="2197" t="n"/>
      <c r="AD3" s="2197" t="n"/>
      <c r="AE3" s="2197" t="n"/>
      <c r="AF3" s="2198" t="n"/>
      <c r="AG3" s="2196" t="n"/>
      <c r="AH3" s="2197" t="n"/>
      <c r="AI3" s="2197" t="n"/>
      <c r="AJ3" s="2197" t="n"/>
      <c r="AK3" s="2197" t="n"/>
      <c r="AL3" s="2197" t="n"/>
      <c r="AM3" s="2197" t="n"/>
      <c r="AN3" s="2197" t="n"/>
      <c r="AO3" s="2197" t="n"/>
      <c r="AP3" s="2197" t="n"/>
      <c r="AQ3" s="2199" t="n"/>
    </row>
    <row r="4" ht="13.5" customHeight="1" s="1158">
      <c r="E4" s="1386" t="n"/>
      <c r="Q4" s="2195" t="n"/>
      <c r="R4" s="2200" t="inlineStr">
        <is>
          <t>RTKB :</t>
        </is>
      </c>
      <c r="T4" s="2201" t="inlineStr">
        <is>
          <t>17.72'</t>
        </is>
      </c>
      <c r="U4" s="2202" t="inlineStr">
        <is>
          <t>WZL LS :</t>
        </is>
      </c>
      <c r="W4" s="2201" t="n"/>
      <c r="X4" s="2202" t="inlineStr">
        <is>
          <t>GL :</t>
        </is>
      </c>
      <c r="Y4" s="2203" t="inlineStr">
        <is>
          <t>48.13'</t>
        </is>
      </c>
      <c r="Z4" s="2204" t="inlineStr">
        <is>
          <t>CASING , CEMENT &amp; TUBING DATA</t>
        </is>
      </c>
      <c r="AA4" s="2205" t="n"/>
      <c r="AB4" s="2205" t="n"/>
      <c r="AC4" s="2205" t="n"/>
      <c r="AD4" s="2205" t="n"/>
      <c r="AE4" s="2205" t="n"/>
      <c r="AF4" s="2205" t="n"/>
      <c r="AG4" s="2205" t="n"/>
      <c r="AH4" s="2205" t="n"/>
      <c r="AI4" s="2205" t="n"/>
      <c r="AJ4" s="2205" t="n"/>
      <c r="AK4" s="2205" t="n"/>
      <c r="AL4" s="2205" t="n"/>
      <c r="AM4" s="2205" t="n"/>
      <c r="AN4" s="2205" t="n"/>
      <c r="AO4" s="2205" t="n"/>
      <c r="AP4" s="2205" t="n"/>
      <c r="AQ4" s="2206" t="n"/>
      <c r="AT4" s="2207" t="inlineStr">
        <is>
          <t>TYPE</t>
        </is>
      </c>
      <c r="AU4" s="2208" t="inlineStr">
        <is>
          <t>BBL</t>
        </is>
      </c>
      <c r="AV4" s="2209" t="n"/>
      <c r="AW4" s="2210" t="inlineStr">
        <is>
          <t>SL.WT, PPG</t>
        </is>
      </c>
      <c r="AX4" s="2211" t="inlineStr">
        <is>
          <t>RTNS, BBL</t>
        </is>
      </c>
      <c r="AY4" s="2212" t="n"/>
      <c r="AZ4" s="2213" t="inlineStr">
        <is>
          <t>TOP.JOB, BBL</t>
        </is>
      </c>
    </row>
    <row r="5" ht="13.5" customHeight="1" s="1158">
      <c r="A5" s="2214" t="inlineStr">
        <is>
          <t>TIE BACK</t>
        </is>
      </c>
      <c r="B5" s="2214" t="inlineStr">
        <is>
          <t>YES</t>
        </is>
      </c>
      <c r="E5" s="1386" t="n"/>
      <c r="Q5" s="2195" t="n"/>
      <c r="R5" s="2215" t="inlineStr">
        <is>
          <t>THS :</t>
        </is>
      </c>
      <c r="T5" s="2216">
        <f>AO19</f>
        <v/>
      </c>
      <c r="U5" s="2217" t="inlineStr">
        <is>
          <t>WZL SS :</t>
        </is>
      </c>
      <c r="W5" s="2218" t="n"/>
      <c r="X5" s="2217" t="inlineStr">
        <is>
          <t>13-3/8" CHH :</t>
        </is>
      </c>
      <c r="Y5" s="2219" t="n"/>
      <c r="Z5" s="2220" t="inlineStr">
        <is>
          <t>SIZE</t>
        </is>
      </c>
      <c r="AA5" s="2221" t="n"/>
      <c r="AB5" s="2222" t="inlineStr">
        <is>
          <t>WEIGHT</t>
        </is>
      </c>
      <c r="AC5" s="2221" t="n"/>
      <c r="AD5" s="2223" t="inlineStr">
        <is>
          <t>GRADE</t>
        </is>
      </c>
      <c r="AE5" s="2221" t="n"/>
      <c r="AF5" s="2223" t="inlineStr">
        <is>
          <t>CONN</t>
        </is>
      </c>
      <c r="AG5" s="2221" t="n"/>
      <c r="AH5" s="2223" t="inlineStr">
        <is>
          <t>JOINTS</t>
        </is>
      </c>
      <c r="AI5" s="2221" t="n"/>
      <c r="AJ5" s="2222" t="inlineStr">
        <is>
          <t>DEPTH</t>
        </is>
      </c>
      <c r="AK5" s="2221" t="n"/>
      <c r="AL5" s="2224" t="inlineStr">
        <is>
          <t>CEMENT (PPG)</t>
        </is>
      </c>
      <c r="AM5" s="2225" t="n"/>
      <c r="AN5" s="2226" t="n"/>
      <c r="AO5" s="2227" t="n"/>
      <c r="AP5" s="2226">
        <f>AZ4</f>
        <v/>
      </c>
      <c r="AQ5" s="2228" t="n"/>
      <c r="AT5" s="2229" t="inlineStr">
        <is>
          <t>G</t>
        </is>
      </c>
      <c r="AU5" s="2230" t="n">
        <v>100</v>
      </c>
      <c r="AV5" s="2231" t="n"/>
      <c r="AW5" s="2232" t="n">
        <v>15.8</v>
      </c>
      <c r="AX5" s="2233" t="inlineStr">
        <is>
          <t>YES</t>
        </is>
      </c>
      <c r="AY5" s="2234" t="n"/>
      <c r="AZ5" s="2235" t="n">
        <v>5</v>
      </c>
    </row>
    <row r="6" ht="13.5" customHeight="1" s="1158">
      <c r="A6" s="2214" t="inlineStr">
        <is>
          <t>7" TOL</t>
        </is>
      </c>
      <c r="B6" s="2214" t="inlineStr">
        <is>
          <t>YES</t>
        </is>
      </c>
      <c r="E6" s="1386" t="n"/>
      <c r="Q6" s="2195" t="n"/>
      <c r="R6" s="2236" t="inlineStr">
        <is>
          <t>TD  :</t>
        </is>
      </c>
      <c r="S6" s="2237" t="n"/>
      <c r="T6" s="2218" t="n">
        <v>19253</v>
      </c>
      <c r="U6" s="2238" t="inlineStr">
        <is>
          <t>TVD :</t>
        </is>
      </c>
      <c r="V6" s="2239" t="n"/>
      <c r="W6" s="2218" t="n">
        <v>9703</v>
      </c>
      <c r="X6" s="2238" t="inlineStr">
        <is>
          <t>PBTD :</t>
        </is>
      </c>
      <c r="Y6" s="2240" t="inlineStr">
        <is>
          <t>NIL</t>
        </is>
      </c>
      <c r="Z6" s="2241" t="inlineStr">
        <is>
          <t>(INCH)</t>
        </is>
      </c>
      <c r="AA6" s="1194" t="n"/>
      <c r="AB6" s="2242" t="inlineStr">
        <is>
          <t>(LBS)</t>
        </is>
      </c>
      <c r="AC6" s="1194" t="n"/>
      <c r="AD6" s="2243" t="n"/>
      <c r="AE6" s="1194" t="n"/>
      <c r="AF6" s="2243" t="n"/>
      <c r="AG6" s="1194" t="n"/>
      <c r="AH6" s="2243" t="n"/>
      <c r="AI6" s="1194" t="n"/>
      <c r="AJ6" s="2244" t="inlineStr">
        <is>
          <t>MD (FT)</t>
        </is>
      </c>
      <c r="AK6" s="1194" t="n"/>
      <c r="AL6" s="2245">
        <f>AT4</f>
        <v/>
      </c>
      <c r="AM6" s="2246" t="inlineStr">
        <is>
          <t>BBL</t>
        </is>
      </c>
      <c r="AN6" s="2246">
        <f>AW4</f>
        <v/>
      </c>
      <c r="AO6" s="2246">
        <f>AX4</f>
        <v/>
      </c>
      <c r="AP6" s="1450" t="n"/>
      <c r="AQ6" s="2247" t="n"/>
      <c r="AT6" s="2248" t="inlineStr">
        <is>
          <t>Lead Slurry</t>
        </is>
      </c>
      <c r="AU6" s="2249" t="n">
        <v>122</v>
      </c>
      <c r="AV6" s="2250" t="n"/>
      <c r="AW6" s="2251" t="n">
        <v>11.3</v>
      </c>
      <c r="AX6" s="2252" t="n"/>
      <c r="AY6" s="2253" t="n"/>
      <c r="AZ6" s="2250" t="n"/>
    </row>
    <row r="7" ht="13.5" customHeight="1" s="1158">
      <c r="A7" s="2214" t="inlineStr">
        <is>
          <t>VIR CMT</t>
        </is>
      </c>
      <c r="B7" s="2214" t="inlineStr">
        <is>
          <t>NO</t>
        </is>
      </c>
      <c r="E7" s="1386" t="n"/>
      <c r="Q7" s="2195" t="n"/>
      <c r="R7" s="2254" t="inlineStr">
        <is>
          <t>P/U WT :</t>
        </is>
      </c>
      <c r="T7" s="2255" t="n">
        <v>92000</v>
      </c>
      <c r="U7" s="2256" t="inlineStr">
        <is>
          <t>S/O WT :</t>
        </is>
      </c>
      <c r="W7" s="2255" t="n">
        <v>82000</v>
      </c>
      <c r="X7" s="2256" t="inlineStr">
        <is>
          <t>BRINE WT :</t>
        </is>
      </c>
      <c r="Y7" s="2240" t="inlineStr">
        <is>
          <t>8.5 PPG</t>
        </is>
      </c>
      <c r="Z7" s="2257" t="inlineStr">
        <is>
          <t>18-5/8"</t>
        </is>
      </c>
      <c r="AA7" s="1247" t="n"/>
      <c r="AB7" s="2258" t="n">
        <v>87.5</v>
      </c>
      <c r="AC7" s="1249" t="n"/>
      <c r="AD7" s="2258" t="inlineStr">
        <is>
          <t>J-55</t>
        </is>
      </c>
      <c r="AE7" s="1249" t="n"/>
      <c r="AF7" s="2258" t="inlineStr">
        <is>
          <t>BTC</t>
        </is>
      </c>
      <c r="AG7" s="1249" t="n"/>
      <c r="AH7" s="2259">
        <f>'[196]Table 1'!F72</f>
        <v/>
      </c>
      <c r="AI7" s="1249" t="n"/>
      <c r="AJ7" s="2258" t="n">
        <v>160</v>
      </c>
      <c r="AK7" s="1249" t="n"/>
      <c r="AL7" s="2245">
        <f>AT5</f>
        <v/>
      </c>
      <c r="AM7" s="2260">
        <f>AU5</f>
        <v/>
      </c>
      <c r="AN7" s="2261">
        <f>AW5</f>
        <v/>
      </c>
      <c r="AO7" s="2246">
        <f>AX5</f>
        <v/>
      </c>
      <c r="AP7" s="2226">
        <f>AZ6</f>
        <v/>
      </c>
      <c r="AQ7" s="2262" t="n"/>
      <c r="AT7" s="2263" t="n"/>
      <c r="AU7" s="2264" t="n"/>
      <c r="AV7" s="2265" t="n"/>
      <c r="AW7" s="2266" t="n"/>
      <c r="AX7" s="2267" t="n">
        <v>0</v>
      </c>
      <c r="AY7" s="2264" t="n"/>
      <c r="AZ7" s="2268" t="n">
        <v>114</v>
      </c>
    </row>
    <row r="8" ht="13.5" customHeight="1" s="1158">
      <c r="A8" s="2214" t="inlineStr">
        <is>
          <t>SCD</t>
        </is>
      </c>
      <c r="B8" s="2214" t="inlineStr">
        <is>
          <t>NO</t>
        </is>
      </c>
      <c r="E8" s="2269" t="n"/>
      <c r="F8" s="2197" t="n"/>
      <c r="G8" s="2197" t="n"/>
      <c r="H8" s="2197" t="n"/>
      <c r="I8" s="2197" t="n"/>
      <c r="J8" s="2197" t="n"/>
      <c r="K8" s="2197" t="n"/>
      <c r="L8" s="2197" t="n"/>
      <c r="M8" s="2197" t="n"/>
      <c r="N8" s="2197" t="n"/>
      <c r="O8" s="2197" t="n"/>
      <c r="P8" s="2197" t="n"/>
      <c r="Q8" s="2198" t="n"/>
      <c r="R8" s="2270" t="inlineStr">
        <is>
          <t>WELLHEAD DATA</t>
        </is>
      </c>
      <c r="S8" s="2205" t="n"/>
      <c r="T8" s="2205" t="n"/>
      <c r="U8" s="2205" t="n"/>
      <c r="V8" s="2205" t="n"/>
      <c r="W8" s="2205" t="n"/>
      <c r="X8" s="2205" t="n"/>
      <c r="Y8" s="2271" t="n"/>
      <c r="Z8" s="2272" t="inlineStr">
        <is>
          <t>13-3/8"</t>
        </is>
      </c>
      <c r="AA8" s="1438" t="n"/>
      <c r="AB8" s="2273" t="n">
        <v>68</v>
      </c>
      <c r="AC8" s="1438" t="n"/>
      <c r="AD8" s="2273" t="inlineStr">
        <is>
          <t>J-55</t>
        </is>
      </c>
      <c r="AE8" s="1438" t="n"/>
      <c r="AF8" s="2273" t="inlineStr">
        <is>
          <t>BTC</t>
        </is>
      </c>
      <c r="AG8" s="1438" t="n"/>
      <c r="AH8" s="2273" t="n">
        <v>37</v>
      </c>
      <c r="AI8" s="1438" t="n"/>
      <c r="AJ8" s="2273" t="n">
        <v>1580</v>
      </c>
      <c r="AK8" s="1438" t="n"/>
      <c r="AL8" s="2245">
        <f>AT6</f>
        <v/>
      </c>
      <c r="AM8" s="2274">
        <f>AU6</f>
        <v/>
      </c>
      <c r="AN8" s="2275">
        <f>AW6</f>
        <v/>
      </c>
      <c r="AO8" s="2246">
        <f>AX6</f>
        <v/>
      </c>
      <c r="AP8" s="1450" t="n"/>
      <c r="AQ8" s="2276" t="n"/>
      <c r="AT8" s="2277" t="inlineStr">
        <is>
          <t>Tail Slurry</t>
        </is>
      </c>
      <c r="AU8" s="2278" t="n">
        <v>200</v>
      </c>
      <c r="AV8" s="2279" t="n"/>
      <c r="AW8" s="2280" t="n">
        <v>15.8</v>
      </c>
      <c r="AX8" s="2281" t="n"/>
      <c r="AY8" s="2282" t="n"/>
      <c r="AZ8" s="2279" t="n"/>
    </row>
    <row r="9" ht="13.5" customHeight="1" s="1158">
      <c r="E9" s="2283" t="inlineStr">
        <is>
          <t>DESCRIPTION</t>
        </is>
      </c>
      <c r="F9" s="2284" t="n"/>
      <c r="G9" s="2284" t="n"/>
      <c r="H9" s="2284" t="n"/>
      <c r="I9" s="2284" t="n"/>
      <c r="J9" s="2284" t="n"/>
      <c r="K9" s="2227" t="n"/>
      <c r="L9" s="2285" t="inlineStr">
        <is>
          <t>MAKER</t>
        </is>
      </c>
      <c r="M9" s="2284" t="n"/>
      <c r="N9" s="2284" t="n"/>
      <c r="O9" s="2284" t="n"/>
      <c r="P9" s="2284" t="n"/>
      <c r="Q9" s="2227" t="n"/>
      <c r="R9" s="2285" t="inlineStr">
        <is>
          <t>SIZE &amp; PRESSURE</t>
        </is>
      </c>
      <c r="S9" s="2284" t="n"/>
      <c r="T9" s="2284" t="n"/>
      <c r="U9" s="2284" t="n"/>
      <c r="V9" s="2284" t="n"/>
      <c r="W9" s="2227" t="n"/>
      <c r="X9" s="2286" t="inlineStr">
        <is>
          <t>TYPE</t>
        </is>
      </c>
      <c r="Y9" s="2287" t="n"/>
      <c r="Z9" s="2272" t="inlineStr">
        <is>
          <t>9-5/8"</t>
        </is>
      </c>
      <c r="AA9" s="1438" t="n"/>
      <c r="AB9" s="2273" t="n">
        <v>47</v>
      </c>
      <c r="AC9" s="1438" t="n"/>
      <c r="AD9" s="2273" t="inlineStr">
        <is>
          <t>L-80</t>
        </is>
      </c>
      <c r="AE9" s="1438" t="n"/>
      <c r="AF9" s="2273" t="inlineStr">
        <is>
          <t>VTOP</t>
        </is>
      </c>
      <c r="AG9" s="1438" t="n"/>
      <c r="AH9" s="2273" t="n">
        <v>174</v>
      </c>
      <c r="AI9" s="1438" t="n"/>
      <c r="AJ9" s="2273" t="n">
        <v>7329</v>
      </c>
      <c r="AK9" s="1438" t="n"/>
      <c r="AL9" s="2288">
        <f>AT7</f>
        <v/>
      </c>
      <c r="AM9" s="2274">
        <f>AU8</f>
        <v/>
      </c>
      <c r="AN9" s="2275">
        <f>AW7</f>
        <v/>
      </c>
      <c r="AO9" s="2289">
        <f>AX7</f>
        <v/>
      </c>
      <c r="AP9" s="2226">
        <f>AZ8</f>
        <v/>
      </c>
      <c r="AQ9" s="2276" t="n"/>
      <c r="AT9" s="2248" t="inlineStr">
        <is>
          <t>Lead Slurry</t>
        </is>
      </c>
      <c r="AU9" s="2249" t="n">
        <v>528</v>
      </c>
      <c r="AV9" s="2250" t="n"/>
      <c r="AW9" s="2290" t="n">
        <v>10</v>
      </c>
      <c r="AX9" s="1249" t="n"/>
      <c r="AY9" s="2253" t="n"/>
      <c r="AZ9" s="2250" t="n"/>
    </row>
    <row r="10" ht="13.5" customHeight="1" s="1158">
      <c r="E10" s="2291" t="inlineStr">
        <is>
          <t>X-MAS TREE</t>
        </is>
      </c>
      <c r="F10" s="1171" t="n"/>
      <c r="G10" s="1171" t="n"/>
      <c r="H10" s="1171" t="n"/>
      <c r="I10" s="1171" t="n"/>
      <c r="J10" s="1171" t="n"/>
      <c r="K10" s="1168" t="n"/>
      <c r="L10" s="2292" t="inlineStr">
        <is>
          <t>BH</t>
        </is>
      </c>
      <c r="M10" s="1171" t="n"/>
      <c r="N10" s="1171" t="n"/>
      <c r="O10" s="1171" t="n"/>
      <c r="P10" s="1171" t="n"/>
      <c r="Q10" s="1168" t="n"/>
      <c r="R10" s="2292" t="inlineStr">
        <is>
          <t>11 X 4-1/16 5K</t>
        </is>
      </c>
      <c r="S10" s="1171" t="n"/>
      <c r="T10" s="1171" t="n"/>
      <c r="U10" s="1171" t="n"/>
      <c r="V10" s="1171" t="n"/>
      <c r="W10" s="1168" t="n"/>
      <c r="X10" s="2292" t="inlineStr">
        <is>
          <t>Y BLOCK</t>
        </is>
      </c>
      <c r="Y10" s="1168" t="n"/>
      <c r="Z10" s="2293" t="inlineStr">
        <is>
          <t>7"</t>
        </is>
      </c>
      <c r="AA10" s="1438" t="n"/>
      <c r="AB10" s="2273" t="n">
        <v>29</v>
      </c>
      <c r="AC10" s="1438" t="n"/>
      <c r="AD10" s="2273" t="inlineStr">
        <is>
          <t>L-80</t>
        </is>
      </c>
      <c r="AE10" s="1438" t="n"/>
      <c r="AF10" s="2273" t="inlineStr">
        <is>
          <t>VTOP</t>
        </is>
      </c>
      <c r="AG10" s="1438" t="n"/>
      <c r="AH10" s="2273" t="n"/>
      <c r="AI10" s="1438" t="n"/>
      <c r="AJ10" s="2273" t="inlineStr">
        <is>
          <t>0-7025</t>
        </is>
      </c>
      <c r="AK10" s="1438" t="n"/>
      <c r="AL10" s="2245">
        <f>AT8</f>
        <v/>
      </c>
      <c r="AM10" s="2274">
        <f>AU9</f>
        <v/>
      </c>
      <c r="AN10" s="2275">
        <f>AW8</f>
        <v/>
      </c>
      <c r="AO10" s="2246">
        <f>AX8</f>
        <v/>
      </c>
      <c r="AP10" s="1450" t="n"/>
      <c r="AQ10" s="2276" t="n"/>
      <c r="AT10" s="2263" t="n"/>
      <c r="AU10" s="2282" t="n"/>
      <c r="AV10" s="2279" t="n"/>
      <c r="AW10" s="2281" t="n"/>
      <c r="AX10" s="2267" t="n">
        <v>150</v>
      </c>
      <c r="AY10" s="2264" t="n"/>
      <c r="AZ10" s="2268" t="n">
        <v>334</v>
      </c>
    </row>
    <row r="11" ht="13.5" customHeight="1" s="1158">
      <c r="E11" s="2291" t="inlineStr">
        <is>
          <t>SIDE OUTLETS</t>
        </is>
      </c>
      <c r="F11" s="1171" t="n"/>
      <c r="G11" s="1171" t="n"/>
      <c r="H11" s="1171" t="n"/>
      <c r="I11" s="1171" t="n"/>
      <c r="J11" s="1171" t="n"/>
      <c r="K11" s="1168" t="n"/>
      <c r="L11" s="2292" t="inlineStr">
        <is>
          <t>BH</t>
        </is>
      </c>
      <c r="M11" s="1171" t="n"/>
      <c r="N11" s="1171" t="n"/>
      <c r="O11" s="1171" t="n"/>
      <c r="P11" s="1171" t="n"/>
      <c r="Q11" s="1168" t="n"/>
      <c r="R11" s="2292" t="inlineStr">
        <is>
          <t>4-1/16 5K</t>
        </is>
      </c>
      <c r="S11" s="1171" t="n"/>
      <c r="T11" s="1171" t="n"/>
      <c r="U11" s="1171" t="n"/>
      <c r="V11" s="1171" t="n"/>
      <c r="W11" s="1168" t="n"/>
      <c r="X11" s="2292" t="n">
        <v>2200</v>
      </c>
      <c r="Y11" s="1168" t="n"/>
      <c r="Z11" s="2293" t="inlineStr">
        <is>
          <t>7"</t>
        </is>
      </c>
      <c r="AA11" s="1438" t="n"/>
      <c r="AB11" s="2273" t="n">
        <v>29</v>
      </c>
      <c r="AC11" s="1438" t="n"/>
      <c r="AD11" s="2273" t="inlineStr">
        <is>
          <t>L-80</t>
        </is>
      </c>
      <c r="AE11" s="1438" t="n"/>
      <c r="AF11" s="2273" t="inlineStr">
        <is>
          <t>VTOP</t>
        </is>
      </c>
      <c r="AG11" s="1438" t="n"/>
      <c r="AH11" s="2273" t="n">
        <v>75</v>
      </c>
      <c r="AI11" s="1438" t="n"/>
      <c r="AJ11" s="2273" t="inlineStr">
        <is>
          <t>7025-9399</t>
        </is>
      </c>
      <c r="AK11" s="1438" t="n"/>
      <c r="AL11" s="2245">
        <f>AT9</f>
        <v/>
      </c>
      <c r="AM11" s="2274">
        <f>AU11</f>
        <v/>
      </c>
      <c r="AN11" s="2275">
        <f>AW9</f>
        <v/>
      </c>
      <c r="AO11" s="2289">
        <f>AX9</f>
        <v/>
      </c>
      <c r="AP11" s="2226">
        <f>AZ10</f>
        <v/>
      </c>
      <c r="AQ11" s="2276" t="n"/>
      <c r="AT11" s="2294" t="inlineStr">
        <is>
          <t>Tail Slurry</t>
        </is>
      </c>
      <c r="AU11" s="2230" t="n">
        <v>200</v>
      </c>
      <c r="AV11" s="2231" t="n"/>
      <c r="AW11" s="2295" t="n">
        <v>15.8</v>
      </c>
      <c r="AX11" s="1194" t="n"/>
      <c r="AY11" s="2282" t="n"/>
      <c r="AZ11" s="2279" t="n"/>
    </row>
    <row r="12" ht="13.5" customHeight="1" s="1158">
      <c r="E12" s="2291" t="inlineStr">
        <is>
          <t>TUBING HANGER</t>
        </is>
      </c>
      <c r="F12" s="1171" t="n"/>
      <c r="G12" s="1171" t="n"/>
      <c r="H12" s="1171" t="n"/>
      <c r="I12" s="1171" t="n"/>
      <c r="J12" s="1171" t="n"/>
      <c r="K12" s="1168" t="n"/>
      <c r="L12" s="2292" t="inlineStr">
        <is>
          <t>BH</t>
        </is>
      </c>
      <c r="M12" s="1171" t="n"/>
      <c r="N12" s="1171" t="n"/>
      <c r="O12" s="1171" t="n"/>
      <c r="P12" s="1171" t="n"/>
      <c r="Q12" s="1168" t="n"/>
      <c r="R12" s="2292" t="inlineStr">
        <is>
          <t>11 X 4-1/2 5K</t>
        </is>
      </c>
      <c r="S12" s="1171" t="n"/>
      <c r="T12" s="1171" t="n"/>
      <c r="U12" s="1171" t="n"/>
      <c r="V12" s="1171" t="n"/>
      <c r="W12" s="1168" t="n"/>
      <c r="X12" s="2292" t="inlineStr">
        <is>
          <t>CWCT-ED-CCL</t>
        </is>
      </c>
      <c r="Y12" s="1168" t="n"/>
      <c r="Z12" s="2293" t="inlineStr">
        <is>
          <t>7"</t>
        </is>
      </c>
      <c r="AA12" s="1438" t="n"/>
      <c r="AB12" s="2273" t="n">
        <v>29</v>
      </c>
      <c r="AC12" s="1438" t="n"/>
      <c r="AD12" s="2273" t="inlineStr">
        <is>
          <t>ALLOY 28</t>
        </is>
      </c>
      <c r="AE12" s="1438" t="n"/>
      <c r="AF12" s="2273" t="inlineStr">
        <is>
          <t>VTOP</t>
        </is>
      </c>
      <c r="AG12" s="1438" t="n"/>
      <c r="AH12" s="2273" t="n">
        <v>57</v>
      </c>
      <c r="AI12" s="1438" t="n"/>
      <c r="AJ12" s="2273" t="inlineStr">
        <is>
          <t>9399-11597</t>
        </is>
      </c>
      <c r="AK12" s="1438" t="n"/>
      <c r="AL12" s="2245" t="n"/>
      <c r="AM12" s="2274">
        <f>AU12</f>
        <v/>
      </c>
      <c r="AN12" s="2275">
        <f>AW10</f>
        <v/>
      </c>
      <c r="AO12" s="2289">
        <f>AX10</f>
        <v/>
      </c>
      <c r="AP12" s="1450" t="n"/>
      <c r="AQ12" s="2276" t="n"/>
      <c r="AT12" s="2248" t="inlineStr">
        <is>
          <t>Lead Slurry</t>
        </is>
      </c>
      <c r="AU12" s="2249" t="n">
        <v>90</v>
      </c>
      <c r="AV12" s="2250" t="n"/>
      <c r="AW12" s="2296" t="n">
        <v>15.8</v>
      </c>
      <c r="AX12" s="1249" t="n"/>
      <c r="AY12" s="2253" t="n"/>
      <c r="AZ12" s="2250" t="n"/>
    </row>
    <row r="13" ht="13.5" customHeight="1" s="1158">
      <c r="E13" s="2291" t="inlineStr">
        <is>
          <t>TH SPOOL</t>
        </is>
      </c>
      <c r="F13" s="1171" t="n"/>
      <c r="G13" s="1171" t="n"/>
      <c r="H13" s="1171" t="n"/>
      <c r="I13" s="1171" t="n"/>
      <c r="J13" s="1171" t="n"/>
      <c r="K13" s="1168" t="n"/>
      <c r="L13" s="2292" t="inlineStr">
        <is>
          <t>BH</t>
        </is>
      </c>
      <c r="M13" s="1171" t="n"/>
      <c r="N13" s="1171" t="n"/>
      <c r="O13" s="1171" t="n"/>
      <c r="P13" s="1171" t="n"/>
      <c r="Q13" s="1168" t="n"/>
      <c r="R13" s="2292" t="inlineStr">
        <is>
          <t xml:space="preserve">11 X 11 5K </t>
        </is>
      </c>
      <c r="S13" s="1171" t="n"/>
      <c r="T13" s="1171" t="n"/>
      <c r="U13" s="1171" t="n"/>
      <c r="V13" s="1171" t="n"/>
      <c r="W13" s="1168" t="n"/>
      <c r="X13" s="2292" t="inlineStr">
        <is>
          <t>CWCT-ED-EBS3</t>
        </is>
      </c>
      <c r="Y13" s="1168" t="n"/>
      <c r="Z13" s="2297" t="n"/>
      <c r="AA13" s="1194" t="n"/>
      <c r="AB13" s="2298" t="n"/>
      <c r="AC13" s="1194" t="n"/>
      <c r="AD13" s="2298" t="n"/>
      <c r="AE13" s="1194" t="n"/>
      <c r="AF13" s="2298" t="n"/>
      <c r="AG13" s="1194" t="n"/>
      <c r="AH13" s="2298" t="n"/>
      <c r="AI13" s="1194" t="n"/>
      <c r="AJ13" s="2298" t="n"/>
      <c r="AK13" s="1194" t="n"/>
      <c r="AL13" s="2245">
        <f>AT11</f>
        <v/>
      </c>
      <c r="AM13" s="2274">
        <f>AU14</f>
        <v/>
      </c>
      <c r="AN13" s="2275">
        <f>AW11</f>
        <v/>
      </c>
      <c r="AO13" s="2299">
        <f>AX11</f>
        <v/>
      </c>
      <c r="AP13" s="2300" t="n"/>
      <c r="AQ13" s="2276" t="n"/>
      <c r="AT13" s="2263" t="n"/>
      <c r="AU13" s="2264" t="n"/>
      <c r="AV13" s="2265" t="n"/>
      <c r="AW13" s="2266" t="n"/>
      <c r="AX13" s="1438" t="n"/>
      <c r="AY13" s="2264" t="n"/>
      <c r="AZ13" s="2265" t="n"/>
    </row>
    <row r="14" ht="13.5" customHeight="1" s="1158">
      <c r="E14" s="2301" t="inlineStr">
        <is>
          <t>CHS</t>
        </is>
      </c>
      <c r="F14" s="1171" t="n"/>
      <c r="G14" s="1171" t="n"/>
      <c r="H14" s="1171" t="n"/>
      <c r="I14" s="1171" t="n"/>
      <c r="J14" s="1171" t="n"/>
      <c r="K14" s="1168" t="n"/>
      <c r="L14" s="2292" t="inlineStr">
        <is>
          <t>BH</t>
        </is>
      </c>
      <c r="M14" s="1171" t="n"/>
      <c r="N14" s="1171" t="n"/>
      <c r="O14" s="1171" t="n"/>
      <c r="P14" s="1168" t="n"/>
      <c r="Q14" s="2292" t="n"/>
      <c r="R14" s="2292" t="inlineStr">
        <is>
          <t>13-5/8 X 11 5K</t>
        </is>
      </c>
      <c r="S14" s="1171" t="n"/>
      <c r="T14" s="1171" t="n"/>
      <c r="U14" s="1171" t="n"/>
      <c r="V14" s="1171" t="n"/>
      <c r="W14" s="1168" t="n"/>
      <c r="X14" s="2292" t="inlineStr">
        <is>
          <t>CWCT-ED</t>
        </is>
      </c>
      <c r="Y14" s="1168" t="n"/>
      <c r="Z14" s="2302" t="inlineStr">
        <is>
          <t>3-1/2"</t>
        </is>
      </c>
      <c r="AA14" s="1247" t="n"/>
      <c r="AB14" s="2258" t="n">
        <v>9.199999999999999</v>
      </c>
      <c r="AC14" s="1249" t="n"/>
      <c r="AD14" s="2258" t="inlineStr">
        <is>
          <t>ALLOY 28</t>
        </is>
      </c>
      <c r="AE14" s="1249" t="n"/>
      <c r="AF14" s="2258" t="inlineStr">
        <is>
          <t>TSH BL</t>
        </is>
      </c>
      <c r="AG14" s="1249" t="n"/>
      <c r="AH14" s="2258" t="n">
        <v>364</v>
      </c>
      <c r="AI14" s="1249" t="n"/>
      <c r="AJ14" s="2303">
        <f>AP73</f>
        <v/>
      </c>
      <c r="AK14" s="1249" t="n"/>
      <c r="AL14" s="2258" t="n"/>
      <c r="AM14" s="2258" t="n"/>
      <c r="AN14" s="2258" t="n"/>
      <c r="AO14" s="2258" t="n"/>
      <c r="AP14" s="2258" t="n"/>
      <c r="AQ14" s="2304" t="n"/>
      <c r="AT14" s="2305" t="inlineStr">
        <is>
          <t>Tail Slurry</t>
        </is>
      </c>
      <c r="AU14" s="2278" t="n">
        <v>110</v>
      </c>
      <c r="AV14" s="2279" t="n"/>
      <c r="AW14" s="2306" t="n">
        <v>16.7</v>
      </c>
      <c r="AX14" s="1438" t="n"/>
      <c r="AY14" s="2264" t="n"/>
      <c r="AZ14" s="2265" t="n"/>
    </row>
    <row r="15" ht="13.5" customHeight="1" s="1158">
      <c r="E15" s="2291" t="inlineStr">
        <is>
          <t>FLUTED CSG HGR</t>
        </is>
      </c>
      <c r="F15" s="1171" t="n"/>
      <c r="G15" s="1171" t="n"/>
      <c r="H15" s="1171" t="n"/>
      <c r="I15" s="1171" t="n"/>
      <c r="J15" s="1171" t="n"/>
      <c r="K15" s="1168" t="n"/>
      <c r="L15" s="2292" t="inlineStr">
        <is>
          <t>BH</t>
        </is>
      </c>
      <c r="M15" s="1171" t="n"/>
      <c r="N15" s="1171" t="n"/>
      <c r="O15" s="1171" t="n"/>
      <c r="P15" s="1171" t="n"/>
      <c r="Q15" s="1168" t="n"/>
      <c r="R15" s="2292" t="inlineStr">
        <is>
          <t>7 X 11 5K</t>
        </is>
      </c>
      <c r="S15" s="1171" t="n"/>
      <c r="T15" s="1171" t="n"/>
      <c r="U15" s="1171" t="n"/>
      <c r="V15" s="1171" t="n"/>
      <c r="W15" s="1168" t="n"/>
      <c r="X15" s="2292" t="inlineStr">
        <is>
          <t>FMH</t>
        </is>
      </c>
      <c r="Y15" s="1168" t="n"/>
      <c r="Z15" s="2293" t="n"/>
      <c r="AA15" s="1438" t="n"/>
      <c r="AB15" s="2273" t="n"/>
      <c r="AC15" s="1438" t="n"/>
      <c r="AD15" s="2273" t="n"/>
      <c r="AE15" s="1438" t="n"/>
      <c r="AF15" s="2273" t="n"/>
      <c r="AG15" s="1438" t="n"/>
      <c r="AH15" s="2273" t="n"/>
      <c r="AI15" s="1438" t="n"/>
      <c r="AJ15" s="2273" t="n"/>
      <c r="AK15" s="1438" t="n"/>
      <c r="AL15" s="2307" t="n"/>
      <c r="AM15" s="2307" t="n"/>
      <c r="AN15" s="2307" t="n"/>
      <c r="AO15" s="2307" t="n"/>
      <c r="AP15" s="2307" t="n"/>
      <c r="AQ15" s="2307" t="n"/>
    </row>
    <row r="16" ht="13.5" customHeight="1" s="1158">
      <c r="E16" s="2291" t="inlineStr">
        <is>
          <t>FLUTED CSG HGR</t>
        </is>
      </c>
      <c r="F16" s="1171" t="n"/>
      <c r="G16" s="1171" t="n"/>
      <c r="H16" s="1171" t="n"/>
      <c r="I16" s="1171" t="n"/>
      <c r="J16" s="1171" t="n"/>
      <c r="K16" s="1168" t="n"/>
      <c r="L16" s="2292" t="inlineStr">
        <is>
          <t>CAMR</t>
        </is>
      </c>
      <c r="M16" s="1171" t="n"/>
      <c r="N16" s="1171" t="n"/>
      <c r="O16" s="1171" t="n"/>
      <c r="P16" s="1168" t="n"/>
      <c r="Q16" s="2292" t="n"/>
      <c r="R16" s="2292" t="inlineStr">
        <is>
          <t>13-3/8 X 9-5/8 3K</t>
        </is>
      </c>
      <c r="S16" s="1171" t="n"/>
      <c r="T16" s="1171" t="n"/>
      <c r="U16" s="1171" t="n"/>
      <c r="V16" s="1171" t="n"/>
      <c r="W16" s="1168" t="n"/>
      <c r="X16" s="2292" t="inlineStr">
        <is>
          <t>FMH</t>
        </is>
      </c>
      <c r="Y16" s="1168" t="n"/>
      <c r="Z16" s="2308" t="n"/>
      <c r="AA16" s="2309" t="n"/>
      <c r="AB16" s="2310" t="n"/>
      <c r="AC16" s="2309" t="n"/>
      <c r="AD16" s="2310" t="n"/>
      <c r="AE16" s="2309" t="n"/>
      <c r="AF16" s="2310" t="n"/>
      <c r="AG16" s="2309" t="n"/>
      <c r="AH16" s="2310" t="n"/>
      <c r="AI16" s="2309" t="n"/>
      <c r="AJ16" s="2310" t="n"/>
      <c r="AK16" s="2309" t="n"/>
      <c r="AL16" s="2307" t="n"/>
      <c r="AM16" s="2307" t="n"/>
      <c r="AN16" s="2307" t="n"/>
      <c r="AO16" s="2307" t="n"/>
      <c r="AP16" s="2307" t="n"/>
      <c r="AQ16" s="2307" t="n"/>
    </row>
    <row r="17" ht="13.5" customHeight="1" s="1158">
      <c r="E17" s="2291" t="inlineStr">
        <is>
          <t>CH HOUSING</t>
        </is>
      </c>
      <c r="F17" s="1171" t="n"/>
      <c r="G17" s="1171" t="n"/>
      <c r="H17" s="1171" t="n"/>
      <c r="I17" s="1171" t="n"/>
      <c r="J17" s="1171" t="n"/>
      <c r="K17" s="1168" t="n"/>
      <c r="L17" s="2292" t="inlineStr">
        <is>
          <t>CAMR</t>
        </is>
      </c>
      <c r="M17" s="1171" t="n"/>
      <c r="N17" s="1171" t="n"/>
      <c r="O17" s="1171" t="n"/>
      <c r="P17" s="1171" t="n"/>
      <c r="Q17" s="1168" t="n"/>
      <c r="R17" s="2292" t="inlineStr">
        <is>
          <t>13-3/8 X 13-5/8 3K</t>
        </is>
      </c>
      <c r="S17" s="1171" t="n"/>
      <c r="T17" s="1171" t="n"/>
      <c r="U17" s="1171" t="n"/>
      <c r="V17" s="1171" t="n"/>
      <c r="W17" s="1168" t="n"/>
      <c r="X17" s="2292" t="inlineStr">
        <is>
          <t>CAMR</t>
        </is>
      </c>
      <c r="Y17" s="1168" t="n"/>
      <c r="Z17" s="2311" t="n"/>
      <c r="AA17" s="2311" t="n"/>
      <c r="AB17" s="2311" t="n"/>
      <c r="AC17" s="2311" t="n"/>
      <c r="AD17" s="2311" t="n"/>
      <c r="AE17" s="2311" t="n"/>
      <c r="AF17" s="2311" t="n"/>
      <c r="AG17" s="2311" t="n"/>
      <c r="AH17" s="2311" t="n"/>
      <c r="AI17" s="2311" t="n"/>
      <c r="AJ17" s="2311" t="n"/>
      <c r="AK17" s="2293" t="n"/>
      <c r="AL17" s="2312" t="n"/>
      <c r="AM17" s="2312" t="n"/>
      <c r="AN17" s="2293" t="n"/>
      <c r="AO17" s="2312" t="n"/>
      <c r="AP17" s="2312" t="n"/>
      <c r="AQ17" s="2313" t="n"/>
    </row>
    <row r="18" ht="14.25" customHeight="1" s="1158">
      <c r="A18" s="2314" t="inlineStr">
        <is>
          <t>TBG_1</t>
        </is>
      </c>
      <c r="B18" s="2315" t="n">
        <v>1</v>
      </c>
      <c r="C18" s="2315" t="n"/>
      <c r="E18" s="2316" t="n"/>
      <c r="F18" s="2317" t="n"/>
      <c r="G18" s="2318" t="n"/>
      <c r="P18" s="2319" t="n"/>
      <c r="Q18" s="2317" t="n"/>
      <c r="S18" s="2320" t="n"/>
      <c r="T18" s="2186" t="n"/>
      <c r="U18" s="2186" t="n"/>
      <c r="V18" s="2186" t="n"/>
      <c r="W18" s="2186" t="n"/>
      <c r="X18" s="2321" t="inlineStr">
        <is>
          <t>ITEM</t>
        </is>
      </c>
      <c r="Y18" s="2322" t="inlineStr">
        <is>
          <t>DESCRIPTION</t>
        </is>
      </c>
      <c r="Z18" s="1193" t="n"/>
      <c r="AA18" s="1193" t="n"/>
      <c r="AB18" s="1193" t="n"/>
      <c r="AC18" s="1193" t="n"/>
      <c r="AD18" s="1193" t="n"/>
      <c r="AE18" s="1193" t="n"/>
      <c r="AF18" s="1193" t="n"/>
      <c r="AG18" s="1193" t="n"/>
      <c r="AH18" s="1193" t="n"/>
      <c r="AI18" s="1193" t="n"/>
      <c r="AJ18" s="1193" t="n"/>
      <c r="AK18" s="1194" t="n"/>
      <c r="AL18" s="2323" t="inlineStr">
        <is>
          <t>ID</t>
        </is>
      </c>
      <c r="AM18" s="2324" t="inlineStr">
        <is>
          <t>OD</t>
        </is>
      </c>
      <c r="AN18" s="2227" t="n"/>
      <c r="AO18" s="2323" t="inlineStr">
        <is>
          <t>LENGTH</t>
        </is>
      </c>
      <c r="AP18" s="2325" t="inlineStr">
        <is>
          <t>MD</t>
        </is>
      </c>
      <c r="AQ18" s="2326" t="n"/>
    </row>
    <row r="19" ht="14.25" customHeight="1" s="1158">
      <c r="A19" s="2314" t="inlineStr">
        <is>
          <t>THSV_1</t>
        </is>
      </c>
      <c r="B19" s="2315" t="n">
        <v>1</v>
      </c>
      <c r="C19" s="2315" t="n"/>
      <c r="E19" s="2316" t="n"/>
      <c r="F19" s="2317" t="n"/>
      <c r="G19" s="2318" t="n"/>
      <c r="P19" s="2319" t="n"/>
      <c r="Q19" s="2317" t="n"/>
      <c r="S19" s="2320" t="n"/>
      <c r="T19" s="2186" t="n"/>
      <c r="U19" s="2186" t="n"/>
      <c r="V19" s="2186" t="n"/>
      <c r="W19" s="2186" t="n"/>
      <c r="X19" s="2327" t="n"/>
      <c r="Y19" s="2328" t="inlineStr">
        <is>
          <t>ELEVATION</t>
        </is>
      </c>
      <c r="Z19" s="2328" t="n"/>
      <c r="AA19" s="2328" t="n"/>
      <c r="AB19" s="2328" t="n"/>
      <c r="AC19" s="2328" t="n"/>
      <c r="AD19" s="2328" t="n"/>
      <c r="AE19" s="2328" t="n"/>
      <c r="AF19" s="2328" t="n"/>
      <c r="AG19" s="2328" t="n"/>
      <c r="AH19" s="2328" t="n"/>
      <c r="AI19" s="2328" t="n"/>
      <c r="AJ19" s="2328" t="n"/>
      <c r="AK19" s="2329" t="n"/>
      <c r="AL19" s="2330" t="n"/>
      <c r="AM19" s="2331" t="n"/>
      <c r="AN19" s="1249" t="n"/>
      <c r="AO19" s="2332" t="n">
        <v>20.27</v>
      </c>
      <c r="AP19" s="2333">
        <f>AP20-AO19</f>
        <v/>
      </c>
      <c r="AQ19" s="1272" t="n"/>
    </row>
    <row r="20" ht="65.25" customHeight="1" s="1158">
      <c r="A20" s="2314" t="inlineStr">
        <is>
          <t>SPM_1</t>
        </is>
      </c>
      <c r="B20" s="2315" t="n">
        <v>1</v>
      </c>
      <c r="C20" s="2315" t="inlineStr">
        <is>
          <t>***</t>
        </is>
      </c>
      <c r="E20" s="2316" t="n"/>
      <c r="F20" s="2317" t="n"/>
      <c r="G20" s="2318" t="n"/>
      <c r="P20" s="2319" t="n"/>
      <c r="Q20" s="2317" t="n"/>
      <c r="S20" s="2320" t="n"/>
      <c r="T20" s="2186" t="n"/>
      <c r="U20" s="2186" t="n"/>
      <c r="V20" s="2186" t="n"/>
      <c r="W20" s="2186" t="n"/>
      <c r="X20" s="2334" t="n">
        <v>1</v>
      </c>
      <c r="Y20" s="2335" t="inlineStr">
        <is>
          <t>UPPER CONN . 4-1/2" VAM TOP 12.6 #PPF INC 718 120 KSI BOX
DESCRIPTION : GE TBGHGR; CWCT-ED-CLL; 11 X 4-1/2; 4-1/2 12.6 PPF
VAM TOP BOX BTM; 4-1/2 VAM
P/N: R893330-1ADC11 REV D S/N - ADWHT80698-05
SAP: 1300010044633 SUPPLIER: GE
LOWER CONN . 4-1/2" VAM TOP 12.6 #PPF INC 718 120 KSI BOXUPPER CONN . 4-1/2" VAM TOP 12.6 #PPF INC 718 120 KSI BOX
DESCRIPTION : GE TBGHGR; CWCT-ED-CLL; 11 X 4-1/2; 4-1/2 12.6 PPF
VAM TOP BOX BTM; 4-1/2 VAM
P/N: R893330-1ADC11 REV D S/N - ADWHT80698-05
SAP: 1300010044633 SUPPLIER: GE
LOWER CONN . 4-1/2" VAM TOP 12.6 #PPF INC 718 120 KSI BOX</t>
        </is>
      </c>
      <c r="Z20" s="1171" t="n"/>
      <c r="AA20" s="1171" t="n"/>
      <c r="AB20" s="1171" t="n"/>
      <c r="AC20" s="1171" t="n"/>
      <c r="AD20" s="1171" t="n"/>
      <c r="AE20" s="1171" t="n"/>
      <c r="AF20" s="1171" t="n"/>
      <c r="AG20" s="1171" t="n"/>
      <c r="AH20" s="1171" t="n"/>
      <c r="AI20" s="1171" t="n"/>
      <c r="AJ20" s="1171" t="n"/>
      <c r="AK20" s="2336" t="n"/>
      <c r="AL20" s="2337" t="n">
        <v>3.9</v>
      </c>
      <c r="AM20" s="2337" t="n">
        <v>11</v>
      </c>
      <c r="AN20" s="2337" t="n">
        <v>1.9</v>
      </c>
      <c r="AO20" s="2338" t="n"/>
      <c r="AP20" s="2333">
        <f>AP21-AO20</f>
        <v/>
      </c>
      <c r="AQ20" s="1272" t="n"/>
      <c r="AR20" s="2339" t="n"/>
    </row>
    <row r="21" ht="13.5" customHeight="1" s="1158">
      <c r="A21" s="2314" t="inlineStr">
        <is>
          <t>SPM_2</t>
        </is>
      </c>
      <c r="B21" s="2315" t="n">
        <v>1</v>
      </c>
      <c r="C21" s="2315" t="inlineStr">
        <is>
          <t>*</t>
        </is>
      </c>
      <c r="E21" s="2316" t="n"/>
      <c r="F21" s="2317" t="n"/>
      <c r="G21" s="2318" t="n"/>
      <c r="P21" s="2319" t="n"/>
      <c r="Q21" s="2317" t="n"/>
      <c r="S21" s="2320" t="n"/>
      <c r="T21" s="2186" t="n"/>
      <c r="U21" s="2186" t="n"/>
      <c r="V21" s="2186" t="n"/>
      <c r="W21" s="2186" t="n"/>
      <c r="X21" s="2334" t="n">
        <v>2</v>
      </c>
      <c r="Y21" s="2335" t="inlineStr">
        <is>
          <t>X-O 4-1/2" VTOP P X 3-1/2" ALLOY 28 TSH BL P</t>
        </is>
      </c>
      <c r="Z21" s="1171" t="n"/>
      <c r="AA21" s="1171" t="n"/>
      <c r="AB21" s="1171" t="n"/>
      <c r="AC21" s="1171" t="n"/>
      <c r="AD21" s="1171" t="n"/>
      <c r="AE21" s="1171" t="n"/>
      <c r="AF21" s="1171" t="n"/>
      <c r="AG21" s="1171" t="n"/>
      <c r="AH21" s="1171" t="n"/>
      <c r="AI21" s="1171" t="n"/>
      <c r="AJ21" s="1171" t="n"/>
      <c r="AK21" s="2336" t="n"/>
      <c r="AL21" s="2337" t="n">
        <v>2.969</v>
      </c>
      <c r="AM21" s="2337" t="n">
        <v>4.5</v>
      </c>
      <c r="AN21" s="2337" t="n">
        <v>2.48</v>
      </c>
      <c r="AO21" s="2338" t="n"/>
      <c r="AP21" s="2333">
        <f>AP22-AO21</f>
        <v/>
      </c>
      <c r="AQ21" s="1272" t="n"/>
      <c r="AR21" s="2339" t="n"/>
    </row>
    <row r="22" ht="13.5" customHeight="1" s="1158">
      <c r="A22" s="2314" t="inlineStr">
        <is>
          <t>SPM_3</t>
        </is>
      </c>
      <c r="B22" s="2315" t="n">
        <v>1</v>
      </c>
      <c r="C22" s="2315" t="inlineStr">
        <is>
          <t>*</t>
        </is>
      </c>
      <c r="E22" s="2316" t="n"/>
      <c r="F22" s="2317" t="n"/>
      <c r="G22" s="2318" t="n"/>
      <c r="P22" s="2319" t="n"/>
      <c r="Q22" s="2317" t="n"/>
      <c r="S22" s="2320" t="n"/>
      <c r="T22" s="2186" t="n"/>
      <c r="U22" s="2186" t="n"/>
      <c r="V22" s="2186" t="n"/>
      <c r="W22" s="2186" t="n"/>
      <c r="X22" s="2334" t="n">
        <v>3</v>
      </c>
      <c r="Y22" s="2335" t="inlineStr">
        <is>
          <t>3-1/2" 5 FT PUP JT 9.2 LB/FT ALLOY 28 TSH BL</t>
        </is>
      </c>
      <c r="Z22" s="1171" t="n"/>
      <c r="AA22" s="1171" t="n"/>
      <c r="AB22" s="1171" t="n"/>
      <c r="AC22" s="1171" t="n"/>
      <c r="AD22" s="1171" t="n"/>
      <c r="AE22" s="1171" t="n"/>
      <c r="AF22" s="1171" t="n"/>
      <c r="AG22" s="1171" t="n"/>
      <c r="AH22" s="1171" t="n"/>
      <c r="AI22" s="1171" t="n"/>
      <c r="AJ22" s="1171" t="n"/>
      <c r="AK22" s="2336" t="n"/>
      <c r="AL22" s="2337" t="n">
        <v>2.969</v>
      </c>
      <c r="AM22" s="2337" t="n">
        <v>3.937</v>
      </c>
      <c r="AN22" s="2337" t="n">
        <v>5.08</v>
      </c>
      <c r="AO22" s="2338" t="n"/>
      <c r="AP22" s="2333">
        <f>AP23-AO22</f>
        <v/>
      </c>
      <c r="AQ22" s="1272" t="n"/>
      <c r="AR22" s="2339" t="n"/>
      <c r="AV22" s="2340">
        <f>AO28-0.301</f>
        <v/>
      </c>
    </row>
    <row r="23" ht="13.5" customHeight="1" s="1158">
      <c r="A23" s="2314" t="inlineStr">
        <is>
          <t>SPM_4</t>
        </is>
      </c>
      <c r="B23" s="2315" t="n">
        <v>1</v>
      </c>
      <c r="C23" s="2315" t="n"/>
      <c r="E23" s="2316" t="n"/>
      <c r="F23" s="2317" t="n"/>
      <c r="G23" s="2318" t="n"/>
      <c r="P23" s="2319" t="n"/>
      <c r="Q23" s="2317" t="n"/>
      <c r="S23" s="2320" t="n"/>
      <c r="T23" s="2186" t="n"/>
      <c r="U23" s="2186" t="n"/>
      <c r="V23" s="2186" t="n"/>
      <c r="W23" s="2186" t="n"/>
      <c r="X23" s="2334" t="n">
        <v>4</v>
      </c>
      <c r="Y23" s="2335" t="inlineStr">
        <is>
          <t>3-1/2" TUBING 9.2 LB/FT ALLOY 28 TSH BL</t>
        </is>
      </c>
      <c r="Z23" s="1171" t="n"/>
      <c r="AA23" s="1171" t="n"/>
      <c r="AB23" s="1171" t="n"/>
      <c r="AC23" s="1171" t="n"/>
      <c r="AD23" s="1171" t="n"/>
      <c r="AE23" s="1171" t="n"/>
      <c r="AF23" s="1171" t="n"/>
      <c r="AG23" s="1171" t="n"/>
      <c r="AH23" s="1171" t="n"/>
      <c r="AI23" s="1171" t="n"/>
      <c r="AJ23" s="1171" t="n"/>
      <c r="AK23" s="2336" t="inlineStr">
        <is>
          <t>5 JTS</t>
        </is>
      </c>
      <c r="AL23" s="2337" t="n"/>
      <c r="AM23" s="2337" t="n"/>
      <c r="AO23" s="2338" t="n"/>
      <c r="AP23" s="2333">
        <f>AP24-AO23</f>
        <v/>
      </c>
      <c r="AQ23" s="1272" t="n"/>
      <c r="AR23" s="2339" t="n"/>
    </row>
    <row r="24" ht="13.5" customHeight="1" s="1158">
      <c r="A24" s="2314" t="inlineStr">
        <is>
          <t>SPM_5</t>
        </is>
      </c>
      <c r="B24" s="2315" t="n">
        <v>0</v>
      </c>
      <c r="C24" s="2315" t="inlineStr">
        <is>
          <t>*</t>
        </is>
      </c>
      <c r="E24" s="2316" t="n"/>
      <c r="F24" s="2317" t="n"/>
      <c r="G24" s="2318" t="n"/>
      <c r="P24" s="2319" t="n"/>
      <c r="Q24" s="2317" t="n"/>
      <c r="S24" s="2320" t="n"/>
      <c r="T24" s="2186" t="n"/>
      <c r="U24" s="2186" t="n"/>
      <c r="V24" s="2186" t="n"/>
      <c r="W24" s="2186" t="n"/>
      <c r="X24" s="2334" t="n">
        <v>5</v>
      </c>
      <c r="Y24" s="2335" t="inlineStr">
        <is>
          <t>X-O 3-1/2" 10 FT PUP JT 9.2 LB/FT ALLOY 28 TSH BL B X VTOP P</t>
        </is>
      </c>
      <c r="Z24" s="1171" t="n"/>
      <c r="AA24" s="1171" t="n"/>
      <c r="AB24" s="1171" t="n"/>
      <c r="AC24" s="1171" t="n"/>
      <c r="AD24" s="1171" t="n"/>
      <c r="AE24" s="1171" t="n"/>
      <c r="AF24" s="1171" t="n"/>
      <c r="AG24" s="1171" t="n"/>
      <c r="AH24" s="1171" t="n"/>
      <c r="AI24" s="1171" t="n"/>
      <c r="AJ24" s="1171" t="n"/>
      <c r="AK24" s="2336" t="n"/>
      <c r="AL24" s="2337" t="n">
        <v>2.969</v>
      </c>
      <c r="AM24" s="2337" t="n">
        <v>3.937</v>
      </c>
      <c r="AN24" s="2337" t="n">
        <v>9.93</v>
      </c>
      <c r="AO24" s="2338" t="n"/>
      <c r="AP24" s="2333">
        <f>AP25-AO24</f>
        <v/>
      </c>
      <c r="AQ24" s="1272" t="n"/>
      <c r="AR24" s="2339" t="n"/>
    </row>
    <row r="25" ht="13.5" customHeight="1" s="1158">
      <c r="A25" s="2314" t="inlineStr">
        <is>
          <t>TJ_1</t>
        </is>
      </c>
      <c r="B25" s="2315" t="n">
        <v>0</v>
      </c>
      <c r="C25" s="2315" t="inlineStr">
        <is>
          <t>*</t>
        </is>
      </c>
      <c r="E25" s="2316" t="n"/>
      <c r="F25" s="2317" t="n"/>
      <c r="G25" s="2318" t="n"/>
      <c r="P25" s="2319" t="n"/>
      <c r="Q25" s="2317" t="n"/>
      <c r="S25" s="2320" t="n"/>
      <c r="T25" s="2186" t="n"/>
      <c r="U25" s="2186" t="n"/>
      <c r="V25" s="2186" t="n"/>
      <c r="W25" s="2186" t="n"/>
      <c r="X25" s="2334" t="n">
        <v>6</v>
      </c>
      <c r="Y25" s="2335" t="inlineStr">
        <is>
          <t>3-1/2" FLOW COUPLING FLOW COUPLING 9.2 LB/FT ALLOY 28 VTOP</t>
        </is>
      </c>
      <c r="Z25" s="1171" t="n"/>
      <c r="AA25" s="1171" t="n"/>
      <c r="AB25" s="1171" t="n"/>
      <c r="AC25" s="1171" t="n"/>
      <c r="AD25" s="1171" t="n"/>
      <c r="AE25" s="1171" t="n"/>
      <c r="AF25" s="1171" t="n"/>
      <c r="AG25" s="1171" t="n"/>
      <c r="AH25" s="1171" t="n"/>
      <c r="AI25" s="1171" t="n"/>
      <c r="AJ25" s="1171" t="n"/>
      <c r="AK25" s="2336" t="n"/>
      <c r="AL25" s="2337" t="n">
        <v>2.949</v>
      </c>
      <c r="AM25" s="2337" t="n">
        <v>3.937</v>
      </c>
      <c r="AN25" s="2337" t="n">
        <v>5.75</v>
      </c>
      <c r="AO25" s="2338" t="n"/>
      <c r="AP25" s="2333">
        <f>AP26-AO25</f>
        <v/>
      </c>
      <c r="AQ25" s="1272" t="n"/>
      <c r="AR25" s="2339" t="n"/>
    </row>
    <row r="26" ht="65.25" customHeight="1" s="1158">
      <c r="A26" s="2341" t="inlineStr">
        <is>
          <t>PKR_2</t>
        </is>
      </c>
      <c r="B26" s="2315" t="n">
        <v>0</v>
      </c>
      <c r="C26" s="2315" t="inlineStr">
        <is>
          <t>***</t>
        </is>
      </c>
      <c r="E26" s="2316" t="n"/>
      <c r="F26" s="2317" t="n"/>
      <c r="G26" s="2318" t="n"/>
      <c r="P26" s="2319" t="n"/>
      <c r="Q26" s="2317" t="n"/>
      <c r="S26" s="2320" t="n"/>
      <c r="T26" s="2186" t="n"/>
      <c r="U26" s="2186" t="n"/>
      <c r="V26" s="2186" t="n"/>
      <c r="W26" s="2342" t="n"/>
      <c r="X26" s="2334" t="n">
        <v>7</v>
      </c>
      <c r="Y26" s="2335" t="inlineStr">
        <is>
          <t>UPPER CONN . 3-1/2" VAM TOP 9.2HPPF INCOLOY 925 BOXDESCRIPTION : WEATHERFORD ASSY,TRSV,3.5WZPE-10 2.813WOR,2KSD,9.2H VAM TOP,WN302PN: 2980845S/N: 12777594-01SAP: 130010038007SUPPLIER: WEATHERFORDLOWER CONN . 3-1/2" VAM TOP 9.2HPPF INCOLOY 925 PINUPPER CONN . 3-1/2" VAM TOP 9.2HPPF INCOLOY 925 BOXDESCRIPTION : WEATHERFORD ASSY,TRSV,3.5WZPE-10 2.813WOR,2KSD,9.2H VAM TOP,WN302PN: 2980845S/N: 12777594-01SAP: 130010038007SUPPLIER: WEATHERFORDLOWER CONN . 3-1/2" VAM TOP 9.2HPPF INCOLOY 925 PIN</t>
        </is>
      </c>
      <c r="Z26" s="1171" t="n"/>
      <c r="AA26" s="1171" t="n"/>
      <c r="AB26" s="1171" t="n"/>
      <c r="AC26" s="1171" t="n"/>
      <c r="AD26" s="1171" t="n"/>
      <c r="AE26" s="1171" t="n"/>
      <c r="AF26" s="1171" t="n"/>
      <c r="AG26" s="1171" t="n"/>
      <c r="AH26" s="1171" t="n"/>
      <c r="AI26" s="1171" t="n"/>
      <c r="AJ26" s="1171" t="n"/>
      <c r="AK26" s="2336" t="n"/>
      <c r="AL26" s="2337" t="n">
        <v>2.813</v>
      </c>
      <c r="AM26" s="2337" t="n">
        <v>5.46</v>
      </c>
      <c r="AO26" s="2338" t="n"/>
      <c r="AP26" s="2333">
        <f>AP27-AO26</f>
        <v/>
      </c>
      <c r="AQ26" s="1272" t="n"/>
      <c r="AR26" s="2339" t="n"/>
    </row>
    <row r="27" ht="13.5" customHeight="1" s="1158">
      <c r="A27" s="2341" t="inlineStr">
        <is>
          <t>LN_2</t>
        </is>
      </c>
      <c r="B27" s="2315" t="n">
        <v>0</v>
      </c>
      <c r="C27" s="2315" t="inlineStr">
        <is>
          <t>*</t>
        </is>
      </c>
      <c r="E27" s="2316" t="n"/>
      <c r="F27" s="2317" t="n"/>
      <c r="G27" s="2318" t="n"/>
      <c r="P27" s="2319" t="n"/>
      <c r="Q27" s="2317" t="n"/>
      <c r="S27" s="2320" t="n"/>
      <c r="T27" s="2186" t="n"/>
      <c r="U27" s="2186" t="n"/>
      <c r="V27" s="2186" t="n"/>
      <c r="W27" s="2342" t="n"/>
      <c r="X27" s="2334" t="n">
        <v>8</v>
      </c>
      <c r="Y27" s="2335" t="inlineStr">
        <is>
          <t>3-1/2" FLOW COUPLING FLOW COUPLING 9.2 LB/FT ALLOY 28 VTOP</t>
        </is>
      </c>
      <c r="Z27" s="1171" t="n"/>
      <c r="AA27" s="1171" t="n"/>
      <c r="AB27" s="1171" t="n"/>
      <c r="AC27" s="1171" t="n"/>
      <c r="AD27" s="1171" t="n"/>
      <c r="AE27" s="1171" t="n"/>
      <c r="AF27" s="1171" t="n"/>
      <c r="AG27" s="1171" t="n"/>
      <c r="AH27" s="1171" t="n"/>
      <c r="AI27" s="1171" t="n"/>
      <c r="AJ27" s="1171" t="n"/>
      <c r="AK27" s="2336" t="n"/>
      <c r="AL27" s="2337" t="n">
        <v>2.949</v>
      </c>
      <c r="AM27" s="2337" t="n">
        <v>3.937</v>
      </c>
      <c r="AO27" s="2338" t="n"/>
      <c r="AP27" s="2333">
        <f>AP28-AO27</f>
        <v/>
      </c>
      <c r="AQ27" s="1272" t="n"/>
      <c r="AR27" s="2339" t="n"/>
    </row>
    <row r="28" ht="13.5" customHeight="1" s="1158">
      <c r="A28" s="2341" t="inlineStr">
        <is>
          <t>BD_1</t>
        </is>
      </c>
      <c r="B28" s="2315" t="n">
        <v>0</v>
      </c>
      <c r="C28" s="2315" t="inlineStr">
        <is>
          <t>*</t>
        </is>
      </c>
      <c r="E28" s="2316" t="n"/>
      <c r="F28" s="2317" t="n"/>
      <c r="G28" s="2318" t="n"/>
      <c r="P28" s="2319" t="n"/>
      <c r="Q28" s="2317" t="n"/>
      <c r="S28" s="2320" t="n"/>
      <c r="T28" s="2186" t="n"/>
      <c r="U28" s="2186" t="n"/>
      <c r="V28" s="2186" t="n"/>
      <c r="W28" s="2342" t="n"/>
      <c r="X28" s="2334" t="n">
        <v>9</v>
      </c>
      <c r="Y28" s="2335" t="inlineStr">
        <is>
          <t>X-O 3-1/2" 5 FT PUP JT 9.2 LB/FT ALLOY 28 VTOP B X TSH BL P</t>
        </is>
      </c>
      <c r="Z28" s="1171" t="n"/>
      <c r="AA28" s="1171" t="n"/>
      <c r="AB28" s="1171" t="n"/>
      <c r="AC28" s="1171" t="n"/>
      <c r="AD28" s="1171" t="n"/>
      <c r="AE28" s="1171" t="n"/>
      <c r="AF28" s="1171" t="n"/>
      <c r="AG28" s="1171" t="n"/>
      <c r="AH28" s="1171" t="n"/>
      <c r="AI28" s="1171" t="n"/>
      <c r="AJ28" s="1171" t="n"/>
      <c r="AK28" s="2336" t="n"/>
      <c r="AL28" s="2337" t="n">
        <v>2.959</v>
      </c>
      <c r="AM28" s="2337" t="n">
        <v>3.908</v>
      </c>
      <c r="AO28" s="2337" t="n"/>
      <c r="AP28" s="2333">
        <f>AP29-AO28</f>
        <v/>
      </c>
      <c r="AQ28" s="1272" t="n"/>
      <c r="AR28" s="2339" t="n"/>
    </row>
    <row r="29" ht="13.5" customHeight="1" s="1158">
      <c r="A29" s="2314" t="inlineStr">
        <is>
          <t>TJ_2</t>
        </is>
      </c>
      <c r="B29" s="2315" t="n">
        <v>0</v>
      </c>
      <c r="C29" s="2315" t="n"/>
      <c r="E29" s="2316" t="n"/>
      <c r="F29" s="2317" t="n"/>
      <c r="G29" s="2318" t="n"/>
      <c r="P29" s="2319" t="n"/>
      <c r="Q29" s="2317" t="n"/>
      <c r="S29" s="2320" t="n"/>
      <c r="T29" s="2186" t="n"/>
      <c r="U29" s="2186" t="n"/>
      <c r="V29" s="2186" t="n"/>
      <c r="W29" s="2342" t="n"/>
      <c r="X29" s="2334" t="n">
        <v>10</v>
      </c>
      <c r="Y29" s="2335" t="inlineStr">
        <is>
          <t>3-1/2" TUBING 9.2 LB/FT ALLOY 28 TSH BL (AS REQ'D).</t>
        </is>
      </c>
      <c r="Z29" s="1171" t="n"/>
      <c r="AA29" s="1171" t="n"/>
      <c r="AB29" s="1171" t="n"/>
      <c r="AC29" s="1171" t="n"/>
      <c r="AD29" s="1171" t="n"/>
      <c r="AE29" s="1171" t="n"/>
      <c r="AF29" s="1171" t="n"/>
      <c r="AG29" s="1171" t="n"/>
      <c r="AH29" s="1171" t="n"/>
      <c r="AI29" s="1171" t="n"/>
      <c r="AJ29" s="1171" t="n"/>
      <c r="AK29" s="2336" t="inlineStr">
        <is>
          <t>75 JTS</t>
        </is>
      </c>
      <c r="AL29" s="2337" t="n"/>
      <c r="AM29" s="2337" t="n"/>
      <c r="AO29" s="2338" t="n"/>
      <c r="AP29" s="2333">
        <f>AP30-AO29</f>
        <v/>
      </c>
      <c r="AQ29" s="1272" t="n"/>
      <c r="AR29" s="2339" t="n"/>
    </row>
    <row r="30" ht="13.5" customHeight="1" s="1158">
      <c r="A30" s="2314" t="inlineStr">
        <is>
          <t>PDHG_1</t>
        </is>
      </c>
      <c r="B30" s="2315" t="n">
        <v>0</v>
      </c>
      <c r="C30" s="2315" t="inlineStr">
        <is>
          <t>*</t>
        </is>
      </c>
      <c r="E30" s="2316" t="n"/>
      <c r="F30" s="2317" t="n"/>
      <c r="G30" s="2318" t="n"/>
      <c r="P30" s="2319" t="n"/>
      <c r="Q30" s="2317" t="n"/>
      <c r="S30" s="2320" t="n"/>
      <c r="T30" s="2186" t="n"/>
      <c r="U30" s="2186" t="n"/>
      <c r="V30" s="2186" t="n"/>
      <c r="W30" s="2342" t="n"/>
      <c r="X30" s="2334" t="n">
        <v>11</v>
      </c>
      <c r="Y30" s="2335" t="inlineStr">
        <is>
          <t>X-O 3-1/2" 10 FT PUP JT 9.2 LB/FT ALLOY 28 TSH BL B X VTOP P</t>
        </is>
      </c>
      <c r="Z30" s="1171" t="n"/>
      <c r="AA30" s="1171" t="n"/>
      <c r="AB30" s="1171" t="n"/>
      <c r="AC30" s="1171" t="n"/>
      <c r="AD30" s="1171" t="n"/>
      <c r="AE30" s="1171" t="n"/>
      <c r="AF30" s="1171" t="n"/>
      <c r="AG30" s="1171" t="n"/>
      <c r="AH30" s="1171" t="n"/>
      <c r="AI30" s="1171" t="n"/>
      <c r="AJ30" s="1171" t="n"/>
      <c r="AK30" s="2336" t="n"/>
      <c r="AL30" s="2337" t="n">
        <v>2.969</v>
      </c>
      <c r="AM30" s="2337" t="n">
        <v>3.937</v>
      </c>
      <c r="AO30" s="2338" t="n"/>
      <c r="AP30" s="2333">
        <f>AP31-AO30</f>
        <v/>
      </c>
      <c r="AQ30" s="1272" t="n"/>
      <c r="AR30" s="2339" t="n"/>
    </row>
    <row r="31" ht="13.5" customHeight="1" s="1158">
      <c r="A31" s="2314" t="inlineStr">
        <is>
          <t>PDHG_1</t>
        </is>
      </c>
      <c r="B31" s="2315" t="n">
        <v>0</v>
      </c>
      <c r="C31" s="2315" t="inlineStr">
        <is>
          <t>*</t>
        </is>
      </c>
      <c r="E31" s="2316" t="n"/>
      <c r="F31" s="2317" t="n"/>
      <c r="G31" s="2318" t="n"/>
      <c r="P31" s="2319" t="n"/>
      <c r="Q31" s="2317" t="n"/>
      <c r="S31" s="2320" t="n"/>
      <c r="T31" s="2186" t="n"/>
      <c r="U31" s="2186" t="n"/>
      <c r="V31" s="2186" t="n"/>
      <c r="W31" s="2342" t="n"/>
      <c r="X31" s="2334" t="n">
        <v>11</v>
      </c>
      <c r="Y31" s="2335" t="inlineStr">
        <is>
          <t>X-O 3-1/2" 10 FT PUP JT 9.2 LB/FT ALLOY 28 TSH BL B X VTOP P</t>
        </is>
      </c>
      <c r="Z31" s="1171" t="n"/>
      <c r="AA31" s="1171" t="n"/>
      <c r="AB31" s="1171" t="n"/>
      <c r="AC31" s="1171" t="n"/>
      <c r="AD31" s="1171" t="n"/>
      <c r="AE31" s="1171" t="n"/>
      <c r="AF31" s="1171" t="n"/>
      <c r="AG31" s="1171" t="n"/>
      <c r="AH31" s="1171" t="n"/>
      <c r="AI31" s="1171" t="n"/>
      <c r="AJ31" s="1171" t="n"/>
      <c r="AK31" s="2336" t="n"/>
      <c r="AL31" s="2337" t="n">
        <v>2.959</v>
      </c>
      <c r="AM31" s="2337" t="n">
        <v>3.908</v>
      </c>
      <c r="AO31" s="2338" t="n"/>
      <c r="AP31" s="2333">
        <f>AP32-AO31</f>
        <v/>
      </c>
      <c r="AQ31" s="1272" t="n"/>
      <c r="AR31" s="2339" t="n"/>
    </row>
    <row r="32" ht="99" customHeight="1" s="1158">
      <c r="A32" s="2314" t="inlineStr">
        <is>
          <t>CIS_1</t>
        </is>
      </c>
      <c r="B32" s="2315" t="n">
        <v>0</v>
      </c>
      <c r="C32" s="2315" t="inlineStr">
        <is>
          <t>**</t>
        </is>
      </c>
      <c r="E32" s="2316" t="n"/>
      <c r="F32" s="2317" t="n"/>
      <c r="G32" s="2318" t="n"/>
      <c r="P32" s="2319" t="n"/>
      <c r="Q32" s="2317" t="n"/>
      <c r="S32" s="2343" t="n"/>
      <c r="T32" s="2186" t="n"/>
      <c r="U32" s="2186" t="n"/>
      <c r="V32" s="2186" t="n"/>
      <c r="W32" s="2342" t="n"/>
      <c r="X32" s="2334" t="n">
        <v>12</v>
      </c>
      <c r="Y32" s="2335" t="inlineStr">
        <is>
          <t>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t>
        </is>
      </c>
      <c r="Z32" s="1171" t="n"/>
      <c r="AA32" s="1171" t="n"/>
      <c r="AB32" s="1171" t="n"/>
      <c r="AC32" s="1171" t="n"/>
      <c r="AD32" s="1171" t="n"/>
      <c r="AE32" s="1171" t="n"/>
      <c r="AF32" s="1171" t="n"/>
      <c r="AG32" s="1171" t="n"/>
      <c r="AH32" s="1171" t="n"/>
      <c r="AI32" s="1171" t="n"/>
      <c r="AJ32" s="1171" t="n"/>
      <c r="AK32" s="2336" t="inlineStr">
        <is>
          <t xml:space="preserve"> DEG</t>
        </is>
      </c>
      <c r="AL32" s="2337" t="n">
        <v>2.9</v>
      </c>
      <c r="AM32" s="2337" t="n">
        <v>5.82</v>
      </c>
      <c r="AO32" s="2338" t="n"/>
      <c r="AP32" s="2333">
        <f>AP33-AO32</f>
        <v/>
      </c>
      <c r="AQ32" s="1272" t="n"/>
      <c r="AR32" s="2339" t="n"/>
    </row>
    <row r="33" ht="13.5" customHeight="1" s="1158">
      <c r="A33" s="2314" t="inlineStr">
        <is>
          <t>PKR_1</t>
        </is>
      </c>
      <c r="B33" s="2315" t="n">
        <v>1</v>
      </c>
      <c r="C33" s="2315" t="inlineStr">
        <is>
          <t>*</t>
        </is>
      </c>
      <c r="E33" s="2316" t="n"/>
      <c r="F33" s="2317" t="n"/>
      <c r="G33" s="2318" t="n"/>
      <c r="P33" s="2319" t="n"/>
      <c r="Q33" s="2317" t="n"/>
      <c r="S33" s="2320" t="n"/>
      <c r="T33" s="2186" t="n"/>
      <c r="U33" s="2186" t="n"/>
      <c r="V33" s="2186" t="n"/>
      <c r="W33" s="2342" t="n"/>
      <c r="X33" s="2334" t="n">
        <v>13</v>
      </c>
      <c r="Y33" s="2335" t="inlineStr">
        <is>
          <t>X-O 3-1/2" 10 FT PUP JT 9.2 LB/FT ALLOY 28 VTOP B X TSH BL P</t>
        </is>
      </c>
      <c r="Z33" s="1171" t="n"/>
      <c r="AA33" s="1171" t="n"/>
      <c r="AB33" s="1171" t="n"/>
      <c r="AC33" s="1171" t="n"/>
      <c r="AD33" s="1171" t="n"/>
      <c r="AE33" s="1171" t="n"/>
      <c r="AF33" s="1171" t="n"/>
      <c r="AG33" s="1171" t="n"/>
      <c r="AH33" s="1171" t="n"/>
      <c r="AI33" s="1171" t="n"/>
      <c r="AJ33" s="1171" t="n"/>
      <c r="AK33" s="2336" t="n"/>
      <c r="AL33" s="2337" t="n">
        <v>2.921</v>
      </c>
      <c r="AM33" s="2337" t="n">
        <v>3.929</v>
      </c>
      <c r="AO33" s="2338" t="n"/>
      <c r="AP33" s="2333">
        <f>AP34-AO33</f>
        <v/>
      </c>
      <c r="AQ33" s="1272" t="n"/>
      <c r="AR33" s="2339" t="n"/>
    </row>
    <row r="34" ht="13.5" customHeight="1" s="1158">
      <c r="A34" s="2314" t="inlineStr">
        <is>
          <t>PKR_1</t>
        </is>
      </c>
      <c r="B34" s="2315" t="n">
        <v>1</v>
      </c>
      <c r="C34" s="2315" t="inlineStr">
        <is>
          <t>*</t>
        </is>
      </c>
      <c r="E34" s="2316" t="n"/>
      <c r="F34" s="2317" t="n"/>
      <c r="G34" s="2318" t="n"/>
      <c r="P34" s="2319" t="n"/>
      <c r="Q34" s="2317" t="n"/>
      <c r="S34" s="2320" t="n"/>
      <c r="T34" s="2186" t="n"/>
      <c r="U34" s="2186" t="n"/>
      <c r="V34" s="2186" t="n"/>
      <c r="W34" s="2342" t="n"/>
      <c r="X34" s="2334" t="n">
        <v>13</v>
      </c>
      <c r="Y34" s="2335" t="inlineStr">
        <is>
          <t>X-O 3-1/2" 10 FT PUP JT 9.2 LB/FT ALLOY 28 VTOP B X TSH BL P</t>
        </is>
      </c>
      <c r="Z34" s="1171" t="n"/>
      <c r="AA34" s="1171" t="n"/>
      <c r="AB34" s="1171" t="n"/>
      <c r="AC34" s="1171" t="n"/>
      <c r="AD34" s="1171" t="n"/>
      <c r="AE34" s="1171" t="n"/>
      <c r="AF34" s="1171" t="n"/>
      <c r="AG34" s="1171" t="n"/>
      <c r="AH34" s="1171" t="n"/>
      <c r="AI34" s="1171" t="n"/>
      <c r="AJ34" s="1171" t="n"/>
      <c r="AK34" s="2336" t="n"/>
      <c r="AL34" s="2337" t="n">
        <v>2.959</v>
      </c>
      <c r="AM34" s="2337" t="n">
        <v>3.908</v>
      </c>
      <c r="AN34" s="2337" t="n">
        <v>5.18</v>
      </c>
      <c r="AO34" s="2338" t="n"/>
      <c r="AP34" s="2333">
        <f>AP35-AO34</f>
        <v/>
      </c>
      <c r="AQ34" s="1272" t="n"/>
      <c r="AR34" s="2339" t="n"/>
    </row>
    <row r="35" ht="13.5" customHeight="1" s="1158">
      <c r="A35" s="2314" t="inlineStr">
        <is>
          <t>CIS_2</t>
        </is>
      </c>
      <c r="B35" s="2315" t="n">
        <v>0</v>
      </c>
      <c r="C35" s="2315" t="n"/>
      <c r="E35" s="2316" t="n"/>
      <c r="F35" s="2317" t="n"/>
      <c r="G35" s="2318" t="n"/>
      <c r="P35" s="2319" t="n"/>
      <c r="Q35" s="2317" t="n"/>
      <c r="S35" s="2320" t="n"/>
      <c r="T35" s="2186" t="n"/>
      <c r="U35" s="2186" t="n"/>
      <c r="V35" s="2186" t="n"/>
      <c r="W35" s="2342" t="n"/>
      <c r="X35" s="2334" t="n">
        <v>14</v>
      </c>
      <c r="Y35" s="2335" t="inlineStr">
        <is>
          <t>3-1/2" TUBING 9.2 LB/FT ALLOY 28 TSH BL (AS REQ'D).</t>
        </is>
      </c>
      <c r="Z35" s="1171" t="n"/>
      <c r="AA35" s="1171" t="n"/>
      <c r="AB35" s="1171" t="n"/>
      <c r="AC35" s="1171" t="n"/>
      <c r="AD35" s="1171" t="n"/>
      <c r="AE35" s="1171" t="n"/>
      <c r="AF35" s="1171" t="n"/>
      <c r="AG35" s="1171" t="n"/>
      <c r="AH35" s="1171" t="n"/>
      <c r="AI35" s="1171" t="n"/>
      <c r="AJ35" s="1171" t="n"/>
      <c r="AK35" s="2336" t="inlineStr">
        <is>
          <t>49 JTS</t>
        </is>
      </c>
      <c r="AL35" s="2337" t="n"/>
      <c r="AM35" s="2337" t="n"/>
      <c r="AO35" s="2338" t="n"/>
      <c r="AP35" s="2333">
        <f>AP36-AO35</f>
        <v/>
      </c>
      <c r="AQ35" s="1272" t="n"/>
      <c r="AR35" s="2339" t="n"/>
    </row>
    <row r="36" ht="13.5" customHeight="1" s="1158">
      <c r="A36" s="2314" t="inlineStr">
        <is>
          <t>PDHG_2</t>
        </is>
      </c>
      <c r="B36" s="2315" t="n">
        <v>0</v>
      </c>
      <c r="C36" s="2315" t="inlineStr">
        <is>
          <t>*</t>
        </is>
      </c>
      <c r="E36" s="2316" t="n"/>
      <c r="F36" s="2317" t="n"/>
      <c r="G36" s="2318" t="n"/>
      <c r="P36" s="2319" t="n"/>
      <c r="Q36" s="2317" t="n"/>
      <c r="S36" s="2320" t="n"/>
      <c r="T36" s="2186" t="n"/>
      <c r="U36" s="2186" t="n"/>
      <c r="V36" s="2186" t="n"/>
      <c r="W36" s="2342" t="n"/>
      <c r="X36" s="2334" t="n">
        <v>15</v>
      </c>
      <c r="Y36" s="2335" t="inlineStr">
        <is>
          <t>X-O 3-1/2" 10 FT PUP JT 9.2 LB/FT ALLOY 28 TSH BL B X VTOP P</t>
        </is>
      </c>
      <c r="Z36" s="1171" t="n"/>
      <c r="AA36" s="1171" t="n"/>
      <c r="AB36" s="1171" t="n"/>
      <c r="AC36" s="1171" t="n"/>
      <c r="AD36" s="1171" t="n"/>
      <c r="AE36" s="1171" t="n"/>
      <c r="AF36" s="1171" t="n"/>
      <c r="AG36" s="1171" t="n"/>
      <c r="AH36" s="1171" t="n"/>
      <c r="AI36" s="1171" t="n"/>
      <c r="AJ36" s="1171" t="n"/>
      <c r="AK36" s="2336" t="n"/>
      <c r="AL36" s="2337" t="n">
        <v>2.959</v>
      </c>
      <c r="AM36" s="2337" t="n">
        <v>3.908</v>
      </c>
      <c r="AO36" s="2338" t="n"/>
      <c r="AP36" s="2333">
        <f>AP37-AO36</f>
        <v/>
      </c>
      <c r="AQ36" s="1272" t="n"/>
      <c r="AR36" s="2339" t="n"/>
    </row>
    <row r="37" ht="13.5" customHeight="1" s="1158">
      <c r="A37" s="2314" t="inlineStr">
        <is>
          <t>PDHG_2</t>
        </is>
      </c>
      <c r="B37" s="2315" t="n">
        <v>0</v>
      </c>
      <c r="C37" s="2315" t="inlineStr">
        <is>
          <t>*</t>
        </is>
      </c>
      <c r="E37" s="2316" t="n"/>
      <c r="F37" s="2317" t="n"/>
      <c r="G37" s="2318" t="n"/>
      <c r="P37" s="2319" t="n"/>
      <c r="Q37" s="2317" t="n"/>
      <c r="S37" s="2320" t="n"/>
      <c r="T37" s="2186" t="n"/>
      <c r="U37" s="2186" t="n"/>
      <c r="V37" s="2186" t="n"/>
      <c r="W37" s="2342" t="n"/>
      <c r="X37" s="2334" t="n">
        <v>15</v>
      </c>
      <c r="Y37" s="2335" t="inlineStr">
        <is>
          <t>X-O 3-1/2" 10 FT PUP JT 9.2 LB/FT ALLOY 28 TSH BL B X VTOP P</t>
        </is>
      </c>
      <c r="Z37" s="1171" t="n"/>
      <c r="AA37" s="1171" t="n"/>
      <c r="AB37" s="1171" t="n"/>
      <c r="AC37" s="1171" t="n"/>
      <c r="AD37" s="1171" t="n"/>
      <c r="AE37" s="1171" t="n"/>
      <c r="AF37" s="1171" t="n"/>
      <c r="AG37" s="1171" t="n"/>
      <c r="AH37" s="1171" t="n"/>
      <c r="AI37" s="1171" t="n"/>
      <c r="AJ37" s="1171" t="n"/>
      <c r="AK37" s="2336" t="n"/>
      <c r="AL37" s="2337" t="n">
        <v>2.9</v>
      </c>
      <c r="AM37" s="2337" t="n">
        <v>5.82</v>
      </c>
      <c r="AN37" s="2337" t="n">
        <v>8.69</v>
      </c>
      <c r="AO37" s="2338" t="n"/>
      <c r="AP37" s="2333">
        <f>AP38-AO37</f>
        <v/>
      </c>
      <c r="AQ37" s="1272" t="n"/>
      <c r="AR37" s="2339" t="n"/>
    </row>
    <row r="38" ht="77.25" customHeight="1" s="1158">
      <c r="A38" s="2314" t="inlineStr">
        <is>
          <t>BD_2</t>
        </is>
      </c>
      <c r="B38" s="2315" t="n">
        <v>1</v>
      </c>
      <c r="C38" s="2315" t="inlineStr">
        <is>
          <t>**</t>
        </is>
      </c>
      <c r="E38" s="2316" t="n"/>
      <c r="F38" s="2317" t="n"/>
      <c r="G38" s="2318" t="n"/>
      <c r="P38" s="2319" t="n"/>
      <c r="Q38" s="2317" t="n"/>
      <c r="S38" s="2320" t="n"/>
      <c r="T38" s="2186" t="n"/>
      <c r="U38" s="2186" t="n"/>
      <c r="V38" s="2186" t="n"/>
      <c r="W38" s="2342" t="n"/>
      <c r="X38" s="2334" t="n">
        <v>16</v>
      </c>
      <c r="Y38" s="2335" t="inlineStr">
        <is>
          <t>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t>
        </is>
      </c>
      <c r="Z38" s="1171" t="n"/>
      <c r="AA38" s="1171" t="n"/>
      <c r="AB38" s="1171" t="n"/>
      <c r="AC38" s="1171" t="n"/>
      <c r="AD38" s="1171" t="n"/>
      <c r="AE38" s="1171" t="n"/>
      <c r="AF38" s="1171" t="n"/>
      <c r="AG38" s="1171" t="n"/>
      <c r="AH38" s="1171" t="n"/>
      <c r="AI38" s="1171" t="n"/>
      <c r="AJ38" s="1171" t="n"/>
      <c r="AK38" s="2336" t="inlineStr">
        <is>
          <t xml:space="preserve"> DEG</t>
        </is>
      </c>
      <c r="AL38" s="2337" t="n">
        <v>2.921</v>
      </c>
      <c r="AM38" s="2337" t="n">
        <v>3.929</v>
      </c>
      <c r="AO38" s="2338" t="n"/>
      <c r="AP38" s="2333">
        <f>AP39-AO38</f>
        <v/>
      </c>
      <c r="AQ38" s="1272" t="n"/>
      <c r="AR38" s="2339" t="n"/>
    </row>
    <row r="39" ht="13.5" customHeight="1" s="1158">
      <c r="A39" s="2314" t="inlineStr">
        <is>
          <t>CIS_3</t>
        </is>
      </c>
      <c r="B39" s="2315" t="n">
        <v>0</v>
      </c>
      <c r="C39" s="2315" t="inlineStr">
        <is>
          <t>*</t>
        </is>
      </c>
      <c r="E39" s="2316" t="n"/>
      <c r="F39" s="2317" t="n"/>
      <c r="G39" s="2318" t="n"/>
      <c r="P39" s="2319" t="n"/>
      <c r="Q39" s="2317" t="n"/>
      <c r="S39" s="2344" t="inlineStr">
        <is>
          <t>13-3/8"</t>
        </is>
      </c>
      <c r="T39" s="2186" t="n"/>
      <c r="U39" s="2186" t="n"/>
      <c r="V39" s="2186" t="n"/>
      <c r="W39" s="2342" t="n"/>
      <c r="X39" s="2334" t="n">
        <v>17</v>
      </c>
      <c r="Y39" s="2335" t="inlineStr">
        <is>
          <t>X-O 3-1/2" 10 FT PUP JT 9.2 LB/FT ALLOY 28 VTOP B X TSH BL P</t>
        </is>
      </c>
      <c r="Z39" s="1171" t="n"/>
      <c r="AA39" s="1171" t="n"/>
      <c r="AB39" s="1171" t="n"/>
      <c r="AC39" s="1171" t="n"/>
      <c r="AD39" s="1171" t="n"/>
      <c r="AE39" s="1171" t="n"/>
      <c r="AF39" s="1171" t="n"/>
      <c r="AG39" s="1171" t="n"/>
      <c r="AH39" s="1171" t="n"/>
      <c r="AI39" s="1171" t="n"/>
      <c r="AJ39" s="1171" t="n"/>
      <c r="AK39" s="2336" t="n"/>
      <c r="AL39" s="2337" t="n">
        <v>2.959</v>
      </c>
      <c r="AM39" s="2337" t="n">
        <v>3.908</v>
      </c>
      <c r="AO39" s="2338" t="n"/>
      <c r="AP39" s="2333">
        <f>AP40-AO39</f>
        <v/>
      </c>
      <c r="AQ39" s="1272" t="n"/>
      <c r="AR39" s="2339" t="n"/>
    </row>
    <row r="40" ht="13.5" customHeight="1" s="1158">
      <c r="A40" s="2314" t="inlineStr">
        <is>
          <t>CIS_3</t>
        </is>
      </c>
      <c r="B40" s="2315" t="n">
        <v>0</v>
      </c>
      <c r="C40" s="2315" t="inlineStr">
        <is>
          <t>*</t>
        </is>
      </c>
      <c r="E40" s="2316" t="n"/>
      <c r="F40" s="2317" t="n"/>
      <c r="G40" s="2318" t="n"/>
      <c r="P40" s="2319" t="n"/>
      <c r="Q40" s="2317" t="n"/>
      <c r="S40" s="2344" t="inlineStr">
        <is>
          <t>13-3/8"</t>
        </is>
      </c>
      <c r="T40" s="2186" t="n"/>
      <c r="U40" s="2186" t="n"/>
      <c r="V40" s="2186" t="n"/>
      <c r="W40" s="2342" t="n"/>
      <c r="X40" s="2334" t="n">
        <v>17</v>
      </c>
      <c r="Y40" s="2335" t="inlineStr">
        <is>
          <t>X-O 3-1/2" 10 FT PUP JT 9.2 LB/FT ALLOY 28 VTOP B X TSH BL P</t>
        </is>
      </c>
      <c r="Z40" s="1171" t="n"/>
      <c r="AA40" s="1171" t="n"/>
      <c r="AB40" s="1171" t="n"/>
      <c r="AC40" s="1171" t="n"/>
      <c r="AD40" s="1171" t="n"/>
      <c r="AE40" s="1171" t="n"/>
      <c r="AF40" s="1171" t="n"/>
      <c r="AG40" s="1171" t="n"/>
      <c r="AH40" s="1171" t="n"/>
      <c r="AI40" s="1171" t="n"/>
      <c r="AJ40" s="1171" t="n"/>
      <c r="AK40" s="2336" t="n"/>
      <c r="AL40" s="2337" t="n"/>
      <c r="AM40" s="2337" t="n"/>
      <c r="AO40" s="2338" t="n"/>
      <c r="AP40" s="2333">
        <f>AP41-AO40</f>
        <v/>
      </c>
      <c r="AQ40" s="1272" t="n"/>
      <c r="AR40" s="2339" t="n"/>
    </row>
    <row r="41" ht="13.5" customHeight="1" s="1158">
      <c r="A41" s="2314" t="inlineStr">
        <is>
          <t>SP_1</t>
        </is>
      </c>
      <c r="B41" s="2315" t="n">
        <v>1</v>
      </c>
      <c r="C41" s="2315" t="n"/>
      <c r="E41" s="2316" t="n"/>
      <c r="F41" s="2317" t="n"/>
      <c r="G41" s="2318" t="n"/>
      <c r="P41" s="2319" t="n"/>
      <c r="Q41" s="2317" t="n"/>
      <c r="S41" s="2344" t="inlineStr">
        <is>
          <t>SHOE @</t>
        </is>
      </c>
      <c r="T41" s="2345" t="n">
        <v>1580</v>
      </c>
      <c r="U41" s="2346" t="inlineStr">
        <is>
          <t>FT MD</t>
        </is>
      </c>
      <c r="V41" s="2186" t="n"/>
      <c r="W41" s="2342" t="n"/>
      <c r="X41" s="2334" t="n">
        <v>18</v>
      </c>
      <c r="Y41" s="2335" t="inlineStr">
        <is>
          <t>3-1/2" TUBING 9.2 LB/FT ALLOY 28 TSH BL (AS REQ'D).</t>
        </is>
      </c>
      <c r="Z41" s="1171" t="n"/>
      <c r="AA41" s="1171" t="n"/>
      <c r="AB41" s="1171" t="n"/>
      <c r="AC41" s="1171" t="n"/>
      <c r="AD41" s="1171" t="n"/>
      <c r="AE41" s="1171" t="n"/>
      <c r="AF41" s="1171" t="n"/>
      <c r="AG41" s="1171" t="n"/>
      <c r="AH41" s="1171" t="n"/>
      <c r="AI41" s="1171" t="n"/>
      <c r="AJ41" s="1171" t="n"/>
      <c r="AK41" s="2336" t="inlineStr">
        <is>
          <t>28 JTS</t>
        </is>
      </c>
      <c r="AL41" s="2337" t="n">
        <v>2.969</v>
      </c>
      <c r="AM41" s="2337" t="n">
        <v>3.937</v>
      </c>
      <c r="AO41" s="2338" t="n"/>
      <c r="AP41" s="2333">
        <f>AP42-AO41</f>
        <v/>
      </c>
      <c r="AQ41" s="1272" t="n"/>
      <c r="AR41" s="2339" t="n"/>
    </row>
    <row r="42" ht="13.5" customHeight="1" s="1158">
      <c r="A42" s="2314" t="inlineStr">
        <is>
          <t>LNR</t>
        </is>
      </c>
      <c r="B42" s="2315" t="n">
        <v>2</v>
      </c>
      <c r="C42" s="2315" t="inlineStr">
        <is>
          <t>*</t>
        </is>
      </c>
      <c r="E42" s="2316" t="n"/>
      <c r="F42" s="2317" t="n"/>
      <c r="G42" s="2318" t="n"/>
      <c r="P42" s="2319" t="n"/>
      <c r="Q42" s="2317" t="n"/>
      <c r="S42" s="2320" t="n"/>
      <c r="V42" s="2186" t="n"/>
      <c r="W42" s="2342" t="n"/>
      <c r="X42" s="2334" t="n">
        <v>19</v>
      </c>
      <c r="Y42" s="2335" t="inlineStr">
        <is>
          <t>X-O 3-1/2" 10 FT PUP JT 9.2 LB/FT ALLOY 28 TSH BL B X VTOP P</t>
        </is>
      </c>
      <c r="Z42" s="1171" t="n"/>
      <c r="AA42" s="1171" t="n"/>
      <c r="AB42" s="1171" t="n"/>
      <c r="AC42" s="1171" t="n"/>
      <c r="AD42" s="1171" t="n"/>
      <c r="AE42" s="1171" t="n"/>
      <c r="AF42" s="1171" t="n"/>
      <c r="AG42" s="1171" t="n"/>
      <c r="AH42" s="1171" t="n"/>
      <c r="AI42" s="1171" t="n"/>
      <c r="AJ42" s="1171" t="n"/>
      <c r="AK42" s="2336" t="n"/>
      <c r="AL42" s="2337" t="n">
        <v>2.959</v>
      </c>
      <c r="AM42" s="2337" t="n">
        <v>3.908</v>
      </c>
      <c r="AN42" s="2337" t="n">
        <v>4.8</v>
      </c>
      <c r="AO42" s="2338" t="n"/>
      <c r="AP42" s="2333">
        <f>AP43-AO42</f>
        <v/>
      </c>
      <c r="AQ42" s="1272" t="n"/>
      <c r="AR42" s="2339" t="n"/>
    </row>
    <row r="43" ht="13.5" customHeight="1" s="1158">
      <c r="A43" s="2314" t="inlineStr">
        <is>
          <t>LNR</t>
        </is>
      </c>
      <c r="B43" s="2315" t="n">
        <v>2</v>
      </c>
      <c r="C43" s="2315" t="inlineStr">
        <is>
          <t>*</t>
        </is>
      </c>
      <c r="E43" s="2316" t="n"/>
      <c r="F43" s="2317" t="n"/>
      <c r="G43" s="2318" t="n"/>
      <c r="P43" s="2319" t="n"/>
      <c r="Q43" s="2317" t="n"/>
      <c r="S43" s="2320" t="n"/>
      <c r="V43" s="2186" t="n"/>
      <c r="W43" s="2342" t="n"/>
      <c r="X43" s="2334" t="n">
        <v>19</v>
      </c>
      <c r="Y43" s="2335" t="inlineStr">
        <is>
          <t>X-O 3-1/2" 10 FT PUP JT 9.2 LB/FT ALLOY 28 TSH BL B X VTOP P</t>
        </is>
      </c>
      <c r="Z43" s="1171" t="n"/>
      <c r="AA43" s="1171" t="n"/>
      <c r="AB43" s="1171" t="n"/>
      <c r="AC43" s="1171" t="n"/>
      <c r="AD43" s="1171" t="n"/>
      <c r="AE43" s="1171" t="n"/>
      <c r="AF43" s="1171" t="n"/>
      <c r="AG43" s="1171" t="n"/>
      <c r="AH43" s="1171" t="n"/>
      <c r="AI43" s="1171" t="n"/>
      <c r="AJ43" s="1171" t="n"/>
      <c r="AK43" s="2336" t="n"/>
      <c r="AL43" s="2337" t="n">
        <v>2.9</v>
      </c>
      <c r="AM43" s="2337" t="n">
        <v>5.82</v>
      </c>
      <c r="AN43" s="2337" t="n">
        <v>8.69</v>
      </c>
      <c r="AO43" s="2338" t="n"/>
      <c r="AP43" s="2333">
        <f>AP44-AO43</f>
        <v/>
      </c>
      <c r="AQ43" s="1272" t="n"/>
      <c r="AR43" s="2339" t="n"/>
    </row>
    <row r="44" ht="70.5" customHeight="1" s="1158">
      <c r="A44" s="2314" t="inlineStr">
        <is>
          <t>PERF</t>
        </is>
      </c>
      <c r="B44" s="2315" t="n">
        <v>0</v>
      </c>
      <c r="C44" s="2315" t="inlineStr">
        <is>
          <t>**</t>
        </is>
      </c>
      <c r="E44" s="2316" t="n"/>
      <c r="F44" s="2317" t="n"/>
      <c r="G44" s="2318" t="n"/>
      <c r="P44" s="2319" t="n"/>
      <c r="Q44" s="2317" t="n"/>
      <c r="S44" s="2320" t="n"/>
      <c r="V44" s="2186" t="n"/>
      <c r="W44" s="2342" t="n"/>
      <c r="X44" s="2334" t="n">
        <v>20</v>
      </c>
      <c r="Y44" s="2335" t="inlineStr">
        <is>
          <t>UPPER CONN . 3-1/2" VAM TOP 9.2#PPF 13 CR 95 BOX DESCRIPTION : WEATHERFORD SIDE POCKET MANDREL GROOVED Mandrel, SBRO-2NGRDUMMY SN 12817789-13 DUMMY PN 2953030 &amp; LATCH SN 12817844-14 LATCH PN 2951409 P/N: 2953124 S/N: 12692972-05 SUPPLIER : WEATHERFORD SAP : 130010036622LOWER CONN- 3 1/2 9.2 VAM TOP 13 CR 95 KSI PIN</t>
        </is>
      </c>
      <c r="Z44" s="1171" t="n"/>
      <c r="AA44" s="1171" t="n"/>
      <c r="AB44" s="1171" t="n"/>
      <c r="AC44" s="1171" t="n"/>
      <c r="AD44" s="1171" t="n"/>
      <c r="AE44" s="1171" t="n"/>
      <c r="AF44" s="1171" t="n"/>
      <c r="AG44" s="1171" t="n"/>
      <c r="AH44" s="1171" t="n"/>
      <c r="AI44" s="1171" t="n"/>
      <c r="AJ44" s="1171" t="n"/>
      <c r="AK44" s="2336" t="inlineStr">
        <is>
          <t xml:space="preserve"> DEG</t>
        </is>
      </c>
      <c r="AL44" s="2337" t="n">
        <v>2.921</v>
      </c>
      <c r="AM44" s="2337" t="n">
        <v>3.929</v>
      </c>
      <c r="AN44" s="2337" t="n">
        <v>4.97</v>
      </c>
      <c r="AO44" s="2338" t="n"/>
      <c r="AP44" s="2333">
        <f>AP45-AO44</f>
        <v/>
      </c>
      <c r="AQ44" s="1272" t="n"/>
      <c r="AR44" s="2339" t="n"/>
    </row>
    <row r="45" ht="13.5" customHeight="1" s="1158">
      <c r="A45" s="2314" t="inlineStr">
        <is>
          <t>OH</t>
        </is>
      </c>
      <c r="B45" s="2315" t="n">
        <v>1</v>
      </c>
      <c r="C45" s="2315" t="inlineStr">
        <is>
          <t>*</t>
        </is>
      </c>
      <c r="E45" s="2316" t="n"/>
      <c r="F45" s="2317" t="n"/>
      <c r="G45" s="2318" t="n"/>
      <c r="P45" s="2319" t="n"/>
      <c r="Q45" s="2317" t="n"/>
      <c r="S45" s="2320" t="n"/>
      <c r="V45" s="2186" t="n"/>
      <c r="W45" s="2342" t="n"/>
      <c r="X45" s="2334" t="n">
        <v>21</v>
      </c>
      <c r="Y45" s="2335" t="inlineStr">
        <is>
          <t>X-O 3-1/2" 10 FT PUP JT 9.2 LB/FT ALLOY 28 VTOP B X TSH BL P</t>
        </is>
      </c>
      <c r="Z45" s="1171" t="n"/>
      <c r="AA45" s="1171" t="n"/>
      <c r="AB45" s="1171" t="n"/>
      <c r="AC45" s="1171" t="n"/>
      <c r="AD45" s="1171" t="n"/>
      <c r="AE45" s="1171" t="n"/>
      <c r="AF45" s="1171" t="n"/>
      <c r="AG45" s="1171" t="n"/>
      <c r="AH45" s="1171" t="n"/>
      <c r="AI45" s="1171" t="n"/>
      <c r="AJ45" s="1171" t="n"/>
      <c r="AK45" s="2336" t="n"/>
      <c r="AL45" s="2337" t="n">
        <v>2.959</v>
      </c>
      <c r="AM45" s="2337" t="n">
        <v>3.908</v>
      </c>
      <c r="AN45" s="2337" t="n">
        <v>5.18</v>
      </c>
      <c r="AO45" s="2338" t="n"/>
      <c r="AP45" s="2333">
        <f>AP46-AO45</f>
        <v/>
      </c>
      <c r="AQ45" s="1272" t="n"/>
      <c r="AR45" s="2339" t="n"/>
    </row>
    <row r="46" ht="13.5" customHeight="1" s="1158">
      <c r="A46" s="2314" t="inlineStr">
        <is>
          <t>OH</t>
        </is>
      </c>
      <c r="B46" s="2315" t="n">
        <v>1</v>
      </c>
      <c r="C46" s="2315" t="inlineStr">
        <is>
          <t>*</t>
        </is>
      </c>
      <c r="E46" s="2316" t="n"/>
      <c r="F46" s="2317" t="n"/>
      <c r="G46" s="2318" t="n"/>
      <c r="P46" s="2319" t="n"/>
      <c r="Q46" s="2317" t="n"/>
      <c r="S46" s="2320" t="n"/>
      <c r="V46" s="2186" t="n"/>
      <c r="W46" s="2342" t="n"/>
      <c r="X46" s="2334" t="n">
        <v>21</v>
      </c>
      <c r="Y46" s="2335" t="inlineStr">
        <is>
          <t>X-O 3-1/2" 10 FT PUP JT 9.2 LB/FT ALLOY 28 VTOP B X TSH BL P</t>
        </is>
      </c>
      <c r="Z46" s="1171" t="n"/>
      <c r="AA46" s="1171" t="n"/>
      <c r="AB46" s="1171" t="n"/>
      <c r="AC46" s="1171" t="n"/>
      <c r="AD46" s="1171" t="n"/>
      <c r="AE46" s="1171" t="n"/>
      <c r="AF46" s="1171" t="n"/>
      <c r="AG46" s="1171" t="n"/>
      <c r="AH46" s="1171" t="n"/>
      <c r="AI46" s="1171" t="n"/>
      <c r="AJ46" s="1171" t="n"/>
      <c r="AK46" s="2336" t="n"/>
      <c r="AL46" s="2337" t="n"/>
      <c r="AM46" s="2337" t="n"/>
      <c r="AO46" s="2338" t="n"/>
      <c r="AP46" s="2333">
        <f>AP47-AO46</f>
        <v/>
      </c>
      <c r="AQ46" s="1272" t="n"/>
      <c r="AR46" s="2339" t="n"/>
    </row>
    <row r="47" ht="13.5" customHeight="1" s="1158">
      <c r="A47" s="2314" t="inlineStr">
        <is>
          <t>XO_1</t>
        </is>
      </c>
      <c r="B47" s="2315" t="n">
        <v>1</v>
      </c>
      <c r="C47" s="2315" t="n"/>
      <c r="E47" s="2316" t="n"/>
      <c r="F47" s="2317" t="n"/>
      <c r="G47" s="2318" t="n"/>
      <c r="P47" s="2319" t="n"/>
      <c r="Q47" s="2317" t="n"/>
      <c r="S47" s="2186" t="n"/>
      <c r="V47" s="2186" t="n"/>
      <c r="W47" s="2342" t="n"/>
      <c r="X47" s="2334" t="n">
        <v>22</v>
      </c>
      <c r="Y47" s="2335" t="inlineStr">
        <is>
          <t>3-1/2" TUBING 9.2 LB/FT ALLOY 28 TSH BL (AS REQ'D).</t>
        </is>
      </c>
      <c r="Z47" s="1171" t="n"/>
      <c r="AA47" s="1171" t="n"/>
      <c r="AB47" s="1171" t="n"/>
      <c r="AC47" s="1171" t="n"/>
      <c r="AD47" s="1171" t="n"/>
      <c r="AE47" s="1171" t="n"/>
      <c r="AF47" s="1171" t="n"/>
      <c r="AG47" s="1171" t="n"/>
      <c r="AH47" s="1171" t="n"/>
      <c r="AI47" s="1171" t="n"/>
      <c r="AJ47" s="1171" t="n"/>
      <c r="AK47" s="2336" t="inlineStr">
        <is>
          <t>15 JTS</t>
        </is>
      </c>
      <c r="AL47" s="2337" t="n">
        <v>2.969</v>
      </c>
      <c r="AM47" s="2337" t="n">
        <v>3.937</v>
      </c>
      <c r="AN47" s="2337" t="n">
        <v>9.949999999999999</v>
      </c>
      <c r="AO47" s="2338" t="n"/>
      <c r="AP47" s="2333">
        <f>AP48-AO47</f>
        <v/>
      </c>
      <c r="AQ47" s="1272" t="n"/>
      <c r="AR47" s="2339" t="n"/>
    </row>
    <row r="48" ht="13.5" customHeight="1" s="1158">
      <c r="A48" s="2314" t="inlineStr">
        <is>
          <t>CSG_1</t>
        </is>
      </c>
      <c r="B48" s="2315" t="n">
        <v>1</v>
      </c>
      <c r="C48" s="2315" t="inlineStr">
        <is>
          <t>*</t>
        </is>
      </c>
      <c r="E48" s="2316" t="n"/>
      <c r="F48" s="2317" t="n"/>
      <c r="G48" s="2318" t="n"/>
      <c r="P48" s="2319" t="n"/>
      <c r="Q48" s="2317" t="n"/>
      <c r="R48" s="2347" t="n"/>
      <c r="V48" s="2186" t="n"/>
      <c r="W48" s="2342" t="n"/>
      <c r="X48" s="2334" t="n">
        <v>23</v>
      </c>
      <c r="Y48" s="2335" t="inlineStr">
        <is>
          <t>X-O 3-1/2" 10 FT PUP JT 9.2 LB/FT ALLOY 28 TSH BL B X VTOP P</t>
        </is>
      </c>
      <c r="Z48" s="1171" t="n"/>
      <c r="AA48" s="1171" t="n"/>
      <c r="AB48" s="1171" t="n"/>
      <c r="AC48" s="1171" t="n"/>
      <c r="AD48" s="1171" t="n"/>
      <c r="AE48" s="1171" t="n"/>
      <c r="AF48" s="1171" t="n"/>
      <c r="AG48" s="1171" t="n"/>
      <c r="AH48" s="1171" t="n"/>
      <c r="AI48" s="1171" t="n"/>
      <c r="AJ48" s="1171" t="n"/>
      <c r="AK48" s="2336" t="n"/>
      <c r="AL48" s="2337" t="n">
        <v>2.959</v>
      </c>
      <c r="AM48" s="2337" t="n">
        <v>3.908</v>
      </c>
      <c r="AN48" s="2337" t="n">
        <v>4.85</v>
      </c>
      <c r="AO48" s="2338" t="n"/>
      <c r="AP48" s="2333">
        <f>AP49-AO48</f>
        <v/>
      </c>
      <c r="AQ48" s="1272" t="n"/>
      <c r="AR48" s="2339" t="n"/>
    </row>
    <row r="49" ht="13.5" customHeight="1" s="1158">
      <c r="A49" s="2314" t="inlineStr">
        <is>
          <t>CSG_1</t>
        </is>
      </c>
      <c r="B49" s="2315" t="n">
        <v>1</v>
      </c>
      <c r="C49" s="2315" t="inlineStr">
        <is>
          <t>*</t>
        </is>
      </c>
      <c r="E49" s="2316" t="n"/>
      <c r="F49" s="2317" t="n"/>
      <c r="G49" s="2318" t="n"/>
      <c r="P49" s="2319" t="n"/>
      <c r="Q49" s="2317" t="n"/>
      <c r="R49" s="2347" t="n"/>
      <c r="V49" s="2186" t="n"/>
      <c r="W49" s="2342" t="n"/>
      <c r="X49" s="2334" t="n">
        <v>23</v>
      </c>
      <c r="Y49" s="2335" t="inlineStr">
        <is>
          <t>X-O 3-1/2" 10 FT PUP JT 9.2 LB/FT ALLOY 28 TSH BL B X VTOP P</t>
        </is>
      </c>
      <c r="Z49" s="1171" t="n"/>
      <c r="AA49" s="1171" t="n"/>
      <c r="AB49" s="1171" t="n"/>
      <c r="AC49" s="1171" t="n"/>
      <c r="AD49" s="1171" t="n"/>
      <c r="AE49" s="1171" t="n"/>
      <c r="AF49" s="1171" t="n"/>
      <c r="AG49" s="1171" t="n"/>
      <c r="AH49" s="1171" t="n"/>
      <c r="AI49" s="1171" t="n"/>
      <c r="AJ49" s="1171" t="n"/>
      <c r="AK49" s="2336" t="n"/>
      <c r="AL49" s="2337" t="n">
        <v>2.9</v>
      </c>
      <c r="AM49" s="2337" t="n">
        <v>5.82</v>
      </c>
      <c r="AN49" s="2337" t="n">
        <v>8.69</v>
      </c>
      <c r="AO49" s="2338" t="n"/>
      <c r="AP49" s="2333">
        <f>AP50-AO49</f>
        <v/>
      </c>
      <c r="AQ49" s="1272" t="n"/>
      <c r="AR49" s="2339" t="n"/>
    </row>
    <row r="50" ht="45.75" customHeight="1" s="1158">
      <c r="A50" s="2314" t="inlineStr">
        <is>
          <t>GRE_1</t>
        </is>
      </c>
      <c r="B50" s="2348" t="n">
        <v>0</v>
      </c>
      <c r="C50" s="2315" t="inlineStr">
        <is>
          <t>**</t>
        </is>
      </c>
      <c r="E50" s="2316" t="n"/>
      <c r="F50" s="2317" t="n"/>
      <c r="G50" s="2318" t="n"/>
      <c r="P50" s="2319" t="n"/>
      <c r="Q50" s="2317" t="n"/>
      <c r="R50" s="2347" t="n"/>
      <c r="T50" s="2186" t="n"/>
      <c r="U50" s="2186" t="n"/>
      <c r="V50" s="2186" t="n"/>
      <c r="W50" s="2342" t="n"/>
      <c r="X50" s="2334" t="n">
        <v>24</v>
      </c>
      <c r="Y50" s="2335" t="inlineStr">
        <is>
          <t>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t>
        </is>
      </c>
      <c r="Z50" s="1171" t="n"/>
      <c r="AA50" s="1171" t="n"/>
      <c r="AB50" s="1171" t="n"/>
      <c r="AC50" s="1171" t="n"/>
      <c r="AD50" s="1171" t="n"/>
      <c r="AE50" s="1171" t="n"/>
      <c r="AF50" s="1171" t="n"/>
      <c r="AG50" s="1171" t="n"/>
      <c r="AH50" s="1171" t="n"/>
      <c r="AI50" s="1171" t="n"/>
      <c r="AJ50" s="1171" t="n"/>
      <c r="AK50" s="2336" t="inlineStr">
        <is>
          <t xml:space="preserve"> DEG</t>
        </is>
      </c>
      <c r="AL50" s="2337" t="n">
        <v>2.921</v>
      </c>
      <c r="AM50" s="2337" t="n">
        <v>3.929</v>
      </c>
      <c r="AN50" s="2337" t="n">
        <v>4.96</v>
      </c>
      <c r="AO50" s="2338" t="n"/>
      <c r="AP50" s="2333">
        <f>AP51-AO50</f>
        <v/>
      </c>
      <c r="AQ50" s="1272" t="n"/>
      <c r="AR50" s="2339" t="n"/>
    </row>
    <row r="51" ht="13.5" customHeight="1" s="1158">
      <c r="A51" s="2314" t="inlineStr">
        <is>
          <t>XO_GRE</t>
        </is>
      </c>
      <c r="B51" s="2348" t="n">
        <v>0</v>
      </c>
      <c r="C51" s="2315" t="inlineStr">
        <is>
          <t>*</t>
        </is>
      </c>
      <c r="E51" s="2316" t="n"/>
      <c r="F51" s="2317" t="n"/>
      <c r="G51" s="2318" t="n"/>
      <c r="P51" s="2319" t="n"/>
      <c r="Q51" s="2317" t="n"/>
      <c r="R51" s="2347" t="n"/>
      <c r="T51" s="2186" t="n"/>
      <c r="U51" s="2186" t="n"/>
      <c r="V51" s="2186" t="n"/>
      <c r="W51" s="2342" t="n"/>
      <c r="X51" s="2334" t="n">
        <v>25</v>
      </c>
      <c r="Y51" s="2335" t="inlineStr">
        <is>
          <t>X-O 3-1/2" 10 FT PUP JT 9.2 LB/FT ALLOY 28 VTOP B X TSH BL P</t>
        </is>
      </c>
      <c r="Z51" s="1171" t="n"/>
      <c r="AA51" s="1171" t="n"/>
      <c r="AB51" s="1171" t="n"/>
      <c r="AC51" s="1171" t="n"/>
      <c r="AD51" s="1171" t="n"/>
      <c r="AE51" s="1171" t="n"/>
      <c r="AF51" s="1171" t="n"/>
      <c r="AG51" s="1171" t="n"/>
      <c r="AH51" s="1171" t="n"/>
      <c r="AI51" s="1171" t="n"/>
      <c r="AJ51" s="1171" t="n"/>
      <c r="AK51" s="2336" t="n"/>
      <c r="AL51" s="2337" t="n">
        <v>2.959</v>
      </c>
      <c r="AM51" s="2337" t="n">
        <v>3.908</v>
      </c>
      <c r="AN51" s="2337" t="n">
        <v>5.2</v>
      </c>
      <c r="AO51" s="2338" t="n"/>
      <c r="AP51" s="2333">
        <f>AP52-AO51</f>
        <v/>
      </c>
      <c r="AQ51" s="1272" t="n"/>
      <c r="AR51" s="2339" t="n"/>
    </row>
    <row r="52" ht="13.5" customHeight="1" s="1158">
      <c r="A52" s="2314" t="inlineStr">
        <is>
          <t>XO_GRE</t>
        </is>
      </c>
      <c r="B52" s="2348" t="n">
        <v>0</v>
      </c>
      <c r="C52" s="2315" t="inlineStr">
        <is>
          <t>*</t>
        </is>
      </c>
      <c r="E52" s="2316" t="n"/>
      <c r="F52" s="2317" t="n"/>
      <c r="G52" s="2318" t="n"/>
      <c r="P52" s="2319" t="n"/>
      <c r="Q52" s="2317" t="n"/>
      <c r="R52" s="2347" t="n"/>
      <c r="T52" s="2186" t="n"/>
      <c r="U52" s="2186" t="n"/>
      <c r="V52" s="2186" t="n"/>
      <c r="W52" s="2342" t="n"/>
      <c r="X52" s="2334" t="n">
        <v>25</v>
      </c>
      <c r="Y52" s="2335" t="inlineStr">
        <is>
          <t>X-O 3-1/2" 10 FT PUP JT 9.2 LB/FT ALLOY 28 VTOP B X TSH BL P</t>
        </is>
      </c>
      <c r="Z52" s="1171" t="n"/>
      <c r="AA52" s="1171" t="n"/>
      <c r="AB52" s="1171" t="n"/>
      <c r="AC52" s="1171" t="n"/>
      <c r="AD52" s="1171" t="n"/>
      <c r="AE52" s="1171" t="n"/>
      <c r="AF52" s="1171" t="n"/>
      <c r="AG52" s="1171" t="n"/>
      <c r="AH52" s="1171" t="n"/>
      <c r="AI52" s="1171" t="n"/>
      <c r="AJ52" s="1171" t="n"/>
      <c r="AK52" s="2336" t="n"/>
      <c r="AL52" s="2337" t="n"/>
      <c r="AM52" s="2337" t="n"/>
      <c r="AO52" s="2338" t="n"/>
      <c r="AP52" s="2333">
        <f>AP53-AO52</f>
        <v/>
      </c>
      <c r="AQ52" s="1272" t="n"/>
      <c r="AR52" s="2339" t="n"/>
    </row>
    <row r="53" ht="13.5" customHeight="1" s="1158">
      <c r="C53" s="2315" t="n"/>
      <c r="E53" s="2316" t="n"/>
      <c r="F53" s="2317" t="n"/>
      <c r="G53" s="2318" t="n"/>
      <c r="P53" s="2319" t="n"/>
      <c r="Q53" s="2317" t="n"/>
      <c r="R53" s="2349" t="n"/>
      <c r="T53" s="2186" t="n"/>
      <c r="U53" s="2186" t="n"/>
      <c r="V53" s="2186" t="n"/>
      <c r="W53" s="2342" t="n"/>
      <c r="X53" s="2334" t="n">
        <v>26</v>
      </c>
      <c r="Y53" s="2335" t="inlineStr">
        <is>
          <t>3-1/2" TUBING 9.2 LB/FT ALLOY 28 TSH BL (AS REQ'D).</t>
        </is>
      </c>
      <c r="Z53" s="1171" t="n"/>
      <c r="AA53" s="1171" t="n"/>
      <c r="AB53" s="1171" t="n"/>
      <c r="AC53" s="1171" t="n"/>
      <c r="AD53" s="1171" t="n"/>
      <c r="AE53" s="1171" t="n"/>
      <c r="AF53" s="1171" t="n"/>
      <c r="AG53" s="1171" t="n"/>
      <c r="AH53" s="1171" t="n"/>
      <c r="AI53" s="1171" t="n"/>
      <c r="AJ53" s="1171" t="n"/>
      <c r="AK53" s="2336" t="inlineStr">
        <is>
          <t>45JTS</t>
        </is>
      </c>
      <c r="AL53" s="2337" t="n">
        <v>2.969</v>
      </c>
      <c r="AM53" s="2337" t="n">
        <v>3.937</v>
      </c>
      <c r="AN53" s="2337" t="n">
        <v>4.99</v>
      </c>
      <c r="AO53" s="2338" t="n"/>
      <c r="AP53" s="2333">
        <f>AP54-AO53</f>
        <v/>
      </c>
      <c r="AQ53" s="1272" t="n"/>
      <c r="AR53" s="2339" t="n"/>
    </row>
    <row r="54" ht="13.5" customHeight="1" s="1158">
      <c r="C54" s="2315" t="inlineStr">
        <is>
          <t>*</t>
        </is>
      </c>
      <c r="E54" s="2316" t="n"/>
      <c r="F54" s="2317" t="n"/>
      <c r="G54" s="2318" t="n"/>
      <c r="P54" s="2319" t="n"/>
      <c r="Q54" s="2317" t="n"/>
      <c r="R54" s="2347" t="n"/>
      <c r="T54" s="2186" t="n"/>
      <c r="U54" s="2186" t="n"/>
      <c r="V54" s="2186" t="n"/>
      <c r="W54" s="2342" t="n"/>
      <c r="X54" s="2334" t="n">
        <v>27</v>
      </c>
      <c r="Y54" s="2335" t="inlineStr">
        <is>
          <t>X-O 3-1/2" 5 FT PUP JT 9.2 LB/FT ALLOY 28 TSH BL B X VTOP P</t>
        </is>
      </c>
      <c r="Z54" s="1171" t="n"/>
      <c r="AA54" s="1171" t="n"/>
      <c r="AB54" s="1171" t="n"/>
      <c r="AC54" s="1171" t="n"/>
      <c r="AD54" s="1171" t="n"/>
      <c r="AE54" s="1171" t="n"/>
      <c r="AF54" s="1171" t="n"/>
      <c r="AG54" s="1171" t="n"/>
      <c r="AH54" s="1171" t="n"/>
      <c r="AI54" s="1171" t="n"/>
      <c r="AJ54" s="1171" t="n"/>
      <c r="AK54" s="2336" t="n"/>
      <c r="AL54" s="2337" t="n">
        <v>2.919</v>
      </c>
      <c r="AM54" s="2337" t="n">
        <v>5.91</v>
      </c>
      <c r="AN54" s="2337" t="n">
        <v>9.710000000000001</v>
      </c>
      <c r="AO54" s="2338" t="n"/>
      <c r="AP54" s="2333">
        <f>AP55-AO54</f>
        <v/>
      </c>
      <c r="AQ54" s="1272" t="n"/>
      <c r="AR54" s="2339" t="n"/>
    </row>
    <row r="55" ht="90" customHeight="1" s="1158">
      <c r="C55" s="2315" t="inlineStr">
        <is>
          <t>***</t>
        </is>
      </c>
      <c r="E55" s="2316" t="n"/>
      <c r="F55" s="2317" t="n"/>
      <c r="G55" s="2318" t="n"/>
      <c r="P55" s="2319" t="n"/>
      <c r="Q55" s="2317" t="n"/>
      <c r="R55" s="2347" t="n"/>
      <c r="T55" s="2186" t="n"/>
      <c r="U55" s="2186" t="n"/>
      <c r="V55" s="2186" t="n"/>
      <c r="W55" s="2342" t="n"/>
      <c r="X55" s="2334" t="n">
        <v>28</v>
      </c>
      <c r="Y55" s="2335" t="inlineStr">
        <is>
          <t>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t>
        </is>
      </c>
      <c r="Z55" s="1171" t="n"/>
      <c r="AA55" s="1171" t="n"/>
      <c r="AB55" s="1171" t="n"/>
      <c r="AC55" s="1171" t="n"/>
      <c r="AD55" s="1171" t="n"/>
      <c r="AE55" s="1171" t="n"/>
      <c r="AF55" s="1171" t="n"/>
      <c r="AG55" s="1171" t="n"/>
      <c r="AH55" s="1171" t="n"/>
      <c r="AI55" s="1171" t="n"/>
      <c r="AJ55" s="1171" t="n"/>
      <c r="AK55" s="2336" t="inlineStr">
        <is>
          <t>45 DEG</t>
        </is>
      </c>
      <c r="AL55" s="2337" t="n">
        <v>2.959</v>
      </c>
      <c r="AM55" s="2337" t="n">
        <v>3.908</v>
      </c>
      <c r="AO55" s="2338" t="n"/>
      <c r="AP55" s="2333">
        <f>AP56-AO55</f>
        <v/>
      </c>
      <c r="AQ55" s="1272" t="n"/>
      <c r="AR55" s="2339" t="n"/>
    </row>
    <row r="56" ht="13.5" customHeight="1" s="1158">
      <c r="C56" s="2315" t="inlineStr">
        <is>
          <t>*</t>
        </is>
      </c>
      <c r="E56" s="2316" t="n"/>
      <c r="F56" s="2317" t="n"/>
      <c r="G56" s="2318" t="n"/>
      <c r="P56" s="2319" t="n"/>
      <c r="Q56" s="2317" t="n"/>
      <c r="R56" s="2347" t="n"/>
      <c r="T56" s="2186" t="n"/>
      <c r="U56" s="2186" t="n"/>
      <c r="V56" s="2186" t="n"/>
      <c r="W56" s="2342" t="n"/>
      <c r="X56" s="2334" t="n">
        <v>29</v>
      </c>
      <c r="Y56" s="2335" t="inlineStr">
        <is>
          <t>X-O 3-1/2" 10 FT PUP JT 9.2 LB/FT ALLOY 28 VTOP B X TSH BL P</t>
        </is>
      </c>
      <c r="Z56" s="1171" t="n"/>
      <c r="AA56" s="1171" t="n"/>
      <c r="AB56" s="1171" t="n"/>
      <c r="AC56" s="1171" t="n"/>
      <c r="AD56" s="1171" t="n"/>
      <c r="AE56" s="1171" t="n"/>
      <c r="AF56" s="1171" t="n"/>
      <c r="AG56" s="1171" t="n"/>
      <c r="AH56" s="1171" t="n"/>
      <c r="AI56" s="1171" t="n"/>
      <c r="AJ56" s="1171" t="n"/>
      <c r="AK56" s="2336" t="n"/>
      <c r="AL56" s="2337" t="n">
        <v>2.959</v>
      </c>
      <c r="AM56" s="2337" t="n">
        <v>3.908</v>
      </c>
      <c r="AN56" s="2337" t="n">
        <v>4.92</v>
      </c>
      <c r="AO56" s="2338" t="n"/>
      <c r="AP56" s="2333">
        <f>AP57-AO56</f>
        <v/>
      </c>
      <c r="AQ56" s="1272" t="n"/>
      <c r="AR56" s="2339" t="n"/>
    </row>
    <row r="57" ht="13.5" customHeight="1" s="1158">
      <c r="C57" s="2315" t="inlineStr">
        <is>
          <t>*</t>
        </is>
      </c>
      <c r="E57" s="2316" t="n"/>
      <c r="F57" s="2317" t="n"/>
      <c r="G57" s="2318" t="n"/>
      <c r="P57" s="2319" t="n"/>
      <c r="Q57" s="2317" t="n"/>
      <c r="R57" s="2347" t="n"/>
      <c r="T57" s="2186" t="n"/>
      <c r="U57" s="2186" t="n"/>
      <c r="V57" s="2186" t="n"/>
      <c r="W57" s="2342" t="n"/>
      <c r="X57" s="2334" t="n">
        <v>30</v>
      </c>
      <c r="Y57" s="2335" t="inlineStr">
        <is>
          <t>X-O 3-1/2" 5 FT PUP JT 9.2 LB/FT ALLOY 28 TSH BL B X VTOP P</t>
        </is>
      </c>
      <c r="Z57" s="1171" t="n"/>
      <c r="AA57" s="1171" t="n"/>
      <c r="AB57" s="1171" t="n"/>
      <c r="AC57" s="1171" t="n"/>
      <c r="AD57" s="1171" t="n"/>
      <c r="AE57" s="1171" t="n"/>
      <c r="AF57" s="1171" t="n"/>
      <c r="AG57" s="1171" t="n"/>
      <c r="AH57" s="1171" t="n"/>
      <c r="AI57" s="1171" t="n"/>
      <c r="AJ57" s="1171" t="n"/>
      <c r="AK57" s="2336" t="n"/>
      <c r="AL57" s="2337" t="n">
        <v>2.637</v>
      </c>
      <c r="AM57" s="2337" t="n">
        <v>3.885</v>
      </c>
      <c r="AN57" s="2337" t="n">
        <v>1.15</v>
      </c>
      <c r="AO57" s="2338" t="n"/>
      <c r="AP57" s="2333">
        <f>AP58-AO57</f>
        <v/>
      </c>
      <c r="AQ57" s="1272" t="n"/>
      <c r="AR57" s="2339" t="n"/>
    </row>
    <row r="58" ht="67.5" customHeight="1" s="1158">
      <c r="C58" s="2315" t="inlineStr">
        <is>
          <t>**</t>
        </is>
      </c>
      <c r="E58" s="2316" t="n"/>
      <c r="F58" s="2317" t="n"/>
      <c r="G58" s="2318" t="n"/>
      <c r="P58" s="2319" t="n"/>
      <c r="Q58" s="2317" t="n"/>
      <c r="R58" s="2347" t="n"/>
      <c r="T58" s="2186" t="n"/>
      <c r="U58" s="2186" t="n"/>
      <c r="V58" s="2186" t="n"/>
      <c r="W58" s="2342" t="n"/>
      <c r="X58" s="2334" t="n">
        <v>31</v>
      </c>
      <c r="Y58" s="2335" t="inlineStr">
        <is>
          <t>UPPER CONN . 3-1/2" VAM TOP 9.2#PPF INC 925 KSI BOXDESCRIPTION : 2.750 WXN NipplePN: 2963809 S/N :12527047-08SAP: 130010036868 SUPPLIER:WEATHERFORDLOWER CONN.3-1/2" VAM TOP 9.2#PPF INC 925KSI PINUPPER CONN. 3-1/2" VAM TOP BOX 9.2 PPF SN 28 110 KSIUPPER CONN . 3-1/2" VAM TOP 9.2#PPF INC 925 KSI BOXDESCRIPTION : 2.750 WXN NipplePN: 2963809 S/N :12527047-08SAP: 130010036868 SUPPLIER:WEATHERFORDLOWER CONN.3-1/2" VAM TOP 9.2#PPF INC 925KSI PINUPPER CONN. 3-1/2" VAM TOP BOX 9.2 PPF SN 28 110 KSI</t>
        </is>
      </c>
      <c r="Z58" s="1171" t="n"/>
      <c r="AA58" s="1171" t="n"/>
      <c r="AB58" s="1171" t="n"/>
      <c r="AC58" s="1171" t="n"/>
      <c r="AD58" s="1171" t="n"/>
      <c r="AE58" s="1171" t="n"/>
      <c r="AF58" s="1171" t="n"/>
      <c r="AG58" s="1171" t="n"/>
      <c r="AH58" s="1171" t="n"/>
      <c r="AI58" s="1171" t="n"/>
      <c r="AJ58" s="1171" t="n"/>
      <c r="AK58" s="2336" t="inlineStr">
        <is>
          <t>45 DEG</t>
        </is>
      </c>
      <c r="AL58" s="2337" t="n">
        <v>2.959</v>
      </c>
      <c r="AM58" s="2337" t="n">
        <v>3.908</v>
      </c>
      <c r="AO58" s="2338" t="n"/>
      <c r="AP58" s="2333">
        <f>AP59-AO58</f>
        <v/>
      </c>
      <c r="AQ58" s="1272" t="n"/>
      <c r="AR58" s="2339" t="n"/>
      <c r="AS58" s="2184">
        <f>SUBSTITUTE(A1,CHAR(10)," ")</f>
        <v/>
      </c>
    </row>
    <row r="59" ht="13.5" customHeight="1" s="1158">
      <c r="C59" s="2315" t="inlineStr">
        <is>
          <t>*</t>
        </is>
      </c>
      <c r="E59" s="2316" t="n"/>
      <c r="F59" s="2317" t="n"/>
      <c r="G59" s="2318" t="n"/>
      <c r="P59" s="2319" t="n"/>
      <c r="Q59" s="2317" t="n"/>
      <c r="R59" s="2349" t="n"/>
      <c r="T59" s="2186" t="n"/>
      <c r="U59" s="2186" t="n"/>
      <c r="V59" s="2186" t="n"/>
      <c r="W59" s="2342" t="n"/>
      <c r="X59" s="2334" t="n">
        <v>32</v>
      </c>
      <c r="Y59" s="2335" t="inlineStr">
        <is>
          <t>X-O 3-1/2" 5 FT PUP JT 9.2 LB/FT ALLOY 28 VTOP B X TSH BL P</t>
        </is>
      </c>
      <c r="Z59" s="1171" t="n"/>
      <c r="AA59" s="1171" t="n"/>
      <c r="AB59" s="1171" t="n"/>
      <c r="AC59" s="1171" t="n"/>
      <c r="AD59" s="1171" t="n"/>
      <c r="AE59" s="1171" t="n"/>
      <c r="AF59" s="1171" t="n"/>
      <c r="AG59" s="1171" t="n"/>
      <c r="AH59" s="1171" t="n"/>
      <c r="AI59" s="1171" t="n"/>
      <c r="AJ59" s="1171" t="n"/>
      <c r="AK59" s="2336" t="n"/>
      <c r="AL59" s="2337" t="n"/>
      <c r="AM59" s="2337" t="n"/>
      <c r="AO59" s="2338" t="n"/>
      <c r="AP59" s="2333">
        <f>AP60-AO59</f>
        <v/>
      </c>
      <c r="AQ59" s="1272" t="n"/>
      <c r="AR59" s="2339" t="n"/>
    </row>
    <row r="60" ht="13.5" customHeight="1" s="1158">
      <c r="C60" s="2315" t="n"/>
      <c r="E60" s="2316" t="n"/>
      <c r="F60" s="2317" t="n"/>
      <c r="G60" s="2318" t="n"/>
      <c r="P60" s="2319" t="n"/>
      <c r="Q60" s="2317" t="n"/>
      <c r="R60" s="2347" t="n"/>
      <c r="T60" s="2186" t="n"/>
      <c r="U60" s="2186" t="n"/>
      <c r="V60" s="2186" t="n"/>
      <c r="W60" s="2342" t="n"/>
      <c r="X60" s="2334" t="n">
        <v>33</v>
      </c>
      <c r="Y60" s="2335" t="inlineStr">
        <is>
          <t>3-1/2" TUBING 9.2 LB/FT ALLOY 28 TSH BL</t>
        </is>
      </c>
      <c r="Z60" s="1171" t="n"/>
      <c r="AA60" s="1171" t="n"/>
      <c r="AB60" s="1171" t="n"/>
      <c r="AC60" s="1171" t="n"/>
      <c r="AD60" s="1171" t="n"/>
      <c r="AE60" s="1171" t="n"/>
      <c r="AF60" s="1171" t="n"/>
      <c r="AG60" s="1171" t="n"/>
      <c r="AH60" s="1171" t="n"/>
      <c r="AI60" s="1171" t="n"/>
      <c r="AJ60" s="1171" t="n"/>
      <c r="AK60" s="2336" t="inlineStr">
        <is>
          <t>2 JTS</t>
        </is>
      </c>
      <c r="AL60" s="2337" t="n">
        <v>2.969</v>
      </c>
      <c r="AM60" s="2337" t="n">
        <v>3.937</v>
      </c>
      <c r="AO60" s="2338" t="n"/>
      <c r="AP60" s="2333">
        <f>AP61-AO60</f>
        <v/>
      </c>
      <c r="AQ60" s="1272" t="n"/>
      <c r="AR60" s="2339" t="n"/>
    </row>
    <row r="61" ht="13.5" customHeight="1" s="1158">
      <c r="C61" s="2315" t="inlineStr">
        <is>
          <t>*</t>
        </is>
      </c>
      <c r="E61" s="2316" t="n"/>
      <c r="F61" s="2317" t="n"/>
      <c r="G61" s="2318" t="n"/>
      <c r="P61" s="2319" t="n"/>
      <c r="Q61" s="2317" t="n"/>
      <c r="R61" s="2347" t="n"/>
      <c r="T61" s="2186" t="n"/>
      <c r="U61" s="2186" t="n"/>
      <c r="V61" s="2186" t="n"/>
      <c r="W61" s="2342" t="n"/>
      <c r="X61" s="2334" t="n">
        <v>34</v>
      </c>
      <c r="Y61" s="2335" t="inlineStr">
        <is>
          <t>X-O 3-1/2" 10 FT PUP JT 9.2 LB/FT ALLOY 28 TSH BL B X VTOP P</t>
        </is>
      </c>
      <c r="Z61" s="1171" t="n"/>
      <c r="AA61" s="1171" t="n"/>
      <c r="AB61" s="1171" t="n"/>
      <c r="AC61" s="1171" t="n"/>
      <c r="AD61" s="1171" t="n"/>
      <c r="AE61" s="1171" t="n"/>
      <c r="AF61" s="1171" t="n"/>
      <c r="AG61" s="1171" t="n"/>
      <c r="AH61" s="1171" t="n"/>
      <c r="AI61" s="1171" t="n"/>
      <c r="AJ61" s="1171" t="n"/>
      <c r="AK61" s="2336" t="n"/>
      <c r="AL61" s="2337" t="n">
        <v>2.953</v>
      </c>
      <c r="AM61" s="2337" t="n">
        <v>5.7</v>
      </c>
      <c r="AO61" s="2338" t="n"/>
      <c r="AP61" s="2333">
        <f>AP62-AO61</f>
        <v/>
      </c>
      <c r="AQ61" s="1272" t="n"/>
      <c r="AR61" s="2339" t="n"/>
    </row>
    <row r="62" ht="13.5" customHeight="1" s="1158">
      <c r="C62" s="2315" t="inlineStr">
        <is>
          <t>*</t>
        </is>
      </c>
      <c r="E62" s="2316" t="n"/>
      <c r="F62" s="2317" t="n"/>
      <c r="G62" s="2318" t="n"/>
      <c r="P62" s="2319" t="n"/>
      <c r="Q62" s="2317" t="n"/>
      <c r="R62" s="2347" t="n"/>
      <c r="T62" s="2186" t="n"/>
      <c r="U62" s="2186" t="n"/>
      <c r="V62" s="2186" t="n"/>
      <c r="W62" s="2342" t="n"/>
      <c r="X62" s="2334" t="n">
        <v>34</v>
      </c>
      <c r="Y62" s="2335" t="inlineStr">
        <is>
          <t>X-O 3-1/2" 10 FT PUP JT 9.2 LB/FT ALLOY 28 TSH BL B X VTOP P</t>
        </is>
      </c>
      <c r="Z62" s="1171" t="n"/>
      <c r="AA62" s="1171" t="n"/>
      <c r="AB62" s="1171" t="n"/>
      <c r="AC62" s="1171" t="n"/>
      <c r="AD62" s="1171" t="n"/>
      <c r="AE62" s="1171" t="n"/>
      <c r="AF62" s="1171" t="n"/>
      <c r="AG62" s="1171" t="n"/>
      <c r="AH62" s="1171" t="n"/>
      <c r="AI62" s="1171" t="n"/>
      <c r="AJ62" s="1171" t="n"/>
      <c r="AK62" s="2336" t="n"/>
      <c r="AL62" s="2337" t="n">
        <v>2.959</v>
      </c>
      <c r="AM62" s="2337" t="n">
        <v>3.908</v>
      </c>
      <c r="AO62" s="2338" t="n"/>
      <c r="AP62" s="2333">
        <f>AP63-AO62</f>
        <v/>
      </c>
      <c r="AQ62" s="1272" t="n"/>
      <c r="AR62" s="2339" t="n"/>
    </row>
    <row r="63" ht="57" customHeight="1" s="1158">
      <c r="C63" s="2315" t="inlineStr">
        <is>
          <t>**</t>
        </is>
      </c>
      <c r="E63" s="2316" t="n"/>
      <c r="F63" s="2317" t="n"/>
      <c r="G63" s="2318" t="n"/>
      <c r="P63" s="2319" t="n"/>
      <c r="Q63" s="2317" t="n"/>
      <c r="R63" s="2347" t="n"/>
      <c r="T63" s="2186" t="n"/>
      <c r="U63" s="2186" t="n"/>
      <c r="V63" s="2186" t="n"/>
      <c r="W63" s="2342" t="n"/>
      <c r="X63" s="2334" t="n">
        <v>35</v>
      </c>
      <c r="Y63" s="2335" t="inlineStr">
        <is>
          <t>UPPER CONN . 3-1/2" SENTINEL PRIME 9.2#PPF INC 925 BOXDESCRIPTION : NINE ENERGY MULTICYCLE BARRIER DEVICE7 CYCLES REMAININGP/N: 3207251 S/N: 100 086 877SAP: 130010036003 SUPPLIER: NINE ENERGYLOWER CONN- 3 1/2 9.2 SENTINEL PRIME 9.2 PPF INC 925 PINUPPER CONN . 3-1/2" SENTINEL PRIME 9.2#PPF INC 925 BOXDESCRIPTION : NINE ENERGY MULTICYCLE BARRIER DEVICE7 CYCLES REMAININGP/N: 3207251 S/N: 100 086 877SAP: 130010036003 SUPPLIER: NINE ENERGYLOWER CONN- 3 1/2 9.2 SENTINEL PRIME 9.2 PPF INC 925 PIN</t>
        </is>
      </c>
      <c r="Z63" s="1171" t="n"/>
      <c r="AA63" s="1171" t="n"/>
      <c r="AB63" s="1171" t="n"/>
      <c r="AC63" s="1171" t="n"/>
      <c r="AD63" s="1171" t="n"/>
      <c r="AE63" s="1171" t="n"/>
      <c r="AF63" s="1171" t="n"/>
      <c r="AG63" s="1171" t="n"/>
      <c r="AH63" s="1171" t="n"/>
      <c r="AI63" s="1171" t="n"/>
      <c r="AJ63" s="1171" t="n"/>
      <c r="AK63" s="2336" t="inlineStr">
        <is>
          <t>46 DEG</t>
        </is>
      </c>
      <c r="AL63" s="2337" t="n"/>
      <c r="AM63" s="2337" t="n"/>
      <c r="AO63" s="2338" t="n"/>
      <c r="AP63" s="2333">
        <f>AP64-AO63</f>
        <v/>
      </c>
      <c r="AQ63" s="1272" t="n"/>
      <c r="AR63" s="2339" t="n"/>
    </row>
    <row r="64" ht="13.5" customHeight="1" s="1158">
      <c r="C64" s="2315" t="inlineStr">
        <is>
          <t>*</t>
        </is>
      </c>
      <c r="E64" s="2316" t="n"/>
      <c r="F64" s="2317" t="n"/>
      <c r="G64" s="2318" t="n"/>
      <c r="P64" s="2319" t="n"/>
      <c r="Q64" s="2317" t="n"/>
      <c r="R64" s="2347" t="n"/>
      <c r="T64" s="2186" t="n"/>
      <c r="U64" s="2186" t="n"/>
      <c r="V64" s="2186" t="n"/>
      <c r="W64" s="2342" t="n"/>
      <c r="X64" s="2334" t="n">
        <v>36</v>
      </c>
      <c r="Y64" s="2335" t="inlineStr">
        <is>
          <t>X-O 3-1/2" 10 FT PUP JT 9.2 LB/FT ALLOY 28 VTOP B X TSH BL P</t>
        </is>
      </c>
      <c r="Z64" s="1171" t="n"/>
      <c r="AA64" s="1171" t="n"/>
      <c r="AB64" s="1171" t="n"/>
      <c r="AC64" s="1171" t="n"/>
      <c r="AD64" s="1171" t="n"/>
      <c r="AE64" s="1171" t="n"/>
      <c r="AF64" s="1171" t="n"/>
      <c r="AG64" s="1171" t="n"/>
      <c r="AH64" s="1171" t="n"/>
      <c r="AI64" s="1171" t="n"/>
      <c r="AJ64" s="1171" t="n"/>
      <c r="AK64" s="2336" t="n"/>
      <c r="AL64" s="2337" t="n">
        <v>2.969</v>
      </c>
      <c r="AM64" s="2337" t="n">
        <v>3.937</v>
      </c>
      <c r="AO64" s="2338" t="n"/>
      <c r="AP64" s="2333">
        <f>AP65-AO64</f>
        <v/>
      </c>
      <c r="AQ64" s="1272" t="n"/>
      <c r="AR64" s="2339" t="n"/>
    </row>
    <row r="65" ht="13.5" customHeight="1" s="1158">
      <c r="C65" s="2315" t="inlineStr">
        <is>
          <t>*</t>
        </is>
      </c>
      <c r="E65" s="2316" t="n"/>
      <c r="F65" s="2317" t="n"/>
      <c r="G65" s="2318" t="n"/>
      <c r="P65" s="2319" t="n"/>
      <c r="Q65" s="2317" t="n"/>
      <c r="R65" s="2347" t="n"/>
      <c r="T65" s="2186" t="n"/>
      <c r="U65" s="2186" t="n"/>
      <c r="V65" s="2186" t="n"/>
      <c r="W65" s="2342" t="n"/>
      <c r="X65" s="2334" t="n">
        <v>36</v>
      </c>
      <c r="Y65" s="2335" t="inlineStr">
        <is>
          <t>X-O 3-1/2" 10 FT PUP JT 9.2 LB/FT ALLOY 28 VTOP B X TSH BL P</t>
        </is>
      </c>
      <c r="Z65" s="1171" t="n"/>
      <c r="AA65" s="1171" t="n"/>
      <c r="AB65" s="1171" t="n"/>
      <c r="AC65" s="1171" t="n"/>
      <c r="AD65" s="1171" t="n"/>
      <c r="AE65" s="1171" t="n"/>
      <c r="AF65" s="1171" t="n"/>
      <c r="AG65" s="1171" t="n"/>
      <c r="AH65" s="1171" t="n"/>
      <c r="AI65" s="1171" t="n"/>
      <c r="AJ65" s="1171" t="n"/>
      <c r="AK65" s="2336" t="n"/>
      <c r="AL65" s="2337" t="n">
        <v>2.949</v>
      </c>
      <c r="AM65" s="2337" t="n">
        <v>3.937</v>
      </c>
      <c r="AO65" s="2338" t="n"/>
      <c r="AP65" s="2333">
        <f>AP66-AO65</f>
        <v/>
      </c>
      <c r="AQ65" s="1272" t="n"/>
      <c r="AR65" s="2339" t="n"/>
    </row>
    <row r="66" ht="13.5" customHeight="1" s="1158">
      <c r="C66" s="2315" t="n"/>
      <c r="E66" s="2316" t="n"/>
      <c r="F66" s="2317" t="n"/>
      <c r="G66" s="2318" t="n"/>
      <c r="P66" s="2319" t="n"/>
      <c r="Q66" s="2317" t="n"/>
      <c r="R66" s="2347" t="n"/>
      <c r="T66" s="2186" t="n"/>
      <c r="U66" s="2186" t="n"/>
      <c r="V66" s="2186" t="n"/>
      <c r="W66" s="2342" t="n"/>
      <c r="X66" s="2334" t="n">
        <v>37</v>
      </c>
      <c r="Y66" s="2335" t="inlineStr">
        <is>
          <t>3-1/2" TUBING 9.2 LB/FT ALLOY 28 TSH BL</t>
        </is>
      </c>
      <c r="Z66" s="1171" t="n"/>
      <c r="AA66" s="1171" t="n"/>
      <c r="AB66" s="1171" t="n"/>
      <c r="AC66" s="1171" t="n"/>
      <c r="AD66" s="1171" t="n"/>
      <c r="AE66" s="1171" t="n"/>
      <c r="AF66" s="1171" t="n"/>
      <c r="AG66" s="1171" t="n"/>
      <c r="AH66" s="1171" t="n"/>
      <c r="AI66" s="1171" t="n"/>
      <c r="AJ66" s="1171" t="n"/>
      <c r="AK66" s="2336" t="inlineStr">
        <is>
          <t>79 JTS</t>
        </is>
      </c>
      <c r="AL66" s="2337" t="n"/>
      <c r="AM66" s="2337" t="n"/>
      <c r="AO66" s="2338" t="n"/>
      <c r="AP66" s="2333">
        <f>AP67-AO66</f>
        <v/>
      </c>
      <c r="AQ66" s="1272" t="n"/>
      <c r="AR66" s="2339" t="n"/>
    </row>
    <row r="67" ht="13.5" customHeight="1" s="1158">
      <c r="C67" s="2315" t="inlineStr">
        <is>
          <t>*</t>
        </is>
      </c>
      <c r="E67" s="2316" t="n"/>
      <c r="F67" s="2317" t="n"/>
      <c r="G67" s="2318" t="n"/>
      <c r="P67" s="2319" t="n"/>
      <c r="Q67" s="2317" t="n"/>
      <c r="R67" s="2349" t="n"/>
      <c r="T67" s="2186" t="n"/>
      <c r="U67" s="2186" t="n"/>
      <c r="V67" s="2186" t="n"/>
      <c r="W67" s="2342" t="n"/>
      <c r="X67" s="2334" t="n">
        <v>38</v>
      </c>
      <c r="Y67" s="2335" t="inlineStr">
        <is>
          <t>X-O 3-1/2" 5 FT PUP JT 9.2 LB/FT ALLOY 28 TSH BL B X VTOP P</t>
        </is>
      </c>
      <c r="Z67" s="1171" t="n"/>
      <c r="AA67" s="1171" t="n"/>
      <c r="AB67" s="1171" t="n"/>
      <c r="AC67" s="1171" t="n"/>
      <c r="AD67" s="1171" t="n"/>
      <c r="AE67" s="1171" t="n"/>
      <c r="AF67" s="1171" t="n"/>
      <c r="AG67" s="1171" t="n"/>
      <c r="AH67" s="1171" t="n"/>
      <c r="AI67" s="1171" t="n"/>
      <c r="AJ67" s="1171" t="n"/>
      <c r="AK67" s="2336" t="n"/>
      <c r="AL67" s="2337" t="n"/>
      <c r="AM67" s="2337" t="n"/>
      <c r="AO67" s="2338" t="n"/>
      <c r="AP67" s="2333">
        <f>AP68-AO67</f>
        <v/>
      </c>
      <c r="AQ67" s="1272" t="n"/>
      <c r="AR67" s="2339" t="n"/>
    </row>
    <row r="68" ht="60.75" customHeight="1" s="1158">
      <c r="C68" s="2315" t="inlineStr">
        <is>
          <t>**</t>
        </is>
      </c>
      <c r="E68" s="2316" t="n"/>
      <c r="F68" s="2317" t="n"/>
      <c r="G68" s="2318" t="n"/>
      <c r="P68" s="2319" t="n"/>
      <c r="Q68" s="2317" t="n"/>
      <c r="R68" s="2347" t="n"/>
      <c r="T68" s="2186" t="n"/>
      <c r="U68" s="2186" t="n"/>
      <c r="V68" s="2186" t="n"/>
      <c r="W68" s="2342" t="n"/>
      <c r="X68" s="2334" t="n">
        <v>39</v>
      </c>
      <c r="Y68" s="2335" t="inlineStr">
        <is>
          <t>UPPER CONN :3-1/2 9.2 PPF, 110KSI VAM TOP BOXDESCRIPTION :PCKR,SWEL,6.3-1/2,A925,OILP/N: 2991712 S/N: RDT-UAE-1003629SAP: 130010039426 SUPPLIER: WFD-REACTIVELOWER CONN .3-1/2 9.2 PPF, 110KSI VAM TOP PINUPPER CONN :3-1/2 9.2 PPF, 110KSI VAM TOP BOXDESCRIPTION :PCKR,SWEL,6.3-1/2,A925,OILP/N: 2991712 S/N: RDT-UAE-1003629SAP: 130010039426 SUPPLIER: WFD-REACTIVELOWER CONN .3-1/2 9.2 PPF, 110KSI VAM TOP PIN</t>
        </is>
      </c>
      <c r="Z68" s="1171" t="n"/>
      <c r="AA68" s="1171" t="n"/>
      <c r="AB68" s="1171" t="n"/>
      <c r="AC68" s="1171" t="n"/>
      <c r="AD68" s="1171" t="n"/>
      <c r="AE68" s="1171" t="n"/>
      <c r="AF68" s="1171" t="n"/>
      <c r="AG68" s="1171" t="n"/>
      <c r="AH68" s="1171" t="n"/>
      <c r="AI68" s="1171" t="n"/>
      <c r="AJ68" s="1171" t="n"/>
      <c r="AK68" s="2336" t="inlineStr">
        <is>
          <t xml:space="preserve"> DEG</t>
        </is>
      </c>
      <c r="AL68" s="2337" t="n"/>
      <c r="AM68" s="2337" t="n"/>
      <c r="AO68" s="2338" t="n"/>
      <c r="AP68" s="2333">
        <f>AP69-AO68</f>
        <v/>
      </c>
      <c r="AQ68" s="1272" t="n"/>
      <c r="AR68" s="2339" t="n"/>
    </row>
    <row r="69" ht="13.5" customHeight="1" s="1158">
      <c r="C69" s="2315" t="inlineStr">
        <is>
          <t>*</t>
        </is>
      </c>
      <c r="E69" s="2316" t="n"/>
      <c r="F69" s="2317" t="n"/>
      <c r="G69" s="2318" t="n"/>
      <c r="P69" s="2319" t="n"/>
      <c r="Q69" s="2317" t="n"/>
      <c r="R69" s="2347" t="n"/>
      <c r="T69" s="2186" t="n"/>
      <c r="U69" s="2186" t="n"/>
      <c r="V69" s="2186" t="n"/>
      <c r="W69" s="2342" t="n"/>
      <c r="X69" s="2334" t="n">
        <v>40</v>
      </c>
      <c r="Y69" s="2335" t="inlineStr">
        <is>
          <t>X-O 3-1/2" 5 FT PUP JT 9.2 LB/FT ALLOY 28 VTOP B X TSH BL P</t>
        </is>
      </c>
      <c r="Z69" s="1171" t="n"/>
      <c r="AA69" s="1171" t="n"/>
      <c r="AB69" s="1171" t="n"/>
      <c r="AC69" s="1171" t="n"/>
      <c r="AD69" s="1171" t="n"/>
      <c r="AE69" s="1171" t="n"/>
      <c r="AF69" s="1171" t="n"/>
      <c r="AG69" s="1171" t="n"/>
      <c r="AH69" s="1171" t="n"/>
      <c r="AI69" s="1171" t="n"/>
      <c r="AJ69" s="1171" t="n"/>
      <c r="AK69" s="2336" t="n"/>
      <c r="AL69" s="2337" t="n">
        <v>2.959</v>
      </c>
      <c r="AM69" s="2337" t="n">
        <v>3.908</v>
      </c>
      <c r="AO69" s="2338" t="n">
        <v>4.879</v>
      </c>
      <c r="AP69" s="2333">
        <f>AP70-AO69</f>
        <v/>
      </c>
      <c r="AQ69" s="1272" t="n"/>
      <c r="AR69" s="2339" t="n"/>
    </row>
    <row r="70" ht="13.5" customHeight="1" s="1158">
      <c r="C70" s="2315" t="n"/>
      <c r="E70" s="2316" t="n"/>
      <c r="F70" s="2317" t="n"/>
      <c r="G70" s="2318" t="n"/>
      <c r="P70" s="2319" t="n"/>
      <c r="Q70" s="2317" t="n"/>
      <c r="R70" s="2347" t="n"/>
      <c r="T70" s="2186" t="n"/>
      <c r="U70" s="2186" t="n"/>
      <c r="V70" s="2186" t="n"/>
      <c r="W70" s="2342" t="n"/>
      <c r="X70" s="2334" t="n">
        <v>41</v>
      </c>
      <c r="Y70" s="2335" t="inlineStr">
        <is>
          <t>3-1/2" TUBING 9.2 LB/FT ALLOY 28 TSH BL</t>
        </is>
      </c>
      <c r="Z70" s="1171" t="n"/>
      <c r="AA70" s="1171" t="n"/>
      <c r="AB70" s="1171" t="n"/>
      <c r="AC70" s="1171" t="n"/>
      <c r="AD70" s="1171" t="n"/>
      <c r="AE70" s="1171" t="n"/>
      <c r="AF70" s="1171" t="n"/>
      <c r="AG70" s="1171" t="n"/>
      <c r="AH70" s="1171" t="n"/>
      <c r="AI70" s="1171" t="n"/>
      <c r="AJ70" s="1171" t="n"/>
      <c r="AK70" s="2336" t="inlineStr">
        <is>
          <t>66 JTS</t>
        </is>
      </c>
      <c r="AL70" s="2337" t="n">
        <v>2.969</v>
      </c>
      <c r="AM70" s="2337" t="n">
        <v>3.937</v>
      </c>
      <c r="AO70" s="2338" t="n">
        <v>2041.294</v>
      </c>
      <c r="AP70" s="2333">
        <f>AP71-AO70</f>
        <v/>
      </c>
      <c r="AQ70" s="1272" t="n"/>
      <c r="AR70" s="2339" t="n"/>
    </row>
    <row r="71" ht="13.5" customHeight="1" s="1158">
      <c r="C71" s="2315" t="inlineStr">
        <is>
          <t>*</t>
        </is>
      </c>
      <c r="E71" s="2316" t="n"/>
      <c r="F71" s="2317" t="n"/>
      <c r="G71" s="2318" t="n"/>
      <c r="P71" s="2319" t="n"/>
      <c r="Q71" s="2317" t="n"/>
      <c r="R71" s="2347" t="n"/>
      <c r="T71" s="2186" t="n"/>
      <c r="U71" s="2186" t="n"/>
      <c r="V71" s="2186" t="n"/>
      <c r="W71" s="2342" t="n"/>
      <c r="X71" s="2334" t="n">
        <v>42</v>
      </c>
      <c r="Y71" s="2335" t="inlineStr">
        <is>
          <t>X-O 3-1/2" 5 FT PUP JT 9.2 LB/FT ALLOY 28 TSH BL B X VTOP P</t>
        </is>
      </c>
      <c r="Z71" s="1171" t="n"/>
      <c r="AA71" s="1171" t="n"/>
      <c r="AB71" s="1171" t="n"/>
      <c r="AC71" s="1171" t="n"/>
      <c r="AD71" s="1171" t="n"/>
      <c r="AE71" s="1171" t="n"/>
      <c r="AF71" s="1171" t="n"/>
      <c r="AG71" s="1171" t="n"/>
      <c r="AH71" s="1171" t="n"/>
      <c r="AI71" s="1171" t="n"/>
      <c r="AJ71" s="1171" t="n"/>
      <c r="AK71" s="2336" t="n"/>
      <c r="AL71" s="2337" t="n">
        <v>2.969</v>
      </c>
      <c r="AM71" s="2337" t="n">
        <v>3.937</v>
      </c>
      <c r="AO71" s="2338" t="n">
        <v>4.96</v>
      </c>
      <c r="AP71" s="2333">
        <f>AP72-AO71</f>
        <v/>
      </c>
      <c r="AQ71" s="1272" t="n"/>
      <c r="AR71" s="2339" t="n"/>
    </row>
    <row r="72" ht="33" customHeight="1" s="1158">
      <c r="C72" s="2315" t="inlineStr">
        <is>
          <t>**</t>
        </is>
      </c>
      <c r="E72" s="2316" t="n"/>
      <c r="F72" s="2317" t="n"/>
      <c r="G72" s="2318" t="n"/>
      <c r="P72" s="2319" t="n"/>
      <c r="Q72" s="2317" t="n"/>
      <c r="R72" s="2347" t="n"/>
      <c r="T72" s="2186" t="n"/>
      <c r="U72" s="2186" t="n"/>
      <c r="V72" s="2186" t="n"/>
      <c r="W72" s="2342" t="n"/>
      <c r="X72" s="2334" t="n">
        <v>43</v>
      </c>
      <c r="Y72" s="2335" t="inlineStr">
        <is>
          <t>UPPER CONN .  3-1/2" VAM TOP 9.2#PPF  BOX  VM 28 110 KSI    DESCRIPTION :            WIRELINE ENTRY GUIDE                                                          SN: 16339547-10-008                                  PN 2996481                                                                    SAP: 130010036277                                  SUPPLIER: WEATHERFORDUPPER CONN . 3-1/2" VAM TOP 9.2#PPF BOX VM 28 110 KSI
DESCRIPTION : N/A
SAP: N/A SUPPLIER: N/A
LOWER CONN . 3-1/2" VAM TOP PPF BOX VM 28 110 KSI
DESCRIPTION : N/A
SAP: N/A SUPPLIER: N/A</t>
        </is>
      </c>
      <c r="Z72" s="1171" t="n"/>
      <c r="AA72" s="1171" t="n"/>
      <c r="AB72" s="1171" t="n"/>
      <c r="AC72" s="1171" t="n"/>
      <c r="AD72" s="1171" t="n"/>
      <c r="AE72" s="1171" t="n"/>
      <c r="AF72" s="1171" t="n"/>
      <c r="AG72" s="1171" t="n"/>
      <c r="AH72" s="1171" t="n"/>
      <c r="AI72" s="1171" t="n"/>
      <c r="AJ72" s="1171" t="n"/>
      <c r="AK72" s="2336" t="inlineStr">
        <is>
          <t>89 DEG</t>
        </is>
      </c>
      <c r="AL72" s="2337" t="n">
        <v>2.949</v>
      </c>
      <c r="AM72" s="2337" t="n">
        <v>3.937</v>
      </c>
      <c r="AO72" s="2338" t="n">
        <v>0.6</v>
      </c>
      <c r="AP72" s="2333">
        <f>AP73-AO72</f>
        <v/>
      </c>
      <c r="AQ72" s="1272" t="n"/>
      <c r="AR72" s="2339" t="n"/>
    </row>
    <row r="73" ht="13.5" customHeight="1" s="1158">
      <c r="C73" s="2315" t="n"/>
      <c r="E73" s="2316" t="n"/>
      <c r="F73" s="2317" t="n"/>
      <c r="G73" s="2318" t="n"/>
      <c r="P73" s="2319" t="n"/>
      <c r="Q73" s="2317" t="n"/>
      <c r="R73" s="2347" t="n"/>
      <c r="S73" s="2344" t="n"/>
      <c r="T73" s="2186" t="n"/>
      <c r="U73" s="2186" t="n"/>
      <c r="V73" s="2186" t="n"/>
      <c r="W73" s="2342" t="n"/>
      <c r="X73" s="2334" t="n"/>
      <c r="Y73" s="2350" t="n"/>
      <c r="Z73" s="1246" t="n"/>
      <c r="AA73" s="1246" t="n"/>
      <c r="AB73" s="1246" t="n"/>
      <c r="AC73" s="1246" t="n"/>
      <c r="AD73" s="1246" t="n"/>
      <c r="AE73" s="1246" t="n"/>
      <c r="AF73" s="1246" t="n"/>
      <c r="AG73" s="1246" t="n"/>
      <c r="AH73" s="1246" t="n"/>
      <c r="AI73" s="1246" t="n"/>
      <c r="AJ73" s="1246" t="n"/>
      <c r="AK73" s="2336" t="n"/>
      <c r="AL73" s="2337" t="n"/>
      <c r="AM73" s="2337" t="n"/>
      <c r="AO73" s="2338" t="inlineStr">
        <is>
          <t>EOT</t>
        </is>
      </c>
      <c r="AP73" s="2333">
        <f>'[197]FINAL TALLY '!G14</f>
        <v/>
      </c>
      <c r="AQ73" s="1272" t="n"/>
      <c r="AR73" s="2339" t="n"/>
    </row>
    <row r="74" ht="13.5" customHeight="1" s="1158">
      <c r="C74" s="2315" t="n"/>
      <c r="E74" s="2316" t="n"/>
      <c r="F74" s="2317" t="n"/>
      <c r="G74" s="2318" t="n"/>
      <c r="P74" s="2319" t="n"/>
      <c r="Q74" s="2317" t="n"/>
      <c r="S74" s="2344" t="n"/>
      <c r="W74" s="2314" t="n"/>
      <c r="X74" s="2334" t="n"/>
      <c r="Y74" s="2351" t="n"/>
      <c r="AK74" s="2336" t="n"/>
      <c r="AL74" s="2337" t="n"/>
      <c r="AM74" s="2337" t="n"/>
      <c r="AO74" s="2338" t="n"/>
      <c r="AP74" s="2333" t="n"/>
      <c r="AQ74" s="1272" t="n"/>
      <c r="AR74" s="2339" t="n"/>
    </row>
    <row r="75" ht="13.5" customHeight="1" s="1158">
      <c r="C75" s="2315" t="n"/>
      <c r="E75" s="2316" t="n"/>
      <c r="F75" s="2317" t="n"/>
      <c r="G75" s="2318" t="n"/>
      <c r="H75" s="2317" t="n"/>
      <c r="O75" s="2317" t="n"/>
      <c r="P75" s="2319" t="n"/>
      <c r="Q75" s="2317" t="n"/>
      <c r="S75" s="2344" t="inlineStr">
        <is>
          <t>7"TOL@</t>
        </is>
      </c>
      <c r="T75" s="2345" t="n">
        <v>7025</v>
      </c>
      <c r="U75" s="2346" t="inlineStr">
        <is>
          <t>FT MD</t>
        </is>
      </c>
      <c r="V75" s="2314" t="n"/>
      <c r="W75" s="2314" t="n"/>
      <c r="X75" s="2334" t="n"/>
      <c r="Y75" s="2351" t="n"/>
      <c r="AK75" s="2336" t="n"/>
      <c r="AL75" s="2337" t="n"/>
      <c r="AM75" s="2337" t="n"/>
      <c r="AO75" s="2338" t="n"/>
      <c r="AP75" s="2333" t="n"/>
      <c r="AQ75" s="1272" t="n"/>
      <c r="AR75" s="2339" t="n"/>
    </row>
    <row r="76" ht="13.5" customHeight="1" s="1158">
      <c r="C76" s="2315" t="n"/>
      <c r="E76" s="2316" t="n"/>
      <c r="F76" s="2317" t="n"/>
      <c r="G76" s="2318" t="n"/>
      <c r="H76" s="2317" t="n"/>
      <c r="O76" s="2317" t="n"/>
      <c r="P76" s="2319" t="n"/>
      <c r="Q76" s="2317" t="n"/>
      <c r="R76" s="2343" t="n"/>
      <c r="S76" s="2314" t="n"/>
      <c r="T76" s="2314" t="n"/>
      <c r="U76" s="2314" t="n"/>
      <c r="V76" s="2352" t="n"/>
      <c r="W76" s="2314" t="n"/>
      <c r="X76" s="2334" t="n"/>
      <c r="Y76" s="2351" t="n"/>
      <c r="AK76" s="2336" t="n"/>
      <c r="AL76" s="2337" t="n"/>
      <c r="AM76" s="2337" t="n"/>
      <c r="AO76" s="2353" t="n"/>
      <c r="AP76" s="2353" t="n"/>
      <c r="AQ76" s="2353" t="n"/>
      <c r="AR76" s="2339" t="n"/>
    </row>
    <row r="77" ht="13.5" customHeight="1" s="1158">
      <c r="C77" s="2315" t="n"/>
      <c r="E77" s="2316" t="n"/>
      <c r="F77" s="2354" t="n"/>
      <c r="H77" s="2317" t="n"/>
      <c r="O77" s="2317" t="n"/>
      <c r="P77" s="2319" t="n"/>
      <c r="Q77" s="2354" t="n"/>
      <c r="S77" s="2344" t="inlineStr">
        <is>
          <t>9-5/8"</t>
        </is>
      </c>
      <c r="T77" s="2344" t="n"/>
      <c r="U77" s="2314" t="n"/>
      <c r="V77" s="2352" t="n"/>
      <c r="W77" s="2314" t="n"/>
      <c r="X77" s="2334" t="n"/>
      <c r="Y77" s="2351" t="n"/>
      <c r="AK77" s="2336" t="n"/>
      <c r="AL77" s="2337" t="n"/>
      <c r="AM77" s="2337" t="n"/>
      <c r="AO77" s="2355" t="n"/>
      <c r="AP77" s="2356" t="n"/>
      <c r="AQ77" s="2353" t="n"/>
      <c r="AR77" s="2339" t="n"/>
    </row>
    <row r="78" ht="13.5" customHeight="1" s="1158">
      <c r="C78" s="2315" t="n"/>
      <c r="E78" s="2316" t="n"/>
      <c r="H78" s="2317" t="n"/>
      <c r="O78" s="2317" t="n"/>
      <c r="R78" s="2357" t="n"/>
      <c r="S78" s="2344" t="inlineStr">
        <is>
          <t>SHOE @</t>
        </is>
      </c>
      <c r="T78" s="2345" t="n">
        <v>7329</v>
      </c>
      <c r="U78" s="2346" t="inlineStr">
        <is>
          <t>FT MD</t>
        </is>
      </c>
      <c r="V78" s="2314" t="n"/>
      <c r="W78" s="2314" t="n"/>
      <c r="X78" s="2334" t="n"/>
      <c r="Y78" s="2351" t="n"/>
      <c r="AK78" s="2336" t="n"/>
      <c r="AL78" s="2337" t="n"/>
      <c r="AM78" s="2337" t="n"/>
      <c r="AO78" s="2353" t="n"/>
      <c r="AP78" s="2353" t="n"/>
      <c r="AQ78" s="2353" t="n"/>
      <c r="AR78" s="2339" t="n"/>
    </row>
    <row r="79" ht="13.5" customHeight="1" s="1158">
      <c r="C79" s="2315" t="n"/>
      <c r="E79" s="2316" t="n"/>
      <c r="H79" s="2317" t="n"/>
      <c r="O79" s="2317" t="n"/>
      <c r="R79" s="2357" t="n"/>
      <c r="S79" s="2358" t="n"/>
      <c r="T79" s="2314" t="n"/>
      <c r="U79" s="2314" t="n"/>
      <c r="V79" s="2314" t="n"/>
      <c r="W79" s="2314" t="n"/>
      <c r="X79" s="2334" t="n"/>
      <c r="Y79" s="2351" t="n"/>
      <c r="AK79" s="2336" t="n"/>
      <c r="AL79" s="2337" t="n"/>
      <c r="AM79" s="2337" t="n"/>
      <c r="AO79" s="2353" t="n"/>
      <c r="AP79" s="2353" t="n"/>
      <c r="AQ79" s="2353" t="n"/>
      <c r="AR79" s="2339" t="n"/>
    </row>
    <row r="80" ht="13.5" customHeight="1" s="1158">
      <c r="C80" s="2315" t="n"/>
      <c r="E80" s="2316" t="n"/>
      <c r="R80" s="2357" t="n"/>
      <c r="S80" s="2314" t="n"/>
      <c r="U80" s="2314" t="n"/>
      <c r="V80" s="2314" t="n"/>
      <c r="W80" s="2314" t="n"/>
      <c r="X80" s="2334" t="n"/>
      <c r="Y80" s="2351" t="n"/>
      <c r="AK80" s="2336" t="n"/>
      <c r="AL80" s="2337" t="n"/>
      <c r="AM80" s="2337" t="n"/>
      <c r="AO80" s="2355" t="n"/>
      <c r="AP80" s="2356" t="n"/>
      <c r="AQ80" s="2353" t="n"/>
      <c r="AR80" s="2339" t="n"/>
    </row>
    <row r="81" ht="13.5" customHeight="1" s="1158">
      <c r="C81" s="2315" t="n"/>
      <c r="E81" s="2316" t="n"/>
      <c r="R81" s="2357" t="n"/>
      <c r="S81" s="2314" t="n"/>
      <c r="T81" s="2314" t="n"/>
      <c r="U81" s="2314" t="n"/>
      <c r="V81" s="2359" t="n"/>
      <c r="W81" s="2314" t="n"/>
      <c r="X81" s="2334" t="n"/>
      <c r="Y81" s="2351" t="n"/>
      <c r="AK81" s="2336" t="n"/>
      <c r="AL81" s="2337" t="n"/>
      <c r="AM81" s="2337" t="n"/>
      <c r="AO81" s="2353" t="n"/>
      <c r="AP81" s="2353" t="n"/>
      <c r="AQ81" s="2353" t="n"/>
      <c r="AR81" s="2339" t="n"/>
    </row>
    <row r="82" ht="13.5" customHeight="1" s="1158">
      <c r="C82" s="2315" t="n"/>
      <c r="E82" s="2316" t="n"/>
      <c r="R82" s="2357" t="n"/>
      <c r="S82" s="2314" t="n"/>
      <c r="T82" s="2360" t="inlineStr">
        <is>
          <t>TOP LINER CRA @ 9399 FTMD</t>
        </is>
      </c>
      <c r="U82" s="2314" t="n"/>
      <c r="V82" s="2314" t="n"/>
      <c r="W82" s="2314" t="n"/>
      <c r="X82" s="2334" t="n"/>
      <c r="Y82" s="2351" t="n"/>
      <c r="AK82" s="2336" t="n"/>
      <c r="AL82" s="2337" t="n"/>
      <c r="AM82" s="2337" t="n"/>
      <c r="AO82" s="2353" t="n"/>
      <c r="AP82" s="2353" t="n"/>
      <c r="AQ82" s="2353" t="n"/>
      <c r="AR82" s="2339" t="n"/>
    </row>
    <row r="83" ht="13.5" customHeight="1" s="1158">
      <c r="C83" s="2315" t="n"/>
      <c r="E83" s="2316" t="n"/>
      <c r="R83" s="2357" t="n"/>
      <c r="S83" s="2361" t="n"/>
      <c r="T83" s="2361" t="n"/>
      <c r="U83" s="2314" t="n"/>
      <c r="V83" s="2314" t="n"/>
      <c r="W83" s="2314" t="n"/>
      <c r="X83" s="2334" t="n"/>
      <c r="Y83" s="2351" t="n"/>
      <c r="AK83" s="2336" t="n"/>
      <c r="AL83" s="2337" t="n"/>
      <c r="AM83" s="2337" t="n"/>
      <c r="AO83" s="2362" t="n"/>
      <c r="AP83" s="2362" t="n"/>
      <c r="AQ83" s="2353" t="n"/>
      <c r="AR83" s="2339" t="n"/>
    </row>
    <row r="84" ht="13.5" customHeight="1" s="1158">
      <c r="C84" s="2315" t="n"/>
      <c r="E84" s="2316" t="n"/>
      <c r="R84" s="2357" t="n"/>
      <c r="S84" s="2363" t="n"/>
      <c r="T84" s="2328" t="inlineStr">
        <is>
          <t>7" PRAXIS ISOPAX CTR PERM PKR ALLOY 28</t>
        </is>
      </c>
      <c r="U84" s="2314" t="n"/>
      <c r="V84" s="2314" t="n"/>
      <c r="W84" s="2314" t="n"/>
      <c r="X84" s="2334" t="n"/>
      <c r="Y84" s="2351" t="n"/>
      <c r="AK84" s="2336" t="n"/>
      <c r="AL84" s="2337" t="n"/>
      <c r="AM84" s="2337" t="n"/>
      <c r="AO84" s="2364" t="n"/>
      <c r="AP84" s="2365" t="n"/>
      <c r="AQ84" s="2353" t="n"/>
      <c r="AR84" s="2339" t="n"/>
    </row>
    <row r="85" ht="13.5" customHeight="1" s="1158">
      <c r="C85" s="2315" t="n"/>
      <c r="E85" s="2316" t="n"/>
      <c r="S85" s="2366" t="n"/>
      <c r="T85" s="2367" t="inlineStr">
        <is>
          <t>6889.88'</t>
        </is>
      </c>
      <c r="U85" s="2314" t="n"/>
      <c r="V85" s="2314" t="n"/>
      <c r="W85" s="2314" t="n"/>
      <c r="X85" s="2334" t="n"/>
      <c r="Y85" s="2351" t="n"/>
      <c r="AK85" s="2336" t="n"/>
      <c r="AL85" s="2337" t="n"/>
      <c r="AM85" s="2337" t="n"/>
      <c r="AO85" s="2368" t="n"/>
      <c r="AP85" s="2369" t="n"/>
      <c r="AQ85" s="2370" t="n"/>
      <c r="AR85" s="2339" t="n"/>
    </row>
    <row r="86" ht="13.5" customHeight="1" s="1158">
      <c r="C86" s="2315" t="n"/>
      <c r="E86" s="2316" t="n"/>
      <c r="S86" s="2366" t="n"/>
      <c r="T86" s="2314" t="n"/>
      <c r="U86" s="2314" t="n"/>
      <c r="V86" s="2314" t="n"/>
      <c r="W86" s="2314" t="n"/>
      <c r="X86" s="2334" t="n"/>
      <c r="Y86" s="2351" t="n"/>
      <c r="AK86" s="2336" t="n"/>
      <c r="AL86" s="2337" t="n"/>
      <c r="AM86" s="2337" t="n"/>
      <c r="AO86" s="2338" t="n"/>
      <c r="AP86" s="2333" t="n"/>
      <c r="AQ86" s="1272" t="n"/>
      <c r="AR86" s="2339" t="n"/>
    </row>
    <row r="87" ht="13.5" customHeight="1" s="1158">
      <c r="C87" s="2315" t="n"/>
      <c r="E87" s="2316" t="n"/>
      <c r="S87" s="2186" t="n"/>
      <c r="T87" s="2343" t="n"/>
      <c r="U87" s="2186" t="n"/>
      <c r="V87" s="2186" t="n"/>
      <c r="W87" s="2186" t="n"/>
      <c r="X87" s="2334" t="n"/>
      <c r="Y87" s="2351" t="n"/>
      <c r="AK87" s="2336" t="n"/>
      <c r="AL87" s="2337" t="n"/>
      <c r="AM87" s="2337" t="n"/>
      <c r="AO87" s="2338" t="n"/>
      <c r="AP87" s="2333" t="n"/>
      <c r="AQ87" s="1272" t="n"/>
      <c r="AR87" s="2339" t="n"/>
    </row>
    <row r="88" ht="13.5" customHeight="1" s="1158">
      <c r="C88" s="2315" t="n"/>
      <c r="E88" s="2316" t="n"/>
      <c r="S88" s="2186" t="n"/>
      <c r="T88" s="2371" t="n"/>
      <c r="U88" s="2186" t="n"/>
      <c r="V88" s="2186" t="n"/>
      <c r="W88" s="2186" t="n"/>
      <c r="X88" s="2334" t="n"/>
      <c r="Y88" s="2351" t="n"/>
      <c r="AK88" s="2336" t="n"/>
      <c r="AL88" s="2337" t="n"/>
      <c r="AM88" s="2337" t="n"/>
      <c r="AO88" s="2338" t="n"/>
      <c r="AP88" s="2333" t="n"/>
      <c r="AQ88" s="1272" t="n"/>
      <c r="AR88" s="2339" t="n"/>
    </row>
    <row r="89" ht="13.5" customHeight="1" s="1158">
      <c r="C89" s="2315" t="n"/>
      <c r="E89" s="2316" t="n"/>
      <c r="S89" s="2186" t="n"/>
      <c r="T89" s="2357" t="n"/>
      <c r="U89" s="2320" t="n"/>
      <c r="V89" s="2186" t="n"/>
      <c r="W89" s="2186" t="n"/>
      <c r="X89" s="2334" t="n"/>
      <c r="Y89" s="2351" t="n"/>
      <c r="AK89" s="2336" t="n"/>
      <c r="AL89" s="2337" t="n"/>
      <c r="AM89" s="2337" t="n"/>
      <c r="AO89" s="2338" t="n"/>
      <c r="AP89" s="2333" t="n"/>
      <c r="AQ89" s="1272" t="n"/>
      <c r="AR89" s="2339" t="n"/>
    </row>
    <row r="90" ht="13.5" customHeight="1" s="1158">
      <c r="C90" s="2315" t="n"/>
      <c r="E90" s="2316" t="n"/>
      <c r="S90" s="2186" t="n"/>
      <c r="T90" s="2186" t="n"/>
      <c r="U90" s="2343" t="n"/>
      <c r="V90" s="2186" t="n"/>
      <c r="W90" s="2186" t="n"/>
      <c r="X90" s="2334" t="n"/>
      <c r="Y90" s="2351" t="n"/>
      <c r="AK90" s="2336" t="n"/>
      <c r="AL90" s="2337" t="n"/>
      <c r="AM90" s="2337" t="n"/>
      <c r="AO90" s="2338" t="n"/>
      <c r="AP90" s="2333" t="n"/>
      <c r="AQ90" s="1272" t="n"/>
      <c r="AR90" s="2339" t="n"/>
    </row>
    <row r="91" ht="13.5" customHeight="1" s="1158">
      <c r="C91" s="2315" t="n"/>
      <c r="E91" s="2316" t="n"/>
      <c r="S91" s="2186" t="n"/>
      <c r="T91" s="2186" t="n"/>
      <c r="U91" s="2186" t="n"/>
      <c r="V91" s="2320" t="n"/>
      <c r="W91" s="2186" t="n"/>
      <c r="X91" s="2334" t="n"/>
      <c r="Y91" s="2351" t="n"/>
      <c r="AK91" s="2336" t="n"/>
      <c r="AL91" s="2337" t="n"/>
      <c r="AM91" s="2337" t="n"/>
      <c r="AO91" s="2338" t="n"/>
      <c r="AP91" s="2333" t="n"/>
      <c r="AQ91" s="1272" t="n"/>
      <c r="AR91" s="2339" t="n"/>
    </row>
    <row r="92" ht="13.5" customHeight="1" s="1158">
      <c r="C92" s="2315" t="n"/>
      <c r="E92" s="2316" t="n"/>
      <c r="S92" s="2186" t="n"/>
      <c r="T92" s="2186" t="n"/>
      <c r="U92" s="2357" t="n"/>
      <c r="V92" s="2186" t="n"/>
      <c r="W92" s="2186" t="n"/>
      <c r="X92" s="2334" t="n"/>
      <c r="Y92" s="2351" t="n"/>
      <c r="AK92" s="2336" t="n"/>
      <c r="AL92" s="2337" t="n"/>
      <c r="AM92" s="2337" t="n"/>
      <c r="AO92" s="2338" t="n"/>
      <c r="AP92" s="2333" t="n"/>
      <c r="AQ92" s="1272" t="n"/>
      <c r="AR92" s="2339" t="n"/>
    </row>
    <row r="93" ht="13.5" customHeight="1" s="1158">
      <c r="C93" s="2315" t="n"/>
      <c r="E93" s="2316" t="n"/>
      <c r="S93" s="2186" t="n"/>
      <c r="T93" s="2186" t="n"/>
      <c r="U93" s="2186" t="n"/>
      <c r="V93" s="2347" t="n"/>
      <c r="W93" s="2186" t="n"/>
      <c r="X93" s="2334" t="n"/>
      <c r="Y93" s="2351" t="n"/>
      <c r="AK93" s="2336" t="n"/>
      <c r="AL93" s="2337" t="n"/>
      <c r="AM93" s="2337" t="n"/>
      <c r="AO93" s="2338" t="n"/>
      <c r="AP93" s="2333" t="n"/>
      <c r="AQ93" s="1272" t="n"/>
      <c r="AR93" s="2339" t="n"/>
    </row>
    <row r="94" ht="13.5" customHeight="1" s="1158">
      <c r="C94" s="2315" t="n"/>
      <c r="E94" s="2316" t="n"/>
      <c r="S94" s="2186" t="n"/>
      <c r="T94" s="2186" t="n"/>
      <c r="U94" s="2186" t="n"/>
      <c r="W94" s="2320" t="n"/>
      <c r="X94" s="2334" t="n"/>
      <c r="Y94" s="2351" t="n"/>
      <c r="AK94" s="2336" t="n"/>
      <c r="AL94" s="2337" t="n"/>
      <c r="AM94" s="2337" t="n"/>
      <c r="AO94" s="2338" t="n"/>
      <c r="AP94" s="2333" t="n"/>
      <c r="AQ94" s="1272" t="n"/>
      <c r="AR94" s="2339" t="n"/>
    </row>
    <row r="95" ht="13.5" customHeight="1" s="1158">
      <c r="B95" s="2372" t="inlineStr">
        <is>
          <t>END</t>
        </is>
      </c>
      <c r="C95" s="2315" t="n"/>
      <c r="E95" s="2316" t="n"/>
      <c r="S95" s="2186" t="n"/>
      <c r="T95" s="2186" t="n"/>
      <c r="U95" s="2186" t="n"/>
      <c r="V95" s="2373" t="n"/>
      <c r="W95" s="2374" t="n"/>
      <c r="X95" s="2334" t="n"/>
      <c r="Y95" s="2351" t="n"/>
      <c r="AK95" s="2336" t="n"/>
      <c r="AL95" s="2337" t="n"/>
      <c r="AM95" s="2337" t="n"/>
      <c r="AO95" s="2338" t="n"/>
      <c r="AP95" s="2333" t="n"/>
      <c r="AQ95" s="1272" t="n"/>
      <c r="AR95" s="2375" t="inlineStr">
        <is>
          <t>de_ant</t>
        </is>
      </c>
    </row>
    <row r="96" ht="14.25" customHeight="1" s="1158">
      <c r="E96" s="2316" t="n"/>
      <c r="U96" s="2186" t="n"/>
      <c r="V96" s="2186" t="n"/>
      <c r="W96" s="2374" t="n"/>
      <c r="X96" s="2376" t="n"/>
      <c r="Y96" s="2377" t="n"/>
      <c r="Z96" s="2378" t="n"/>
      <c r="AA96" s="2378" t="n"/>
      <c r="AB96" s="2378" t="n"/>
      <c r="AC96" s="2378" t="n"/>
      <c r="AD96" s="2378" t="n"/>
      <c r="AE96" s="2379" t="n"/>
      <c r="AF96" s="2379" t="n"/>
      <c r="AG96" s="2379" t="n"/>
      <c r="AH96" s="2379" t="n"/>
      <c r="AI96" s="2379" t="n"/>
      <c r="AJ96" s="2379" t="n"/>
      <c r="AK96" s="2379" t="n"/>
      <c r="AL96" s="2379" t="n"/>
      <c r="AM96" s="2379" t="n"/>
      <c r="AN96" s="2379" t="n"/>
      <c r="AO96" s="2379" t="n"/>
      <c r="AP96" s="2379" t="n"/>
      <c r="AQ96" s="2380" t="n"/>
      <c r="AR96" s="2379" t="n"/>
    </row>
    <row r="97" ht="13.5" customHeight="1" s="1158">
      <c r="E97" s="2316" t="n"/>
      <c r="U97" s="2186" t="n"/>
      <c r="V97" s="2381" t="n"/>
      <c r="W97" s="2374" t="n"/>
      <c r="X97" s="2336" t="n"/>
      <c r="Y97" s="2382" t="n"/>
      <c r="Z97" s="2382" t="n"/>
      <c r="AF97" s="2383" t="n"/>
      <c r="AG97" s="2384" t="n"/>
      <c r="AH97" s="2383" t="n"/>
      <c r="AI97" s="2383" t="n"/>
      <c r="AJ97" s="2383" t="n"/>
      <c r="AQ97" s="2385" t="n"/>
    </row>
    <row r="98" ht="15" customHeight="1" s="1158">
      <c r="E98" s="2316" t="n"/>
      <c r="W98" s="2374" t="n"/>
      <c r="X98" s="2383" t="n"/>
      <c r="Y98" s="2386" t="n"/>
      <c r="Z98" s="2386" t="n"/>
      <c r="AF98" s="2386" t="n"/>
      <c r="AG98" s="2386" t="n"/>
      <c r="AH98" s="2383" t="n"/>
      <c r="AI98" s="2386" t="n"/>
      <c r="AJ98" s="2384" t="n"/>
      <c r="AQ98" s="2385" t="n"/>
    </row>
    <row r="99" ht="14.25" customHeight="1" s="1158">
      <c r="E99" s="2316" t="n"/>
      <c r="J99" s="2387" t="n"/>
      <c r="K99" s="2388" t="n"/>
      <c r="L99" s="2388" t="n"/>
      <c r="M99" s="2388" t="n"/>
      <c r="N99" s="2388" t="n"/>
      <c r="O99" s="2388" t="n"/>
      <c r="P99" s="2388" t="n"/>
      <c r="Q99" s="2388" t="n"/>
      <c r="R99" s="2388" t="n"/>
      <c r="AM99" s="2388" t="n"/>
      <c r="AN99" s="2388" t="n"/>
      <c r="AO99" s="2389" t="inlineStr">
        <is>
          <t>6" H. HOLE TD</t>
        </is>
      </c>
      <c r="AQ99" s="1272" t="n"/>
    </row>
    <row r="100" ht="15" customHeight="1" s="1158">
      <c r="E100" s="2316" t="n"/>
      <c r="Q100" s="2388" t="n"/>
      <c r="AP100" s="2390" t="n"/>
      <c r="AQ100" s="1272" t="n"/>
    </row>
    <row r="101" ht="15" customHeight="1" s="1158">
      <c r="E101" s="2316" t="n"/>
      <c r="G101" s="2328" t="n"/>
      <c r="H101" s="2328" t="n"/>
      <c r="I101" s="2328" t="n"/>
      <c r="J101" s="2328" t="n"/>
      <c r="K101" s="2328" t="n"/>
      <c r="L101" s="2328" t="n"/>
      <c r="M101" s="2328" t="n"/>
      <c r="N101" s="2328" t="n"/>
      <c r="O101" s="2328" t="n"/>
      <c r="P101" s="2328" t="n"/>
      <c r="Q101" s="2328" t="n"/>
      <c r="R101" s="2328" t="n"/>
      <c r="S101" s="2328" t="n"/>
      <c r="T101" s="2328" t="n"/>
      <c r="U101" s="2328" t="n"/>
      <c r="AM101" s="2391" t="n"/>
      <c r="AN101" s="2391" t="n"/>
      <c r="AP101" s="2392" t="n"/>
      <c r="AQ101" s="1272" t="n"/>
    </row>
    <row r="102" ht="13.5" customHeight="1" s="1158">
      <c r="E102" s="2316" t="n"/>
      <c r="G102" s="2342" t="n"/>
      <c r="H102" s="2342" t="n"/>
      <c r="I102" s="2342" t="n"/>
      <c r="J102" s="2342" t="n"/>
      <c r="K102" s="2342" t="n"/>
      <c r="L102" s="2342" t="n"/>
      <c r="M102" s="2342" t="n"/>
      <c r="N102" s="2342" t="n"/>
      <c r="O102" s="2342" t="n"/>
      <c r="P102" s="2342" t="n"/>
      <c r="Q102" s="2342" t="n"/>
      <c r="R102" s="2342" t="n"/>
      <c r="S102" s="2342" t="n"/>
      <c r="T102" s="2342" t="n"/>
      <c r="U102" s="2311" t="n"/>
      <c r="AP102" s="2314" t="n"/>
      <c r="AQ102" s="2393" t="n"/>
    </row>
    <row r="103" ht="13.5" customHeight="1" s="1158">
      <c r="E103" s="2316" t="n"/>
      <c r="G103" s="2342" t="n"/>
      <c r="H103" s="2342" t="n"/>
      <c r="I103" s="2342" t="n"/>
      <c r="J103" s="2342" t="n"/>
      <c r="K103" s="2342" t="n"/>
      <c r="L103" s="2342" t="n"/>
      <c r="M103" s="2342" t="n"/>
      <c r="N103" s="2342" t="n"/>
      <c r="O103" s="2342" t="n"/>
      <c r="P103" s="2342" t="n"/>
      <c r="Q103" s="2342" t="n"/>
      <c r="R103" s="2342" t="n"/>
      <c r="S103" s="2311" t="n"/>
      <c r="T103" s="2311" t="n"/>
      <c r="U103" s="2311" t="n"/>
      <c r="V103" s="2363" t="n"/>
      <c r="W103" s="2314" t="n"/>
      <c r="X103" s="2314" t="n"/>
      <c r="Y103" s="2314" t="n"/>
      <c r="AQ103" s="2385" t="n"/>
    </row>
    <row r="104" ht="15" customHeight="1" s="1158">
      <c r="E104" s="2316" t="n"/>
      <c r="G104" s="2342" t="n"/>
      <c r="H104" s="2342" t="n"/>
      <c r="I104" s="2342" t="n"/>
      <c r="J104" s="2342" t="n"/>
      <c r="K104" s="2342" t="n"/>
      <c r="L104" s="2342" t="n"/>
      <c r="M104" s="2342" t="n"/>
      <c r="N104" s="2342" t="n"/>
      <c r="O104" s="2342" t="n"/>
      <c r="P104" s="2342" t="n"/>
      <c r="Q104" s="2342" t="n"/>
      <c r="R104" s="2342" t="n"/>
      <c r="S104" s="2394" t="inlineStr">
        <is>
          <t>E 11597' MD</t>
        </is>
      </c>
      <c r="T104" s="2311" t="n"/>
      <c r="U104" s="2311" t="n"/>
      <c r="V104" s="2395" t="inlineStr">
        <is>
          <t>7" SHOE</t>
        </is>
      </c>
      <c r="X104" s="2396" t="n">
        <v>11597</v>
      </c>
      <c r="Z104" s="2388" t="n"/>
      <c r="AA104" s="2314" t="n"/>
      <c r="AB104" s="2397" t="inlineStr">
        <is>
          <t>OH LENGTH</t>
        </is>
      </c>
      <c r="AC104" s="2396" t="n">
        <v>7656</v>
      </c>
      <c r="AE104" s="2386" t="n"/>
      <c r="AF104" s="2398" t="n"/>
      <c r="AG104" s="2314" t="n"/>
      <c r="AH104" s="2314" t="n"/>
      <c r="AI104" s="2314" t="n"/>
      <c r="AJ104" s="2314" t="n"/>
      <c r="AK104" s="2314" t="n"/>
      <c r="AL104" s="2314" t="n"/>
      <c r="AM104" s="2314" t="n"/>
      <c r="AN104" s="2314" t="n"/>
      <c r="AO104" s="2314" t="n"/>
      <c r="AP104" s="2314" t="n"/>
      <c r="AQ104" s="2393" t="n"/>
    </row>
    <row r="105" ht="15" customHeight="1" s="1158">
      <c r="E105" s="2316" t="n"/>
      <c r="G105" s="2342" t="n"/>
      <c r="H105" s="2342" t="n"/>
      <c r="I105" s="2342" t="n"/>
      <c r="J105" s="2342" t="n"/>
      <c r="K105" s="2342" t="n"/>
      <c r="L105" s="2342" t="n"/>
      <c r="M105" s="2342" t="n"/>
      <c r="N105" s="2342" t="n"/>
      <c r="O105" s="2342" t="n"/>
      <c r="P105" s="2342" t="n"/>
      <c r="Q105" s="2342" t="n"/>
      <c r="R105" s="2342" t="n"/>
      <c r="S105" s="2311" t="n"/>
      <c r="T105" s="2311" t="n"/>
      <c r="U105" s="2311" t="n"/>
      <c r="V105" s="2314" t="n"/>
      <c r="W105" s="2314" t="n"/>
      <c r="X105" s="2399" t="n">
        <v>9703</v>
      </c>
      <c r="Z105" s="2391" t="n"/>
      <c r="AA105" s="2363" t="inlineStr">
        <is>
          <t>Lekhwair-1 (THAMAMA ZONE H)</t>
        </is>
      </c>
      <c r="AE105" s="2386" t="n"/>
      <c r="AF105" s="2314" t="n"/>
      <c r="AG105" s="2314" t="n"/>
      <c r="AH105" s="2314" t="n"/>
      <c r="AI105" s="2314" t="n"/>
      <c r="AJ105" s="2314" t="n"/>
      <c r="AK105" s="2314" t="n"/>
      <c r="AL105" s="2314" t="n"/>
      <c r="AM105" s="2314" t="n"/>
      <c r="AN105" s="2314" t="n"/>
      <c r="AO105" s="2314" t="n"/>
      <c r="AP105" s="2314" t="n"/>
      <c r="AQ105" s="2393" t="n"/>
    </row>
    <row r="106" ht="15" customHeight="1" s="1158">
      <c r="E106" s="2316" t="n"/>
      <c r="F106" s="2314" t="n"/>
      <c r="G106" s="2314" t="n"/>
      <c r="H106" s="2314" t="n"/>
      <c r="I106" s="2314" t="n"/>
      <c r="J106" s="2314" t="n"/>
      <c r="K106" s="2314" t="n"/>
      <c r="L106" s="2314" t="n"/>
      <c r="M106" s="2314" t="n"/>
      <c r="N106" s="2314" t="n"/>
      <c r="O106" s="2314" t="n"/>
      <c r="P106" s="2314" t="n"/>
      <c r="Q106" s="2314" t="n"/>
      <c r="R106" s="2314" t="n"/>
      <c r="S106" s="2314" t="n"/>
      <c r="T106" s="2314" t="n"/>
      <c r="U106" s="2314" t="n"/>
      <c r="V106" s="2314" t="n"/>
      <c r="W106" s="2314" t="n"/>
      <c r="X106" s="2399" t="n"/>
      <c r="Y106" s="2399" t="n"/>
      <c r="Z106" s="2391" t="n"/>
      <c r="AA106" s="2185" t="n"/>
      <c r="AB106" s="2185" t="n"/>
      <c r="AC106" s="2185" t="n"/>
      <c r="AD106" s="2185" t="n"/>
      <c r="AE106" s="2386" t="n"/>
      <c r="AF106" s="2388" t="n"/>
      <c r="AH106" s="2388" t="n"/>
      <c r="AI106" s="2388" t="n"/>
      <c r="AQ106" s="2385" t="n"/>
    </row>
    <row r="107" ht="15" customHeight="1" s="1158">
      <c r="E107" s="2316" t="n"/>
      <c r="Q107" s="2400" t="n"/>
      <c r="R107" s="2400" t="n"/>
      <c r="S107" s="2400" t="n"/>
      <c r="T107" s="2400" t="n"/>
      <c r="U107" s="2400" t="n"/>
      <c r="V107" s="2400" t="n"/>
      <c r="W107" s="2400" t="n"/>
      <c r="X107" s="2388" t="n"/>
      <c r="Y107" s="2388" t="n"/>
      <c r="Z107" s="2401" t="inlineStr">
        <is>
          <t>NOTE :</t>
        </is>
      </c>
      <c r="AA107" s="2402" t="inlineStr">
        <is>
          <t>TR-SSSV INFLOW TESTED</t>
        </is>
      </c>
      <c r="AB107" s="2403" t="n"/>
      <c r="AC107" s="2403" t="n"/>
      <c r="AD107" s="2404" t="inlineStr">
        <is>
          <t>YES</t>
        </is>
      </c>
      <c r="AE107" s="2405" t="inlineStr">
        <is>
          <t>CH FLUID</t>
        </is>
      </c>
      <c r="AF107" s="2406" t="n"/>
      <c r="AG107" s="2407" t="inlineStr">
        <is>
          <t>NaCl</t>
        </is>
      </c>
      <c r="AH107" s="2408" t="n">
        <v>8.5</v>
      </c>
      <c r="AI107" s="1333" t="n"/>
      <c r="AJ107" s="2409" t="inlineStr">
        <is>
          <t>PPG</t>
        </is>
      </c>
      <c r="AK107" s="2410" t="inlineStr">
        <is>
          <t xml:space="preserve">COMP CODE: OP307/28CBB30 
</t>
        </is>
      </c>
      <c r="AL107" s="1333" t="n"/>
      <c r="AM107" s="1333" t="n"/>
      <c r="AN107" s="1333" t="n"/>
      <c r="AO107" s="1333" t="n"/>
      <c r="AP107" s="1333" t="n"/>
      <c r="AQ107" s="1337" t="n"/>
    </row>
    <row r="108" ht="15" customFormat="1" customHeight="1" s="2411">
      <c r="E108" s="2412" t="inlineStr">
        <is>
          <t>Copyright © 2026 ADNOC Onshore - rbangun@adnoc.ae</t>
        </is>
      </c>
      <c r="F108" s="2413" t="n"/>
      <c r="G108" s="2413" t="n"/>
      <c r="H108" s="2413" t="n"/>
      <c r="I108" s="2413" t="n"/>
      <c r="J108" s="2413" t="n"/>
      <c r="K108" s="2413" t="n"/>
      <c r="L108" s="2413" t="n"/>
      <c r="M108" s="2413" t="n"/>
      <c r="N108" s="2413" t="n"/>
      <c r="O108" s="2413" t="n"/>
      <c r="P108" s="2413" t="n"/>
      <c r="Q108" s="2413" t="n"/>
      <c r="R108" s="2413" t="n"/>
      <c r="S108" s="2413" t="n"/>
      <c r="T108" s="2413" t="n"/>
      <c r="U108" s="2413" t="n"/>
      <c r="V108" s="2413" t="n"/>
      <c r="W108" s="2413" t="n"/>
      <c r="X108" s="2413" t="n"/>
      <c r="Z108" s="2414" t="n"/>
      <c r="AA108" s="2415" t="inlineStr">
        <is>
          <t>MCBD RUPTURED</t>
        </is>
      </c>
      <c r="AB108" s="2416" t="n"/>
      <c r="AC108" s="2416" t="n"/>
      <c r="AD108" s="2417" t="inlineStr">
        <is>
          <t>YES</t>
        </is>
      </c>
      <c r="AE108" s="2418" t="inlineStr">
        <is>
          <t>OH FLUID</t>
        </is>
      </c>
      <c r="AF108" s="2419" t="n"/>
      <c r="AG108" s="2420" t="inlineStr">
        <is>
          <t>NaCl</t>
        </is>
      </c>
      <c r="AH108" s="2421" t="n">
        <v>8.5</v>
      </c>
      <c r="AI108" s="1295" t="n"/>
      <c r="AJ108" s="2422" t="inlineStr">
        <is>
          <t>PPG</t>
        </is>
      </c>
      <c r="AK108" s="1296" t="n"/>
      <c r="AL108" s="1295" t="n"/>
      <c r="AM108" s="1295" t="n"/>
      <c r="AN108" s="1295" t="n"/>
      <c r="AO108" s="1295" t="n"/>
      <c r="AP108" s="1295" t="n"/>
      <c r="AQ108" s="1345" t="n"/>
    </row>
    <row r="109" ht="13.5" customFormat="1" customHeight="1" s="2342">
      <c r="E109" s="2423" t="inlineStr">
        <is>
          <t>REVISION :</t>
        </is>
      </c>
      <c r="F109" s="1333" t="n"/>
      <c r="G109" s="1333" t="n"/>
      <c r="H109" s="2424" t="n"/>
      <c r="I109" s="2425" t="inlineStr">
        <is>
          <t>FINAL</t>
        </is>
      </c>
      <c r="J109" s="1333" t="n"/>
      <c r="K109" s="1333" t="n"/>
      <c r="L109" s="1333" t="n"/>
      <c r="M109" s="1333" t="n"/>
      <c r="N109" s="1333" t="n"/>
      <c r="O109" s="1333" t="n"/>
      <c r="P109" s="1333" t="n"/>
      <c r="Q109" s="1333" t="n"/>
      <c r="R109" s="1333" t="n"/>
      <c r="T109" s="2426" t="inlineStr">
        <is>
          <t>DATE :</t>
        </is>
      </c>
      <c r="U109" s="2425" t="n"/>
      <c r="V109" s="1333" t="n"/>
      <c r="W109" s="2424" t="inlineStr">
        <is>
          <t>FIELD COMPLETION ENG :</t>
        </is>
      </c>
      <c r="Y109" s="2425" t="inlineStr">
        <is>
          <t>Mahmoud Ali / Weatherford</t>
        </is>
      </c>
      <c r="Z109" s="1333" t="n"/>
      <c r="AA109" s="1333" t="n"/>
      <c r="AB109" s="2424" t="inlineStr">
        <is>
          <t>AON COMP. ENG</t>
        </is>
      </c>
      <c r="AC109" s="2424" t="n"/>
      <c r="AD109" s="2424" t="n"/>
      <c r="AE109" s="2425" t="inlineStr">
        <is>
          <t xml:space="preserve">Mariam Rashed Alnuaimi </t>
        </is>
      </c>
      <c r="AF109" s="1333" t="n"/>
      <c r="AG109" s="1333" t="n"/>
      <c r="AH109" s="1333" t="n"/>
      <c r="AI109" s="1333" t="n"/>
      <c r="AJ109" s="2424" t="inlineStr">
        <is>
          <t>AON DRILLING SUPERVISOR :</t>
        </is>
      </c>
      <c r="AK109" s="2424" t="n"/>
      <c r="AL109" s="2424" t="n"/>
      <c r="AM109" s="2425" t="inlineStr">
        <is>
          <t>IFEANYI / RASHED EASA</t>
        </is>
      </c>
      <c r="AN109" s="1333" t="n"/>
      <c r="AO109" s="1333" t="n"/>
      <c r="AP109" s="1333" t="n"/>
      <c r="AQ109" s="1333" t="n"/>
    </row>
    <row r="110" ht="13.8" customHeight="1" s="1158"/>
    <row r="111" ht="13.8" customHeight="1" s="1158"/>
    <row r="112" ht="13.8" customHeight="1" s="1158"/>
    <row r="113" ht="13.8" customHeight="1" s="1158"/>
    <row r="114" ht="13.8" customHeight="1" s="1158"/>
    <row r="115" ht="13.8" customHeight="1" s="1158"/>
    <row r="116" ht="13.8" customHeight="1" s="1158"/>
    <row r="117" ht="13.8" customHeight="1" s="1158"/>
    <row r="118" ht="13.8" customHeight="1" s="1158"/>
    <row r="119" ht="13.8" customHeight="1" s="1158"/>
    <row r="120" ht="13.8" customHeight="1" s="1158"/>
    <row r="121" ht="13.8" customHeight="1" s="1158"/>
    <row r="122" ht="13.8" customHeight="1" s="1158"/>
    <row r="123" ht="13.8" customHeight="1" s="1158"/>
    <row r="124" ht="13.8" customHeight="1" s="1158"/>
    <row r="125" ht="13.8" customHeight="1" s="1158"/>
    <row r="126" ht="13.8" customHeight="1" s="1158"/>
    <row r="127" ht="13.8" customHeight="1" s="1158"/>
    <row r="128" ht="13.8" customHeight="1" s="1158"/>
    <row r="129" ht="13.8" customHeight="1" s="1158"/>
    <row r="130" ht="13.8" customHeight="1" s="1158"/>
    <row r="131" ht="13.8" customHeight="1" s="1158"/>
    <row r="132" ht="13.8" customHeight="1" s="1158"/>
    <row r="133" ht="13.8" customHeight="1" s="1158"/>
    <row r="134" ht="13.8" customHeight="1" s="1158"/>
    <row r="135" ht="13.8" customHeight="1" s="1158"/>
    <row r="136" ht="13.8" customHeight="1" s="1158"/>
    <row r="137" ht="13.8" customHeight="1" s="1158"/>
  </sheetData>
  <mergeCells count="344">
    <mergeCell ref="AP5:AP6"/>
    <mergeCell ref="AM109:AQ109"/>
    <mergeCell ref="AM38:AN38"/>
    <mergeCell ref="AP58:AQ58"/>
    <mergeCell ref="AM62:AN62"/>
    <mergeCell ref="AP52:AQ52"/>
    <mergeCell ref="Y40:AJ40"/>
    <mergeCell ref="AP39:AQ39"/>
    <mergeCell ref="AM40:AN40"/>
    <mergeCell ref="AA105:AD105"/>
    <mergeCell ref="AF15:AG15"/>
    <mergeCell ref="AF12:AG12"/>
    <mergeCell ref="X15:Y15"/>
    <mergeCell ref="Y66:AJ66"/>
    <mergeCell ref="AH108:AI108"/>
    <mergeCell ref="Y53:AJ53"/>
    <mergeCell ref="AP70:AQ70"/>
    <mergeCell ref="Y68:AJ68"/>
    <mergeCell ref="Y55:AJ55"/>
    <mergeCell ref="AM33:AN33"/>
    <mergeCell ref="E16:K16"/>
    <mergeCell ref="AM28:AN28"/>
    <mergeCell ref="E2:Q8"/>
    <mergeCell ref="Y46:AJ46"/>
    <mergeCell ref="AM59:AN59"/>
    <mergeCell ref="Y37:AJ37"/>
    <mergeCell ref="AP60:AQ60"/>
    <mergeCell ref="Y48:AJ48"/>
    <mergeCell ref="AM88:AN88"/>
    <mergeCell ref="AM82:AN82"/>
    <mergeCell ref="AM30:AN30"/>
    <mergeCell ref="Y41:AJ41"/>
    <mergeCell ref="Z5:AA5"/>
    <mergeCell ref="AM90:AN90"/>
    <mergeCell ref="Y56:AJ56"/>
    <mergeCell ref="AM65:AN65"/>
    <mergeCell ref="Y43:AJ43"/>
    <mergeCell ref="Y74:AJ74"/>
    <mergeCell ref="Y67:AJ67"/>
    <mergeCell ref="AP71:AQ71"/>
    <mergeCell ref="Y59:AJ59"/>
    <mergeCell ref="Y69:AJ69"/>
    <mergeCell ref="Y25:AJ25"/>
    <mergeCell ref="X16:Y16"/>
    <mergeCell ref="AP73:AQ73"/>
    <mergeCell ref="Z16:AA16"/>
    <mergeCell ref="AB16:AC16"/>
    <mergeCell ref="AB9:AC9"/>
    <mergeCell ref="E17:K17"/>
    <mergeCell ref="AP74:AQ74"/>
    <mergeCell ref="AM78:AN78"/>
    <mergeCell ref="AB11:AC11"/>
    <mergeCell ref="AD11:AE11"/>
    <mergeCell ref="AD5:AE6"/>
    <mergeCell ref="AF8:AG8"/>
    <mergeCell ref="Y38:AJ38"/>
    <mergeCell ref="Y87:AJ87"/>
    <mergeCell ref="Y62:AJ62"/>
    <mergeCell ref="Y24:AJ24"/>
    <mergeCell ref="AP101:AQ101"/>
    <mergeCell ref="Y89:AJ89"/>
    <mergeCell ref="AP28:AQ28"/>
    <mergeCell ref="AM27:AN27"/>
    <mergeCell ref="R16:W16"/>
    <mergeCell ref="Y64:AJ64"/>
    <mergeCell ref="Z6:AA6"/>
    <mergeCell ref="Y51:AJ51"/>
    <mergeCell ref="AB6:AC6"/>
    <mergeCell ref="Y82:AJ82"/>
    <mergeCell ref="AP21:AQ21"/>
    <mergeCell ref="AM91:AN91"/>
    <mergeCell ref="AP23:AQ23"/>
    <mergeCell ref="Y77:AJ77"/>
    <mergeCell ref="Y33:AJ33"/>
    <mergeCell ref="R9:W9"/>
    <mergeCell ref="Y75:AJ75"/>
    <mergeCell ref="AM84:AN84"/>
    <mergeCell ref="AM75:AN75"/>
    <mergeCell ref="R11:W11"/>
    <mergeCell ref="Y72:AJ72"/>
    <mergeCell ref="AM86:AN86"/>
    <mergeCell ref="AW12:AX12"/>
    <mergeCell ref="AH16:AI16"/>
    <mergeCell ref="AM80:AN80"/>
    <mergeCell ref="L13:Q13"/>
    <mergeCell ref="AJ16:AK16"/>
    <mergeCell ref="AM79:AN79"/>
    <mergeCell ref="AP18:AQ18"/>
    <mergeCell ref="AP9:AP10"/>
    <mergeCell ref="L15:Q15"/>
    <mergeCell ref="AM81:AN81"/>
    <mergeCell ref="Y88:AJ88"/>
    <mergeCell ref="Y26:AJ26"/>
    <mergeCell ref="AP92:AQ92"/>
    <mergeCell ref="L10:Q10"/>
    <mergeCell ref="Y90:AJ90"/>
    <mergeCell ref="AP29:AQ29"/>
    <mergeCell ref="AP94:AQ94"/>
    <mergeCell ref="Y65:AJ65"/>
    <mergeCell ref="AP44:AQ44"/>
    <mergeCell ref="AM70:AN70"/>
    <mergeCell ref="AP31:AQ31"/>
    <mergeCell ref="AJ6:AK6"/>
    <mergeCell ref="AM63:AN63"/>
    <mergeCell ref="AP95:AQ95"/>
    <mergeCell ref="AP89:AQ89"/>
    <mergeCell ref="Z13:AA13"/>
    <mergeCell ref="AB13:AC13"/>
    <mergeCell ref="AB7:AC7"/>
    <mergeCell ref="AD7:AE7"/>
    <mergeCell ref="AP72:AQ72"/>
    <mergeCell ref="Z15:AA15"/>
    <mergeCell ref="AM94:AN94"/>
    <mergeCell ref="AD8:AE8"/>
    <mergeCell ref="Y20:AJ20"/>
    <mergeCell ref="R12:W12"/>
    <mergeCell ref="AP42:AQ42"/>
    <mergeCell ref="Y22:AJ22"/>
    <mergeCell ref="Y78:AJ78"/>
    <mergeCell ref="AW13:AX13"/>
    <mergeCell ref="Y80:AJ80"/>
    <mergeCell ref="AP19:AQ19"/>
    <mergeCell ref="R2:V3"/>
    <mergeCell ref="AN2:AQ3"/>
    <mergeCell ref="Z4:AQ4"/>
    <mergeCell ref="Y91:AJ91"/>
    <mergeCell ref="Y93:AJ93"/>
    <mergeCell ref="AP32:AQ32"/>
    <mergeCell ref="AM36:AN36"/>
    <mergeCell ref="AH12:AI12"/>
    <mergeCell ref="AP47:AQ47"/>
    <mergeCell ref="Y35:AJ35"/>
    <mergeCell ref="AJ12:AK12"/>
    <mergeCell ref="AB15:AC15"/>
    <mergeCell ref="AH14:AI14"/>
    <mergeCell ref="AJ14:AK14"/>
    <mergeCell ref="I109:R109"/>
    <mergeCell ref="Y109:AA109"/>
    <mergeCell ref="AJ7:AK7"/>
    <mergeCell ref="Y84:AJ84"/>
    <mergeCell ref="AD10:AE10"/>
    <mergeCell ref="AF10:AG10"/>
    <mergeCell ref="AP63:AQ63"/>
    <mergeCell ref="AP50:AQ50"/>
    <mergeCell ref="Y86:AJ86"/>
    <mergeCell ref="Y61:AJ61"/>
    <mergeCell ref="AP11:AP12"/>
    <mergeCell ref="AM64:AN64"/>
    <mergeCell ref="AP27:AQ27"/>
    <mergeCell ref="AP45:AQ45"/>
    <mergeCell ref="AP91:AQ91"/>
    <mergeCell ref="E9:K9"/>
    <mergeCell ref="AM32:AN32"/>
    <mergeCell ref="AP93:AQ93"/>
    <mergeCell ref="E11:K11"/>
    <mergeCell ref="AF5:AG6"/>
    <mergeCell ref="R8:Y8"/>
    <mergeCell ref="Y34:AJ34"/>
    <mergeCell ref="AP55:AQ55"/>
    <mergeCell ref="AP38:AQ38"/>
    <mergeCell ref="Y49:AJ49"/>
    <mergeCell ref="Y36:AJ36"/>
    <mergeCell ref="AJ13:AK13"/>
    <mergeCell ref="AM52:AN52"/>
    <mergeCell ref="AM39:AN39"/>
    <mergeCell ref="AP40:AQ40"/>
    <mergeCell ref="AH15:AI15"/>
    <mergeCell ref="AJ15:AK15"/>
    <mergeCell ref="AH107:AI107"/>
    <mergeCell ref="R14:W14"/>
    <mergeCell ref="AM55:AN55"/>
    <mergeCell ref="X9:Y9"/>
    <mergeCell ref="AP66:AQ66"/>
    <mergeCell ref="Z9:AA9"/>
    <mergeCell ref="Y54:AJ54"/>
    <mergeCell ref="AP53:AQ53"/>
    <mergeCell ref="X11:Y11"/>
    <mergeCell ref="AM29:AN29"/>
    <mergeCell ref="Z11:AA11"/>
    <mergeCell ref="AP68:AQ68"/>
    <mergeCell ref="AM23:AN23"/>
    <mergeCell ref="AN5:AO5"/>
    <mergeCell ref="AP67:AQ67"/>
    <mergeCell ref="AM71:AN71"/>
    <mergeCell ref="AM58:AN58"/>
    <mergeCell ref="E12:K12"/>
    <mergeCell ref="AM60:AN60"/>
    <mergeCell ref="W2:AF3"/>
    <mergeCell ref="E14:K14"/>
    <mergeCell ref="AP7:AP8"/>
    <mergeCell ref="AP41:AQ41"/>
    <mergeCell ref="R13:W13"/>
    <mergeCell ref="Y39:AJ39"/>
    <mergeCell ref="AP56:AQ56"/>
    <mergeCell ref="AP43:AQ43"/>
    <mergeCell ref="R15:W15"/>
    <mergeCell ref="Y18:AK18"/>
    <mergeCell ref="AM19:AN19"/>
    <mergeCell ref="AM46:AN46"/>
    <mergeCell ref="X17:Y17"/>
    <mergeCell ref="Y28:AJ28"/>
    <mergeCell ref="AF16:AG16"/>
    <mergeCell ref="Y70:AJ70"/>
    <mergeCell ref="AF9:AG9"/>
    <mergeCell ref="AP69:AQ69"/>
    <mergeCell ref="AH9:AI9"/>
    <mergeCell ref="Z12:AA12"/>
    <mergeCell ref="Y57:AJ57"/>
    <mergeCell ref="AB12:AC12"/>
    <mergeCell ref="AM73:AN73"/>
    <mergeCell ref="AF14:AG14"/>
    <mergeCell ref="Y23:AJ23"/>
    <mergeCell ref="AF11:AG11"/>
    <mergeCell ref="X14:Y14"/>
    <mergeCell ref="AH11:AI11"/>
    <mergeCell ref="Z14:AA14"/>
    <mergeCell ref="AH5:AI6"/>
    <mergeCell ref="E13:K13"/>
    <mergeCell ref="AM74:AN74"/>
    <mergeCell ref="R10:W10"/>
    <mergeCell ref="AG2:AH3"/>
    <mergeCell ref="E15:K15"/>
    <mergeCell ref="AM76:AN76"/>
    <mergeCell ref="Y83:AJ83"/>
    <mergeCell ref="AP87:AQ87"/>
    <mergeCell ref="Y85:AJ85"/>
    <mergeCell ref="AP24:AQ24"/>
    <mergeCell ref="Y60:AJ60"/>
    <mergeCell ref="X13:Y13"/>
    <mergeCell ref="Z7:AA7"/>
    <mergeCell ref="AP88:AQ88"/>
    <mergeCell ref="AP51:AQ51"/>
    <mergeCell ref="AP26:AQ26"/>
    <mergeCell ref="AM92:AN92"/>
    <mergeCell ref="AW9:AX9"/>
    <mergeCell ref="AP65:AQ65"/>
    <mergeCell ref="Z8:AA8"/>
    <mergeCell ref="AM87:AN87"/>
    <mergeCell ref="AM35:AN35"/>
    <mergeCell ref="AO99:AQ99"/>
    <mergeCell ref="E10:K10"/>
    <mergeCell ref="Y42:AJ42"/>
    <mergeCell ref="V104:W104"/>
    <mergeCell ref="Y71:AJ71"/>
    <mergeCell ref="Y58:AJ58"/>
    <mergeCell ref="AP75:AQ75"/>
    <mergeCell ref="AK107:AQ108"/>
    <mergeCell ref="AP37:AQ37"/>
    <mergeCell ref="Y73:AJ73"/>
    <mergeCell ref="AM77:AN77"/>
    <mergeCell ref="L9:Q9"/>
    <mergeCell ref="L11:Q11"/>
    <mergeCell ref="AP90:AQ90"/>
    <mergeCell ref="X104:Y104"/>
    <mergeCell ref="AB8:AC8"/>
    <mergeCell ref="AM31:AN31"/>
    <mergeCell ref="AF7:AG7"/>
    <mergeCell ref="X10:Y10"/>
    <mergeCell ref="AH7:AI7"/>
    <mergeCell ref="Z10:AA10"/>
    <mergeCell ref="AB10:AC10"/>
    <mergeCell ref="AP25:AQ25"/>
    <mergeCell ref="AM95:AN95"/>
    <mergeCell ref="AM89:AN89"/>
    <mergeCell ref="AM26:AN26"/>
    <mergeCell ref="L16:P16"/>
    <mergeCell ref="AM72:AN72"/>
    <mergeCell ref="AB5:AC5"/>
    <mergeCell ref="Y79:AJ79"/>
    <mergeCell ref="Y81:AJ81"/>
    <mergeCell ref="AP20:AQ20"/>
    <mergeCell ref="AP22:AQ22"/>
    <mergeCell ref="Y76:AJ76"/>
    <mergeCell ref="AP86:AQ86"/>
    <mergeCell ref="L17:Q17"/>
    <mergeCell ref="AI2:AL3"/>
    <mergeCell ref="AM2:AM3"/>
    <mergeCell ref="AM83:AN83"/>
    <mergeCell ref="Y63:AJ63"/>
    <mergeCell ref="AD16:AE16"/>
    <mergeCell ref="AF13:AG13"/>
    <mergeCell ref="AM85:AN85"/>
    <mergeCell ref="AH13:AI13"/>
    <mergeCell ref="L12:Q12"/>
    <mergeCell ref="Y92:AJ92"/>
    <mergeCell ref="Y30:AJ30"/>
    <mergeCell ref="X105:Y105"/>
    <mergeCell ref="U109:V109"/>
    <mergeCell ref="Y29:AJ29"/>
    <mergeCell ref="Y94:AJ94"/>
    <mergeCell ref="AP33:AQ33"/>
    <mergeCell ref="AH8:AI8"/>
    <mergeCell ref="Y31:AJ31"/>
    <mergeCell ref="AJ8:AK8"/>
    <mergeCell ref="AP35:AQ35"/>
    <mergeCell ref="AH10:AI10"/>
    <mergeCell ref="AJ10:AK10"/>
    <mergeCell ref="AP30:AQ30"/>
    <mergeCell ref="E109:G109"/>
    <mergeCell ref="AP59:AQ59"/>
    <mergeCell ref="AP46:AQ46"/>
    <mergeCell ref="AJ5:AK5"/>
    <mergeCell ref="AP61:AQ61"/>
    <mergeCell ref="AP48:AQ48"/>
    <mergeCell ref="AM18:AN18"/>
    <mergeCell ref="AC104:AD104"/>
    <mergeCell ref="Y44:AJ44"/>
    <mergeCell ref="AW11:AX11"/>
    <mergeCell ref="AM93:AN93"/>
    <mergeCell ref="L14:P14"/>
    <mergeCell ref="AW14:AX14"/>
    <mergeCell ref="Y95:AJ95"/>
    <mergeCell ref="AP34:AQ34"/>
    <mergeCell ref="Y32:AJ32"/>
    <mergeCell ref="AP49:AQ49"/>
    <mergeCell ref="AP36:AQ36"/>
    <mergeCell ref="Y47:AJ47"/>
    <mergeCell ref="AP100:AQ100"/>
    <mergeCell ref="AJ9:AK9"/>
    <mergeCell ref="AD12:AE12"/>
    <mergeCell ref="AM41:AN41"/>
    <mergeCell ref="AD9:AE9"/>
    <mergeCell ref="Y21:AJ21"/>
    <mergeCell ref="X12:Y12"/>
    <mergeCell ref="AJ11:AK11"/>
    <mergeCell ref="AB14:AC14"/>
    <mergeCell ref="AD14:AE14"/>
    <mergeCell ref="AP62:AQ62"/>
    <mergeCell ref="Y50:AJ50"/>
    <mergeCell ref="AM66:AN66"/>
    <mergeCell ref="AD13:AE13"/>
    <mergeCell ref="AP54:AQ54"/>
    <mergeCell ref="AE109:AI109"/>
    <mergeCell ref="AP64:AQ64"/>
    <mergeCell ref="Y52:AJ52"/>
    <mergeCell ref="R17:W17"/>
    <mergeCell ref="AM68:AN68"/>
    <mergeCell ref="AD15:AE15"/>
    <mergeCell ref="Y27:AJ27"/>
    <mergeCell ref="AM67:AN67"/>
    <mergeCell ref="Y45:AJ45"/>
    <mergeCell ref="AM61:AN61"/>
    <mergeCell ref="AM69:AN69"/>
    <mergeCell ref="AP57:AQ57"/>
  </mergeCells>
  <conditionalFormatting sqref="H18:H77 O18:O77">
    <cfRule type="expression" rank="0" priority="2" equalAverage="0" aboveAverage="0" dxfId="0" text="" percent="0" bottom="0">
      <formula>$B$5="YES"</formula>
    </cfRule>
    <cfRule type="expression" rank="0" priority="3" equalAverage="0" aboveAverage="0" dxfId="0" text="" percent="0" bottom="0">
      <formula>$B$8="YES"</formula>
    </cfRule>
  </conditionalFormatting>
  <conditionalFormatting sqref="G74:G77 P74:P77">
    <cfRule type="expression" rank="0" priority="4" equalAverage="0" aboveAverage="0" dxfId="2" text="" percent="0" bottom="0">
      <formula>AND($B$7="YES",$B$5="YES")</formula>
    </cfRule>
  </conditionalFormatting>
  <conditionalFormatting sqref="Z7:AK13">
    <cfRule type="expression" rank="0" priority="5" equalAverage="0" aboveAverage="0" dxfId="3" text="" percent="0" bottom="0">
      <formula>$AJ$7=0</formula>
    </cfRule>
  </conditionalFormatting>
  <conditionalFormatting sqref="AO20:AO71 AO72:AQ95 AP19:AQ71">
    <cfRule type="expression" rank="0" priority="6" equalAverage="0" aboveAverage="0" dxfId="4" text="" percent="0" bottom="0">
      <formula>ISNUMBER(FIND("EOT",$AO19))</formula>
    </cfRule>
  </conditionalFormatting>
  <conditionalFormatting sqref="X20:X95 AL20:AO95">
    <cfRule type="expression" rank="0" priority="7" equalAverage="0" aboveAverage="0" dxfId="5" text="" percent="0" bottom="0">
      <formula>$X20&lt;&gt;""</formula>
    </cfRule>
  </conditionalFormatting>
  <conditionalFormatting sqref="X20:Y95 AK20:AO71 AK72:AQ95 AP19:AQ71">
    <cfRule type="expression" rank="0" priority="8" equalAverage="0" aboveAverage="0" dxfId="6" text="" percent="0" bottom="0">
      <formula>$X19&lt;&gt;""</formula>
    </cfRule>
    <cfRule type="expression" rank="0" priority="15" equalAverage="0" aboveAverage="0" dxfId="13" text="" percent="0" bottom="0">
      <formula>$AO19="EOT"</formula>
    </cfRule>
    <cfRule type="expression" rank="0" priority="16" equalAverage="0" aboveAverage="0" dxfId="13" text="" percent="0" bottom="0">
      <formula>$X19="ITEM"</formula>
    </cfRule>
    <cfRule type="expression" rank="0" priority="17" equalAverage="0" aboveAverage="0" dxfId="15" text="" percent="0" bottom="0">
      <formula>$C19="***"</formula>
    </cfRule>
    <cfRule type="expression" rank="0" priority="18" equalAverage="0" aboveAverage="0" dxfId="15" text="" percent="0" bottom="0">
      <formula>$C19="**"</formula>
    </cfRule>
    <cfRule type="expression" rank="0" priority="19" equalAverage="0" aboveAverage="0" dxfId="17" text="" percent="0" bottom="0">
      <formula>$C19="*"</formula>
    </cfRule>
    <cfRule type="expression" rank="0" priority="20" equalAverage="0" aboveAverage="0" dxfId="18" text="" percent="0" bottom="0">
      <formula>$C19&lt;&gt;"*"</formula>
    </cfRule>
  </conditionalFormatting>
  <conditionalFormatting sqref="G75 P75">
    <cfRule type="expression" rank="0" priority="9" equalAverage="0" aboveAverage="0" dxfId="7" text="" percent="0" bottom="0">
      <formula>$B$6="YES"</formula>
    </cfRule>
  </conditionalFormatting>
  <conditionalFormatting sqref="G75:H75 O75:R75">
    <cfRule type="expression" rank="0" priority="10" equalAverage="0" aboveAverage="0" dxfId="8" text="" percent="0" bottom="0">
      <formula>$B$6="YES"</formula>
    </cfRule>
  </conditionalFormatting>
  <conditionalFormatting sqref="G18:G77 P18:P77">
    <cfRule type="expression" rank="0" priority="11" equalAverage="0" aboveAverage="0" dxfId="2" text="" percent="0" bottom="0">
      <formula>AND($B$7="NO",$B$5="YES")</formula>
    </cfRule>
    <cfRule type="expression" rank="0" priority="12" equalAverage="0" aboveAverage="0" dxfId="2" text="" percent="0" bottom="0">
      <formula>$B$8="YES"</formula>
    </cfRule>
  </conditionalFormatting>
  <conditionalFormatting sqref="J28">
    <cfRule type="expression" rank="0" priority="13" equalAverage="0" aboveAverage="0" dxfId="11" text="" percent="0" bottom="0">
      <formula>LEFT(#ref!,1)="4"</formula>
    </cfRule>
  </conditionalFormatting>
  <conditionalFormatting sqref="AP100:AQ100">
    <cfRule type="expression" rank="0" priority="14" equalAverage="0" aboveAverage="0" dxfId="12" text="" percent="0" bottom="0">
      <formula>MAX($AP$19:$AQ$95&gt;#ref!</formula>
    </cfRule>
  </conditionalFormatting>
  <dataValidations count="1">
    <dataValidation sqref="I109:R109" showDropDown="0" showInputMessage="1" showErrorMessage="1" allowBlank="1" type="list" errorStyle="stop" operator="between">
      <formula1>"v1,v2,v3,FINAL"</formula1>
      <formula2>0</formula2>
    </dataValidation>
  </dataValidations>
  <printOptions horizontalCentered="1" verticalCentered="1" headings="0" gridLines="0" gridLinesSet="1"/>
  <pageMargins left="0.315277777777778" right="0.315277777777778" top="0.315277777777778" bottom="0.315277777777778" header="0.315277777777778" footer="0.315277777777778"/>
  <pageSetup orientation="portrait" paperSize="1" scale="100" fitToHeight="1" fitToWidth="1" pageOrder="downThenOver" blackAndWhite="0" draft="0" horizontalDpi="300" verticalDpi="300" copies="1"/>
  <headerFooter differentOddEven="0" differentFirst="1">
    <oddHeader/>
    <oddFooter>&amp;R&amp;8 Page &amp;P of &amp;N_x000a_&amp;F</oddFooter>
    <evenHeader/>
    <evenFooter/>
    <firstHeader>&amp;L&amp;"arial,Regular"&amp;1 &amp;K737373ADNOC Classification: Public#</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2026-07-28T14:06:50Z</dcterms:modified>
  <cp:revision>2</cp:revision>
  <cp:lastPrinted>2026-06-18T07:20:43Z</cp:lastPrinted>
</cp:coreProperties>
</file>